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9.xml" ContentType="application/vnd.openxmlformats-officedocument.spreadsheetml.pivotTab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exiadelorme/Desktop/Project 2/Testing/"/>
    </mc:Choice>
  </mc:AlternateContent>
  <xr:revisionPtr revIDLastSave="0" documentId="13_ncr:1_{AD19526F-1D34-0946-B789-E0C8162A6C3B}" xr6:coauthVersionLast="43" xr6:coauthVersionMax="43" xr10:uidLastSave="{00000000-0000-0000-0000-000000000000}"/>
  <bookViews>
    <workbookView xWindow="1380" yWindow="460" windowWidth="28040" windowHeight="16200" xr2:uid="{00000000-000D-0000-FFFF-FFFF00000000}"/>
  </bookViews>
  <sheets>
    <sheet name="Data sample" sheetId="2" r:id="rId1"/>
    <sheet name="pie chart 1" sheetId="4" r:id="rId2"/>
    <sheet name="pie chart 2" sheetId="5" r:id="rId3"/>
    <sheet name="row chart 3" sheetId="7" r:id="rId4"/>
    <sheet name="bar chart 4.1" sheetId="6" r:id="rId5"/>
    <sheet name="bar chart 4.2" sheetId="23" r:id="rId6"/>
    <sheet name="bar chart 5" sheetId="11" r:id="rId7"/>
    <sheet name="line chart 6" sheetId="8" r:id="rId8"/>
    <sheet name="bar chart 7" sheetId="13" r:id="rId9"/>
    <sheet name="bar chart 8" sheetId="12" r:id="rId10"/>
    <sheet name="scatter plots 1" sheetId="18" r:id="rId11"/>
    <sheet name="scatter plots 2" sheetId="19" r:id="rId12"/>
    <sheet name="scatter plots 3" sheetId="20" r:id="rId13"/>
    <sheet name="static-exo" sheetId="1" r:id="rId14"/>
  </sheets>
  <definedNames>
    <definedName name="_xlnm._FilterDatabase" localSheetId="2" hidden="1">'pie chart 2'!$J$5:$K$5</definedName>
    <definedName name="_xlnm._FilterDatabase" localSheetId="13" hidden="1">'static-exo'!$A$1:$S$3973</definedName>
  </definedNames>
  <calcPr calcId="191029"/>
  <pivotCaches>
    <pivotCache cacheId="0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4" i="7" l="1"/>
  <c r="O1" i="20"/>
  <c r="O2" i="20"/>
  <c r="O2" i="19"/>
  <c r="O1" i="19"/>
  <c r="O2" i="18"/>
  <c r="O1" i="18"/>
  <c r="C20" i="23" l="1"/>
  <c r="C13" i="23"/>
  <c r="C14" i="23"/>
  <c r="C15" i="23"/>
  <c r="C16" i="23"/>
  <c r="C17" i="23"/>
  <c r="C18" i="23"/>
  <c r="C19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 s="1"/>
  <c r="C12" i="23"/>
  <c r="C11" i="23"/>
  <c r="K15" i="5"/>
  <c r="C11" i="13" l="1"/>
  <c r="C10" i="13"/>
  <c r="C6" i="13"/>
  <c r="C7" i="13"/>
  <c r="C8" i="13"/>
  <c r="C9" i="13"/>
  <c r="C5" i="13"/>
  <c r="C4" i="13"/>
  <c r="C8" i="12"/>
  <c r="C6" i="12"/>
  <c r="C7" i="12"/>
  <c r="C5" i="12"/>
  <c r="C4" i="12"/>
  <c r="C11" i="11"/>
  <c r="C5" i="11"/>
  <c r="C10" i="11"/>
  <c r="C7" i="11"/>
  <c r="C8" i="11"/>
  <c r="C9" i="11"/>
  <c r="C6" i="11"/>
  <c r="B25" i="8"/>
  <c r="B26" i="8"/>
  <c r="B27" i="8"/>
  <c r="B28" i="8"/>
  <c r="B29" i="8"/>
  <c r="B30" i="8"/>
  <c r="B31" i="8"/>
  <c r="B24" i="8"/>
  <c r="B32" i="8" s="1"/>
  <c r="C9" i="12" l="1"/>
  <c r="C12" i="11"/>
  <c r="C12" i="13"/>
</calcChain>
</file>

<file path=xl/sharedStrings.xml><?xml version="1.0" encoding="utf-8"?>
<sst xmlns="http://schemas.openxmlformats.org/spreadsheetml/2006/main" count="20137" uniqueCount="7084">
  <si>
    <t>pl_hostname</t>
  </si>
  <si>
    <t>pl_name</t>
  </si>
  <si>
    <t>pl_disc</t>
  </si>
  <si>
    <t>pl_kepflag</t>
  </si>
  <si>
    <t>pl_locale</t>
  </si>
  <si>
    <t>pl_discmethod</t>
  </si>
  <si>
    <t>pl_facility</t>
  </si>
  <si>
    <t>pl_pnum</t>
  </si>
  <si>
    <t>pl_orbper</t>
  </si>
  <si>
    <t>st_dist</t>
  </si>
  <si>
    <t>st_age</t>
  </si>
  <si>
    <t>pl_masse</t>
  </si>
  <si>
    <t>pl_rade</t>
  </si>
  <si>
    <t>pl_bmassj</t>
  </si>
  <si>
    <t>pl_radj</t>
  </si>
  <si>
    <t>pl_dens</t>
  </si>
  <si>
    <t>st_mass</t>
  </si>
  <si>
    <t>st_rad</t>
  </si>
  <si>
    <t>st_dens</t>
  </si>
  <si>
    <t>11 Com</t>
  </si>
  <si>
    <t>11 Com b</t>
  </si>
  <si>
    <t>Ground</t>
  </si>
  <si>
    <t>Radial Velocity</t>
  </si>
  <si>
    <t>Xinglong Station</t>
  </si>
  <si>
    <t>11 UMi</t>
  </si>
  <si>
    <t>11 UMi b</t>
  </si>
  <si>
    <t>Thueringer Landessternwarte Tautenburg</t>
  </si>
  <si>
    <t>14 And</t>
  </si>
  <si>
    <t>14 And b</t>
  </si>
  <si>
    <t>Okayama Astrophysical Observatory</t>
  </si>
  <si>
    <t>14 Her</t>
  </si>
  <si>
    <t>14 Her b</t>
  </si>
  <si>
    <t>W. M. Keck Observatory</t>
  </si>
  <si>
    <t>16 Cyg B</t>
  </si>
  <si>
    <t>16 Cyg B b</t>
  </si>
  <si>
    <t>Multiple Observatories</t>
  </si>
  <si>
    <t>18 Del</t>
  </si>
  <si>
    <t>18 Del b</t>
  </si>
  <si>
    <t>1RXS J160929.1-210524</t>
  </si>
  <si>
    <t>1RXS J160929.1-210524 b</t>
  </si>
  <si>
    <t>Imaging</t>
  </si>
  <si>
    <t>Gemini Observatory</t>
  </si>
  <si>
    <t>24 Boo</t>
  </si>
  <si>
    <t>24 Boo b</t>
  </si>
  <si>
    <t>24 Sex</t>
  </si>
  <si>
    <t>24 Sex b</t>
  </si>
  <si>
    <t>Lick Observatory</t>
  </si>
  <si>
    <t>24 Sex c</t>
  </si>
  <si>
    <t>2MASS J01225093-2439505</t>
  </si>
  <si>
    <t>2MASS J01225093-2439505 b</t>
  </si>
  <si>
    <t>2MASS J02192210-3925225</t>
  </si>
  <si>
    <t>2MASS J02192210-3925225 b</t>
  </si>
  <si>
    <t>Cerro Tololo Inter-American Observatory</t>
  </si>
  <si>
    <t>2MASS J04414489+2301513</t>
  </si>
  <si>
    <t>2MASS J04414489+2301513 b</t>
  </si>
  <si>
    <t>Space</t>
  </si>
  <si>
    <t>Hubble Space Telescope</t>
  </si>
  <si>
    <t>2MASS J12073346-3932539</t>
  </si>
  <si>
    <t>2MASS J12073346-3932539 b</t>
  </si>
  <si>
    <t>Paranal Observatory</t>
  </si>
  <si>
    <t>2MASS J19383260+4603591</t>
  </si>
  <si>
    <t>2MASS J19383260+4603591 b</t>
  </si>
  <si>
    <t>Eclipse Timing Variations</t>
  </si>
  <si>
    <t>Kepler</t>
  </si>
  <si>
    <t>2MASS J21402931+1625183 A</t>
  </si>
  <si>
    <t>2MASS J21402931+1625183 A b</t>
  </si>
  <si>
    <t>2MASS J22362452+4751425</t>
  </si>
  <si>
    <t>2MASS J22362452+4751425 b</t>
  </si>
  <si>
    <t>30 Ari B</t>
  </si>
  <si>
    <t>30 Ari B b</t>
  </si>
  <si>
    <t>4 UMa</t>
  </si>
  <si>
    <t>4 UMa b</t>
  </si>
  <si>
    <t>42 Dra</t>
  </si>
  <si>
    <t>42 Dra b</t>
  </si>
  <si>
    <t>47 UMa</t>
  </si>
  <si>
    <t>47 UMa b</t>
  </si>
  <si>
    <t>47 UMa c</t>
  </si>
  <si>
    <t>47 UMa d</t>
  </si>
  <si>
    <t>51 Eri</t>
  </si>
  <si>
    <t>51 Eri b</t>
  </si>
  <si>
    <t>51 Peg</t>
  </si>
  <si>
    <t>51 Peg b</t>
  </si>
  <si>
    <t>Haute-Provence Observatory</t>
  </si>
  <si>
    <t>55 Cnc</t>
  </si>
  <si>
    <t>55 Cnc b</t>
  </si>
  <si>
    <t>55 Cnc c</t>
  </si>
  <si>
    <t>McDonald Observatory</t>
  </si>
  <si>
    <t>55 Cnc d</t>
  </si>
  <si>
    <t>55 Cnc e</t>
  </si>
  <si>
    <t>55 Cnc f</t>
  </si>
  <si>
    <t>6 Lyn</t>
  </si>
  <si>
    <t>6 Lyn b</t>
  </si>
  <si>
    <t>61 Vir</t>
  </si>
  <si>
    <t>61 Vir b</t>
  </si>
  <si>
    <t>61 Vir c</t>
  </si>
  <si>
    <t>61 Vir d</t>
  </si>
  <si>
    <t>7 CMa</t>
  </si>
  <si>
    <t>7 CMa b</t>
  </si>
  <si>
    <t>Anglo-Australian Telescope</t>
  </si>
  <si>
    <t>70 Vir</t>
  </si>
  <si>
    <t>70 Vir b</t>
  </si>
  <si>
    <t>75 Cet</t>
  </si>
  <si>
    <t>75 Cet b</t>
  </si>
  <si>
    <t>8 UMi</t>
  </si>
  <si>
    <t>8 UMi b</t>
  </si>
  <si>
    <t>Bohyunsan Optical Astronomical Observatory</t>
  </si>
  <si>
    <t>81 Cet</t>
  </si>
  <si>
    <t>81 Cet b</t>
  </si>
  <si>
    <t>91 Aqr</t>
  </si>
  <si>
    <t>91 Aqr b</t>
  </si>
  <si>
    <t>AB Pic</t>
  </si>
  <si>
    <t>AB Pic b</t>
  </si>
  <si>
    <t>BD+03 2562</t>
  </si>
  <si>
    <t>BD+03 2562 b</t>
  </si>
  <si>
    <t>BD+14 4559</t>
  </si>
  <si>
    <t>BD+14 4559 b</t>
  </si>
  <si>
    <t>BD+15 2375</t>
  </si>
  <si>
    <t>BD+15 2375 b</t>
  </si>
  <si>
    <t>Roque de los Muchachos Observatory</t>
  </si>
  <si>
    <t>BD+15 2940</t>
  </si>
  <si>
    <t>BD+15 2940 b</t>
  </si>
  <si>
    <t>BD+20 2457</t>
  </si>
  <si>
    <t>BD+20 2457 b</t>
  </si>
  <si>
    <t>BD+20 2457 c</t>
  </si>
  <si>
    <t>BD+20 274</t>
  </si>
  <si>
    <t>BD+20 274 b</t>
  </si>
  <si>
    <t>BD+20 594</t>
  </si>
  <si>
    <t>BD+20 594 b</t>
  </si>
  <si>
    <t>Transit</t>
  </si>
  <si>
    <t>K2</t>
  </si>
  <si>
    <t>BD+48 738</t>
  </si>
  <si>
    <t>BD+48 738 b</t>
  </si>
  <si>
    <t>BD+48 740</t>
  </si>
  <si>
    <t>BD+48 740 b</t>
  </si>
  <si>
    <t>BD+49 828</t>
  </si>
  <si>
    <t>BD+49 828 b</t>
  </si>
  <si>
    <t>BD-06 1339</t>
  </si>
  <si>
    <t>BD-06 1339 b</t>
  </si>
  <si>
    <t>La Silla Observatory</t>
  </si>
  <si>
    <t>BD-06 1339 c</t>
  </si>
  <si>
    <t>BD-08 2823</t>
  </si>
  <si>
    <t>BD-08 2823 b</t>
  </si>
  <si>
    <t>BD-08 2823 c</t>
  </si>
  <si>
    <t>BD-10 3166</t>
  </si>
  <si>
    <t>BD-10 3166 b</t>
  </si>
  <si>
    <t>BD-11 4672</t>
  </si>
  <si>
    <t>BD-11 4672 b</t>
  </si>
  <si>
    <t>BD-13 2130</t>
  </si>
  <si>
    <t>BD-13 2130 b</t>
  </si>
  <si>
    <t>BD-17 63</t>
  </si>
  <si>
    <t>BD-17 63 b</t>
  </si>
  <si>
    <t>CFBDSIR J145829+101343</t>
  </si>
  <si>
    <t>CFBDSIR J145829+101343 b</t>
  </si>
  <si>
    <t>CHXR 73</t>
  </si>
  <si>
    <t>CHXR 73 b</t>
  </si>
  <si>
    <t>CT Cha</t>
  </si>
  <si>
    <t>CT Cha b</t>
  </si>
  <si>
    <t>CoRoT-1</t>
  </si>
  <si>
    <t>CoRoT-1 b</t>
  </si>
  <si>
    <t>CoRoT</t>
  </si>
  <si>
    <t>CoRoT-10</t>
  </si>
  <si>
    <t>CoRoT-10 b</t>
  </si>
  <si>
    <t>CoRoT-11</t>
  </si>
  <si>
    <t>CoRoT-11 b</t>
  </si>
  <si>
    <t>CoRoT-12</t>
  </si>
  <si>
    <t>CoRoT-12 b</t>
  </si>
  <si>
    <t>CoRoT-13</t>
  </si>
  <si>
    <t>CoRoT-13 b</t>
  </si>
  <si>
    <t>CoRoT-14</t>
  </si>
  <si>
    <t>CoRoT-14 b</t>
  </si>
  <si>
    <t>CoRoT-16</t>
  </si>
  <si>
    <t>CoRoT-16 b</t>
  </si>
  <si>
    <t>CoRoT-17</t>
  </si>
  <si>
    <t>CoRoT-17 b</t>
  </si>
  <si>
    <t>CoRoT-18</t>
  </si>
  <si>
    <t>CoRoT-18 b</t>
  </si>
  <si>
    <t>CoRoT-19</t>
  </si>
  <si>
    <t>CoRoT-19 b</t>
  </si>
  <si>
    <t>CoRoT-2</t>
  </si>
  <si>
    <t>CoRoT-2 b</t>
  </si>
  <si>
    <t>CoRoT-20</t>
  </si>
  <si>
    <t>CoRoT-20 b</t>
  </si>
  <si>
    <t>CoRoT-20 c</t>
  </si>
  <si>
    <t>CoRoT-21</t>
  </si>
  <si>
    <t>CoRoT-21 b</t>
  </si>
  <si>
    <t>CoRoT-22</t>
  </si>
  <si>
    <t>CoRoT-22 b</t>
  </si>
  <si>
    <t>CoRoT-23</t>
  </si>
  <si>
    <t>CoRoT-23 b</t>
  </si>
  <si>
    <t>CoRoT-24</t>
  </si>
  <si>
    <t>CoRoT-24 b</t>
  </si>
  <si>
    <t>CoRoT-24 c</t>
  </si>
  <si>
    <t>CoRoT-25</t>
  </si>
  <si>
    <t>CoRoT-25 b</t>
  </si>
  <si>
    <t>CoRoT-26</t>
  </si>
  <si>
    <t>CoRoT-26 b</t>
  </si>
  <si>
    <t>CoRoT-27</t>
  </si>
  <si>
    <t>CoRoT-27 b</t>
  </si>
  <si>
    <t>CoRoT-28</t>
  </si>
  <si>
    <t>CoRoT-28 b</t>
  </si>
  <si>
    <t>CoRoT-29</t>
  </si>
  <si>
    <t>CoRoT-29 b</t>
  </si>
  <si>
    <t>CoRoT-3</t>
  </si>
  <si>
    <t>CoRoT-3 b</t>
  </si>
  <si>
    <t>CoRoT-4</t>
  </si>
  <si>
    <t>CoRoT-4 b</t>
  </si>
  <si>
    <t>CoRoT-5</t>
  </si>
  <si>
    <t>CoRoT-5 b</t>
  </si>
  <si>
    <t>CoRoT-6</t>
  </si>
  <si>
    <t>CoRoT-6 b</t>
  </si>
  <si>
    <t>CoRoT-7</t>
  </si>
  <si>
    <t>CoRoT-7 b</t>
  </si>
  <si>
    <t>CoRoT-7 c</t>
  </si>
  <si>
    <t>CoRoT-8</t>
  </si>
  <si>
    <t>CoRoT-8 b</t>
  </si>
  <si>
    <t>CoRoT-9</t>
  </si>
  <si>
    <t>CoRoT-9 b</t>
  </si>
  <si>
    <t>CoRoTID 223977153</t>
  </si>
  <si>
    <t>CoRoTID 223977153 b</t>
  </si>
  <si>
    <t>DENIS-P J082303.1-491201</t>
  </si>
  <si>
    <t>DENIS-P J082303.1-491201 b</t>
  </si>
  <si>
    <t>Astrometry</t>
  </si>
  <si>
    <t>DH Tau</t>
  </si>
  <si>
    <t>DH Tau b</t>
  </si>
  <si>
    <t>Subaru Telescope</t>
  </si>
  <si>
    <t>DP Leo</t>
  </si>
  <si>
    <t>DP Leo b</t>
  </si>
  <si>
    <t>Yunnan Astronomical Observatory</t>
  </si>
  <si>
    <t>EPIC 211822797</t>
  </si>
  <si>
    <t>EPIC 211822797 b</t>
  </si>
  <si>
    <t>EPIC 211945201</t>
  </si>
  <si>
    <t>EPIC 211945201 b</t>
  </si>
  <si>
    <t>EPIC 220674823</t>
  </si>
  <si>
    <t>EPIC 220674823 b</t>
  </si>
  <si>
    <t>EPIC 220674823 c</t>
  </si>
  <si>
    <t>EPIC 246851721</t>
  </si>
  <si>
    <t>EPIC 246851721 b</t>
  </si>
  <si>
    <t>FU Tau</t>
  </si>
  <si>
    <t>FU Tau b</t>
  </si>
  <si>
    <t>Spitzer Space Telescope</t>
  </si>
  <si>
    <t>Fomalhaut</t>
  </si>
  <si>
    <t>Fomalhaut b</t>
  </si>
  <si>
    <t>GJ 1132</t>
  </si>
  <si>
    <t>GJ 1132 b</t>
  </si>
  <si>
    <t>GJ 1132 c</t>
  </si>
  <si>
    <t>GJ 1148</t>
  </si>
  <si>
    <t>GJ 1148 b</t>
  </si>
  <si>
    <t>GJ 1148 c</t>
  </si>
  <si>
    <t>Calar Alto Observatory</t>
  </si>
  <si>
    <t>GJ 1214</t>
  </si>
  <si>
    <t>GJ 1214 b</t>
  </si>
  <si>
    <t>MEarth Project</t>
  </si>
  <si>
    <t>GJ 1265</t>
  </si>
  <si>
    <t>GJ 1265 b</t>
  </si>
  <si>
    <t>GJ 143</t>
  </si>
  <si>
    <t>GJ 143 b</t>
  </si>
  <si>
    <t>Transiting Exoplanet Survey Satellite (TESS)</t>
  </si>
  <si>
    <t>GJ 163</t>
  </si>
  <si>
    <t>GJ 163 b</t>
  </si>
  <si>
    <t>GJ 163 c</t>
  </si>
  <si>
    <t>GJ 163 d</t>
  </si>
  <si>
    <t>GJ 179</t>
  </si>
  <si>
    <t>GJ 179 b</t>
  </si>
  <si>
    <t>GJ 273</t>
  </si>
  <si>
    <t>GJ 273 b</t>
  </si>
  <si>
    <t>GJ 273 c</t>
  </si>
  <si>
    <t>GJ 3021</t>
  </si>
  <si>
    <t>GJ 3021 b</t>
  </si>
  <si>
    <t>GJ 3138</t>
  </si>
  <si>
    <t>GJ 3138 b</t>
  </si>
  <si>
    <t>GJ 3138 c</t>
  </si>
  <si>
    <t>GJ 3138 d</t>
  </si>
  <si>
    <t>GJ 317</t>
  </si>
  <si>
    <t>GJ 317 b</t>
  </si>
  <si>
    <t>GJ 317 c</t>
  </si>
  <si>
    <t>GJ 328</t>
  </si>
  <si>
    <t>GJ 328 b</t>
  </si>
  <si>
    <t>GJ 3293</t>
  </si>
  <si>
    <t>GJ 3293 b</t>
  </si>
  <si>
    <t>GJ 3293 c</t>
  </si>
  <si>
    <t>GJ 3293 d</t>
  </si>
  <si>
    <t>GJ 3293 e</t>
  </si>
  <si>
    <t>GJ 3323</t>
  </si>
  <si>
    <t>GJ 3323 b</t>
  </si>
  <si>
    <t>GJ 3323 c</t>
  </si>
  <si>
    <t>GJ 3341</t>
  </si>
  <si>
    <t>GJ 3341 b</t>
  </si>
  <si>
    <t>GJ 3470</t>
  </si>
  <si>
    <t>GJ 3470 b</t>
  </si>
  <si>
    <t>GJ 3634</t>
  </si>
  <si>
    <t>GJ 3634 b</t>
  </si>
  <si>
    <t>GJ 3779</t>
  </si>
  <si>
    <t>GJ 3779 b</t>
  </si>
  <si>
    <t>GJ 3942</t>
  </si>
  <si>
    <t>GJ 3942 b</t>
  </si>
  <si>
    <t>GJ 3998</t>
  </si>
  <si>
    <t>GJ 3998 b</t>
  </si>
  <si>
    <t>GJ 3998 c</t>
  </si>
  <si>
    <t>GJ 411</t>
  </si>
  <si>
    <t>GJ 411 b</t>
  </si>
  <si>
    <t>GJ 4276</t>
  </si>
  <si>
    <t>GJ 4276 b</t>
  </si>
  <si>
    <t>GJ 433</t>
  </si>
  <si>
    <t>GJ 433 b</t>
  </si>
  <si>
    <t>GJ 436</t>
  </si>
  <si>
    <t>GJ 436 b</t>
  </si>
  <si>
    <t>GJ 504</t>
  </si>
  <si>
    <t>GJ 504 b</t>
  </si>
  <si>
    <t>GJ 536</t>
  </si>
  <si>
    <t>GJ 536 b</t>
  </si>
  <si>
    <t>GJ 581</t>
  </si>
  <si>
    <t>GJ 581 b</t>
  </si>
  <si>
    <t>GJ 581 c</t>
  </si>
  <si>
    <t>GJ 581 e</t>
  </si>
  <si>
    <t>GJ 625</t>
  </si>
  <si>
    <t>GJ 625 b</t>
  </si>
  <si>
    <t>GJ 649</t>
  </si>
  <si>
    <t>GJ 649 b</t>
  </si>
  <si>
    <t>GJ 667 C</t>
  </si>
  <si>
    <t>GJ 667 C b</t>
  </si>
  <si>
    <t>GJ 667 C c</t>
  </si>
  <si>
    <t>GJ 667 C e</t>
  </si>
  <si>
    <t>GJ 667 C f</t>
  </si>
  <si>
    <t>GJ 667 C g</t>
  </si>
  <si>
    <t>GJ 674</t>
  </si>
  <si>
    <t>GJ 674 b</t>
  </si>
  <si>
    <t>GJ 676 A</t>
  </si>
  <si>
    <t>GJ 676 A b</t>
  </si>
  <si>
    <t>GJ 676 A c</t>
  </si>
  <si>
    <t>GJ 676 A d</t>
  </si>
  <si>
    <t>GJ 676 A e</t>
  </si>
  <si>
    <t>GJ 685</t>
  </si>
  <si>
    <t>GJ 685 b</t>
  </si>
  <si>
    <t>Qatar</t>
  </si>
  <si>
    <t>GJ 687</t>
  </si>
  <si>
    <t>GJ 687 b</t>
  </si>
  <si>
    <t>GJ 832</t>
  </si>
  <si>
    <t>GJ 832 b</t>
  </si>
  <si>
    <t>GJ 832 c</t>
  </si>
  <si>
    <t>GJ 849</t>
  </si>
  <si>
    <t>GJ 849 b</t>
  </si>
  <si>
    <t>GJ 86</t>
  </si>
  <si>
    <t>GJ 86 b</t>
  </si>
  <si>
    <t>GJ 876</t>
  </si>
  <si>
    <t>GJ 876 b</t>
  </si>
  <si>
    <t>GJ 876 c</t>
  </si>
  <si>
    <t>GJ 876 d</t>
  </si>
  <si>
    <t>GJ 876 e</t>
  </si>
  <si>
    <t>GJ 96</t>
  </si>
  <si>
    <t>GJ 96 b</t>
  </si>
  <si>
    <t>GJ 9827</t>
  </si>
  <si>
    <t>GJ 9827 b</t>
  </si>
  <si>
    <t>GJ 9827 c</t>
  </si>
  <si>
    <t>GJ 9827 d</t>
  </si>
  <si>
    <t>GQ Lup</t>
  </si>
  <si>
    <t>GQ Lup b</t>
  </si>
  <si>
    <t>GSC 06214-00210</t>
  </si>
  <si>
    <t>GSC 06214-00210 b</t>
  </si>
  <si>
    <t>Palomar Observatory</t>
  </si>
  <si>
    <t>GU Psc</t>
  </si>
  <si>
    <t>GU Psc b</t>
  </si>
  <si>
    <t>Gl 378</t>
  </si>
  <si>
    <t>Gl 378 b</t>
  </si>
  <si>
    <t>Gl 686</t>
  </si>
  <si>
    <t>Gl 686 b</t>
  </si>
  <si>
    <t>HAT-P-1</t>
  </si>
  <si>
    <t>HAT-P-1 b</t>
  </si>
  <si>
    <t>HATNet</t>
  </si>
  <si>
    <t>HAT-P-11</t>
  </si>
  <si>
    <t>HAT-P-11 b</t>
  </si>
  <si>
    <t>HAT-P-11 c</t>
  </si>
  <si>
    <t>HAT-P-12</t>
  </si>
  <si>
    <t>HAT-P-12 b</t>
  </si>
  <si>
    <t>HAT-P-13</t>
  </si>
  <si>
    <t>HAT-P-13 b</t>
  </si>
  <si>
    <t>HAT-P-13 c</t>
  </si>
  <si>
    <t>HAT-P-14</t>
  </si>
  <si>
    <t>HAT-P-14 b</t>
  </si>
  <si>
    <t>HAT-P-15</t>
  </si>
  <si>
    <t>HAT-P-15 b</t>
  </si>
  <si>
    <t>HAT-P-16</t>
  </si>
  <si>
    <t>HAT-P-16 b</t>
  </si>
  <si>
    <t>HAT-P-17</t>
  </si>
  <si>
    <t>HAT-P-17 b</t>
  </si>
  <si>
    <t>HAT-P-17 c</t>
  </si>
  <si>
    <t>HAT-P-18</t>
  </si>
  <si>
    <t>HAT-P-18 b</t>
  </si>
  <si>
    <t>HAT-P-19</t>
  </si>
  <si>
    <t>HAT-P-19 b</t>
  </si>
  <si>
    <t>HAT-P-2</t>
  </si>
  <si>
    <t>HAT-P-2 b</t>
  </si>
  <si>
    <t>HAT-P-20</t>
  </si>
  <si>
    <t>HAT-P-20 b</t>
  </si>
  <si>
    <t>HAT-P-21</t>
  </si>
  <si>
    <t>HAT-P-21 b</t>
  </si>
  <si>
    <t>HAT-P-22</t>
  </si>
  <si>
    <t>HAT-P-22 b</t>
  </si>
  <si>
    <t>HAT-P-23</t>
  </si>
  <si>
    <t>HAT-P-23 b</t>
  </si>
  <si>
    <t>HAT-P-24</t>
  </si>
  <si>
    <t>HAT-P-24 b</t>
  </si>
  <si>
    <t>HAT-P-25</t>
  </si>
  <si>
    <t>HAT-P-25 b</t>
  </si>
  <si>
    <t>HAT-P-26</t>
  </si>
  <si>
    <t>HAT-P-26 b</t>
  </si>
  <si>
    <t>HAT-P-27</t>
  </si>
  <si>
    <t>HAT-P-27 b</t>
  </si>
  <si>
    <t>HAT-P-28</t>
  </si>
  <si>
    <t>HAT-P-28 b</t>
  </si>
  <si>
    <t>HAT-P-29</t>
  </si>
  <si>
    <t>HAT-P-29 b</t>
  </si>
  <si>
    <t>HAT-P-3</t>
  </si>
  <si>
    <t>HAT-P-3 b</t>
  </si>
  <si>
    <t>HAT-P-30</t>
  </si>
  <si>
    <t>HAT-P-30 b</t>
  </si>
  <si>
    <t>HAT-P-31</t>
  </si>
  <si>
    <t>HAT-P-31 b</t>
  </si>
  <si>
    <t>HAT-P-32</t>
  </si>
  <si>
    <t>HAT-P-32 b</t>
  </si>
  <si>
    <t>HAT-P-33</t>
  </si>
  <si>
    <t>HAT-P-33 b</t>
  </si>
  <si>
    <t>HAT-P-34</t>
  </si>
  <si>
    <t>HAT-P-34 b</t>
  </si>
  <si>
    <t>HAT-P-35</t>
  </si>
  <si>
    <t>HAT-P-35 b</t>
  </si>
  <si>
    <t>HAT-P-36</t>
  </si>
  <si>
    <t>HAT-P-36 b</t>
  </si>
  <si>
    <t>HAT-P-37</t>
  </si>
  <si>
    <t>HAT-P-37 b</t>
  </si>
  <si>
    <t>HAT-P-38</t>
  </si>
  <si>
    <t>HAT-P-38 b</t>
  </si>
  <si>
    <t>HAT-P-39</t>
  </si>
  <si>
    <t>HAT-P-39 b</t>
  </si>
  <si>
    <t>HAT-P-4</t>
  </si>
  <si>
    <t>HAT-P-4 b</t>
  </si>
  <si>
    <t>HAT-P-40</t>
  </si>
  <si>
    <t>HAT-P-40 b</t>
  </si>
  <si>
    <t>HAT-P-41</t>
  </si>
  <si>
    <t>HAT-P-41 b</t>
  </si>
  <si>
    <t>HAT-P-42</t>
  </si>
  <si>
    <t>HAT-P-42 b</t>
  </si>
  <si>
    <t>HAT-P-43</t>
  </si>
  <si>
    <t>HAT-P-43 b</t>
  </si>
  <si>
    <t>HAT-P-44</t>
  </si>
  <si>
    <t>HAT-P-44 b</t>
  </si>
  <si>
    <t>HAT-P-44 c</t>
  </si>
  <si>
    <t>HAT-P-45</t>
  </si>
  <si>
    <t>HAT-P-45 b</t>
  </si>
  <si>
    <t>HAT-P-46</t>
  </si>
  <si>
    <t>HAT-P-46 b</t>
  </si>
  <si>
    <t>HAT-P-49</t>
  </si>
  <si>
    <t>HAT-P-49 b</t>
  </si>
  <si>
    <t>HAT-P-5</t>
  </si>
  <si>
    <t>HAT-P-5 b</t>
  </si>
  <si>
    <t>HAT-P-50</t>
  </si>
  <si>
    <t>HAT-P-50 b</t>
  </si>
  <si>
    <t>HAT-P-51</t>
  </si>
  <si>
    <t>HAT-P-51 b</t>
  </si>
  <si>
    <t>HAT-P-52</t>
  </si>
  <si>
    <t>HAT-P-52 b</t>
  </si>
  <si>
    <t>HAT-P-53</t>
  </si>
  <si>
    <t>HAT-P-53 b</t>
  </si>
  <si>
    <t>HAT-P-54</t>
  </si>
  <si>
    <t>HAT-P-54 b</t>
  </si>
  <si>
    <t>HAT-P-55</t>
  </si>
  <si>
    <t>HAT-P-55 b</t>
  </si>
  <si>
    <t>HAT-P-56</t>
  </si>
  <si>
    <t>HAT-P-56 b</t>
  </si>
  <si>
    <t>HAT-P-57</t>
  </si>
  <si>
    <t>HAT-P-57 b</t>
  </si>
  <si>
    <t>HAT-P-6</t>
  </si>
  <si>
    <t>HAT-P-6 b</t>
  </si>
  <si>
    <t>HAT-P-65</t>
  </si>
  <si>
    <t>HAT-P-65 b</t>
  </si>
  <si>
    <t>HAT-P-66</t>
  </si>
  <si>
    <t>HAT-P-66 b</t>
  </si>
  <si>
    <t>HAT-P-67</t>
  </si>
  <si>
    <t>HAT-P-67 b</t>
  </si>
  <si>
    <t>HAT-P-7</t>
  </si>
  <si>
    <t>HAT-P-7 b</t>
  </si>
  <si>
    <t>HAT-P-8</t>
  </si>
  <si>
    <t>HAT-P-8 b</t>
  </si>
  <si>
    <t>HAT-P-9</t>
  </si>
  <si>
    <t>HAT-P-9 b</t>
  </si>
  <si>
    <t>HATS-1</t>
  </si>
  <si>
    <t>HATS-1 b</t>
  </si>
  <si>
    <t>HATSouth</t>
  </si>
  <si>
    <t>HATS-10</t>
  </si>
  <si>
    <t>HATS-10 b</t>
  </si>
  <si>
    <t>HATS-11</t>
  </si>
  <si>
    <t>HATS-11 b</t>
  </si>
  <si>
    <t>HATS-12</t>
  </si>
  <si>
    <t>HATS-12 b</t>
  </si>
  <si>
    <t>HATS-13</t>
  </si>
  <si>
    <t>HATS-13 b</t>
  </si>
  <si>
    <t>HATS-14</t>
  </si>
  <si>
    <t>HATS-14 b</t>
  </si>
  <si>
    <t>HATS-15</t>
  </si>
  <si>
    <t>HATS-15 b</t>
  </si>
  <si>
    <t>HATS-16</t>
  </si>
  <si>
    <t>HATS-16 b</t>
  </si>
  <si>
    <t>HATS-17</t>
  </si>
  <si>
    <t>HATS-17 b</t>
  </si>
  <si>
    <t>HATS-18</t>
  </si>
  <si>
    <t>HATS-18 b</t>
  </si>
  <si>
    <t>HATS-2</t>
  </si>
  <si>
    <t>HATS-2 b</t>
  </si>
  <si>
    <t>HATS-22</t>
  </si>
  <si>
    <t>HATS-22 b</t>
  </si>
  <si>
    <t>HATS-23</t>
  </si>
  <si>
    <t>HATS-23 b</t>
  </si>
  <si>
    <t>HATS-24</t>
  </si>
  <si>
    <t>HATS-24 b</t>
  </si>
  <si>
    <t>HATS-25</t>
  </si>
  <si>
    <t>HATS-25 b</t>
  </si>
  <si>
    <t>HATS-26</t>
  </si>
  <si>
    <t>HATS-26 b</t>
  </si>
  <si>
    <t>HATS-27</t>
  </si>
  <si>
    <t>HATS-27 b</t>
  </si>
  <si>
    <t>HATS-28</t>
  </si>
  <si>
    <t>HATS-28 b</t>
  </si>
  <si>
    <t>HATS-29</t>
  </si>
  <si>
    <t>HATS-29 b</t>
  </si>
  <si>
    <t>HATS-3</t>
  </si>
  <si>
    <t>HATS-3 b</t>
  </si>
  <si>
    <t>HATS-30</t>
  </si>
  <si>
    <t>HATS-30 b</t>
  </si>
  <si>
    <t>HATS-31</t>
  </si>
  <si>
    <t>HATS-31 b</t>
  </si>
  <si>
    <t>HATS-32</t>
  </si>
  <si>
    <t>HATS-32 b</t>
  </si>
  <si>
    <t>HATS-33</t>
  </si>
  <si>
    <t>HATS-33 b</t>
  </si>
  <si>
    <t>HATS-34</t>
  </si>
  <si>
    <t>HATS-34 b</t>
  </si>
  <si>
    <t>HATS-35</t>
  </si>
  <si>
    <t>HATS-35 b</t>
  </si>
  <si>
    <t>HATS-36</t>
  </si>
  <si>
    <t>HATS-36 b</t>
  </si>
  <si>
    <t>HATS-39</t>
  </si>
  <si>
    <t>HATS-39 b</t>
  </si>
  <si>
    <t>HATS-4</t>
  </si>
  <si>
    <t>HATS-4 b</t>
  </si>
  <si>
    <t>HATS-40</t>
  </si>
  <si>
    <t>HATS-40 b</t>
  </si>
  <si>
    <t>HATS-41</t>
  </si>
  <si>
    <t>HATS-41 b</t>
  </si>
  <si>
    <t>HATS-42</t>
  </si>
  <si>
    <t>HATS-42 b</t>
  </si>
  <si>
    <t>HATS-43</t>
  </si>
  <si>
    <t>HATS-43 b</t>
  </si>
  <si>
    <t>HATS-44</t>
  </si>
  <si>
    <t>HATS-44 b</t>
  </si>
  <si>
    <t>HATS-45</t>
  </si>
  <si>
    <t>HATS-45 b</t>
  </si>
  <si>
    <t>HATS-46</t>
  </si>
  <si>
    <t>HATS-46 b</t>
  </si>
  <si>
    <t>HATS-5</t>
  </si>
  <si>
    <t>HATS-5 b</t>
  </si>
  <si>
    <t>HATS-50</t>
  </si>
  <si>
    <t>HATS-50 b</t>
  </si>
  <si>
    <t>HATS-51</t>
  </si>
  <si>
    <t>HATS-51 b</t>
  </si>
  <si>
    <t>HATS-52</t>
  </si>
  <si>
    <t>HATS-52 b</t>
  </si>
  <si>
    <t>HATS-53</t>
  </si>
  <si>
    <t>HATS-53 b</t>
  </si>
  <si>
    <t>HATS-59</t>
  </si>
  <si>
    <t>HATS-59 b</t>
  </si>
  <si>
    <t>HATS-59 c</t>
  </si>
  <si>
    <t>HATS-6</t>
  </si>
  <si>
    <t>HATS-6 b</t>
  </si>
  <si>
    <t>HATS-60</t>
  </si>
  <si>
    <t>HATS-60 b</t>
  </si>
  <si>
    <t>HATS-61</t>
  </si>
  <si>
    <t>HATS-61 b</t>
  </si>
  <si>
    <t>HATS-62</t>
  </si>
  <si>
    <t>HATS-62 b</t>
  </si>
  <si>
    <t>HATS-63</t>
  </si>
  <si>
    <t>HATS-63 b</t>
  </si>
  <si>
    <t>HATS-64</t>
  </si>
  <si>
    <t>HATS-64 b</t>
  </si>
  <si>
    <t>HATS-65</t>
  </si>
  <si>
    <t>HATS-65 b</t>
  </si>
  <si>
    <t>HATS-66</t>
  </si>
  <si>
    <t>HATS-66 b</t>
  </si>
  <si>
    <t>HATS-67</t>
  </si>
  <si>
    <t>HATS-67 b</t>
  </si>
  <si>
    <t>HATS-68</t>
  </si>
  <si>
    <t>HATS-68 b</t>
  </si>
  <si>
    <t>HATS-69</t>
  </si>
  <si>
    <t>HATS-69 b</t>
  </si>
  <si>
    <t>HATS-7</t>
  </si>
  <si>
    <t>HATS-7 b</t>
  </si>
  <si>
    <t>HATS-70</t>
  </si>
  <si>
    <t>HATS-70 b</t>
  </si>
  <si>
    <t>HATS-8</t>
  </si>
  <si>
    <t>HATS-8 b</t>
  </si>
  <si>
    <t>HATS-9</t>
  </si>
  <si>
    <t>HATS-9 b</t>
  </si>
  <si>
    <t>HD 100546</t>
  </si>
  <si>
    <t>HD 100546 b</t>
  </si>
  <si>
    <t>HD 100655</t>
  </si>
  <si>
    <t>HD 100655 b</t>
  </si>
  <si>
    <t>HD 100777</t>
  </si>
  <si>
    <t>HD 100777 b</t>
  </si>
  <si>
    <t>HD 10180</t>
  </si>
  <si>
    <t>HD 10180 c</t>
  </si>
  <si>
    <t>HD 10180 d</t>
  </si>
  <si>
    <t>HD 10180 e</t>
  </si>
  <si>
    <t>HD 10180 f</t>
  </si>
  <si>
    <t>HD 10180 g</t>
  </si>
  <si>
    <t>HD 10180 h</t>
  </si>
  <si>
    <t>HD 101930</t>
  </si>
  <si>
    <t>HD 101930 b</t>
  </si>
  <si>
    <t>HD 102117</t>
  </si>
  <si>
    <t>HD 102117 b</t>
  </si>
  <si>
    <t>HD 102195</t>
  </si>
  <si>
    <t>HD 102195 b</t>
  </si>
  <si>
    <t>Kitt Peak National Observatory</t>
  </si>
  <si>
    <t>HD 102272</t>
  </si>
  <si>
    <t>HD 102272 b</t>
  </si>
  <si>
    <t>HD 102329</t>
  </si>
  <si>
    <t>HD 102329 b</t>
  </si>
  <si>
    <t>HD 102329 c</t>
  </si>
  <si>
    <t>HD 102365</t>
  </si>
  <si>
    <t>HD 102365 b</t>
  </si>
  <si>
    <t>HD 102843</t>
  </si>
  <si>
    <t>HD 102843 b</t>
  </si>
  <si>
    <t>Las Campanas Observatory</t>
  </si>
  <si>
    <t>HD 102956</t>
  </si>
  <si>
    <t>HD 102956 b</t>
  </si>
  <si>
    <t>HD 103197</t>
  </si>
  <si>
    <t>HD 103197 b</t>
  </si>
  <si>
    <t>HD 103720</t>
  </si>
  <si>
    <t>HD 103720 b</t>
  </si>
  <si>
    <t>HD 103774</t>
  </si>
  <si>
    <t>HD 103774 b</t>
  </si>
  <si>
    <t>HD 103949</t>
  </si>
  <si>
    <t>HD 103949 b</t>
  </si>
  <si>
    <t>HD 104067</t>
  </si>
  <si>
    <t>HD 104067 b</t>
  </si>
  <si>
    <t>HD 10442</t>
  </si>
  <si>
    <t>HD 10442 b</t>
  </si>
  <si>
    <t>HD 104985</t>
  </si>
  <si>
    <t>HD 104985 b</t>
  </si>
  <si>
    <t>HD 106252</t>
  </si>
  <si>
    <t>HD 106252 b</t>
  </si>
  <si>
    <t>HD 106270</t>
  </si>
  <si>
    <t>HD 106270 b</t>
  </si>
  <si>
    <t>HD 106315</t>
  </si>
  <si>
    <t>HD 106315 b</t>
  </si>
  <si>
    <t>HD 106315 c</t>
  </si>
  <si>
    <t>HD 10647</t>
  </si>
  <si>
    <t>HD 10647 b</t>
  </si>
  <si>
    <t>HD 106515 A</t>
  </si>
  <si>
    <t>HD 106515 A b</t>
  </si>
  <si>
    <t>HD 106906</t>
  </si>
  <si>
    <t>HD 106906 b</t>
  </si>
  <si>
    <t>HD 10697</t>
  </si>
  <si>
    <t>HD 10697 b</t>
  </si>
  <si>
    <t>HD 107148</t>
  </si>
  <si>
    <t>HD 107148 b</t>
  </si>
  <si>
    <t>HD 108147</t>
  </si>
  <si>
    <t>HD 108147 b</t>
  </si>
  <si>
    <t>HD 108341</t>
  </si>
  <si>
    <t>HD 108341 b</t>
  </si>
  <si>
    <t>HD 108863</t>
  </si>
  <si>
    <t>HD 108863 b</t>
  </si>
  <si>
    <t>HD 108874</t>
  </si>
  <si>
    <t>HD 108874 b</t>
  </si>
  <si>
    <t>HD 108874 c</t>
  </si>
  <si>
    <t>HD 109246</t>
  </si>
  <si>
    <t>HD 109246 b</t>
  </si>
  <si>
    <t>HD 109271</t>
  </si>
  <si>
    <t>HD 109271 b</t>
  </si>
  <si>
    <t>HD 109271 c</t>
  </si>
  <si>
    <t>HD 109749</t>
  </si>
  <si>
    <t>HD 109749 b</t>
  </si>
  <si>
    <t>HD 110014</t>
  </si>
  <si>
    <t>HD 110014 b</t>
  </si>
  <si>
    <t>HD 111232</t>
  </si>
  <si>
    <t>HD 111232 b</t>
  </si>
  <si>
    <t>HD 111591</t>
  </si>
  <si>
    <t>HD 111591 b</t>
  </si>
  <si>
    <t>HD 111998</t>
  </si>
  <si>
    <t>HD 111998 b</t>
  </si>
  <si>
    <t>HD 113337</t>
  </si>
  <si>
    <t>HD 113337 b</t>
  </si>
  <si>
    <t>HD 113538</t>
  </si>
  <si>
    <t>HD 113538 b</t>
  </si>
  <si>
    <t>HD 113538 c</t>
  </si>
  <si>
    <t>HD 113996</t>
  </si>
  <si>
    <t>HD 113996 b</t>
  </si>
  <si>
    <t>HD 114386</t>
  </si>
  <si>
    <t>HD 114386 b</t>
  </si>
  <si>
    <t>HD 114613</t>
  </si>
  <si>
    <t>HD 114613 b</t>
  </si>
  <si>
    <t>HD 114729</t>
  </si>
  <si>
    <t>HD 114729 b</t>
  </si>
  <si>
    <t>HD 114762</t>
  </si>
  <si>
    <t>HD 114762 b</t>
  </si>
  <si>
    <t>Oak Ridge Observatory</t>
  </si>
  <si>
    <t>HD 114783</t>
  </si>
  <si>
    <t>HD 114783 b</t>
  </si>
  <si>
    <t>HD 114783 c</t>
  </si>
  <si>
    <t>HD 11506</t>
  </si>
  <si>
    <t>HD 11506 b</t>
  </si>
  <si>
    <t>HD 11506 c</t>
  </si>
  <si>
    <t>HD 116029</t>
  </si>
  <si>
    <t>HD 116029 b</t>
  </si>
  <si>
    <t>HD 116029 c</t>
  </si>
  <si>
    <t>HD 117207</t>
  </si>
  <si>
    <t>HD 117207 b</t>
  </si>
  <si>
    <t>HD 11755</t>
  </si>
  <si>
    <t>HD 11755 b</t>
  </si>
  <si>
    <t>HD 117618</t>
  </si>
  <si>
    <t>HD 117618 b</t>
  </si>
  <si>
    <t>HD 118203</t>
  </si>
  <si>
    <t>HD 118203 b</t>
  </si>
  <si>
    <t>HD 119130</t>
  </si>
  <si>
    <t>HD 119130 b</t>
  </si>
  <si>
    <t>HD 11964</t>
  </si>
  <si>
    <t>HD 11964 b</t>
  </si>
  <si>
    <t>HD 11964 c</t>
  </si>
  <si>
    <t>HD 11977</t>
  </si>
  <si>
    <t>HD 11977 b</t>
  </si>
  <si>
    <t>HD 120084</t>
  </si>
  <si>
    <t>HD 120084 b</t>
  </si>
  <si>
    <t>HD 121504</t>
  </si>
  <si>
    <t>HD 121504 b</t>
  </si>
  <si>
    <t>HD 12484</t>
  </si>
  <si>
    <t>HD 12484 b</t>
  </si>
  <si>
    <t>HD 125595</t>
  </si>
  <si>
    <t>HD 125595 b</t>
  </si>
  <si>
    <t>HD 125612</t>
  </si>
  <si>
    <t>HD 125612 b</t>
  </si>
  <si>
    <t>HD 125612 c</t>
  </si>
  <si>
    <t>HD 125612 d</t>
  </si>
  <si>
    <t>HD 12648</t>
  </si>
  <si>
    <t>HD 12648 b</t>
  </si>
  <si>
    <t>HD 12661</t>
  </si>
  <si>
    <t>HD 12661 b</t>
  </si>
  <si>
    <t>HD 12661 c</t>
  </si>
  <si>
    <t>HD 126614</t>
  </si>
  <si>
    <t>HD 126614 b</t>
  </si>
  <si>
    <t>HD 128311</t>
  </si>
  <si>
    <t>HD 128311 b</t>
  </si>
  <si>
    <t>HD 128311 c</t>
  </si>
  <si>
    <t>HD 128356</t>
  </si>
  <si>
    <t>HD 128356 b</t>
  </si>
  <si>
    <t>HD 129445</t>
  </si>
  <si>
    <t>HD 129445 b</t>
  </si>
  <si>
    <t>HD 130322</t>
  </si>
  <si>
    <t>HD 130322 b</t>
  </si>
  <si>
    <t>HD 131496</t>
  </si>
  <si>
    <t>HD 131496 b</t>
  </si>
  <si>
    <t>HD 131664</t>
  </si>
  <si>
    <t>HD 131664 b</t>
  </si>
  <si>
    <t>HD 13167</t>
  </si>
  <si>
    <t>HD 13167 b</t>
  </si>
  <si>
    <t>HD 13189</t>
  </si>
  <si>
    <t>HD 13189 b</t>
  </si>
  <si>
    <t>HD 132406</t>
  </si>
  <si>
    <t>HD 132406 b</t>
  </si>
  <si>
    <t>HD 132563</t>
  </si>
  <si>
    <t>HD 132563 b</t>
  </si>
  <si>
    <t>HD 133131 A</t>
  </si>
  <si>
    <t>HD 133131 A b</t>
  </si>
  <si>
    <t>HD 133131 A c</t>
  </si>
  <si>
    <t>HD 133131 B</t>
  </si>
  <si>
    <t>HD 133131 B b</t>
  </si>
  <si>
    <t>HD 134060</t>
  </si>
  <si>
    <t>HD 134060 b</t>
  </si>
  <si>
    <t>HD 134060 c</t>
  </si>
  <si>
    <t>HD 134987</t>
  </si>
  <si>
    <t>HD 134987 b</t>
  </si>
  <si>
    <t>HD 134987 c</t>
  </si>
  <si>
    <t>HD 136352</t>
  </si>
  <si>
    <t>HD 136352 b</t>
  </si>
  <si>
    <t>HD 136352 c</t>
  </si>
  <si>
    <t>HD 136352 d</t>
  </si>
  <si>
    <t>HD 136418</t>
  </si>
  <si>
    <t>HD 136418 b</t>
  </si>
  <si>
    <t>HD 13724</t>
  </si>
  <si>
    <t>HD 13724 b</t>
  </si>
  <si>
    <t>HD 137388</t>
  </si>
  <si>
    <t>HD 137388 b</t>
  </si>
  <si>
    <t>HD 13908</t>
  </si>
  <si>
    <t>HD 13908 b</t>
  </si>
  <si>
    <t>HD 13908 c</t>
  </si>
  <si>
    <t>HD 13931</t>
  </si>
  <si>
    <t>HD 13931 b</t>
  </si>
  <si>
    <t>HD 139357</t>
  </si>
  <si>
    <t>HD 139357 b</t>
  </si>
  <si>
    <t>HD 1397</t>
  </si>
  <si>
    <t>HD 1397 b</t>
  </si>
  <si>
    <t>HD 14067</t>
  </si>
  <si>
    <t>HD 14067 b</t>
  </si>
  <si>
    <t>HD 141399</t>
  </si>
  <si>
    <t>HD 141399 b</t>
  </si>
  <si>
    <t>HD 141399 c</t>
  </si>
  <si>
    <t>HD 141399 d</t>
  </si>
  <si>
    <t>HD 141399 e</t>
  </si>
  <si>
    <t>HD 141937</t>
  </si>
  <si>
    <t>HD 141937 b</t>
  </si>
  <si>
    <t>HD 142</t>
  </si>
  <si>
    <t>HD 142 b</t>
  </si>
  <si>
    <t>HD 142 c</t>
  </si>
  <si>
    <t>HD 142022 A</t>
  </si>
  <si>
    <t>HD 142022 A b</t>
  </si>
  <si>
    <t>HD 142245</t>
  </si>
  <si>
    <t>HD 142245 b</t>
  </si>
  <si>
    <t>HD 142415</t>
  </si>
  <si>
    <t>HD 142415 b</t>
  </si>
  <si>
    <t>HD 143105</t>
  </si>
  <si>
    <t>HD 143105 b</t>
  </si>
  <si>
    <t>HD 143361</t>
  </si>
  <si>
    <t>HD 143361 b</t>
  </si>
  <si>
    <t>HD 145377</t>
  </si>
  <si>
    <t>HD 145377 b</t>
  </si>
  <si>
    <t>HD 145457</t>
  </si>
  <si>
    <t>HD 145457 b</t>
  </si>
  <si>
    <t>HD 145934</t>
  </si>
  <si>
    <t>HD 145934 b</t>
  </si>
  <si>
    <t>HD 1461</t>
  </si>
  <si>
    <t>HD 1461 b</t>
  </si>
  <si>
    <t>HD 1461 c</t>
  </si>
  <si>
    <t>HD 147018</t>
  </si>
  <si>
    <t>HD 147018 b</t>
  </si>
  <si>
    <t>HD 147018 c</t>
  </si>
  <si>
    <t>HD 147379</t>
  </si>
  <si>
    <t>HD 147379 b</t>
  </si>
  <si>
    <t>HD 147513</t>
  </si>
  <si>
    <t>HD 147513 b</t>
  </si>
  <si>
    <t>HD 14787</t>
  </si>
  <si>
    <t>HD 14787 b</t>
  </si>
  <si>
    <t>HD 147873</t>
  </si>
  <si>
    <t>HD 147873 b</t>
  </si>
  <si>
    <t>HD 147873 c</t>
  </si>
  <si>
    <t>HD 148156</t>
  </si>
  <si>
    <t>HD 148156 b</t>
  </si>
  <si>
    <t>HD 148164</t>
  </si>
  <si>
    <t>HD 148164 b</t>
  </si>
  <si>
    <t>HD 148164 c</t>
  </si>
  <si>
    <t>HD 148284</t>
  </si>
  <si>
    <t>HD 148284 b</t>
  </si>
  <si>
    <t>HD 148427</t>
  </si>
  <si>
    <t>HD 148427 b</t>
  </si>
  <si>
    <t>HD 149026</t>
  </si>
  <si>
    <t>HD 149026 b</t>
  </si>
  <si>
    <t>HD 149143</t>
  </si>
  <si>
    <t>HD 149143 b</t>
  </si>
  <si>
    <t>HD 1502</t>
  </si>
  <si>
    <t>HD 1502 b</t>
  </si>
  <si>
    <t>HD 150706</t>
  </si>
  <si>
    <t>HD 150706 b</t>
  </si>
  <si>
    <t>HD 152079</t>
  </si>
  <si>
    <t>HD 152079 b</t>
  </si>
  <si>
    <t>HD 152581</t>
  </si>
  <si>
    <t>HD 152581 b</t>
  </si>
  <si>
    <t>HD 15337</t>
  </si>
  <si>
    <t>HD 15337 b</t>
  </si>
  <si>
    <t>HD 15337 c</t>
  </si>
  <si>
    <t>HD 153950</t>
  </si>
  <si>
    <t>HD 153950 b</t>
  </si>
  <si>
    <t>HD 154345</t>
  </si>
  <si>
    <t>HD 154345 b</t>
  </si>
  <si>
    <t>HD 154672</t>
  </si>
  <si>
    <t>HD 154672 b</t>
  </si>
  <si>
    <t>HD 154857</t>
  </si>
  <si>
    <t>HD 154857 b</t>
  </si>
  <si>
    <t>HD 154857 c</t>
  </si>
  <si>
    <t>HD 155233</t>
  </si>
  <si>
    <t>HD 155233 b</t>
  </si>
  <si>
    <t>HD 155358</t>
  </si>
  <si>
    <t>HD 155358 b</t>
  </si>
  <si>
    <t>HD 155358 c</t>
  </si>
  <si>
    <t>HD 156279</t>
  </si>
  <si>
    <t>HD 156279 b</t>
  </si>
  <si>
    <t>HD 156279 c</t>
  </si>
  <si>
    <t>HD 156411</t>
  </si>
  <si>
    <t>HD 156411 b</t>
  </si>
  <si>
    <t>HD 156668</t>
  </si>
  <si>
    <t>HD 156668 b</t>
  </si>
  <si>
    <t>HD 156846</t>
  </si>
  <si>
    <t>HD 156846 b</t>
  </si>
  <si>
    <t>HD 158038</t>
  </si>
  <si>
    <t>HD 158038 b</t>
  </si>
  <si>
    <t>HD 158996</t>
  </si>
  <si>
    <t>HD 158996 b</t>
  </si>
  <si>
    <t>HD 159243</t>
  </si>
  <si>
    <t>HD 159243 b</t>
  </si>
  <si>
    <t>HD 159243 c</t>
  </si>
  <si>
    <t>HD 159868</t>
  </si>
  <si>
    <t>HD 159868 b</t>
  </si>
  <si>
    <t>HD 159868 c</t>
  </si>
  <si>
    <t>HD 1605</t>
  </si>
  <si>
    <t>HD 1605 b</t>
  </si>
  <si>
    <t>HD 1605 c</t>
  </si>
  <si>
    <t>HD 160691</t>
  </si>
  <si>
    <t>HD 160691 b</t>
  </si>
  <si>
    <t>HD 160691 c</t>
  </si>
  <si>
    <t>HD 160691 d</t>
  </si>
  <si>
    <t>HD 160691 e</t>
  </si>
  <si>
    <t>HD 16141</t>
  </si>
  <si>
    <t>HD 16141 b</t>
  </si>
  <si>
    <t>HD 16175</t>
  </si>
  <si>
    <t>HD 16175 b</t>
  </si>
  <si>
    <t>HD 162020</t>
  </si>
  <si>
    <t>HD 162020 b</t>
  </si>
  <si>
    <t>HD 163607</t>
  </si>
  <si>
    <t>HD 163607 b</t>
  </si>
  <si>
    <t>HD 163607 c</t>
  </si>
  <si>
    <t>HD 16417</t>
  </si>
  <si>
    <t>HD 16417 b</t>
  </si>
  <si>
    <t>HD 164509</t>
  </si>
  <si>
    <t>HD 164509 b</t>
  </si>
  <si>
    <t>HD 164595</t>
  </si>
  <si>
    <t>HD 164595 b</t>
  </si>
  <si>
    <t>HD 164604</t>
  </si>
  <si>
    <t>HD 164604 b</t>
  </si>
  <si>
    <t>HD 164922</t>
  </si>
  <si>
    <t>HD 164922 b</t>
  </si>
  <si>
    <t>HD 164922 c</t>
  </si>
  <si>
    <t>HD 165155</t>
  </si>
  <si>
    <t>HD 165155 b</t>
  </si>
  <si>
    <t>HD 1666</t>
  </si>
  <si>
    <t>HD 1666 b</t>
  </si>
  <si>
    <t>HD 166724</t>
  </si>
  <si>
    <t>HD 166724 b</t>
  </si>
  <si>
    <t>HD 167042</t>
  </si>
  <si>
    <t>HD 167042 b</t>
  </si>
  <si>
    <t>HD 168443</t>
  </si>
  <si>
    <t>HD 168443 b</t>
  </si>
  <si>
    <t>HD 168443 c</t>
  </si>
  <si>
    <t>HD 168746</t>
  </si>
  <si>
    <t>HD 168746 b</t>
  </si>
  <si>
    <t>HD 1690</t>
  </si>
  <si>
    <t>HD 1690 b</t>
  </si>
  <si>
    <t>HD 169830</t>
  </si>
  <si>
    <t>HD 169830 b</t>
  </si>
  <si>
    <t>HD 169830 c</t>
  </si>
  <si>
    <t>HD 170469</t>
  </si>
  <si>
    <t>HD 170469 b</t>
  </si>
  <si>
    <t>HD 17092</t>
  </si>
  <si>
    <t>HD 17092 b</t>
  </si>
  <si>
    <t>HD 171028</t>
  </si>
  <si>
    <t>HD 171028 b</t>
  </si>
  <si>
    <t>HD 171238</t>
  </si>
  <si>
    <t>HD 171238 b</t>
  </si>
  <si>
    <t>HD 17156</t>
  </si>
  <si>
    <t>HD 17156 b</t>
  </si>
  <si>
    <t>HD 173416</t>
  </si>
  <si>
    <t>HD 173416 b</t>
  </si>
  <si>
    <t>HD 175167</t>
  </si>
  <si>
    <t>HD 175167 b</t>
  </si>
  <si>
    <t>HD 175541</t>
  </si>
  <si>
    <t>HD 175541 b</t>
  </si>
  <si>
    <t>HD 175607</t>
  </si>
  <si>
    <t>HD 175607 b</t>
  </si>
  <si>
    <t>HD 17674</t>
  </si>
  <si>
    <t>HD 17674 b</t>
  </si>
  <si>
    <t>HD 176986</t>
  </si>
  <si>
    <t>HD 176986 b</t>
  </si>
  <si>
    <t>HD 176986 c</t>
  </si>
  <si>
    <t>HD 177565</t>
  </si>
  <si>
    <t>HD 177565 b</t>
  </si>
  <si>
    <t>HD 177830</t>
  </si>
  <si>
    <t>HD 177830 b</t>
  </si>
  <si>
    <t>HD 177830 c</t>
  </si>
  <si>
    <t>HD 178911 B</t>
  </si>
  <si>
    <t>HD 178911 B b</t>
  </si>
  <si>
    <t>HD 179079</t>
  </si>
  <si>
    <t>HD 179079 b</t>
  </si>
  <si>
    <t>HD 179949</t>
  </si>
  <si>
    <t>HD 179949 b</t>
  </si>
  <si>
    <t>HD 180053</t>
  </si>
  <si>
    <t>HD 180053 b</t>
  </si>
  <si>
    <t>HD 18015</t>
  </si>
  <si>
    <t>HD 18015 b</t>
  </si>
  <si>
    <t>HD 180314</t>
  </si>
  <si>
    <t>HD 180314 b</t>
  </si>
  <si>
    <t>HD 180902</t>
  </si>
  <si>
    <t>HD 180902 b</t>
  </si>
  <si>
    <t>HD 181234</t>
  </si>
  <si>
    <t>HD 181234 b</t>
  </si>
  <si>
    <t>HD 181342</t>
  </si>
  <si>
    <t>HD 181342 b</t>
  </si>
  <si>
    <t>HD 181433</t>
  </si>
  <si>
    <t>HD 181433 b</t>
  </si>
  <si>
    <t>HD 181433 c</t>
  </si>
  <si>
    <t>HD 181433 d</t>
  </si>
  <si>
    <t>HD 181720</t>
  </si>
  <si>
    <t>HD 181720 b</t>
  </si>
  <si>
    <t>HD 183263</t>
  </si>
  <si>
    <t>HD 183263 b</t>
  </si>
  <si>
    <t>HD 183263 c</t>
  </si>
  <si>
    <t>HD 185269</t>
  </si>
  <si>
    <t>HD 185269 b</t>
  </si>
  <si>
    <t>HD 187085</t>
  </si>
  <si>
    <t>HD 187085 b</t>
  </si>
  <si>
    <t>HD 187123</t>
  </si>
  <si>
    <t>HD 187123 b</t>
  </si>
  <si>
    <t>HD 187123 c</t>
  </si>
  <si>
    <t>HD 18742</t>
  </si>
  <si>
    <t>HD 18742 b</t>
  </si>
  <si>
    <t>HD 188015</t>
  </si>
  <si>
    <t>HD 188015 b</t>
  </si>
  <si>
    <t>HD 189733</t>
  </si>
  <si>
    <t>HD 189733 b</t>
  </si>
  <si>
    <t>HD 190360</t>
  </si>
  <si>
    <t>HD 190360 b</t>
  </si>
  <si>
    <t>HD 190360 c</t>
  </si>
  <si>
    <t>HD 190647</t>
  </si>
  <si>
    <t>HD 190647 b</t>
  </si>
  <si>
    <t>HD 190984</t>
  </si>
  <si>
    <t>HD 190984 b</t>
  </si>
  <si>
    <t>HD 191806</t>
  </si>
  <si>
    <t>HD 191806 b</t>
  </si>
  <si>
    <t>HD 192263</t>
  </si>
  <si>
    <t>HD 192263 b</t>
  </si>
  <si>
    <t>HD 192310</t>
  </si>
  <si>
    <t>HD 192310 b</t>
  </si>
  <si>
    <t>HD 192310 c</t>
  </si>
  <si>
    <t>HD 192699</t>
  </si>
  <si>
    <t>HD 192699 b</t>
  </si>
  <si>
    <t>HD 195019</t>
  </si>
  <si>
    <t>HD 195019 b</t>
  </si>
  <si>
    <t>HD 196050</t>
  </si>
  <si>
    <t>HD 196050 b</t>
  </si>
  <si>
    <t>HD 196067</t>
  </si>
  <si>
    <t>HD 196067 b</t>
  </si>
  <si>
    <t>HD 196885</t>
  </si>
  <si>
    <t>HD 196885 b</t>
  </si>
  <si>
    <t>HD 197037</t>
  </si>
  <si>
    <t>HD 197037 b</t>
  </si>
  <si>
    <t>HD 19994</t>
  </si>
  <si>
    <t>HD 19994 b</t>
  </si>
  <si>
    <t>HD 20003</t>
  </si>
  <si>
    <t>HD 20003 b</t>
  </si>
  <si>
    <t>HD 20003 c</t>
  </si>
  <si>
    <t>HD 200964</t>
  </si>
  <si>
    <t>HD 200964 b</t>
  </si>
  <si>
    <t>HD 200964 c</t>
  </si>
  <si>
    <t>HD 202206</t>
  </si>
  <si>
    <t>HD 202206 c</t>
  </si>
  <si>
    <t>HD 202696</t>
  </si>
  <si>
    <t>HD 202696 b</t>
  </si>
  <si>
    <t>HD 202696 c</t>
  </si>
  <si>
    <t>HD 202772 A</t>
  </si>
  <si>
    <t>HD 202772 A b</t>
  </si>
  <si>
    <t>HD 203030</t>
  </si>
  <si>
    <t>HD 203030 b</t>
  </si>
  <si>
    <t>HD 203473</t>
  </si>
  <si>
    <t>HD 203473 b</t>
  </si>
  <si>
    <t>HD 2039</t>
  </si>
  <si>
    <t>HD 2039 b</t>
  </si>
  <si>
    <t>HD 204313</t>
  </si>
  <si>
    <t>HD 204313 b</t>
  </si>
  <si>
    <t>HD 204313 c</t>
  </si>
  <si>
    <t>HD 204941</t>
  </si>
  <si>
    <t>HD 204941 b</t>
  </si>
  <si>
    <t>HD 205739</t>
  </si>
  <si>
    <t>HD 205739 b</t>
  </si>
  <si>
    <t>HD 206255</t>
  </si>
  <si>
    <t>HD 206255 b</t>
  </si>
  <si>
    <t>HD 206610</t>
  </si>
  <si>
    <t>HD 206610 b</t>
  </si>
  <si>
    <t>HD 20781</t>
  </si>
  <si>
    <t>HD 20781 b</t>
  </si>
  <si>
    <t>HD 20781 c</t>
  </si>
  <si>
    <t>HD 20781 d</t>
  </si>
  <si>
    <t>HD 20781 e</t>
  </si>
  <si>
    <t>HD 20782</t>
  </si>
  <si>
    <t>HD 20782 b</t>
  </si>
  <si>
    <t>HD 207832</t>
  </si>
  <si>
    <t>HD 207832 b</t>
  </si>
  <si>
    <t>HD 207832 c</t>
  </si>
  <si>
    <t>HD 20794</t>
  </si>
  <si>
    <t>HD 20794 b</t>
  </si>
  <si>
    <t>HD 20794 c</t>
  </si>
  <si>
    <t>HD 20794 d</t>
  </si>
  <si>
    <t>HD 20794 e</t>
  </si>
  <si>
    <t>HD 208487</t>
  </si>
  <si>
    <t>HD 208487 b</t>
  </si>
  <si>
    <t>HD 208527</t>
  </si>
  <si>
    <t>HD 208527 b</t>
  </si>
  <si>
    <t>HD 20868</t>
  </si>
  <si>
    <t>HD 20868 b</t>
  </si>
  <si>
    <t>HD 208897</t>
  </si>
  <si>
    <t>HD 208897 b</t>
  </si>
  <si>
    <t>HD 209458</t>
  </si>
  <si>
    <t>HD 209458 b</t>
  </si>
  <si>
    <t>HD 210193</t>
  </si>
  <si>
    <t>HD 210193 b</t>
  </si>
  <si>
    <t>HD 210277</t>
  </si>
  <si>
    <t>HD 210277 b</t>
  </si>
  <si>
    <t>HD 210702</t>
  </si>
  <si>
    <t>HD 210702 b</t>
  </si>
  <si>
    <t>HD 211810</t>
  </si>
  <si>
    <t>HD 211810 b</t>
  </si>
  <si>
    <t>HD 211970</t>
  </si>
  <si>
    <t>HD 211970 b</t>
  </si>
  <si>
    <t>HD 212301</t>
  </si>
  <si>
    <t>HD 212301 b</t>
  </si>
  <si>
    <t>HD 212771</t>
  </si>
  <si>
    <t>HD 212771 b</t>
  </si>
  <si>
    <t>HD 213240</t>
  </si>
  <si>
    <t>HD 213240 b</t>
  </si>
  <si>
    <t>HD 21411</t>
  </si>
  <si>
    <t>HD 21411 b</t>
  </si>
  <si>
    <t>HD 214823</t>
  </si>
  <si>
    <t>HD 214823 b</t>
  </si>
  <si>
    <t>HD 215152</t>
  </si>
  <si>
    <t>HD 215152 b</t>
  </si>
  <si>
    <t>HD 215152 c</t>
  </si>
  <si>
    <t>HD 215152 d</t>
  </si>
  <si>
    <t>HD 215152 e</t>
  </si>
  <si>
    <t>HD 215497</t>
  </si>
  <si>
    <t>HD 215497 b</t>
  </si>
  <si>
    <t>HD 215497 c</t>
  </si>
  <si>
    <t>HD 216435</t>
  </si>
  <si>
    <t>HD 216435 b</t>
  </si>
  <si>
    <t>HD 216437</t>
  </si>
  <si>
    <t>HD 216437 b</t>
  </si>
  <si>
    <t>HD 216536</t>
  </si>
  <si>
    <t>HD 216536 b</t>
  </si>
  <si>
    <t>HD 216770</t>
  </si>
  <si>
    <t>HD 216770 b</t>
  </si>
  <si>
    <t>HD 21693</t>
  </si>
  <si>
    <t>HD 21693 b</t>
  </si>
  <si>
    <t>HD 21693 c</t>
  </si>
  <si>
    <t>HD 217107</t>
  </si>
  <si>
    <t>HD 217107 b</t>
  </si>
  <si>
    <t>HD 217107 c</t>
  </si>
  <si>
    <t>HD 21749 c</t>
  </si>
  <si>
    <t>HD 217786</t>
  </si>
  <si>
    <t>HD 217786 b</t>
  </si>
  <si>
    <t>HD 217850</t>
  </si>
  <si>
    <t>HD 217850 b</t>
  </si>
  <si>
    <t>HD 218566</t>
  </si>
  <si>
    <t>HD 218566 b</t>
  </si>
  <si>
    <t>HD 219077</t>
  </si>
  <si>
    <t>HD 219077 b</t>
  </si>
  <si>
    <t>HD 219134</t>
  </si>
  <si>
    <t>HD 219134 b</t>
  </si>
  <si>
    <t>HD 219134 c</t>
  </si>
  <si>
    <t>HD 219134 d</t>
  </si>
  <si>
    <t>HD 219134 f</t>
  </si>
  <si>
    <t>HD 219134 g</t>
  </si>
  <si>
    <t>HD 219134 h</t>
  </si>
  <si>
    <t>HD 219415</t>
  </si>
  <si>
    <t>HD 219415 b</t>
  </si>
  <si>
    <t>HD 219666</t>
  </si>
  <si>
    <t>HD 219666 b</t>
  </si>
  <si>
    <t>HD 219828</t>
  </si>
  <si>
    <t>HD 219828 b</t>
  </si>
  <si>
    <t>HD 219828 c</t>
  </si>
  <si>
    <t>Multiple Facilities</t>
  </si>
  <si>
    <t>HD 220074</t>
  </si>
  <si>
    <t>HD 220074 b</t>
  </si>
  <si>
    <t>HD 220689</t>
  </si>
  <si>
    <t>HD 220689 b</t>
  </si>
  <si>
    <t>HD 220773</t>
  </si>
  <si>
    <t>HD 220773 b</t>
  </si>
  <si>
    <t>HD 220842</t>
  </si>
  <si>
    <t>HD 220842 b</t>
  </si>
  <si>
    <t>HD 221287</t>
  </si>
  <si>
    <t>HD 221287 b</t>
  </si>
  <si>
    <t>HD 221416</t>
  </si>
  <si>
    <t>HD 221416 b</t>
  </si>
  <si>
    <t>HD 221420</t>
  </si>
  <si>
    <t>HD 221420 b</t>
  </si>
  <si>
    <t>HD 221585</t>
  </si>
  <si>
    <t>HD 221585 b</t>
  </si>
  <si>
    <t>HD 222076</t>
  </si>
  <si>
    <t>HD 222076 b</t>
  </si>
  <si>
    <t>HD 222155</t>
  </si>
  <si>
    <t>HD 222155 b</t>
  </si>
  <si>
    <t>HD 222582</t>
  </si>
  <si>
    <t>HD 222582 b</t>
  </si>
  <si>
    <t>HD 224538</t>
  </si>
  <si>
    <t>HD 224538 b</t>
  </si>
  <si>
    <t>HD 224693</t>
  </si>
  <si>
    <t>HD 224693 b</t>
  </si>
  <si>
    <t>HD 22781</t>
  </si>
  <si>
    <t>HD 22781 b</t>
  </si>
  <si>
    <t>HD 23079</t>
  </si>
  <si>
    <t>HD 23079 b</t>
  </si>
  <si>
    <t>HD 23127</t>
  </si>
  <si>
    <t>HD 23127 b</t>
  </si>
  <si>
    <t>HD 231701</t>
  </si>
  <si>
    <t>HD 231701 b</t>
  </si>
  <si>
    <t>HD 233604</t>
  </si>
  <si>
    <t>HD 233604 b</t>
  </si>
  <si>
    <t>HD 23472</t>
  </si>
  <si>
    <t>HD 23472 b</t>
  </si>
  <si>
    <t>HD 23472 c</t>
  </si>
  <si>
    <t>HD 23596</t>
  </si>
  <si>
    <t>HD 23596 b</t>
  </si>
  <si>
    <t>HD 238914</t>
  </si>
  <si>
    <t>HD 238914 b</t>
  </si>
  <si>
    <t>HD 240210</t>
  </si>
  <si>
    <t>HD 240210 b</t>
  </si>
  <si>
    <t>HD 240237</t>
  </si>
  <si>
    <t>HD 240237 b</t>
  </si>
  <si>
    <t>HD 24040</t>
  </si>
  <si>
    <t>HD 24040 b</t>
  </si>
  <si>
    <t>HD 24064</t>
  </si>
  <si>
    <t>HD 24064 b</t>
  </si>
  <si>
    <t>HD 24085</t>
  </si>
  <si>
    <t>HD 24085 b</t>
  </si>
  <si>
    <t>HD 25015</t>
  </si>
  <si>
    <t>HD 25015 b</t>
  </si>
  <si>
    <t>HD 25171</t>
  </si>
  <si>
    <t>HD 25171 b</t>
  </si>
  <si>
    <t>HD 2638</t>
  </si>
  <si>
    <t>HD 2638 b</t>
  </si>
  <si>
    <t>HD 26965</t>
  </si>
  <si>
    <t>HD 26965 b</t>
  </si>
  <si>
    <t>HD 27442</t>
  </si>
  <si>
    <t>HD 27442 b</t>
  </si>
  <si>
    <t>HD 27631</t>
  </si>
  <si>
    <t>HD 27631 b</t>
  </si>
  <si>
    <t>HD 27894</t>
  </si>
  <si>
    <t>HD 27894 b</t>
  </si>
  <si>
    <t>HD 27894 c</t>
  </si>
  <si>
    <t>HD 27894 d</t>
  </si>
  <si>
    <t>HD 28185</t>
  </si>
  <si>
    <t>HD 28185 b</t>
  </si>
  <si>
    <t>HD 28254</t>
  </si>
  <si>
    <t>HD 28254 b</t>
  </si>
  <si>
    <t>HD 285507</t>
  </si>
  <si>
    <t>HD 285507 b</t>
  </si>
  <si>
    <t>Fred Lawrence Whipple Observatory</t>
  </si>
  <si>
    <t>HD 285968</t>
  </si>
  <si>
    <t>HD 285968 b</t>
  </si>
  <si>
    <t>HD 28678</t>
  </si>
  <si>
    <t>HD 28678 b</t>
  </si>
  <si>
    <t>HD 29021</t>
  </si>
  <si>
    <t>HD 29021 b</t>
  </si>
  <si>
    <t>HD 290327</t>
  </si>
  <si>
    <t>HD 290327 b</t>
  </si>
  <si>
    <t>HD 2952</t>
  </si>
  <si>
    <t>HD 2952 b</t>
  </si>
  <si>
    <t>HD 30177</t>
  </si>
  <si>
    <t>HD 30177 b</t>
  </si>
  <si>
    <t>HD 30177 c</t>
  </si>
  <si>
    <t>HD 30562</t>
  </si>
  <si>
    <t>HD 30562 b</t>
  </si>
  <si>
    <t>HD 30669</t>
  </si>
  <si>
    <t>HD 30669 b</t>
  </si>
  <si>
    <t>HD 30856</t>
  </si>
  <si>
    <t>HD 30856 b</t>
  </si>
  <si>
    <t>HD 31253</t>
  </si>
  <si>
    <t>HD 31253 b</t>
  </si>
  <si>
    <t>HD 31527</t>
  </si>
  <si>
    <t>HD 31527 b</t>
  </si>
  <si>
    <t>HD 31527 c</t>
  </si>
  <si>
    <t>HD 31527 d</t>
  </si>
  <si>
    <t>HD 3167</t>
  </si>
  <si>
    <t>HD 3167 b</t>
  </si>
  <si>
    <t>HD 3167 c</t>
  </si>
  <si>
    <t>HD 3167 d</t>
  </si>
  <si>
    <t>HD 32518</t>
  </si>
  <si>
    <t>HD 32518 b</t>
  </si>
  <si>
    <t>HD 32963</t>
  </si>
  <si>
    <t>HD 32963 b</t>
  </si>
  <si>
    <t>HD 330075</t>
  </si>
  <si>
    <t>HD 330075 b</t>
  </si>
  <si>
    <t>HD 33142</t>
  </si>
  <si>
    <t>HD 33142 b</t>
  </si>
  <si>
    <t>HD 33142 c</t>
  </si>
  <si>
    <t>HD 33283</t>
  </si>
  <si>
    <t>HD 33283 b</t>
  </si>
  <si>
    <t>HD 33564</t>
  </si>
  <si>
    <t>HD 33564 b</t>
  </si>
  <si>
    <t>HD 33844</t>
  </si>
  <si>
    <t>HD 33844 b</t>
  </si>
  <si>
    <t>HD 33844 c</t>
  </si>
  <si>
    <t>HD 34445</t>
  </si>
  <si>
    <t>HD 34445 b</t>
  </si>
  <si>
    <t>HD 34445 c</t>
  </si>
  <si>
    <t>HD 34445 d</t>
  </si>
  <si>
    <t>HD 34445 e</t>
  </si>
  <si>
    <t>HD 34445 f</t>
  </si>
  <si>
    <t>HD 34445 g</t>
  </si>
  <si>
    <t>HD 35759</t>
  </si>
  <si>
    <t>HD 35759 b</t>
  </si>
  <si>
    <t>HD 3651</t>
  </si>
  <si>
    <t>HD 3651 b</t>
  </si>
  <si>
    <t>HD 37124</t>
  </si>
  <si>
    <t>HD 37124 b</t>
  </si>
  <si>
    <t>HD 37124 c</t>
  </si>
  <si>
    <t>HD 37124 d</t>
  </si>
  <si>
    <t>HD 37605</t>
  </si>
  <si>
    <t>HD 37605 b</t>
  </si>
  <si>
    <t>HD 37605 c</t>
  </si>
  <si>
    <t>HD 38283</t>
  </si>
  <si>
    <t>HD 38283 b</t>
  </si>
  <si>
    <t>HD 38529</t>
  </si>
  <si>
    <t>HD 38529 b</t>
  </si>
  <si>
    <t>HD 38529 c</t>
  </si>
  <si>
    <t>HD 38801</t>
  </si>
  <si>
    <t>HD 38801 b</t>
  </si>
  <si>
    <t>HD 39091</t>
  </si>
  <si>
    <t>HD 39091 b</t>
  </si>
  <si>
    <t>HD 39855</t>
  </si>
  <si>
    <t>HD 39855 b</t>
  </si>
  <si>
    <t>HD 40307</t>
  </si>
  <si>
    <t>HD 40307 b</t>
  </si>
  <si>
    <t>HD 40307 c</t>
  </si>
  <si>
    <t>HD 40307 d</t>
  </si>
  <si>
    <t>HD 40307 f</t>
  </si>
  <si>
    <t>HD 40307 g</t>
  </si>
  <si>
    <t>HD 40956</t>
  </si>
  <si>
    <t>HD 40956 b</t>
  </si>
  <si>
    <t>HD 40979</t>
  </si>
  <si>
    <t>HD 40979 b</t>
  </si>
  <si>
    <t>HD 41004 A</t>
  </si>
  <si>
    <t>HD 41004 A b</t>
  </si>
  <si>
    <t>HD 41004 B</t>
  </si>
  <si>
    <t>HD 41004 B b</t>
  </si>
  <si>
    <t>HD 4113</t>
  </si>
  <si>
    <t>HD 4113 b</t>
  </si>
  <si>
    <t>HD 42012</t>
  </si>
  <si>
    <t>HD 42012 b</t>
  </si>
  <si>
    <t>HD 4203</t>
  </si>
  <si>
    <t>HD 4203 b</t>
  </si>
  <si>
    <t>HD 4203 c</t>
  </si>
  <si>
    <t>HD 4208</t>
  </si>
  <si>
    <t>HD 4208 b</t>
  </si>
  <si>
    <t>HD 42618</t>
  </si>
  <si>
    <t>HD 42618 b</t>
  </si>
  <si>
    <t>HD 4308</t>
  </si>
  <si>
    <t>HD 4308 b</t>
  </si>
  <si>
    <t>HD 4313</t>
  </si>
  <si>
    <t>HD 4313 b</t>
  </si>
  <si>
    <t>HD 43197</t>
  </si>
  <si>
    <t>HD 43197 b</t>
  </si>
  <si>
    <t>HD 43691</t>
  </si>
  <si>
    <t>HD 43691 b</t>
  </si>
  <si>
    <t>HD 44219</t>
  </si>
  <si>
    <t>HD 44219 b</t>
  </si>
  <si>
    <t>HD 45184</t>
  </si>
  <si>
    <t>HD 45184 b</t>
  </si>
  <si>
    <t>HD 45184 c</t>
  </si>
  <si>
    <t>HD 45350</t>
  </si>
  <si>
    <t>HD 45350 b</t>
  </si>
  <si>
    <t>HD 45364</t>
  </si>
  <si>
    <t>HD 45364 b</t>
  </si>
  <si>
    <t>HD 45364 c</t>
  </si>
  <si>
    <t>HD 45652</t>
  </si>
  <si>
    <t>HD 45652 b</t>
  </si>
  <si>
    <t>HD 46375</t>
  </si>
  <si>
    <t>HD 46375 b</t>
  </si>
  <si>
    <t>HD 47186</t>
  </si>
  <si>
    <t>HD 47186 b</t>
  </si>
  <si>
    <t>HD 47186 c</t>
  </si>
  <si>
    <t>HD 4732</t>
  </si>
  <si>
    <t>HD 4732 b</t>
  </si>
  <si>
    <t>HD 4732 c</t>
  </si>
  <si>
    <t>HD 47366</t>
  </si>
  <si>
    <t>HD 47366 b</t>
  </si>
  <si>
    <t>HD 47366 c</t>
  </si>
  <si>
    <t>HD 47536</t>
  </si>
  <si>
    <t>HD 47536 b</t>
  </si>
  <si>
    <t>HD 48265</t>
  </si>
  <si>
    <t>HD 48265 b</t>
  </si>
  <si>
    <t>HD 4917</t>
  </si>
  <si>
    <t>HD 4917 b</t>
  </si>
  <si>
    <t>HD 49674</t>
  </si>
  <si>
    <t>HD 49674 b</t>
  </si>
  <si>
    <t>HD 50499</t>
  </si>
  <si>
    <t>HD 50499 b</t>
  </si>
  <si>
    <t>HD 50499 c</t>
  </si>
  <si>
    <t>HD 50554</t>
  </si>
  <si>
    <t>HD 50554 b</t>
  </si>
  <si>
    <t>HD 51608</t>
  </si>
  <si>
    <t>HD 51608 b</t>
  </si>
  <si>
    <t>HD 51608 c</t>
  </si>
  <si>
    <t>HD 52265</t>
  </si>
  <si>
    <t>HD 52265 b</t>
  </si>
  <si>
    <t>HD 5319</t>
  </si>
  <si>
    <t>HD 5319 b</t>
  </si>
  <si>
    <t>HD 5319 c</t>
  </si>
  <si>
    <t>HD 55696</t>
  </si>
  <si>
    <t>HD 55696 b</t>
  </si>
  <si>
    <t>HD 5583</t>
  </si>
  <si>
    <t>HD 5583 b</t>
  </si>
  <si>
    <t>HD 5608</t>
  </si>
  <si>
    <t>HD 5608 b</t>
  </si>
  <si>
    <t>HD 564</t>
  </si>
  <si>
    <t>HD 564 b</t>
  </si>
  <si>
    <t>HD 5891</t>
  </si>
  <si>
    <t>HD 5891 b</t>
  </si>
  <si>
    <t>HD 59686 A</t>
  </si>
  <si>
    <t>HD 59686 A b</t>
  </si>
  <si>
    <t>HD 60532</t>
  </si>
  <si>
    <t>HD 60532 b</t>
  </si>
  <si>
    <t>HD 60532 c</t>
  </si>
  <si>
    <t>HD 62509</t>
  </si>
  <si>
    <t>HD 62509 b</t>
  </si>
  <si>
    <t>HD 63454</t>
  </si>
  <si>
    <t>HD 63454 b</t>
  </si>
  <si>
    <t>HD 63765</t>
  </si>
  <si>
    <t>HD 63765 b</t>
  </si>
  <si>
    <t>HD 64114</t>
  </si>
  <si>
    <t>HD 64114 b</t>
  </si>
  <si>
    <t>HD 6434</t>
  </si>
  <si>
    <t>HD 6434 b</t>
  </si>
  <si>
    <t>HD 65216</t>
  </si>
  <si>
    <t>HD 65216 b</t>
  </si>
  <si>
    <t>HD 65216 c</t>
  </si>
  <si>
    <t>HD 66141</t>
  </si>
  <si>
    <t>HD 66141 b</t>
  </si>
  <si>
    <t>HD 66428</t>
  </si>
  <si>
    <t>HD 66428 b</t>
  </si>
  <si>
    <t>HD 67087</t>
  </si>
  <si>
    <t>HD 67087 b</t>
  </si>
  <si>
    <t>HD 67087 c</t>
  </si>
  <si>
    <t>HD 6718</t>
  </si>
  <si>
    <t>HD 6718 b</t>
  </si>
  <si>
    <t>HD 68402</t>
  </si>
  <si>
    <t>HD 68402 b</t>
  </si>
  <si>
    <t>HD 68988</t>
  </si>
  <si>
    <t>HD 68988 b</t>
  </si>
  <si>
    <t>HD 69830</t>
  </si>
  <si>
    <t>HD 69830 b</t>
  </si>
  <si>
    <t>HD 69830 c</t>
  </si>
  <si>
    <t>HD 69830 d</t>
  </si>
  <si>
    <t>HD 70573</t>
  </si>
  <si>
    <t>HD 70573 b</t>
  </si>
  <si>
    <t>HD 70642</t>
  </si>
  <si>
    <t>HD 70642 b</t>
  </si>
  <si>
    <t>HD 7199</t>
  </si>
  <si>
    <t>HD 7199 b</t>
  </si>
  <si>
    <t>HD 72490</t>
  </si>
  <si>
    <t>HD 72490 b</t>
  </si>
  <si>
    <t>HD 72659</t>
  </si>
  <si>
    <t>HD 72659 b</t>
  </si>
  <si>
    <t>HD 72892</t>
  </si>
  <si>
    <t>HD 72892 b</t>
  </si>
  <si>
    <t>HD 73267</t>
  </si>
  <si>
    <t>HD 73267 b</t>
  </si>
  <si>
    <t>HD 73526</t>
  </si>
  <si>
    <t>HD 73526 b</t>
  </si>
  <si>
    <t>HD 73526 c</t>
  </si>
  <si>
    <t>HD 73534</t>
  </si>
  <si>
    <t>HD 73534 b</t>
  </si>
  <si>
    <t>HD 74156</t>
  </si>
  <si>
    <t>HD 74156 b</t>
  </si>
  <si>
    <t>HD 74156 c</t>
  </si>
  <si>
    <t>HD 7449</t>
  </si>
  <si>
    <t>HD 7449 b</t>
  </si>
  <si>
    <t>HD 75289</t>
  </si>
  <si>
    <t>HD 75289 b</t>
  </si>
  <si>
    <t>HD 75784</t>
  </si>
  <si>
    <t>HD 75784 b</t>
  </si>
  <si>
    <t>HD 75784 c</t>
  </si>
  <si>
    <t>HD 75898</t>
  </si>
  <si>
    <t>HD 75898 b</t>
  </si>
  <si>
    <t>HD 76700</t>
  </si>
  <si>
    <t>HD 76700 b</t>
  </si>
  <si>
    <t>HD 76920</t>
  </si>
  <si>
    <t>HD 76920 b</t>
  </si>
  <si>
    <t>HD 77338</t>
  </si>
  <si>
    <t>HD 77338 b</t>
  </si>
  <si>
    <t>HD 7924</t>
  </si>
  <si>
    <t>HD 7924 b</t>
  </si>
  <si>
    <t>HD 7924 c</t>
  </si>
  <si>
    <t>HD 7924 d</t>
  </si>
  <si>
    <t>HD 79498</t>
  </si>
  <si>
    <t>HD 79498 b</t>
  </si>
  <si>
    <t>HD 80606</t>
  </si>
  <si>
    <t>HD 80606 b</t>
  </si>
  <si>
    <t>HD 81040</t>
  </si>
  <si>
    <t>HD 81040 b</t>
  </si>
  <si>
    <t>HD 81688</t>
  </si>
  <si>
    <t>HD 81688 b</t>
  </si>
  <si>
    <t>HD 82886</t>
  </si>
  <si>
    <t>HD 82886 b</t>
  </si>
  <si>
    <t>HD 82943</t>
  </si>
  <si>
    <t>HD 82943 b</t>
  </si>
  <si>
    <t>HD 82943 c</t>
  </si>
  <si>
    <t>HD 8326</t>
  </si>
  <si>
    <t>HD 8326 b</t>
  </si>
  <si>
    <t>HD 83443</t>
  </si>
  <si>
    <t>HD 83443 b</t>
  </si>
  <si>
    <t>HD 8535</t>
  </si>
  <si>
    <t>HD 8535 b</t>
  </si>
  <si>
    <t>HD 85390</t>
  </si>
  <si>
    <t>HD 85390 b</t>
  </si>
  <si>
    <t>HD 85512</t>
  </si>
  <si>
    <t>HD 85512 b</t>
  </si>
  <si>
    <t>HD 8574</t>
  </si>
  <si>
    <t>HD 8574 b</t>
  </si>
  <si>
    <t>HD 86081</t>
  </si>
  <si>
    <t>HD 86081 b</t>
  </si>
  <si>
    <t>HD 86226</t>
  </si>
  <si>
    <t>HD 86226 b</t>
  </si>
  <si>
    <t>HD 86264</t>
  </si>
  <si>
    <t>HD 86264 b</t>
  </si>
  <si>
    <t>HD 8673</t>
  </si>
  <si>
    <t>HD 8673 b</t>
  </si>
  <si>
    <t>HD 86950</t>
  </si>
  <si>
    <t>HD 86950 b</t>
  </si>
  <si>
    <t>HD 87646</t>
  </si>
  <si>
    <t>HD 87646 b</t>
  </si>
  <si>
    <t>Apache Point Observatory</t>
  </si>
  <si>
    <t>HD 87883</t>
  </si>
  <si>
    <t>HD 87883 b</t>
  </si>
  <si>
    <t>HD 88133</t>
  </si>
  <si>
    <t>HD 88133 b</t>
  </si>
  <si>
    <t>HD 89307</t>
  </si>
  <si>
    <t>HD 89307 b</t>
  </si>
  <si>
    <t>HD 89345</t>
  </si>
  <si>
    <t>HD 89345 b</t>
  </si>
  <si>
    <t>HD 89744</t>
  </si>
  <si>
    <t>HD 89744 b</t>
  </si>
  <si>
    <t>HD 90156</t>
  </si>
  <si>
    <t>HD 90156 b</t>
  </si>
  <si>
    <t>HD 9174</t>
  </si>
  <si>
    <t>HD 9174 b</t>
  </si>
  <si>
    <t>HD 92788</t>
  </si>
  <si>
    <t>HD 92788 b</t>
  </si>
  <si>
    <t>HD 92788 c</t>
  </si>
  <si>
    <t>HD 92987</t>
  </si>
  <si>
    <t>HD 92987 b</t>
  </si>
  <si>
    <t>HD 93083</t>
  </si>
  <si>
    <t>HD 93083 b</t>
  </si>
  <si>
    <t>HD 9446</t>
  </si>
  <si>
    <t>HD 9446 b</t>
  </si>
  <si>
    <t>HD 9446 c</t>
  </si>
  <si>
    <t>HD 94834</t>
  </si>
  <si>
    <t>HD 94834 b</t>
  </si>
  <si>
    <t>HD 95086</t>
  </si>
  <si>
    <t>HD 95086 b</t>
  </si>
  <si>
    <t>HD 95089</t>
  </si>
  <si>
    <t>HD 95089 b</t>
  </si>
  <si>
    <t>HD 95089 c</t>
  </si>
  <si>
    <t>HD 95127</t>
  </si>
  <si>
    <t>HD 95127 b</t>
  </si>
  <si>
    <t>HD 95872</t>
  </si>
  <si>
    <t>HD 95872 b</t>
  </si>
  <si>
    <t>HD 96063</t>
  </si>
  <si>
    <t>HD 96063 b</t>
  </si>
  <si>
    <t>HD 96127</t>
  </si>
  <si>
    <t>HD 96127 b</t>
  </si>
  <si>
    <t>HD 96167</t>
  </si>
  <si>
    <t>HD 96167 b</t>
  </si>
  <si>
    <t>HD 97658</t>
  </si>
  <si>
    <t>HD 97658 b</t>
  </si>
  <si>
    <t>HD 98219</t>
  </si>
  <si>
    <t>HD 98219 b</t>
  </si>
  <si>
    <t>HD 98649</t>
  </si>
  <si>
    <t>HD 98649 b</t>
  </si>
  <si>
    <t>HD 98736</t>
  </si>
  <si>
    <t>HD 98736 b</t>
  </si>
  <si>
    <t>HD 99109</t>
  </si>
  <si>
    <t>HD 99109 b</t>
  </si>
  <si>
    <t>HD 99492</t>
  </si>
  <si>
    <t>HD 99492 b</t>
  </si>
  <si>
    <t>HD 99706</t>
  </si>
  <si>
    <t>HD 99706 b</t>
  </si>
  <si>
    <t>HD 99706 c</t>
  </si>
  <si>
    <t>HIP 105854</t>
  </si>
  <si>
    <t>HIP 105854 b</t>
  </si>
  <si>
    <t>HIP 107773</t>
  </si>
  <si>
    <t>HIP 107773 b</t>
  </si>
  <si>
    <t>HIP 109384</t>
  </si>
  <si>
    <t>HIP 109384 b</t>
  </si>
  <si>
    <t>HIP 109600</t>
  </si>
  <si>
    <t>HIP 109600 b</t>
  </si>
  <si>
    <t>HIP 116454</t>
  </si>
  <si>
    <t>HIP 116454 b</t>
  </si>
  <si>
    <t>HIP 12961</t>
  </si>
  <si>
    <t>HIP 12961 b</t>
  </si>
  <si>
    <t>HIP 14810</t>
  </si>
  <si>
    <t>HIP 14810 b</t>
  </si>
  <si>
    <t>HIP 14810 c</t>
  </si>
  <si>
    <t>HIP 14810 d</t>
  </si>
  <si>
    <t>HIP 35173</t>
  </si>
  <si>
    <t>HIP 35173 b</t>
  </si>
  <si>
    <t>HIP 41378</t>
  </si>
  <si>
    <t>HIP 41378 b</t>
  </si>
  <si>
    <t>HIP 41378 c</t>
  </si>
  <si>
    <t>HIP 41378 d</t>
  </si>
  <si>
    <t>HIP 41378 e</t>
  </si>
  <si>
    <t>HIP 41378 f</t>
  </si>
  <si>
    <t>HIP 5158</t>
  </si>
  <si>
    <t>HIP 5158 b</t>
  </si>
  <si>
    <t>HIP 5158 c</t>
  </si>
  <si>
    <t>HIP 54373</t>
  </si>
  <si>
    <t>HIP 54373 b</t>
  </si>
  <si>
    <t>HIP 54373 c</t>
  </si>
  <si>
    <t>HIP 57274</t>
  </si>
  <si>
    <t>HIP 57274 b</t>
  </si>
  <si>
    <t>HIP 57274 c</t>
  </si>
  <si>
    <t>HIP 57274 d</t>
  </si>
  <si>
    <t>HIP 63242</t>
  </si>
  <si>
    <t>HIP 63242 b</t>
  </si>
  <si>
    <t>HIP 65407</t>
  </si>
  <si>
    <t>HIP 65407 b</t>
  </si>
  <si>
    <t>HIP 65407 c</t>
  </si>
  <si>
    <t>HIP 65426</t>
  </si>
  <si>
    <t>HIP 65426 b</t>
  </si>
  <si>
    <t>HIP 65891</t>
  </si>
  <si>
    <t>HIP 65891 b</t>
  </si>
  <si>
    <t>HIP 67537</t>
  </si>
  <si>
    <t>HIP 67537 b</t>
  </si>
  <si>
    <t>HIP 67851</t>
  </si>
  <si>
    <t>HIP 67851 b</t>
  </si>
  <si>
    <t>HIP 67851 c</t>
  </si>
  <si>
    <t>HIP 70849</t>
  </si>
  <si>
    <t>HIP 70849 b</t>
  </si>
  <si>
    <t>HIP 71135</t>
  </si>
  <si>
    <t>HIP 71135 b</t>
  </si>
  <si>
    <t>HIP 74890</t>
  </si>
  <si>
    <t>HIP 74890 b</t>
  </si>
  <si>
    <t>HIP 78530</t>
  </si>
  <si>
    <t>HIP 78530 b</t>
  </si>
  <si>
    <t>HIP 79431</t>
  </si>
  <si>
    <t>HIP 79431 b</t>
  </si>
  <si>
    <t>HIP 8541</t>
  </si>
  <si>
    <t>HIP 8541 b</t>
  </si>
  <si>
    <t>HIP 91258</t>
  </si>
  <si>
    <t>HIP 91258 b</t>
  </si>
  <si>
    <t>HIP 97233</t>
  </si>
  <si>
    <t>HIP 97233 b</t>
  </si>
  <si>
    <t>HN Peg</t>
  </si>
  <si>
    <t>HN Peg b</t>
  </si>
  <si>
    <t>HR 2562</t>
  </si>
  <si>
    <t>HR 2562 b</t>
  </si>
  <si>
    <t>HR 810</t>
  </si>
  <si>
    <t>HR 810 b</t>
  </si>
  <si>
    <t>HR 8799</t>
  </si>
  <si>
    <t>HR 8799 b</t>
  </si>
  <si>
    <t>HR 8799 c</t>
  </si>
  <si>
    <t>HR 8799 d</t>
  </si>
  <si>
    <t>HR 8799 e</t>
  </si>
  <si>
    <t>IC 4651 9122</t>
  </si>
  <si>
    <t>IC 4651 9122 b</t>
  </si>
  <si>
    <t>K2-10</t>
  </si>
  <si>
    <t>K2-10 b</t>
  </si>
  <si>
    <t>K2-100</t>
  </si>
  <si>
    <t>K2-100 b</t>
  </si>
  <si>
    <t>K2-101</t>
  </si>
  <si>
    <t>K2-101 b</t>
  </si>
  <si>
    <t>K2-102</t>
  </si>
  <si>
    <t>K2-102 b</t>
  </si>
  <si>
    <t>K2-104</t>
  </si>
  <si>
    <t>K2-104 b</t>
  </si>
  <si>
    <t>K2-105</t>
  </si>
  <si>
    <t>K2-105 b</t>
  </si>
  <si>
    <t>K2-107</t>
  </si>
  <si>
    <t>K2-107 b</t>
  </si>
  <si>
    <t>K2-108</t>
  </si>
  <si>
    <t>K2-108 b</t>
  </si>
  <si>
    <t>K2-11</t>
  </si>
  <si>
    <t>K2-11 b</t>
  </si>
  <si>
    <t>K2-110</t>
  </si>
  <si>
    <t>K2-110 b</t>
  </si>
  <si>
    <t>K2-111</t>
  </si>
  <si>
    <t>K2-111 b</t>
  </si>
  <si>
    <t>K2-113</t>
  </si>
  <si>
    <t>K2-113 b</t>
  </si>
  <si>
    <t>K2-114</t>
  </si>
  <si>
    <t>K2-114 b</t>
  </si>
  <si>
    <t>K2-115</t>
  </si>
  <si>
    <t>K2-115 b</t>
  </si>
  <si>
    <t>K2-116</t>
  </si>
  <si>
    <t>K2-116 b</t>
  </si>
  <si>
    <t>K2-117</t>
  </si>
  <si>
    <t>K2-117 b</t>
  </si>
  <si>
    <t>K2-117 c</t>
  </si>
  <si>
    <t>K2-118</t>
  </si>
  <si>
    <t>K2-118 b</t>
  </si>
  <si>
    <t>K2-119</t>
  </si>
  <si>
    <t>K2-119 b</t>
  </si>
  <si>
    <t>K2-12</t>
  </si>
  <si>
    <t>K2-12 b</t>
  </si>
  <si>
    <t>K2-120</t>
  </si>
  <si>
    <t>K2-120 b</t>
  </si>
  <si>
    <t>K2-121</t>
  </si>
  <si>
    <t>K2-121 b</t>
  </si>
  <si>
    <t>K2-122</t>
  </si>
  <si>
    <t>K2-122 b</t>
  </si>
  <si>
    <t>K2-123</t>
  </si>
  <si>
    <t>K2-123 b</t>
  </si>
  <si>
    <t>K2-124</t>
  </si>
  <si>
    <t>K2-124 b</t>
  </si>
  <si>
    <t>K2-125</t>
  </si>
  <si>
    <t>K2-125 b</t>
  </si>
  <si>
    <t>K2-126</t>
  </si>
  <si>
    <t>K2-126 b</t>
  </si>
  <si>
    <t>K2-127</t>
  </si>
  <si>
    <t>K2-127 b</t>
  </si>
  <si>
    <t>K2-128</t>
  </si>
  <si>
    <t>K2-128 b</t>
  </si>
  <si>
    <t>K2-129</t>
  </si>
  <si>
    <t>K2-129 b</t>
  </si>
  <si>
    <t>K2-13</t>
  </si>
  <si>
    <t>K2-13 b</t>
  </si>
  <si>
    <t>K2-130</t>
  </si>
  <si>
    <t>K2-130 b</t>
  </si>
  <si>
    <t>K2-131</t>
  </si>
  <si>
    <t>K2-131 b</t>
  </si>
  <si>
    <t>K2-132</t>
  </si>
  <si>
    <t>K2-132 b</t>
  </si>
  <si>
    <t>K2-133</t>
  </si>
  <si>
    <t>K2-133 b</t>
  </si>
  <si>
    <t>K2-133 c</t>
  </si>
  <si>
    <t>K2-133 d</t>
  </si>
  <si>
    <t>K2-133 e</t>
  </si>
  <si>
    <t>K2-136</t>
  </si>
  <si>
    <t>K2-136 b</t>
  </si>
  <si>
    <t>K2-136 c</t>
  </si>
  <si>
    <t>K2-136 d</t>
  </si>
  <si>
    <t>K2-137</t>
  </si>
  <si>
    <t>K2-137 b</t>
  </si>
  <si>
    <t>K2-138</t>
  </si>
  <si>
    <t>K2-138 b</t>
  </si>
  <si>
    <t>K2-138 c</t>
  </si>
  <si>
    <t>K2-138 d</t>
  </si>
  <si>
    <t>K2-138 e</t>
  </si>
  <si>
    <t>K2-138 f</t>
  </si>
  <si>
    <t>K2-139</t>
  </si>
  <si>
    <t>K2-139 b</t>
  </si>
  <si>
    <t>K2-14</t>
  </si>
  <si>
    <t>K2-14 b</t>
  </si>
  <si>
    <t>K2-140</t>
  </si>
  <si>
    <t>K2-140 b</t>
  </si>
  <si>
    <t>K2-141</t>
  </si>
  <si>
    <t>K2-141 b</t>
  </si>
  <si>
    <t>K2-141 c</t>
  </si>
  <si>
    <t>K2-146</t>
  </si>
  <si>
    <t>K2-146 b</t>
  </si>
  <si>
    <t>K2-147</t>
  </si>
  <si>
    <t>K2-147 b</t>
  </si>
  <si>
    <t>K2-148</t>
  </si>
  <si>
    <t>K2-148 b</t>
  </si>
  <si>
    <t>K2-148 c</t>
  </si>
  <si>
    <t>K2-148 d</t>
  </si>
  <si>
    <t>K2-149</t>
  </si>
  <si>
    <t>K2-149 b</t>
  </si>
  <si>
    <t>K2-15</t>
  </si>
  <si>
    <t>K2-15 b</t>
  </si>
  <si>
    <t>K2-150</t>
  </si>
  <si>
    <t>K2-150 b</t>
  </si>
  <si>
    <t>K2-151</t>
  </si>
  <si>
    <t>K2-151 b</t>
  </si>
  <si>
    <t>K2-152</t>
  </si>
  <si>
    <t>K2-152 b</t>
  </si>
  <si>
    <t>K2-153</t>
  </si>
  <si>
    <t>K2-153 b</t>
  </si>
  <si>
    <t>K2-154</t>
  </si>
  <si>
    <t>K2-154 b</t>
  </si>
  <si>
    <t>K2-154 c</t>
  </si>
  <si>
    <t>K2-155</t>
  </si>
  <si>
    <t>K2-155 b</t>
  </si>
  <si>
    <t>K2-155 c</t>
  </si>
  <si>
    <t>K2-155 d</t>
  </si>
  <si>
    <t>K2-156</t>
  </si>
  <si>
    <t>K2-156 b</t>
  </si>
  <si>
    <t>K2-157</t>
  </si>
  <si>
    <t>K2-157 b</t>
  </si>
  <si>
    <t>K2-158</t>
  </si>
  <si>
    <t>K2-158 b</t>
  </si>
  <si>
    <t>K2-158 c</t>
  </si>
  <si>
    <t>K2-159</t>
  </si>
  <si>
    <t>K2-159 b</t>
  </si>
  <si>
    <t>K2-16</t>
  </si>
  <si>
    <t>K2-16 b</t>
  </si>
  <si>
    <t>K2-16 c</t>
  </si>
  <si>
    <t>K2-160</t>
  </si>
  <si>
    <t>K2-160 b</t>
  </si>
  <si>
    <t>K2-161</t>
  </si>
  <si>
    <t>K2-161 b</t>
  </si>
  <si>
    <t>K2-162</t>
  </si>
  <si>
    <t>K2-162 b</t>
  </si>
  <si>
    <t>K2-163</t>
  </si>
  <si>
    <t>K2-163 b</t>
  </si>
  <si>
    <t>K2-164</t>
  </si>
  <si>
    <t>K2-164 b</t>
  </si>
  <si>
    <t>K2-165</t>
  </si>
  <si>
    <t>K2-165 b</t>
  </si>
  <si>
    <t>K2-165 c</t>
  </si>
  <si>
    <t>K2-165 d</t>
  </si>
  <si>
    <t>K2-166</t>
  </si>
  <si>
    <t>K2-166 b</t>
  </si>
  <si>
    <t>K2-167</t>
  </si>
  <si>
    <t>K2-167 b</t>
  </si>
  <si>
    <t>K2-168</t>
  </si>
  <si>
    <t>K2-168 b</t>
  </si>
  <si>
    <t>K2-169</t>
  </si>
  <si>
    <t>K2-169 b</t>
  </si>
  <si>
    <t>K2-17</t>
  </si>
  <si>
    <t>K2-17 b</t>
  </si>
  <si>
    <t>K2-170</t>
  </si>
  <si>
    <t>K2-170 b</t>
  </si>
  <si>
    <t>K2-170 c</t>
  </si>
  <si>
    <t>K2-171</t>
  </si>
  <si>
    <t>K2-171 b</t>
  </si>
  <si>
    <t>K2-172</t>
  </si>
  <si>
    <t>K2-172 b</t>
  </si>
  <si>
    <t>K2-172 c</t>
  </si>
  <si>
    <t>K2-173</t>
  </si>
  <si>
    <t>K2-173 b</t>
  </si>
  <si>
    <t>K2-174</t>
  </si>
  <si>
    <t>K2-174 b</t>
  </si>
  <si>
    <t>K2-175</t>
  </si>
  <si>
    <t>K2-175 b</t>
  </si>
  <si>
    <t>K2-176</t>
  </si>
  <si>
    <t>K2-176 b</t>
  </si>
  <si>
    <t>K2-177</t>
  </si>
  <si>
    <t>K2-177 b</t>
  </si>
  <si>
    <t>K2-178</t>
  </si>
  <si>
    <t>K2-178 b</t>
  </si>
  <si>
    <t>K2-179</t>
  </si>
  <si>
    <t>K2-179 b</t>
  </si>
  <si>
    <t>K2-18</t>
  </si>
  <si>
    <t>K2-18 b</t>
  </si>
  <si>
    <t>K2-18 c</t>
  </si>
  <si>
    <t>K2-180</t>
  </si>
  <si>
    <t>K2-180 b</t>
  </si>
  <si>
    <t>K2-181</t>
  </si>
  <si>
    <t>K2-181 b</t>
  </si>
  <si>
    <t>K2-182</t>
  </si>
  <si>
    <t>K2-182 b</t>
  </si>
  <si>
    <t>K2-183</t>
  </si>
  <si>
    <t>K2-183 b</t>
  </si>
  <si>
    <t>K2-183 c</t>
  </si>
  <si>
    <t>K2-183 d</t>
  </si>
  <si>
    <t>K2-184</t>
  </si>
  <si>
    <t>K2-184 b</t>
  </si>
  <si>
    <t>K2-185</t>
  </si>
  <si>
    <t>K2-185 b</t>
  </si>
  <si>
    <t>K2-186</t>
  </si>
  <si>
    <t>K2-186 b</t>
  </si>
  <si>
    <t>K2-187</t>
  </si>
  <si>
    <t>K2-187 b</t>
  </si>
  <si>
    <t>K2-187 c</t>
  </si>
  <si>
    <t>K2-187 d</t>
  </si>
  <si>
    <t>K2-187 e</t>
  </si>
  <si>
    <t>K2-188</t>
  </si>
  <si>
    <t>K2-188 b</t>
  </si>
  <si>
    <t>K2-188 c</t>
  </si>
  <si>
    <t>K2-189</t>
  </si>
  <si>
    <t>K2-189 b</t>
  </si>
  <si>
    <t>K2-189 c</t>
  </si>
  <si>
    <t>K2-19</t>
  </si>
  <si>
    <t>K2-19 b</t>
  </si>
  <si>
    <t>K2-19 c</t>
  </si>
  <si>
    <t>K2-19 d</t>
  </si>
  <si>
    <t>K2-190</t>
  </si>
  <si>
    <t>K2-190 b</t>
  </si>
  <si>
    <t>K2-190 c</t>
  </si>
  <si>
    <t>K2-191</t>
  </si>
  <si>
    <t>K2-191 b</t>
  </si>
  <si>
    <t>K2-192</t>
  </si>
  <si>
    <t>K2-192 b</t>
  </si>
  <si>
    <t>K2-193</t>
  </si>
  <si>
    <t>K2-193 b</t>
  </si>
  <si>
    <t>K2-194</t>
  </si>
  <si>
    <t>K2-194 b</t>
  </si>
  <si>
    <t>K2-195</t>
  </si>
  <si>
    <t>K2-195 b</t>
  </si>
  <si>
    <t>K2-195 c</t>
  </si>
  <si>
    <t>K2-196</t>
  </si>
  <si>
    <t>K2-196 b</t>
  </si>
  <si>
    <t>K2-197</t>
  </si>
  <si>
    <t>K2-197 b</t>
  </si>
  <si>
    <t>K2-198</t>
  </si>
  <si>
    <t>K2-198 b</t>
  </si>
  <si>
    <t>K2-199</t>
  </si>
  <si>
    <t>K2-199 b</t>
  </si>
  <si>
    <t>K2-199 c</t>
  </si>
  <si>
    <t>K2-200</t>
  </si>
  <si>
    <t>K2-200 b</t>
  </si>
  <si>
    <t>K2-201</t>
  </si>
  <si>
    <t>K2-201 b</t>
  </si>
  <si>
    <t>K2-201 c</t>
  </si>
  <si>
    <t>K2-202</t>
  </si>
  <si>
    <t>K2-202 b</t>
  </si>
  <si>
    <t>K2-203</t>
  </si>
  <si>
    <t>K2-203 b</t>
  </si>
  <si>
    <t>K2-204</t>
  </si>
  <si>
    <t>K2-204 b</t>
  </si>
  <si>
    <t>K2-205</t>
  </si>
  <si>
    <t>K2-205 b</t>
  </si>
  <si>
    <t>K2-206</t>
  </si>
  <si>
    <t>K2-206 b</t>
  </si>
  <si>
    <t>K2-207</t>
  </si>
  <si>
    <t>K2-207 b</t>
  </si>
  <si>
    <t>K2-208</t>
  </si>
  <si>
    <t>K2-208 b</t>
  </si>
  <si>
    <t>K2-209</t>
  </si>
  <si>
    <t>K2-209 b</t>
  </si>
  <si>
    <t>K2-21</t>
  </si>
  <si>
    <t>K2-21 b</t>
  </si>
  <si>
    <t>K2-21 c</t>
  </si>
  <si>
    <t>K2-210</t>
  </si>
  <si>
    <t>K2-210 b</t>
  </si>
  <si>
    <t>K2-211</t>
  </si>
  <si>
    <t>K2-211 b</t>
  </si>
  <si>
    <t>K2-212</t>
  </si>
  <si>
    <t>K2-212 b</t>
  </si>
  <si>
    <t>K2-213</t>
  </si>
  <si>
    <t>K2-213 b</t>
  </si>
  <si>
    <t>K2-214</t>
  </si>
  <si>
    <t>K2-214 b</t>
  </si>
  <si>
    <t>K2-215</t>
  </si>
  <si>
    <t>K2-215 b</t>
  </si>
  <si>
    <t>K2-216</t>
  </si>
  <si>
    <t>K2-216 b</t>
  </si>
  <si>
    <t>K2-217</t>
  </si>
  <si>
    <t>K2-217 b</t>
  </si>
  <si>
    <t>K2-218</t>
  </si>
  <si>
    <t>K2-218 b</t>
  </si>
  <si>
    <t>K2-219</t>
  </si>
  <si>
    <t>K2-219 b</t>
  </si>
  <si>
    <t>K2-219 c</t>
  </si>
  <si>
    <t>K2-219 d</t>
  </si>
  <si>
    <t>K2-22</t>
  </si>
  <si>
    <t>K2-22 b</t>
  </si>
  <si>
    <t>K2-220</t>
  </si>
  <si>
    <t>K2-220 b</t>
  </si>
  <si>
    <t>K2-221</t>
  </si>
  <si>
    <t>K2-221 b</t>
  </si>
  <si>
    <t>K2-222</t>
  </si>
  <si>
    <t>K2-222 b</t>
  </si>
  <si>
    <t>K2-223</t>
  </si>
  <si>
    <t>K2-223 b</t>
  </si>
  <si>
    <t>K2-223 c</t>
  </si>
  <si>
    <t>K2-224</t>
  </si>
  <si>
    <t>K2-224 b</t>
  </si>
  <si>
    <t>K2-224 c</t>
  </si>
  <si>
    <t>K2-225</t>
  </si>
  <si>
    <t>K2-225 b</t>
  </si>
  <si>
    <t>K2-226</t>
  </si>
  <si>
    <t>K2-226 b</t>
  </si>
  <si>
    <t>K2-227</t>
  </si>
  <si>
    <t>K2-227 b</t>
  </si>
  <si>
    <t>K2-228</t>
  </si>
  <si>
    <t>K2-228 b</t>
  </si>
  <si>
    <t>K2-229</t>
  </si>
  <si>
    <t>K2-229 b</t>
  </si>
  <si>
    <t>K2-229 c</t>
  </si>
  <si>
    <t>K2-230</t>
  </si>
  <si>
    <t>K2-230 b</t>
  </si>
  <si>
    <t>K2-231</t>
  </si>
  <si>
    <t>K2-231 b</t>
  </si>
  <si>
    <t>K2-232</t>
  </si>
  <si>
    <t>K2-232 b</t>
  </si>
  <si>
    <t>K2-233</t>
  </si>
  <si>
    <t>K2-233 b</t>
  </si>
  <si>
    <t>K2-233 c</t>
  </si>
  <si>
    <t>K2-233 d</t>
  </si>
  <si>
    <t>K2-237</t>
  </si>
  <si>
    <t>K2-237 b</t>
  </si>
  <si>
    <t>K2-238</t>
  </si>
  <si>
    <t>K2-238 b</t>
  </si>
  <si>
    <t>K2-239</t>
  </si>
  <si>
    <t>K2-239 b</t>
  </si>
  <si>
    <t>K2-239 c</t>
  </si>
  <si>
    <t>K2-239 d</t>
  </si>
  <si>
    <t>K2-24</t>
  </si>
  <si>
    <t>K2-24 b</t>
  </si>
  <si>
    <t>K2-24 c</t>
  </si>
  <si>
    <t>K2-240</t>
  </si>
  <si>
    <t>K2-240 b</t>
  </si>
  <si>
    <t>K2-240 c</t>
  </si>
  <si>
    <t>K2-241</t>
  </si>
  <si>
    <t>K2-241 b</t>
  </si>
  <si>
    <t>K2-242</t>
  </si>
  <si>
    <t>K2-242 b</t>
  </si>
  <si>
    <t>K2-243</t>
  </si>
  <si>
    <t>K2-243 b</t>
  </si>
  <si>
    <t>K2-243 c</t>
  </si>
  <si>
    <t>K2-244</t>
  </si>
  <si>
    <t>K2-244 b</t>
  </si>
  <si>
    <t>K2-245</t>
  </si>
  <si>
    <t>K2-245 b</t>
  </si>
  <si>
    <t>K2-246</t>
  </si>
  <si>
    <t>K2-246 b</t>
  </si>
  <si>
    <t>K2-247</t>
  </si>
  <si>
    <t>K2-247 b</t>
  </si>
  <si>
    <t>K2-247 c</t>
  </si>
  <si>
    <t>K2-248</t>
  </si>
  <si>
    <t>K2-248 b</t>
  </si>
  <si>
    <t>K2-249</t>
  </si>
  <si>
    <t>K2-249 b</t>
  </si>
  <si>
    <t>K2-25</t>
  </si>
  <si>
    <t>K2-25 b</t>
  </si>
  <si>
    <t>K2-250</t>
  </si>
  <si>
    <t>K2-250 b</t>
  </si>
  <si>
    <t>K2-251</t>
  </si>
  <si>
    <t>K2-251 b</t>
  </si>
  <si>
    <t>K2-252</t>
  </si>
  <si>
    <t>K2-252 b</t>
  </si>
  <si>
    <t>K2-253</t>
  </si>
  <si>
    <t>K2-253 b</t>
  </si>
  <si>
    <t>K2-254</t>
  </si>
  <si>
    <t>K2-254 b</t>
  </si>
  <si>
    <t>K2-254 c</t>
  </si>
  <si>
    <t>K2-255</t>
  </si>
  <si>
    <t>K2-255 b</t>
  </si>
  <si>
    <t>K2-256</t>
  </si>
  <si>
    <t>K2-256 b</t>
  </si>
  <si>
    <t>K2-257</t>
  </si>
  <si>
    <t>K2-257 b</t>
  </si>
  <si>
    <t>K2-258</t>
  </si>
  <si>
    <t>K2-258 b</t>
  </si>
  <si>
    <t>K2-259</t>
  </si>
  <si>
    <t>K2-259 b</t>
  </si>
  <si>
    <t>K2-26</t>
  </si>
  <si>
    <t>K2-26 b</t>
  </si>
  <si>
    <t>K2-260</t>
  </si>
  <si>
    <t>K2-260 b</t>
  </si>
  <si>
    <t>K2-261</t>
  </si>
  <si>
    <t>K2-261 b</t>
  </si>
  <si>
    <t>K2-263</t>
  </si>
  <si>
    <t>K2-263 b</t>
  </si>
  <si>
    <t>K2-264</t>
  </si>
  <si>
    <t>K2-264 b</t>
  </si>
  <si>
    <t>K2-264 c</t>
  </si>
  <si>
    <t>K2-265</t>
  </si>
  <si>
    <t>K2-265 b</t>
  </si>
  <si>
    <t>K2-266</t>
  </si>
  <si>
    <t>K2-266 b</t>
  </si>
  <si>
    <t>K2-266 c</t>
  </si>
  <si>
    <t>K2-266 d</t>
  </si>
  <si>
    <t>K2-266 e</t>
  </si>
  <si>
    <t>K2-268</t>
  </si>
  <si>
    <t>K2-268 b</t>
  </si>
  <si>
    <t>K2-268 c</t>
  </si>
  <si>
    <t>K2-269</t>
  </si>
  <si>
    <t>K2-269 b</t>
  </si>
  <si>
    <t>K2-27</t>
  </si>
  <si>
    <t>K2-27 b</t>
  </si>
  <si>
    <t>K2-270</t>
  </si>
  <si>
    <t>K2-270 b</t>
  </si>
  <si>
    <t>K2-270 c</t>
  </si>
  <si>
    <t>K2-271</t>
  </si>
  <si>
    <t>K2-271 b</t>
  </si>
  <si>
    <t>K2-272</t>
  </si>
  <si>
    <t>K2-272 b</t>
  </si>
  <si>
    <t>K2-273</t>
  </si>
  <si>
    <t>K2-273 b</t>
  </si>
  <si>
    <t>K2-274</t>
  </si>
  <si>
    <t>K2-274 b</t>
  </si>
  <si>
    <t>K2-275</t>
  </si>
  <si>
    <t>K2-275 b</t>
  </si>
  <si>
    <t>K2-275 c</t>
  </si>
  <si>
    <t>K2-276</t>
  </si>
  <si>
    <t>K2-276 b</t>
  </si>
  <si>
    <t>K2-277</t>
  </si>
  <si>
    <t>K2-277 b</t>
  </si>
  <si>
    <t>K2-278</t>
  </si>
  <si>
    <t>K2-278 b</t>
  </si>
  <si>
    <t>K2-279</t>
  </si>
  <si>
    <t>K2-279 b</t>
  </si>
  <si>
    <t>K2-28</t>
  </si>
  <si>
    <t>K2-28 b</t>
  </si>
  <si>
    <t>K2-280</t>
  </si>
  <si>
    <t>K2-280 b</t>
  </si>
  <si>
    <t>K2-281</t>
  </si>
  <si>
    <t>K2-281 b</t>
  </si>
  <si>
    <t>K2-282</t>
  </si>
  <si>
    <t>K2-282 b</t>
  </si>
  <si>
    <t>K2-283</t>
  </si>
  <si>
    <t>K2-283 b</t>
  </si>
  <si>
    <t>K2-284</t>
  </si>
  <si>
    <t>K2-284 b</t>
  </si>
  <si>
    <t>K2-285</t>
  </si>
  <si>
    <t>K2-285 b</t>
  </si>
  <si>
    <t>K2-285 c</t>
  </si>
  <si>
    <t>K2-285 d</t>
  </si>
  <si>
    <t>K2-285 e</t>
  </si>
  <si>
    <t>K2-286</t>
  </si>
  <si>
    <t>K2-286 b</t>
  </si>
  <si>
    <t>K2-287</t>
  </si>
  <si>
    <t>K2-287 b</t>
  </si>
  <si>
    <t>K2-288 B</t>
  </si>
  <si>
    <t>K2-288 B b</t>
  </si>
  <si>
    <t>K2-289</t>
  </si>
  <si>
    <t>K2-289 b</t>
  </si>
  <si>
    <t>K2-29</t>
  </si>
  <si>
    <t>K2-29 b</t>
  </si>
  <si>
    <t>K2-290</t>
  </si>
  <si>
    <t>K2-290 b</t>
  </si>
  <si>
    <t>K2-290 c</t>
  </si>
  <si>
    <t>K2-291</t>
  </si>
  <si>
    <t>K2-291 b</t>
  </si>
  <si>
    <t>K2-293</t>
  </si>
  <si>
    <t>K2-293 b</t>
  </si>
  <si>
    <t>K2-294</t>
  </si>
  <si>
    <t>K2-294 b</t>
  </si>
  <si>
    <t>K2-295</t>
  </si>
  <si>
    <t>K2-295 b</t>
  </si>
  <si>
    <t>K2-3</t>
  </si>
  <si>
    <t>K2-3 b</t>
  </si>
  <si>
    <t>K2-3 c</t>
  </si>
  <si>
    <t>K2-3 d</t>
  </si>
  <si>
    <t>K2-30</t>
  </si>
  <si>
    <t>K2-30 b</t>
  </si>
  <si>
    <t>K2-31</t>
  </si>
  <si>
    <t>K2-31 b</t>
  </si>
  <si>
    <t>K2-32</t>
  </si>
  <si>
    <t>K2-32 b</t>
  </si>
  <si>
    <t>K2-32 c</t>
  </si>
  <si>
    <t>K2-32 d</t>
  </si>
  <si>
    <t>K2-33</t>
  </si>
  <si>
    <t>K2-33 b</t>
  </si>
  <si>
    <t>K2-34</t>
  </si>
  <si>
    <t>K2-34 b</t>
  </si>
  <si>
    <t>K2-35</t>
  </si>
  <si>
    <t>K2-35 b</t>
  </si>
  <si>
    <t>K2-35 c</t>
  </si>
  <si>
    <t>K2-36</t>
  </si>
  <si>
    <t>K2-36 b</t>
  </si>
  <si>
    <t>K2-36 c</t>
  </si>
  <si>
    <t>K2-37</t>
  </si>
  <si>
    <t>K2-37 b</t>
  </si>
  <si>
    <t>K2-37 c</t>
  </si>
  <si>
    <t>K2-37 d</t>
  </si>
  <si>
    <t>K2-38</t>
  </si>
  <si>
    <t>K2-38 b</t>
  </si>
  <si>
    <t>K2-38 c</t>
  </si>
  <si>
    <t>K2-39</t>
  </si>
  <si>
    <t>K2-39 b</t>
  </si>
  <si>
    <t>K2-4</t>
  </si>
  <si>
    <t>K2-4 b</t>
  </si>
  <si>
    <t>K2-42</t>
  </si>
  <si>
    <t>K2-42 b</t>
  </si>
  <si>
    <t>K2-43</t>
  </si>
  <si>
    <t>K2-43 b</t>
  </si>
  <si>
    <t>K2-44</t>
  </si>
  <si>
    <t>K2-44 b</t>
  </si>
  <si>
    <t>K2-45</t>
  </si>
  <si>
    <t>K2-45 b</t>
  </si>
  <si>
    <t>K2-46</t>
  </si>
  <si>
    <t>K2-46 b</t>
  </si>
  <si>
    <t>K2-47</t>
  </si>
  <si>
    <t>K2-47 b</t>
  </si>
  <si>
    <t>K2-48</t>
  </si>
  <si>
    <t>K2-48 b</t>
  </si>
  <si>
    <t>K2-49</t>
  </si>
  <si>
    <t>K2-49 b</t>
  </si>
  <si>
    <t>K2-5</t>
  </si>
  <si>
    <t>K2-5 b</t>
  </si>
  <si>
    <t>K2-5 c</t>
  </si>
  <si>
    <t>K2-50</t>
  </si>
  <si>
    <t>K2-50 b</t>
  </si>
  <si>
    <t>K2-52</t>
  </si>
  <si>
    <t>K2-52 b</t>
  </si>
  <si>
    <t>K2-53</t>
  </si>
  <si>
    <t>K2-53 b</t>
  </si>
  <si>
    <t>K2-54</t>
  </si>
  <si>
    <t>K2-54 b</t>
  </si>
  <si>
    <t>K2-55</t>
  </si>
  <si>
    <t>K2-55 b</t>
  </si>
  <si>
    <t>K2-57</t>
  </si>
  <si>
    <t>K2-57 b</t>
  </si>
  <si>
    <t>K2-58</t>
  </si>
  <si>
    <t>K2-58 b</t>
  </si>
  <si>
    <t>K2-58 c</t>
  </si>
  <si>
    <t>K2-58 d</t>
  </si>
  <si>
    <t>K2-59</t>
  </si>
  <si>
    <t>K2-59 b</t>
  </si>
  <si>
    <t>K2-59 c</t>
  </si>
  <si>
    <t>K2-6</t>
  </si>
  <si>
    <t>K2-6 b</t>
  </si>
  <si>
    <t>K2-60</t>
  </si>
  <si>
    <t>K2-60 b</t>
  </si>
  <si>
    <t>K2-61</t>
  </si>
  <si>
    <t>K2-61 b</t>
  </si>
  <si>
    <t>K2-62</t>
  </si>
  <si>
    <t>K2-62 b</t>
  </si>
  <si>
    <t>K2-62 c</t>
  </si>
  <si>
    <t>K2-63</t>
  </si>
  <si>
    <t>K2-63 b</t>
  </si>
  <si>
    <t>K2-63 c</t>
  </si>
  <si>
    <t>K2-64</t>
  </si>
  <si>
    <t>K2-64 b</t>
  </si>
  <si>
    <t>K2-65</t>
  </si>
  <si>
    <t>K2-65 b</t>
  </si>
  <si>
    <t>K2-66</t>
  </si>
  <si>
    <t>K2-66 b</t>
  </si>
  <si>
    <t>K2-68</t>
  </si>
  <si>
    <t>K2-68 b</t>
  </si>
  <si>
    <t>K2-69</t>
  </si>
  <si>
    <t>K2-69 b</t>
  </si>
  <si>
    <t>K2-7</t>
  </si>
  <si>
    <t>K2-7 b</t>
  </si>
  <si>
    <t>K2-70</t>
  </si>
  <si>
    <t>K2-70 b</t>
  </si>
  <si>
    <t>K2-71</t>
  </si>
  <si>
    <t>K2-71 b</t>
  </si>
  <si>
    <t>K2-72</t>
  </si>
  <si>
    <t>K2-72 b</t>
  </si>
  <si>
    <t>K2-72 c</t>
  </si>
  <si>
    <t>K2-72 d</t>
  </si>
  <si>
    <t>K2-72 e</t>
  </si>
  <si>
    <t>K2-73</t>
  </si>
  <si>
    <t>K2-73 b</t>
  </si>
  <si>
    <t>K2-74</t>
  </si>
  <si>
    <t>K2-74 b</t>
  </si>
  <si>
    <t>K2-75</t>
  </si>
  <si>
    <t>K2-75 b</t>
  </si>
  <si>
    <t>K2-75 c</t>
  </si>
  <si>
    <t>K2-77</t>
  </si>
  <si>
    <t>K2-77 b</t>
  </si>
  <si>
    <t>K2-79</t>
  </si>
  <si>
    <t>K2-79 b</t>
  </si>
  <si>
    <t>K2-8</t>
  </si>
  <si>
    <t>K2-8 b</t>
  </si>
  <si>
    <t>K2-8 c</t>
  </si>
  <si>
    <t>K2-80</t>
  </si>
  <si>
    <t>K2-80 b</t>
  </si>
  <si>
    <t>K2-80 c</t>
  </si>
  <si>
    <t>K2-80 d</t>
  </si>
  <si>
    <t>K2-81</t>
  </si>
  <si>
    <t>K2-81 b</t>
  </si>
  <si>
    <t>K2-83</t>
  </si>
  <si>
    <t>K2-83 b</t>
  </si>
  <si>
    <t>K2-83 c</t>
  </si>
  <si>
    <t>K2-84</t>
  </si>
  <si>
    <t>K2-84 b</t>
  </si>
  <si>
    <t>K2-84 c</t>
  </si>
  <si>
    <t>K2-85</t>
  </si>
  <si>
    <t>K2-85 b</t>
  </si>
  <si>
    <t>K2-86</t>
  </si>
  <si>
    <t>K2-86 b</t>
  </si>
  <si>
    <t>K2-87</t>
  </si>
  <si>
    <t>K2-87 b</t>
  </si>
  <si>
    <t>K2-88</t>
  </si>
  <si>
    <t>K2-88 b</t>
  </si>
  <si>
    <t>K2-89</t>
  </si>
  <si>
    <t>K2-89 b</t>
  </si>
  <si>
    <t>K2-9</t>
  </si>
  <si>
    <t>K2-9 b</t>
  </si>
  <si>
    <t>K2-90</t>
  </si>
  <si>
    <t>K2-90 b</t>
  </si>
  <si>
    <t>K2-90 c</t>
  </si>
  <si>
    <t>K2-91</t>
  </si>
  <si>
    <t>K2-91 b</t>
  </si>
  <si>
    <t>K2-95</t>
  </si>
  <si>
    <t>K2-95 b</t>
  </si>
  <si>
    <t>K2-97</t>
  </si>
  <si>
    <t>K2-97 b</t>
  </si>
  <si>
    <t>K2-98</t>
  </si>
  <si>
    <t>K2-98 b</t>
  </si>
  <si>
    <t>K2-99</t>
  </si>
  <si>
    <t>K2-99 b</t>
  </si>
  <si>
    <t>KELT-1</t>
  </si>
  <si>
    <t>KELT-1 b</t>
  </si>
  <si>
    <t>KELT</t>
  </si>
  <si>
    <t>KELT-10</t>
  </si>
  <si>
    <t>KELT-10 b</t>
  </si>
  <si>
    <t>KELT-South</t>
  </si>
  <si>
    <t>KELT-11</t>
  </si>
  <si>
    <t>KELT-11 b</t>
  </si>
  <si>
    <t>KELT-12</t>
  </si>
  <si>
    <t>KELT-12 b</t>
  </si>
  <si>
    <t>KELT-North</t>
  </si>
  <si>
    <t>KELT-14</t>
  </si>
  <si>
    <t>KELT-14 b</t>
  </si>
  <si>
    <t>KELT-15</t>
  </si>
  <si>
    <t>KELT-15 b</t>
  </si>
  <si>
    <t>KELT-16</t>
  </si>
  <si>
    <t>KELT-16 b</t>
  </si>
  <si>
    <t>KELT-17</t>
  </si>
  <si>
    <t>KELT-17 b</t>
  </si>
  <si>
    <t>KELT-18</t>
  </si>
  <si>
    <t>KELT-18 b</t>
  </si>
  <si>
    <t>KELT-19 A</t>
  </si>
  <si>
    <t>KELT-19 A b</t>
  </si>
  <si>
    <t>KELT-2 A</t>
  </si>
  <si>
    <t>KELT-2 A b</t>
  </si>
  <si>
    <t>KELT-20</t>
  </si>
  <si>
    <t>KELT-20 b</t>
  </si>
  <si>
    <t>KELT-21</t>
  </si>
  <si>
    <t>KELT-21 b</t>
  </si>
  <si>
    <t>KELT-3</t>
  </si>
  <si>
    <t>KELT-3 b</t>
  </si>
  <si>
    <t>KELT-4 A</t>
  </si>
  <si>
    <t>KELT-4 A b</t>
  </si>
  <si>
    <t>KELT-6</t>
  </si>
  <si>
    <t>KELT-6 b</t>
  </si>
  <si>
    <t>KELT-6 c</t>
  </si>
  <si>
    <t>KELT-7</t>
  </si>
  <si>
    <t>KELT-7 b</t>
  </si>
  <si>
    <t>KELT-8</t>
  </si>
  <si>
    <t>KELT-8 b</t>
  </si>
  <si>
    <t>KELT-9</t>
  </si>
  <si>
    <t>KELT-9 b</t>
  </si>
  <si>
    <t>KIC 10001893</t>
  </si>
  <si>
    <t>KIC 10001893 b</t>
  </si>
  <si>
    <t>Orbital Brightness Modulation</t>
  </si>
  <si>
    <t>KIC 10001893 c</t>
  </si>
  <si>
    <t>KIC 10001893 d</t>
  </si>
  <si>
    <t>KIC 10525077</t>
  </si>
  <si>
    <t>KIC 10525077 b</t>
  </si>
  <si>
    <t>KIC 3558849</t>
  </si>
  <si>
    <t>KIC 3558849 b</t>
  </si>
  <si>
    <t>KIC 5437945</t>
  </si>
  <si>
    <t>KIC 5437945 b</t>
  </si>
  <si>
    <t>KIC 5951458</t>
  </si>
  <si>
    <t>KIC 5951458 b</t>
  </si>
  <si>
    <t>KIC 7917485</t>
  </si>
  <si>
    <t>KIC 7917485 b</t>
  </si>
  <si>
    <t>Pulsation Timing Variations</t>
  </si>
  <si>
    <t>KOI-7892</t>
  </si>
  <si>
    <t>KIC 8540376 b</t>
  </si>
  <si>
    <t>KIC 8540376 c</t>
  </si>
  <si>
    <t>KIC 9663113</t>
  </si>
  <si>
    <t>KIC 9663113 b</t>
  </si>
  <si>
    <t>KMT-2016-BLG-1107L</t>
  </si>
  <si>
    <t>KMT-2016-BLG-1107L b</t>
  </si>
  <si>
    <t>Microlensing</t>
  </si>
  <si>
    <t>KMTNet</t>
  </si>
  <si>
    <t>KMT-2016-BLG-1397L</t>
  </si>
  <si>
    <t>KMT-2016-BLG-1397L b</t>
  </si>
  <si>
    <t>KMT-2016-BLG-1820L</t>
  </si>
  <si>
    <t>KMT-2016-BLG-1820L b</t>
  </si>
  <si>
    <t>KMT-2016-BLG-2142L</t>
  </si>
  <si>
    <t>KMT-2016-BLG-2142L b</t>
  </si>
  <si>
    <t>KMT-2017-BLG-1038L</t>
  </si>
  <si>
    <t>KMT-2017-BLG-1038L b</t>
  </si>
  <si>
    <t>KMT-2017-BLG-1146L</t>
  </si>
  <si>
    <t>KMT-2017-BLG-1146L b</t>
  </si>
  <si>
    <t>KOI-12</t>
  </si>
  <si>
    <t>KOI-12 b</t>
  </si>
  <si>
    <t>KOI-1257</t>
  </si>
  <si>
    <t>KOI-1257 b</t>
  </si>
  <si>
    <t>KOI-13</t>
  </si>
  <si>
    <t>KOI-13 b</t>
  </si>
  <si>
    <t>KOI-142</t>
  </si>
  <si>
    <t>KOI-142 b</t>
  </si>
  <si>
    <t>KOI-142 c</t>
  </si>
  <si>
    <t>Transit Timing Variations</t>
  </si>
  <si>
    <t>KOI-1599</t>
  </si>
  <si>
    <t>KOI-1599.01</t>
  </si>
  <si>
    <t>KOI-1599.02</t>
  </si>
  <si>
    <t>KOI-217</t>
  </si>
  <si>
    <t>KOI-217 b</t>
  </si>
  <si>
    <t>KOI-351</t>
  </si>
  <si>
    <t>KOI-351 b</t>
  </si>
  <si>
    <t>KOI-351 c</t>
  </si>
  <si>
    <t>KOI-351 d</t>
  </si>
  <si>
    <t>KOI-351 e</t>
  </si>
  <si>
    <t>KOI-351 f</t>
  </si>
  <si>
    <t>KOI-351 g</t>
  </si>
  <si>
    <t>KOI-351 h</t>
  </si>
  <si>
    <t>KOI-351 i</t>
  </si>
  <si>
    <t>KOI-3680</t>
  </si>
  <si>
    <t>KOI-3680 b</t>
  </si>
  <si>
    <t>KOI-55</t>
  </si>
  <si>
    <t>KOI-55 b</t>
  </si>
  <si>
    <t>KOI-55 c</t>
  </si>
  <si>
    <t>KOI-94</t>
  </si>
  <si>
    <t>KOI-94 b</t>
  </si>
  <si>
    <t>KOI-94 c</t>
  </si>
  <si>
    <t>KOI-94 d</t>
  </si>
  <si>
    <t>KOI-94 e</t>
  </si>
  <si>
    <t>KPS-1</t>
  </si>
  <si>
    <t>KPS-1 b</t>
  </si>
  <si>
    <t>Acton Sky Portal Observatory</t>
  </si>
  <si>
    <t>Kapteyn</t>
  </si>
  <si>
    <t>Kapteyn c</t>
  </si>
  <si>
    <t>Kepler-10</t>
  </si>
  <si>
    <t>Kepler-10 b</t>
  </si>
  <si>
    <t>Kepler-10 c</t>
  </si>
  <si>
    <t>Kepler-100</t>
  </si>
  <si>
    <t>Kepler-100 b</t>
  </si>
  <si>
    <t>Kepler-100 c</t>
  </si>
  <si>
    <t>Kepler-100 d</t>
  </si>
  <si>
    <t>Kepler-1000</t>
  </si>
  <si>
    <t>Kepler-1000 b</t>
  </si>
  <si>
    <t>Kepler-1001</t>
  </si>
  <si>
    <t>Kepler-1001 b</t>
  </si>
  <si>
    <t>Kepler-1002</t>
  </si>
  <si>
    <t>Kepler-1002 b</t>
  </si>
  <si>
    <t>Kepler-1003</t>
  </si>
  <si>
    <t>Kepler-1003 b</t>
  </si>
  <si>
    <t>Kepler-1004</t>
  </si>
  <si>
    <t>Kepler-1004 b</t>
  </si>
  <si>
    <t>Kepler-1005</t>
  </si>
  <si>
    <t>Kepler-1005 b</t>
  </si>
  <si>
    <t>Kepler-1006</t>
  </si>
  <si>
    <t>Kepler-1006 b</t>
  </si>
  <si>
    <t>Kepler-1007</t>
  </si>
  <si>
    <t>Kepler-1007 b</t>
  </si>
  <si>
    <t>Kepler-1008</t>
  </si>
  <si>
    <t>Kepler-1008 b</t>
  </si>
  <si>
    <t>Kepler-1009</t>
  </si>
  <si>
    <t>Kepler-1009 b</t>
  </si>
  <si>
    <t>Kepler-101</t>
  </si>
  <si>
    <t>Kepler-101 b</t>
  </si>
  <si>
    <t>Kepler-101 c</t>
  </si>
  <si>
    <t>Kepler-1010</t>
  </si>
  <si>
    <t>Kepler-1010 b</t>
  </si>
  <si>
    <t>Kepler-1011</t>
  </si>
  <si>
    <t>Kepler-1011 b</t>
  </si>
  <si>
    <t>Kepler-1012</t>
  </si>
  <si>
    <t>Kepler-1012 b</t>
  </si>
  <si>
    <t>Kepler-1013</t>
  </si>
  <si>
    <t>Kepler-1013 b</t>
  </si>
  <si>
    <t>Kepler-1014</t>
  </si>
  <si>
    <t>Kepler-1014 b</t>
  </si>
  <si>
    <t>Kepler-1015</t>
  </si>
  <si>
    <t>Kepler-1015 b</t>
  </si>
  <si>
    <t>Kepler-1016</t>
  </si>
  <si>
    <t>Kepler-1016 b</t>
  </si>
  <si>
    <t>Kepler-1016 c</t>
  </si>
  <si>
    <t>Kepler-1017</t>
  </si>
  <si>
    <t>Kepler-1017 b</t>
  </si>
  <si>
    <t>Kepler-1018</t>
  </si>
  <si>
    <t>Kepler-1018 b</t>
  </si>
  <si>
    <t>Kepler-1019</t>
  </si>
  <si>
    <t>Kepler-1019 b</t>
  </si>
  <si>
    <t>Kepler-102</t>
  </si>
  <si>
    <t>Kepler-102 b</t>
  </si>
  <si>
    <t>Kepler-102 c</t>
  </si>
  <si>
    <t>Kepler-102 d</t>
  </si>
  <si>
    <t>Kepler-102 e</t>
  </si>
  <si>
    <t>Kepler-102 f</t>
  </si>
  <si>
    <t>Kepler-1020</t>
  </si>
  <si>
    <t>Kepler-1020 b</t>
  </si>
  <si>
    <t>Kepler-1021</t>
  </si>
  <si>
    <t>Kepler-1021 b</t>
  </si>
  <si>
    <t>Kepler-1022</t>
  </si>
  <si>
    <t>Kepler-1022 b</t>
  </si>
  <si>
    <t>Kepler-1023</t>
  </si>
  <si>
    <t>Kepler-1023 b</t>
  </si>
  <si>
    <t>Kepler-1024</t>
  </si>
  <si>
    <t>Kepler-1024 b</t>
  </si>
  <si>
    <t>Kepler-1025</t>
  </si>
  <si>
    <t>Kepler-1025 b</t>
  </si>
  <si>
    <t>Kepler-1026</t>
  </si>
  <si>
    <t>Kepler-1026 b</t>
  </si>
  <si>
    <t>Kepler-1027</t>
  </si>
  <si>
    <t>Kepler-1027 b</t>
  </si>
  <si>
    <t>Kepler-1028</t>
  </si>
  <si>
    <t>Kepler-1028 b</t>
  </si>
  <si>
    <t>Kepler-1029</t>
  </si>
  <si>
    <t>Kepler-1029 b</t>
  </si>
  <si>
    <t>Kepler-103</t>
  </si>
  <si>
    <t>Kepler-103 b</t>
  </si>
  <si>
    <t>Kepler-103 c</t>
  </si>
  <si>
    <t>Kepler-1030</t>
  </si>
  <si>
    <t>Kepler-1030 b</t>
  </si>
  <si>
    <t>Kepler-1031</t>
  </si>
  <si>
    <t>Kepler-1031 b</t>
  </si>
  <si>
    <t>Kepler-1032</t>
  </si>
  <si>
    <t>Kepler-1032 b</t>
  </si>
  <si>
    <t>Kepler-1033</t>
  </si>
  <si>
    <t>Kepler-1033 b</t>
  </si>
  <si>
    <t>Kepler-1034</t>
  </si>
  <si>
    <t>Kepler-1034 b</t>
  </si>
  <si>
    <t>Kepler-1035</t>
  </si>
  <si>
    <t>Kepler-1035 b</t>
  </si>
  <si>
    <t>Kepler-1036</t>
  </si>
  <si>
    <t>Kepler-1036 b</t>
  </si>
  <si>
    <t>Kepler-1037</t>
  </si>
  <si>
    <t>Kepler-1037 b</t>
  </si>
  <si>
    <t>Kepler-1038</t>
  </si>
  <si>
    <t>Kepler-1038 b</t>
  </si>
  <si>
    <t>Kepler-1039</t>
  </si>
  <si>
    <t>Kepler-1039 b</t>
  </si>
  <si>
    <t>Kepler-104</t>
  </si>
  <si>
    <t>Kepler-104 b</t>
  </si>
  <si>
    <t>Kepler-104 c</t>
  </si>
  <si>
    <t>Kepler-104 d</t>
  </si>
  <si>
    <t>Kepler-1040</t>
  </si>
  <si>
    <t>Kepler-1040 b</t>
  </si>
  <si>
    <t>Kepler-1041</t>
  </si>
  <si>
    <t>Kepler-1041 b</t>
  </si>
  <si>
    <t>Kepler-1042</t>
  </si>
  <si>
    <t>Kepler-1042 b</t>
  </si>
  <si>
    <t>Kepler-1043</t>
  </si>
  <si>
    <t>Kepler-1043 b</t>
  </si>
  <si>
    <t>Kepler-1044</t>
  </si>
  <si>
    <t>Kepler-1044 b</t>
  </si>
  <si>
    <t>Kepler-1045</t>
  </si>
  <si>
    <t>Kepler-1045 b</t>
  </si>
  <si>
    <t>Kepler-1046</t>
  </si>
  <si>
    <t>Kepler-1046 b</t>
  </si>
  <si>
    <t>Kepler-1047</t>
  </si>
  <si>
    <t>Kepler-1047 b</t>
  </si>
  <si>
    <t>Kepler-1047 c</t>
  </si>
  <si>
    <t>Kepler-1048</t>
  </si>
  <si>
    <t>Kepler-1048 b</t>
  </si>
  <si>
    <t>Kepler-1049</t>
  </si>
  <si>
    <t>Kepler-1049 b</t>
  </si>
  <si>
    <t>Kepler-105</t>
  </si>
  <si>
    <t>Kepler-105 b</t>
  </si>
  <si>
    <t>Kepler-105 c</t>
  </si>
  <si>
    <t>Kepler-1050</t>
  </si>
  <si>
    <t>Kepler-1050 b</t>
  </si>
  <si>
    <t>Kepler-1050 c</t>
  </si>
  <si>
    <t>Kepler-1051</t>
  </si>
  <si>
    <t>Kepler-1051 b</t>
  </si>
  <si>
    <t>Kepler-1052</t>
  </si>
  <si>
    <t>Kepler-1052 b</t>
  </si>
  <si>
    <t>Kepler-1053</t>
  </si>
  <si>
    <t>Kepler-1053 b</t>
  </si>
  <si>
    <t>Kepler-1054</t>
  </si>
  <si>
    <t>Kepler-1054 b</t>
  </si>
  <si>
    <t>Kepler-1055</t>
  </si>
  <si>
    <t>Kepler-1055 b</t>
  </si>
  <si>
    <t>Kepler-1056</t>
  </si>
  <si>
    <t>Kepler-1056 b</t>
  </si>
  <si>
    <t>Kepler-1057</t>
  </si>
  <si>
    <t>Kepler-1057 b</t>
  </si>
  <si>
    <t>Kepler-1058</t>
  </si>
  <si>
    <t>Kepler-1058 b</t>
  </si>
  <si>
    <t>Kepler-1059</t>
  </si>
  <si>
    <t>Kepler-1059 b</t>
  </si>
  <si>
    <t>Kepler-106</t>
  </si>
  <si>
    <t>Kepler-106 b</t>
  </si>
  <si>
    <t>Kepler-106 c</t>
  </si>
  <si>
    <t>Kepler-106 d</t>
  </si>
  <si>
    <t>Kepler-106 e</t>
  </si>
  <si>
    <t>Kepler-1060</t>
  </si>
  <si>
    <t>Kepler-1060 b</t>
  </si>
  <si>
    <t>Kepler-1061</t>
  </si>
  <si>
    <t>Kepler-1061 b</t>
  </si>
  <si>
    <t>Kepler-1062</t>
  </si>
  <si>
    <t>Kepler-1062 b</t>
  </si>
  <si>
    <t>Kepler-1063</t>
  </si>
  <si>
    <t>Kepler-1063 b</t>
  </si>
  <si>
    <t>Kepler-1064</t>
  </si>
  <si>
    <t>Kepler-1064 b</t>
  </si>
  <si>
    <t>Kepler-1065</t>
  </si>
  <si>
    <t>Kepler-1065 b</t>
  </si>
  <si>
    <t>Kepler-1065 c</t>
  </si>
  <si>
    <t>Kepler-1066</t>
  </si>
  <si>
    <t>Kepler-1066 b</t>
  </si>
  <si>
    <t>Kepler-1067</t>
  </si>
  <si>
    <t>Kepler-1067 b</t>
  </si>
  <si>
    <t>Kepler-1068</t>
  </si>
  <si>
    <t>Kepler-1068 b</t>
  </si>
  <si>
    <t>Kepler-1069</t>
  </si>
  <si>
    <t>Kepler-1069 b</t>
  </si>
  <si>
    <t>Kepler-107</t>
  </si>
  <si>
    <t>Kepler-107 b</t>
  </si>
  <si>
    <t>Kepler-107 c</t>
  </si>
  <si>
    <t>Kepler-107 d</t>
  </si>
  <si>
    <t>Kepler-107 e</t>
  </si>
  <si>
    <t>Kepler-1070</t>
  </si>
  <si>
    <t>Kepler-1070 b</t>
  </si>
  <si>
    <t>Kepler-1071</t>
  </si>
  <si>
    <t>Kepler-1071 b</t>
  </si>
  <si>
    <t>Kepler-1072</t>
  </si>
  <si>
    <t>Kepler-1072 b</t>
  </si>
  <si>
    <t>Kepler-1073</t>
  </si>
  <si>
    <t>Kepler-1073 b</t>
  </si>
  <si>
    <t>Kepler-1073 c</t>
  </si>
  <si>
    <t>Kepler-1074</t>
  </si>
  <si>
    <t>Kepler-1074 b</t>
  </si>
  <si>
    <t>Kepler-1075</t>
  </si>
  <si>
    <t>Kepler-1075 b</t>
  </si>
  <si>
    <t>Kepler-1076</t>
  </si>
  <si>
    <t>Kepler-1076 b</t>
  </si>
  <si>
    <t>Kepler-1077</t>
  </si>
  <si>
    <t>Kepler-1077 b</t>
  </si>
  <si>
    <t>Kepler-1078</t>
  </si>
  <si>
    <t>Kepler-1078 b</t>
  </si>
  <si>
    <t>Kepler-1079</t>
  </si>
  <si>
    <t>Kepler-1079 b</t>
  </si>
  <si>
    <t>Kepler-108</t>
  </si>
  <si>
    <t>Kepler-108 b</t>
  </si>
  <si>
    <t>Kepler-108 c</t>
  </si>
  <si>
    <t>Kepler-1080</t>
  </si>
  <si>
    <t>Kepler-1080 b</t>
  </si>
  <si>
    <t>Kepler-1081</t>
  </si>
  <si>
    <t>Kepler-1081 b</t>
  </si>
  <si>
    <t>Kepler-1082</t>
  </si>
  <si>
    <t>Kepler-1082 b</t>
  </si>
  <si>
    <t>Kepler-1083</t>
  </si>
  <si>
    <t>Kepler-1083 b</t>
  </si>
  <si>
    <t>Kepler-1084</t>
  </si>
  <si>
    <t>Kepler-1084 b</t>
  </si>
  <si>
    <t>Kepler-1085</t>
  </si>
  <si>
    <t>Kepler-1085 b</t>
  </si>
  <si>
    <t>Kepler-1086</t>
  </si>
  <si>
    <t>Kepler-1086 b</t>
  </si>
  <si>
    <t>Kepler-1086 c</t>
  </si>
  <si>
    <t>Kepler-1087</t>
  </si>
  <si>
    <t>Kepler-1087 b</t>
  </si>
  <si>
    <t>Kepler-1088</t>
  </si>
  <si>
    <t>Kepler-1088 b</t>
  </si>
  <si>
    <t>Kepler-1089</t>
  </si>
  <si>
    <t>Kepler-1089 b</t>
  </si>
  <si>
    <t>Kepler-109</t>
  </si>
  <si>
    <t>Kepler-109 b</t>
  </si>
  <si>
    <t>Kepler-109 c</t>
  </si>
  <si>
    <t>Kepler-1090</t>
  </si>
  <si>
    <t>Kepler-1090 b</t>
  </si>
  <si>
    <t>Kepler-1091</t>
  </si>
  <si>
    <t>Kepler-1091 b</t>
  </si>
  <si>
    <t>Kepler-1092</t>
  </si>
  <si>
    <t>Kepler-1092 b</t>
  </si>
  <si>
    <t>Kepler-1093</t>
  </si>
  <si>
    <t>Kepler-1093 b</t>
  </si>
  <si>
    <t>Kepler-1093 c</t>
  </si>
  <si>
    <t>Kepler-1094</t>
  </si>
  <si>
    <t>Kepler-1094 b</t>
  </si>
  <si>
    <t>Kepler-1095</t>
  </si>
  <si>
    <t>Kepler-1095 b</t>
  </si>
  <si>
    <t>Kepler-1096</t>
  </si>
  <si>
    <t>Kepler-1096 b</t>
  </si>
  <si>
    <t>Kepler-1097</t>
  </si>
  <si>
    <t>Kepler-1097 b</t>
  </si>
  <si>
    <t>Kepler-1098</t>
  </si>
  <si>
    <t>Kepler-1098 b</t>
  </si>
  <si>
    <t>Kepler-1099</t>
  </si>
  <si>
    <t>Kepler-1099 b</t>
  </si>
  <si>
    <t>Kepler-11</t>
  </si>
  <si>
    <t>Kepler-11 b</t>
  </si>
  <si>
    <t>Kepler-11 c</t>
  </si>
  <si>
    <t>Kepler-11 d</t>
  </si>
  <si>
    <t>Kepler-11 e</t>
  </si>
  <si>
    <t>Kepler-11 f</t>
  </si>
  <si>
    <t>Kepler-11 g</t>
  </si>
  <si>
    <t>Kepler-110</t>
  </si>
  <si>
    <t>Kepler-110 b</t>
  </si>
  <si>
    <t>Kepler-110 c</t>
  </si>
  <si>
    <t>Kepler-1100</t>
  </si>
  <si>
    <t>Kepler-1100 b</t>
  </si>
  <si>
    <t>Kepler-1101</t>
  </si>
  <si>
    <t>Kepler-1101 b</t>
  </si>
  <si>
    <t>Kepler-1102</t>
  </si>
  <si>
    <t>Kepler-1102 b</t>
  </si>
  <si>
    <t>Kepler-1103</t>
  </si>
  <si>
    <t>Kepler-1103 b</t>
  </si>
  <si>
    <t>Kepler-1104</t>
  </si>
  <si>
    <t>Kepler-1104 b</t>
  </si>
  <si>
    <t>Kepler-1105</t>
  </si>
  <si>
    <t>Kepler-1105 b</t>
  </si>
  <si>
    <t>Kepler-1106</t>
  </si>
  <si>
    <t>Kepler-1106 b</t>
  </si>
  <si>
    <t>Kepler-1107</t>
  </si>
  <si>
    <t>Kepler-1107 b</t>
  </si>
  <si>
    <t>Kepler-1108</t>
  </si>
  <si>
    <t>Kepler-1108 b</t>
  </si>
  <si>
    <t>Kepler-1109</t>
  </si>
  <si>
    <t>Kepler-1109 b</t>
  </si>
  <si>
    <t>Kepler-111</t>
  </si>
  <si>
    <t>Kepler-111 b</t>
  </si>
  <si>
    <t>Kepler-111 c</t>
  </si>
  <si>
    <t>Kepler-1110</t>
  </si>
  <si>
    <t>Kepler-1110 b</t>
  </si>
  <si>
    <t>Kepler-1111</t>
  </si>
  <si>
    <t>Kepler-1111 b</t>
  </si>
  <si>
    <t>Kepler-1112</t>
  </si>
  <si>
    <t>Kepler-1112 b</t>
  </si>
  <si>
    <t>Kepler-1113</t>
  </si>
  <si>
    <t>Kepler-1113 b</t>
  </si>
  <si>
    <t>Kepler-1114</t>
  </si>
  <si>
    <t>Kepler-1114 b</t>
  </si>
  <si>
    <t>Kepler-1115</t>
  </si>
  <si>
    <t>Kepler-1115 b</t>
  </si>
  <si>
    <t>Kepler-1116</t>
  </si>
  <si>
    <t>Kepler-1116 b</t>
  </si>
  <si>
    <t>Kepler-1117</t>
  </si>
  <si>
    <t>Kepler-1117 b</t>
  </si>
  <si>
    <t>Kepler-1118</t>
  </si>
  <si>
    <t>Kepler-1118 b</t>
  </si>
  <si>
    <t>Kepler-1119</t>
  </si>
  <si>
    <t>Kepler-1119 b</t>
  </si>
  <si>
    <t>Kepler-112</t>
  </si>
  <si>
    <t>Kepler-112 b</t>
  </si>
  <si>
    <t>Kepler-112 c</t>
  </si>
  <si>
    <t>Kepler-1120</t>
  </si>
  <si>
    <t>Kepler-1120 b</t>
  </si>
  <si>
    <t>Kepler-1121</t>
  </si>
  <si>
    <t>Kepler-1121 b</t>
  </si>
  <si>
    <t>Kepler-1122</t>
  </si>
  <si>
    <t>Kepler-1122 b</t>
  </si>
  <si>
    <t>Kepler-1123</t>
  </si>
  <si>
    <t>Kepler-1123 b</t>
  </si>
  <si>
    <t>Kepler-1124</t>
  </si>
  <si>
    <t>Kepler-1124 b</t>
  </si>
  <si>
    <t>Kepler-1125</t>
  </si>
  <si>
    <t>Kepler-1125 b</t>
  </si>
  <si>
    <t>Kepler-1126</t>
  </si>
  <si>
    <t>Kepler-1126 b</t>
  </si>
  <si>
    <t>Kepler-1127</t>
  </si>
  <si>
    <t>Kepler-1127 b</t>
  </si>
  <si>
    <t>Kepler-1128</t>
  </si>
  <si>
    <t>Kepler-1128 b</t>
  </si>
  <si>
    <t>Kepler-1129</t>
  </si>
  <si>
    <t>Kepler-1129 b</t>
  </si>
  <si>
    <t>Kepler-1129 c</t>
  </si>
  <si>
    <t>Kepler-113</t>
  </si>
  <si>
    <t>Kepler-113 b</t>
  </si>
  <si>
    <t>Kepler-113 c</t>
  </si>
  <si>
    <t>Kepler-1130</t>
  </si>
  <si>
    <t>Kepler-1130 b</t>
  </si>
  <si>
    <t>Kepler-1131</t>
  </si>
  <si>
    <t>Kepler-1131 b</t>
  </si>
  <si>
    <t>Kepler-1132</t>
  </si>
  <si>
    <t>Kepler-1132 b</t>
  </si>
  <si>
    <t>Kepler-1133</t>
  </si>
  <si>
    <t>Kepler-1133 b</t>
  </si>
  <si>
    <t>Kepler-1134</t>
  </si>
  <si>
    <t>Kepler-1134 b</t>
  </si>
  <si>
    <t>Kepler-1135</t>
  </si>
  <si>
    <t>Kepler-1135 b</t>
  </si>
  <si>
    <t>Kepler-1136</t>
  </si>
  <si>
    <t>Kepler-1136 b</t>
  </si>
  <si>
    <t>Kepler-1137</t>
  </si>
  <si>
    <t>Kepler-1137 b</t>
  </si>
  <si>
    <t>Kepler-1138</t>
  </si>
  <si>
    <t>Kepler-1138 b</t>
  </si>
  <si>
    <t>Kepler-1139</t>
  </si>
  <si>
    <t>Kepler-1139 b</t>
  </si>
  <si>
    <t>Kepler-114</t>
  </si>
  <si>
    <t>Kepler-114 b</t>
  </si>
  <si>
    <t>Kepler-114 c</t>
  </si>
  <si>
    <t>Kepler-114 d</t>
  </si>
  <si>
    <t>Kepler-1140</t>
  </si>
  <si>
    <t>Kepler-1140 b</t>
  </si>
  <si>
    <t>Kepler-1141</t>
  </si>
  <si>
    <t>Kepler-1141 b</t>
  </si>
  <si>
    <t>Kepler-1142</t>
  </si>
  <si>
    <t>Kepler-1142 b</t>
  </si>
  <si>
    <t>Kepler-1143</t>
  </si>
  <si>
    <t>Kepler-1143 b</t>
  </si>
  <si>
    <t>Kepler-1143 c</t>
  </si>
  <si>
    <t>Kepler-1144</t>
  </si>
  <si>
    <t>Kepler-1144 b</t>
  </si>
  <si>
    <t>Kepler-1145</t>
  </si>
  <si>
    <t>Kepler-1145 b</t>
  </si>
  <si>
    <t>Kepler-1146</t>
  </si>
  <si>
    <t>Kepler-1146 b</t>
  </si>
  <si>
    <t>Kepler-1147</t>
  </si>
  <si>
    <t>Kepler-1147 b</t>
  </si>
  <si>
    <t>Kepler-1148</t>
  </si>
  <si>
    <t>Kepler-1148 b</t>
  </si>
  <si>
    <t>Kepler-1149</t>
  </si>
  <si>
    <t>Kepler-1149 b</t>
  </si>
  <si>
    <t>Kepler-115</t>
  </si>
  <si>
    <t>Kepler-115 b</t>
  </si>
  <si>
    <t>Kepler-115 c</t>
  </si>
  <si>
    <t>Kepler-1150</t>
  </si>
  <si>
    <t>Kepler-1150 b</t>
  </si>
  <si>
    <t>Kepler-1151</t>
  </si>
  <si>
    <t>Kepler-1151 b</t>
  </si>
  <si>
    <t>Kepler-1152</t>
  </si>
  <si>
    <t>Kepler-1152 b</t>
  </si>
  <si>
    <t>Kepler-1153</t>
  </si>
  <si>
    <t>Kepler-1153 b</t>
  </si>
  <si>
    <t>Kepler-1154</t>
  </si>
  <si>
    <t>Kepler-1154 b</t>
  </si>
  <si>
    <t>Kepler-1154 c</t>
  </si>
  <si>
    <t>Kepler-1155</t>
  </si>
  <si>
    <t>Kepler-1155 b</t>
  </si>
  <si>
    <t>Kepler-1156</t>
  </si>
  <si>
    <t>Kepler-1156 b</t>
  </si>
  <si>
    <t>Kepler-1157</t>
  </si>
  <si>
    <t>Kepler-1157 b</t>
  </si>
  <si>
    <t>Kepler-1158</t>
  </si>
  <si>
    <t>Kepler-1158 b</t>
  </si>
  <si>
    <t>Kepler-1159</t>
  </si>
  <si>
    <t>Kepler-1159 b</t>
  </si>
  <si>
    <t>Kepler-116</t>
  </si>
  <si>
    <t>Kepler-116 b</t>
  </si>
  <si>
    <t>Kepler-116 c</t>
  </si>
  <si>
    <t>Kepler-1160</t>
  </si>
  <si>
    <t>Kepler-1160 b</t>
  </si>
  <si>
    <t>Kepler-1161</t>
  </si>
  <si>
    <t>Kepler-1161 b</t>
  </si>
  <si>
    <t>Kepler-1162</t>
  </si>
  <si>
    <t>Kepler-1162 b</t>
  </si>
  <si>
    <t>Kepler-1163</t>
  </si>
  <si>
    <t>Kepler-1163 b</t>
  </si>
  <si>
    <t>Kepler-1164</t>
  </si>
  <si>
    <t>Kepler-1164 b</t>
  </si>
  <si>
    <t>Kepler-1165</t>
  </si>
  <si>
    <t>Kepler-1165 b</t>
  </si>
  <si>
    <t>Kepler-1166</t>
  </si>
  <si>
    <t>Kepler-1166 b</t>
  </si>
  <si>
    <t>Kepler-1167</t>
  </si>
  <si>
    <t>Kepler-1167 b</t>
  </si>
  <si>
    <t>Kepler-1168</t>
  </si>
  <si>
    <t>Kepler-1168 b</t>
  </si>
  <si>
    <t>Kepler-1169</t>
  </si>
  <si>
    <t>Kepler-1169 b</t>
  </si>
  <si>
    <t>Kepler-117</t>
  </si>
  <si>
    <t>Kepler-117 b</t>
  </si>
  <si>
    <t>Kepler-117 c</t>
  </si>
  <si>
    <t>Kepler-1170</t>
  </si>
  <si>
    <t>Kepler-1170 b</t>
  </si>
  <si>
    <t>Kepler-1171</t>
  </si>
  <si>
    <t>Kepler-1171 b</t>
  </si>
  <si>
    <t>Kepler-1172</t>
  </si>
  <si>
    <t>Kepler-1172 b</t>
  </si>
  <si>
    <t>Kepler-1173</t>
  </si>
  <si>
    <t>Kepler-1173 b</t>
  </si>
  <si>
    <t>Kepler-1174</t>
  </si>
  <si>
    <t>Kepler-1174 b</t>
  </si>
  <si>
    <t>Kepler-1175</t>
  </si>
  <si>
    <t>Kepler-1175 b</t>
  </si>
  <si>
    <t>Kepler-1176</t>
  </si>
  <si>
    <t>Kepler-1176 b</t>
  </si>
  <si>
    <t>Kepler-1177</t>
  </si>
  <si>
    <t>Kepler-1177 b</t>
  </si>
  <si>
    <t>Kepler-1178</t>
  </si>
  <si>
    <t>Kepler-1178 b</t>
  </si>
  <si>
    <t>Kepler-1179</t>
  </si>
  <si>
    <t>Kepler-1179 b</t>
  </si>
  <si>
    <t>Kepler-118</t>
  </si>
  <si>
    <t>Kepler-118 b</t>
  </si>
  <si>
    <t>Kepler-118 c</t>
  </si>
  <si>
    <t>Kepler-1180</t>
  </si>
  <si>
    <t>Kepler-1180 b</t>
  </si>
  <si>
    <t>Kepler-1181</t>
  </si>
  <si>
    <t>Kepler-1181 b</t>
  </si>
  <si>
    <t>Kepler-1182</t>
  </si>
  <si>
    <t>Kepler-1182 b</t>
  </si>
  <si>
    <t>Kepler-1183</t>
  </si>
  <si>
    <t>Kepler-1183 b</t>
  </si>
  <si>
    <t>Kepler-1184</t>
  </si>
  <si>
    <t>Kepler-1184 b</t>
  </si>
  <si>
    <t>Kepler-1185</t>
  </si>
  <si>
    <t>Kepler-1185 b</t>
  </si>
  <si>
    <t>Kepler-1186</t>
  </si>
  <si>
    <t>Kepler-1186 b</t>
  </si>
  <si>
    <t>Kepler-1187</t>
  </si>
  <si>
    <t>Kepler-1187 b</t>
  </si>
  <si>
    <t>Kepler-1188</t>
  </si>
  <si>
    <t>Kepler-1188 b</t>
  </si>
  <si>
    <t>Kepler-1189</t>
  </si>
  <si>
    <t>Kepler-1189 b</t>
  </si>
  <si>
    <t>Kepler-119</t>
  </si>
  <si>
    <t>Kepler-119 b</t>
  </si>
  <si>
    <t>Kepler-119 c</t>
  </si>
  <si>
    <t>Kepler-1190</t>
  </si>
  <si>
    <t>Kepler-1190 b</t>
  </si>
  <si>
    <t>Kepler-1191</t>
  </si>
  <si>
    <t>Kepler-1191 b</t>
  </si>
  <si>
    <t>Kepler-1192</t>
  </si>
  <si>
    <t>Kepler-1192 b</t>
  </si>
  <si>
    <t>Kepler-1193</t>
  </si>
  <si>
    <t>Kepler-1193 b</t>
  </si>
  <si>
    <t>Kepler-1194</t>
  </si>
  <si>
    <t>Kepler-1194 b</t>
  </si>
  <si>
    <t>Kepler-1195</t>
  </si>
  <si>
    <t>Kepler-1195 b</t>
  </si>
  <si>
    <t>Kepler-1196</t>
  </si>
  <si>
    <t>Kepler-1196 b</t>
  </si>
  <si>
    <t>Kepler-1197</t>
  </si>
  <si>
    <t>Kepler-1197 b</t>
  </si>
  <si>
    <t>Kepler-1198</t>
  </si>
  <si>
    <t>Kepler-1198 b</t>
  </si>
  <si>
    <t>Kepler-1199</t>
  </si>
  <si>
    <t>Kepler-1199 b</t>
  </si>
  <si>
    <t>Kepler-12</t>
  </si>
  <si>
    <t>Kepler-12 b</t>
  </si>
  <si>
    <t>Kepler-120</t>
  </si>
  <si>
    <t>Kepler-120 b</t>
  </si>
  <si>
    <t>Kepler-120 c</t>
  </si>
  <si>
    <t>Kepler-1200</t>
  </si>
  <si>
    <t>Kepler-1200 b</t>
  </si>
  <si>
    <t>Kepler-1201</t>
  </si>
  <si>
    <t>Kepler-1201 b</t>
  </si>
  <si>
    <t>Kepler-1202</t>
  </si>
  <si>
    <t>Kepler-1202 b</t>
  </si>
  <si>
    <t>Kepler-1203</t>
  </si>
  <si>
    <t>Kepler-1203 b</t>
  </si>
  <si>
    <t>Kepler-1204</t>
  </si>
  <si>
    <t>Kepler-1204 b</t>
  </si>
  <si>
    <t>Kepler-1205</t>
  </si>
  <si>
    <t>Kepler-1205 b</t>
  </si>
  <si>
    <t>Kepler-1206</t>
  </si>
  <si>
    <t>Kepler-1206 b</t>
  </si>
  <si>
    <t>Kepler-1207</t>
  </si>
  <si>
    <t>Kepler-1207 b</t>
  </si>
  <si>
    <t>Kepler-1208</t>
  </si>
  <si>
    <t>Kepler-1208 b</t>
  </si>
  <si>
    <t>Kepler-1209</t>
  </si>
  <si>
    <t>Kepler-1209 b</t>
  </si>
  <si>
    <t>Kepler-121</t>
  </si>
  <si>
    <t>Kepler-121 b</t>
  </si>
  <si>
    <t>Kepler-121 c</t>
  </si>
  <si>
    <t>Kepler-1210</t>
  </si>
  <si>
    <t>Kepler-1210 b</t>
  </si>
  <si>
    <t>Kepler-1211</t>
  </si>
  <si>
    <t>Kepler-1211 b</t>
  </si>
  <si>
    <t>Kepler-1212</t>
  </si>
  <si>
    <t>Kepler-1212 b</t>
  </si>
  <si>
    <t>Kepler-1213</t>
  </si>
  <si>
    <t>Kepler-1213 b</t>
  </si>
  <si>
    <t>Kepler-1214</t>
  </si>
  <si>
    <t>Kepler-1214 b</t>
  </si>
  <si>
    <t>Kepler-1215</t>
  </si>
  <si>
    <t>Kepler-1215 b</t>
  </si>
  <si>
    <t>Kepler-1216</t>
  </si>
  <si>
    <t>Kepler-1216 b</t>
  </si>
  <si>
    <t>Kepler-1217</t>
  </si>
  <si>
    <t>Kepler-1217 b</t>
  </si>
  <si>
    <t>Kepler-1218</t>
  </si>
  <si>
    <t>Kepler-1218 b</t>
  </si>
  <si>
    <t>Kepler-1219</t>
  </si>
  <si>
    <t>Kepler-1219 b</t>
  </si>
  <si>
    <t>Kepler-122</t>
  </si>
  <si>
    <t>Kepler-122 b</t>
  </si>
  <si>
    <t>Kepler-122 c</t>
  </si>
  <si>
    <t>Kepler-122 d</t>
  </si>
  <si>
    <t>Kepler-122 e</t>
  </si>
  <si>
    <t>Kepler-122 f</t>
  </si>
  <si>
    <t>Kepler-1220</t>
  </si>
  <si>
    <t>Kepler-1220 b</t>
  </si>
  <si>
    <t>Kepler-1221</t>
  </si>
  <si>
    <t>Kepler-1221 b</t>
  </si>
  <si>
    <t>Kepler-1222</t>
  </si>
  <si>
    <t>Kepler-1222 b</t>
  </si>
  <si>
    <t>Kepler-1223</t>
  </si>
  <si>
    <t>Kepler-1223 b</t>
  </si>
  <si>
    <t>Kepler-1224</t>
  </si>
  <si>
    <t>Kepler-1224 b</t>
  </si>
  <si>
    <t>Kepler-1225</t>
  </si>
  <si>
    <t>Kepler-1225 b</t>
  </si>
  <si>
    <t>Kepler-1226</t>
  </si>
  <si>
    <t>Kepler-1226 b</t>
  </si>
  <si>
    <t>Kepler-1227</t>
  </si>
  <si>
    <t>Kepler-1227 b</t>
  </si>
  <si>
    <t>Kepler-1228</t>
  </si>
  <si>
    <t>Kepler-1228 b</t>
  </si>
  <si>
    <t>Kepler-1229</t>
  </si>
  <si>
    <t>Kepler-1229 b</t>
  </si>
  <si>
    <t>Kepler-123</t>
  </si>
  <si>
    <t>Kepler-123 b</t>
  </si>
  <si>
    <t>Kepler-123 c</t>
  </si>
  <si>
    <t>Kepler-1230</t>
  </si>
  <si>
    <t>Kepler-1230 b</t>
  </si>
  <si>
    <t>Kepler-1231</t>
  </si>
  <si>
    <t>Kepler-1231 b</t>
  </si>
  <si>
    <t>Kepler-1232</t>
  </si>
  <si>
    <t>Kepler-1232 b</t>
  </si>
  <si>
    <t>Kepler-1233</t>
  </si>
  <si>
    <t>Kepler-1233 b</t>
  </si>
  <si>
    <t>Kepler-1234</t>
  </si>
  <si>
    <t>Kepler-1234 b</t>
  </si>
  <si>
    <t>Kepler-1235</t>
  </si>
  <si>
    <t>Kepler-1235 b</t>
  </si>
  <si>
    <t>Kepler-1236</t>
  </si>
  <si>
    <t>Kepler-1236 b</t>
  </si>
  <si>
    <t>Kepler-1237</t>
  </si>
  <si>
    <t>Kepler-1237 b</t>
  </si>
  <si>
    <t>Kepler-1238</t>
  </si>
  <si>
    <t>Kepler-1238 b</t>
  </si>
  <si>
    <t>Kepler-1239</t>
  </si>
  <si>
    <t>Kepler-1239 b</t>
  </si>
  <si>
    <t>Kepler-124</t>
  </si>
  <si>
    <t>Kepler-124 b</t>
  </si>
  <si>
    <t>Kepler-124 c</t>
  </si>
  <si>
    <t>Kepler-124 d</t>
  </si>
  <si>
    <t>Kepler-1240</t>
  </si>
  <si>
    <t>Kepler-1240 b</t>
  </si>
  <si>
    <t>Kepler-1241</t>
  </si>
  <si>
    <t>Kepler-1241 b</t>
  </si>
  <si>
    <t>Kepler-1242</t>
  </si>
  <si>
    <t>Kepler-1242 b</t>
  </si>
  <si>
    <t>Kepler-1243</t>
  </si>
  <si>
    <t>Kepler-1243 b</t>
  </si>
  <si>
    <t>Kepler-1244</t>
  </si>
  <si>
    <t>Kepler-1244 b</t>
  </si>
  <si>
    <t>Kepler-1245</t>
  </si>
  <si>
    <t>Kepler-1245 b</t>
  </si>
  <si>
    <t>Kepler-1245 c</t>
  </si>
  <si>
    <t>Kepler-1246</t>
  </si>
  <si>
    <t>Kepler-1246 b</t>
  </si>
  <si>
    <t>Kepler-1247</t>
  </si>
  <si>
    <t>Kepler-1247 b</t>
  </si>
  <si>
    <t>Kepler-1248</t>
  </si>
  <si>
    <t>Kepler-1248 b</t>
  </si>
  <si>
    <t>Kepler-1249</t>
  </si>
  <si>
    <t>Kepler-1249 b</t>
  </si>
  <si>
    <t>Kepler-125</t>
  </si>
  <si>
    <t>Kepler-125 b</t>
  </si>
  <si>
    <t>Kepler-125 c</t>
  </si>
  <si>
    <t>Kepler-1250</t>
  </si>
  <si>
    <t>Kepler-1250 b</t>
  </si>
  <si>
    <t>Kepler-1251</t>
  </si>
  <si>
    <t>Kepler-1251 b</t>
  </si>
  <si>
    <t>Kepler-1252</t>
  </si>
  <si>
    <t>Kepler-1252 b</t>
  </si>
  <si>
    <t>Kepler-1253</t>
  </si>
  <si>
    <t>Kepler-1253 b</t>
  </si>
  <si>
    <t>Kepler-1254</t>
  </si>
  <si>
    <t>Kepler-1254 b</t>
  </si>
  <si>
    <t>Kepler-1254 c</t>
  </si>
  <si>
    <t>Kepler-1254 d</t>
  </si>
  <si>
    <t>Kepler-1255</t>
  </si>
  <si>
    <t>Kepler-1255 b</t>
  </si>
  <si>
    <t>Kepler-1256</t>
  </si>
  <si>
    <t>Kepler-1256 b</t>
  </si>
  <si>
    <t>Kepler-1257</t>
  </si>
  <si>
    <t>Kepler-1257 b</t>
  </si>
  <si>
    <t>Kepler-1258</t>
  </si>
  <si>
    <t>Kepler-1258 b</t>
  </si>
  <si>
    <t>Kepler-1259</t>
  </si>
  <si>
    <t>Kepler-1259 b</t>
  </si>
  <si>
    <t>Kepler-126</t>
  </si>
  <si>
    <t>Kepler-126 b</t>
  </si>
  <si>
    <t>Kepler-126 c</t>
  </si>
  <si>
    <t>Kepler-126 d</t>
  </si>
  <si>
    <t>Kepler-1260</t>
  </si>
  <si>
    <t>Kepler-1260 b</t>
  </si>
  <si>
    <t>Kepler-1261</t>
  </si>
  <si>
    <t>Kepler-1261 b</t>
  </si>
  <si>
    <t>Kepler-1262</t>
  </si>
  <si>
    <t>Kepler-1262 b</t>
  </si>
  <si>
    <t>Kepler-1263</t>
  </si>
  <si>
    <t>Kepler-1263 b</t>
  </si>
  <si>
    <t>Kepler-1264</t>
  </si>
  <si>
    <t>Kepler-1264 b</t>
  </si>
  <si>
    <t>Kepler-1265</t>
  </si>
  <si>
    <t>Kepler-1265 b</t>
  </si>
  <si>
    <t>Kepler-1266</t>
  </si>
  <si>
    <t>Kepler-1266 b</t>
  </si>
  <si>
    <t>Kepler-1267</t>
  </si>
  <si>
    <t>Kepler-1267 b</t>
  </si>
  <si>
    <t>Kepler-1268</t>
  </si>
  <si>
    <t>Kepler-1268 b</t>
  </si>
  <si>
    <t>Kepler-1269</t>
  </si>
  <si>
    <t>Kepler-1269 b</t>
  </si>
  <si>
    <t>Kepler-127</t>
  </si>
  <si>
    <t>Kepler-127 b</t>
  </si>
  <si>
    <t>Kepler-127 c</t>
  </si>
  <si>
    <t>Kepler-127 d</t>
  </si>
  <si>
    <t>Kepler-1270</t>
  </si>
  <si>
    <t>Kepler-1270 b</t>
  </si>
  <si>
    <t>Kepler-1271</t>
  </si>
  <si>
    <t>Kepler-1271 b</t>
  </si>
  <si>
    <t>Kepler-1272</t>
  </si>
  <si>
    <t>Kepler-1272 b</t>
  </si>
  <si>
    <t>Kepler-1273</t>
  </si>
  <si>
    <t>Kepler-1273 b</t>
  </si>
  <si>
    <t>Kepler-1274</t>
  </si>
  <si>
    <t>Kepler-1274 b</t>
  </si>
  <si>
    <t>Kepler-1275</t>
  </si>
  <si>
    <t>Kepler-1275 b</t>
  </si>
  <si>
    <t>Kepler-1276</t>
  </si>
  <si>
    <t>Kepler-1276 b</t>
  </si>
  <si>
    <t>Kepler-1277</t>
  </si>
  <si>
    <t>Kepler-1277 b</t>
  </si>
  <si>
    <t>Kepler-1278</t>
  </si>
  <si>
    <t>Kepler-1278 b</t>
  </si>
  <si>
    <t>Kepler-1279</t>
  </si>
  <si>
    <t>Kepler-1279 b</t>
  </si>
  <si>
    <t>Kepler-128</t>
  </si>
  <si>
    <t>Kepler-128 b</t>
  </si>
  <si>
    <t>Kepler-128 c</t>
  </si>
  <si>
    <t>Kepler-1280</t>
  </si>
  <si>
    <t>Kepler-1280 b</t>
  </si>
  <si>
    <t>Kepler-1281</t>
  </si>
  <si>
    <t>Kepler-1281 b</t>
  </si>
  <si>
    <t>Kepler-1282</t>
  </si>
  <si>
    <t>Kepler-1282 b</t>
  </si>
  <si>
    <t>Kepler-1283</t>
  </si>
  <si>
    <t>Kepler-1283 b</t>
  </si>
  <si>
    <t>Kepler-1284</t>
  </si>
  <si>
    <t>Kepler-1284 b</t>
  </si>
  <si>
    <t>Kepler-1285</t>
  </si>
  <si>
    <t>Kepler-1285 b</t>
  </si>
  <si>
    <t>Kepler-1286</t>
  </si>
  <si>
    <t>Kepler-1286 b</t>
  </si>
  <si>
    <t>Kepler-1287</t>
  </si>
  <si>
    <t>Kepler-1287 b</t>
  </si>
  <si>
    <t>Kepler-1288</t>
  </si>
  <si>
    <t>Kepler-1288 b</t>
  </si>
  <si>
    <t>Kepler-1289</t>
  </si>
  <si>
    <t>Kepler-1289 b</t>
  </si>
  <si>
    <t>Kepler-129</t>
  </si>
  <si>
    <t>Kepler-129 b</t>
  </si>
  <si>
    <t>Kepler-129 c</t>
  </si>
  <si>
    <t>Kepler-1290</t>
  </si>
  <si>
    <t>Kepler-1290 b</t>
  </si>
  <si>
    <t>Kepler-1291</t>
  </si>
  <si>
    <t>Kepler-1291 b</t>
  </si>
  <si>
    <t>Kepler-1292</t>
  </si>
  <si>
    <t>Kepler-1292 b</t>
  </si>
  <si>
    <t>Kepler-1293</t>
  </si>
  <si>
    <t>Kepler-1293 b</t>
  </si>
  <si>
    <t>Kepler-1294</t>
  </si>
  <si>
    <t>Kepler-1294 b</t>
  </si>
  <si>
    <t>Kepler-1295</t>
  </si>
  <si>
    <t>Kepler-1295 b</t>
  </si>
  <si>
    <t>Kepler-1296</t>
  </si>
  <si>
    <t>Kepler-1296 b</t>
  </si>
  <si>
    <t>Kepler-1297</t>
  </si>
  <si>
    <t>Kepler-1297 b</t>
  </si>
  <si>
    <t>Kepler-1298</t>
  </si>
  <si>
    <t>Kepler-1298 b</t>
  </si>
  <si>
    <t>Kepler-1299</t>
  </si>
  <si>
    <t>Kepler-1299 b</t>
  </si>
  <si>
    <t>Kepler-130</t>
  </si>
  <si>
    <t>Kepler-130 b</t>
  </si>
  <si>
    <t>Kepler-130 c</t>
  </si>
  <si>
    <t>Kepler-130 d</t>
  </si>
  <si>
    <t>Kepler-1300</t>
  </si>
  <si>
    <t>Kepler-1300 b</t>
  </si>
  <si>
    <t>Kepler-1301</t>
  </si>
  <si>
    <t>Kepler-1301 b</t>
  </si>
  <si>
    <t>Kepler-1302</t>
  </si>
  <si>
    <t>Kepler-1302 b</t>
  </si>
  <si>
    <t>Kepler-1303</t>
  </si>
  <si>
    <t>Kepler-1303 b</t>
  </si>
  <si>
    <t>Kepler-1304</t>
  </si>
  <si>
    <t>Kepler-1304 b</t>
  </si>
  <si>
    <t>Kepler-1305</t>
  </si>
  <si>
    <t>Kepler-1305 b</t>
  </si>
  <si>
    <t>Kepler-1306</t>
  </si>
  <si>
    <t>Kepler-1306 b</t>
  </si>
  <si>
    <t>Kepler-1307</t>
  </si>
  <si>
    <t>Kepler-1307 b</t>
  </si>
  <si>
    <t>Kepler-1308</t>
  </si>
  <si>
    <t>Kepler-1308 b</t>
  </si>
  <si>
    <t>Kepler-1309</t>
  </si>
  <si>
    <t>Kepler-1309 b</t>
  </si>
  <si>
    <t>Kepler-131</t>
  </si>
  <si>
    <t>Kepler-131 b</t>
  </si>
  <si>
    <t>Kepler-131 c</t>
  </si>
  <si>
    <t>Kepler-1310</t>
  </si>
  <si>
    <t>Kepler-1310 b</t>
  </si>
  <si>
    <t>Kepler-1311</t>
  </si>
  <si>
    <t>Kepler-1311 b</t>
  </si>
  <si>
    <t>Kepler-1311 c</t>
  </si>
  <si>
    <t>Kepler-1312</t>
  </si>
  <si>
    <t>Kepler-1312 b</t>
  </si>
  <si>
    <t>Kepler-1313</t>
  </si>
  <si>
    <t>Kepler-1313 b</t>
  </si>
  <si>
    <t>Kepler-1314</t>
  </si>
  <si>
    <t>Kepler-1314 b</t>
  </si>
  <si>
    <t>Kepler-1315</t>
  </si>
  <si>
    <t>Kepler-1315 b</t>
  </si>
  <si>
    <t>Kepler-1316</t>
  </si>
  <si>
    <t>Kepler-1316 b</t>
  </si>
  <si>
    <t>Kepler-1317</t>
  </si>
  <si>
    <t>Kepler-1317 b</t>
  </si>
  <si>
    <t>Kepler-1318</t>
  </si>
  <si>
    <t>Kepler-1318 b</t>
  </si>
  <si>
    <t>Kepler-1319</t>
  </si>
  <si>
    <t>Kepler-1319 b</t>
  </si>
  <si>
    <t>Kepler-132</t>
  </si>
  <si>
    <t>Kepler-132 b</t>
  </si>
  <si>
    <t>Kepler-132 c</t>
  </si>
  <si>
    <t>Kepler-132 d</t>
  </si>
  <si>
    <t>Kepler-132 e</t>
  </si>
  <si>
    <t>Kepler-1320</t>
  </si>
  <si>
    <t>Kepler-1320 b</t>
  </si>
  <si>
    <t>Kepler-1321</t>
  </si>
  <si>
    <t>Kepler-1321 b</t>
  </si>
  <si>
    <t>Kepler-1321 c</t>
  </si>
  <si>
    <t>Kepler-1322</t>
  </si>
  <si>
    <t>Kepler-1322 b</t>
  </si>
  <si>
    <t>Kepler-1323</t>
  </si>
  <si>
    <t>Kepler-1323 b</t>
  </si>
  <si>
    <t>Kepler-1324</t>
  </si>
  <si>
    <t>Kepler-1324 b</t>
  </si>
  <si>
    <t>Kepler-1325</t>
  </si>
  <si>
    <t>Kepler-1325 b</t>
  </si>
  <si>
    <t>Kepler-1326</t>
  </si>
  <si>
    <t>Kepler-1326 b</t>
  </si>
  <si>
    <t>Kepler-1327</t>
  </si>
  <si>
    <t>Kepler-1327 b</t>
  </si>
  <si>
    <t>Kepler-1328</t>
  </si>
  <si>
    <t>Kepler-1328 b</t>
  </si>
  <si>
    <t>Kepler-1329</t>
  </si>
  <si>
    <t>Kepler-1329 b</t>
  </si>
  <si>
    <t>Kepler-133</t>
  </si>
  <si>
    <t>Kepler-133 b</t>
  </si>
  <si>
    <t>Kepler-133 c</t>
  </si>
  <si>
    <t>Kepler-1330</t>
  </si>
  <si>
    <t>Kepler-1330 b</t>
  </si>
  <si>
    <t>Kepler-1331</t>
  </si>
  <si>
    <t>Kepler-1331 b</t>
  </si>
  <si>
    <t>Kepler-1332</t>
  </si>
  <si>
    <t>Kepler-1332 b</t>
  </si>
  <si>
    <t>Kepler-1333</t>
  </si>
  <si>
    <t>Kepler-1333 b</t>
  </si>
  <si>
    <t>Kepler-1334</t>
  </si>
  <si>
    <t>Kepler-1334 b</t>
  </si>
  <si>
    <t>Kepler-1335</t>
  </si>
  <si>
    <t>Kepler-1335 b</t>
  </si>
  <si>
    <t>Kepler-1336</t>
  </si>
  <si>
    <t>Kepler-1336 b</t>
  </si>
  <si>
    <t>Kepler-1336 c</t>
  </si>
  <si>
    <t>Kepler-1337</t>
  </si>
  <si>
    <t>Kepler-1337 b</t>
  </si>
  <si>
    <t>Kepler-1338</t>
  </si>
  <si>
    <t>Kepler-1338 b</t>
  </si>
  <si>
    <t>Kepler-1339</t>
  </si>
  <si>
    <t>Kepler-1339 b</t>
  </si>
  <si>
    <t>Kepler-134</t>
  </si>
  <si>
    <t>Kepler-134 b</t>
  </si>
  <si>
    <t>Kepler-134 c</t>
  </si>
  <si>
    <t>Kepler-1340</t>
  </si>
  <si>
    <t>Kepler-1340 b</t>
  </si>
  <si>
    <t>Kepler-1341</t>
  </si>
  <si>
    <t>Kepler-1341 b</t>
  </si>
  <si>
    <t>Kepler-1342</t>
  </si>
  <si>
    <t>Kepler-1342 b</t>
  </si>
  <si>
    <t>Kepler-1343</t>
  </si>
  <si>
    <t>Kepler-1343 b</t>
  </si>
  <si>
    <t>Kepler-1344</t>
  </si>
  <si>
    <t>Kepler-1344 b</t>
  </si>
  <si>
    <t>Kepler-1345</t>
  </si>
  <si>
    <t>Kepler-1345 b</t>
  </si>
  <si>
    <t>Kepler-1346</t>
  </si>
  <si>
    <t>Kepler-1346 b</t>
  </si>
  <si>
    <t>Kepler-1347</t>
  </si>
  <si>
    <t>Kepler-1347 b</t>
  </si>
  <si>
    <t>Kepler-1348</t>
  </si>
  <si>
    <t>Kepler-1348 b</t>
  </si>
  <si>
    <t>Kepler-1349</t>
  </si>
  <si>
    <t>Kepler-1349 b</t>
  </si>
  <si>
    <t>Kepler-135</t>
  </si>
  <si>
    <t>Kepler-135 b</t>
  </si>
  <si>
    <t>Kepler-135 c</t>
  </si>
  <si>
    <t>Kepler-1350</t>
  </si>
  <si>
    <t>Kepler-1350 b</t>
  </si>
  <si>
    <t>Kepler-1350 c</t>
  </si>
  <si>
    <t>Kepler-1351</t>
  </si>
  <si>
    <t>Kepler-1351 b</t>
  </si>
  <si>
    <t>Kepler-1352</t>
  </si>
  <si>
    <t>Kepler-1352 b</t>
  </si>
  <si>
    <t>Kepler-1353</t>
  </si>
  <si>
    <t>Kepler-1353 b</t>
  </si>
  <si>
    <t>Kepler-1354</t>
  </si>
  <si>
    <t>Kepler-1354 b</t>
  </si>
  <si>
    <t>Kepler-1355</t>
  </si>
  <si>
    <t>Kepler-1355 b</t>
  </si>
  <si>
    <t>Kepler-1356</t>
  </si>
  <si>
    <t>Kepler-1356 b</t>
  </si>
  <si>
    <t>Kepler-1357</t>
  </si>
  <si>
    <t>Kepler-1357 b</t>
  </si>
  <si>
    <t>Kepler-1358</t>
  </si>
  <si>
    <t>Kepler-1358 b</t>
  </si>
  <si>
    <t>Kepler-1359</t>
  </si>
  <si>
    <t>Kepler-1359 b</t>
  </si>
  <si>
    <t>Kepler-136</t>
  </si>
  <si>
    <t>Kepler-136 b</t>
  </si>
  <si>
    <t>Kepler-136 c</t>
  </si>
  <si>
    <t>Kepler-1360</t>
  </si>
  <si>
    <t>Kepler-1360 b</t>
  </si>
  <si>
    <t>Kepler-1361</t>
  </si>
  <si>
    <t>Kepler-1361 b</t>
  </si>
  <si>
    <t>Kepler-1362</t>
  </si>
  <si>
    <t>Kepler-1362 b</t>
  </si>
  <si>
    <t>Kepler-1363</t>
  </si>
  <si>
    <t>Kepler-1363 b</t>
  </si>
  <si>
    <t>Kepler-1364</t>
  </si>
  <si>
    <t>Kepler-1364 b</t>
  </si>
  <si>
    <t>Kepler-1365</t>
  </si>
  <si>
    <t>Kepler-1365 b</t>
  </si>
  <si>
    <t>Kepler-1365 c</t>
  </si>
  <si>
    <t>Kepler-1366</t>
  </si>
  <si>
    <t>Kepler-1366 b</t>
  </si>
  <si>
    <t>Kepler-1367</t>
  </si>
  <si>
    <t>Kepler-1367 b</t>
  </si>
  <si>
    <t>Kepler-1368</t>
  </si>
  <si>
    <t>Kepler-1368 b</t>
  </si>
  <si>
    <t>Kepler-1369</t>
  </si>
  <si>
    <t>Kepler-1369 b</t>
  </si>
  <si>
    <t>Kepler-137</t>
  </si>
  <si>
    <t>Kepler-137 b</t>
  </si>
  <si>
    <t>Kepler-137 c</t>
  </si>
  <si>
    <t>Kepler-1370</t>
  </si>
  <si>
    <t>Kepler-1370 b</t>
  </si>
  <si>
    <t>Kepler-1370 c</t>
  </si>
  <si>
    <t>Kepler-1371</t>
  </si>
  <si>
    <t>Kepler-1371 b</t>
  </si>
  <si>
    <t>Kepler-1371 c</t>
  </si>
  <si>
    <t>Kepler-1372</t>
  </si>
  <si>
    <t>Kepler-1372 b</t>
  </si>
  <si>
    <t>Kepler-1373</t>
  </si>
  <si>
    <t>Kepler-1373 b</t>
  </si>
  <si>
    <t>Kepler-1374</t>
  </si>
  <si>
    <t>Kepler-1374 b</t>
  </si>
  <si>
    <t>Kepler-1375</t>
  </si>
  <si>
    <t>Kepler-1375 b</t>
  </si>
  <si>
    <t>Kepler-1376</t>
  </si>
  <si>
    <t>Kepler-1376 b</t>
  </si>
  <si>
    <t>Kepler-1377</t>
  </si>
  <si>
    <t>Kepler-1377 b</t>
  </si>
  <si>
    <t>Kepler-1378</t>
  </si>
  <si>
    <t>Kepler-1378 b</t>
  </si>
  <si>
    <t>Kepler-1379</t>
  </si>
  <si>
    <t>Kepler-1379 b</t>
  </si>
  <si>
    <t>Kepler-138</t>
  </si>
  <si>
    <t>Kepler-138 b</t>
  </si>
  <si>
    <t>Kepler-138 c</t>
  </si>
  <si>
    <t>Kepler-138 d</t>
  </si>
  <si>
    <t>Kepler-1380</t>
  </si>
  <si>
    <t>Kepler-1380 b</t>
  </si>
  <si>
    <t>Kepler-1381</t>
  </si>
  <si>
    <t>Kepler-1381 b</t>
  </si>
  <si>
    <t>Kepler-1382</t>
  </si>
  <si>
    <t>Kepler-1382 b</t>
  </si>
  <si>
    <t>Kepler-1383</t>
  </si>
  <si>
    <t>Kepler-1383 b</t>
  </si>
  <si>
    <t>Kepler-1384</t>
  </si>
  <si>
    <t>Kepler-1384 b</t>
  </si>
  <si>
    <t>Kepler-1385</t>
  </si>
  <si>
    <t>Kepler-1385 b</t>
  </si>
  <si>
    <t>Kepler-1386</t>
  </si>
  <si>
    <t>Kepler-1386 b</t>
  </si>
  <si>
    <t>Kepler-1387</t>
  </si>
  <si>
    <t>Kepler-1387 b</t>
  </si>
  <si>
    <t>Kepler-1388</t>
  </si>
  <si>
    <t>Kepler-1388 b</t>
  </si>
  <si>
    <t>Kepler-1388 c</t>
  </si>
  <si>
    <t>Kepler-1388 d</t>
  </si>
  <si>
    <t>Kepler-1388 e</t>
  </si>
  <si>
    <t>Kepler-1389</t>
  </si>
  <si>
    <t>Kepler-1389 b</t>
  </si>
  <si>
    <t>Kepler-139</t>
  </si>
  <si>
    <t>Kepler-139 b</t>
  </si>
  <si>
    <t>Kepler-139 c</t>
  </si>
  <si>
    <t>Kepler-1390</t>
  </si>
  <si>
    <t>Kepler-1390 b</t>
  </si>
  <si>
    <t>Kepler-1391</t>
  </si>
  <si>
    <t>Kepler-1391 b</t>
  </si>
  <si>
    <t>Kepler-1392</t>
  </si>
  <si>
    <t>Kepler-1392 b</t>
  </si>
  <si>
    <t>Kepler-1393</t>
  </si>
  <si>
    <t>Kepler-1393 b</t>
  </si>
  <si>
    <t>Kepler-1394</t>
  </si>
  <si>
    <t>Kepler-1394 b</t>
  </si>
  <si>
    <t>Kepler-1395</t>
  </si>
  <si>
    <t>Kepler-1395 b</t>
  </si>
  <si>
    <t>Kepler-1396</t>
  </si>
  <si>
    <t>Kepler-1396 b</t>
  </si>
  <si>
    <t>Kepler-1397</t>
  </si>
  <si>
    <t>Kepler-1397 b</t>
  </si>
  <si>
    <t>Kepler-1398</t>
  </si>
  <si>
    <t>Kepler-1398 b</t>
  </si>
  <si>
    <t>Kepler-1398 c</t>
  </si>
  <si>
    <t>Kepler-1399</t>
  </si>
  <si>
    <t>Kepler-1399 b</t>
  </si>
  <si>
    <t>Kepler-14</t>
  </si>
  <si>
    <t>Kepler-14 b</t>
  </si>
  <si>
    <t>Kepler-140</t>
  </si>
  <si>
    <t>Kepler-140 b</t>
  </si>
  <si>
    <t>Kepler-140 c</t>
  </si>
  <si>
    <t>Kepler-1400</t>
  </si>
  <si>
    <t>Kepler-1400 b</t>
  </si>
  <si>
    <t>Kepler-1401</t>
  </si>
  <si>
    <t>Kepler-1401 b</t>
  </si>
  <si>
    <t>Kepler-1402</t>
  </si>
  <si>
    <t>Kepler-1402 b</t>
  </si>
  <si>
    <t>Kepler-1403</t>
  </si>
  <si>
    <t>Kepler-1403 b</t>
  </si>
  <si>
    <t>Kepler-1404</t>
  </si>
  <si>
    <t>Kepler-1404 b</t>
  </si>
  <si>
    <t>Kepler-1405</t>
  </si>
  <si>
    <t>Kepler-1405 b</t>
  </si>
  <si>
    <t>Kepler-1406</t>
  </si>
  <si>
    <t>Kepler-1406 b</t>
  </si>
  <si>
    <t>Kepler-1407</t>
  </si>
  <si>
    <t>Kepler-1407 b</t>
  </si>
  <si>
    <t>Kepler-1408</t>
  </si>
  <si>
    <t>Kepler-1408 b</t>
  </si>
  <si>
    <t>Kepler-1409</t>
  </si>
  <si>
    <t>Kepler-1409 b</t>
  </si>
  <si>
    <t>Kepler-141</t>
  </si>
  <si>
    <t>Kepler-141 b</t>
  </si>
  <si>
    <t>Kepler-141 c</t>
  </si>
  <si>
    <t>Kepler-1410</t>
  </si>
  <si>
    <t>Kepler-1410 b</t>
  </si>
  <si>
    <t>Kepler-1411</t>
  </si>
  <si>
    <t>Kepler-1411 b</t>
  </si>
  <si>
    <t>Kepler-1412</t>
  </si>
  <si>
    <t>Kepler-1412 b</t>
  </si>
  <si>
    <t>Kepler-1413</t>
  </si>
  <si>
    <t>Kepler-1413 b</t>
  </si>
  <si>
    <t>Kepler-1414</t>
  </si>
  <si>
    <t>Kepler-1414 b</t>
  </si>
  <si>
    <t>Kepler-1415</t>
  </si>
  <si>
    <t>Kepler-1415 b</t>
  </si>
  <si>
    <t>Kepler-1416</t>
  </si>
  <si>
    <t>Kepler-1416 b</t>
  </si>
  <si>
    <t>Kepler-1417</t>
  </si>
  <si>
    <t>Kepler-1417 b</t>
  </si>
  <si>
    <t>Kepler-1418</t>
  </si>
  <si>
    <t>Kepler-1418 b</t>
  </si>
  <si>
    <t>Kepler-1419</t>
  </si>
  <si>
    <t>Kepler-1419 b</t>
  </si>
  <si>
    <t>Kepler-142</t>
  </si>
  <si>
    <t>Kepler-142 b</t>
  </si>
  <si>
    <t>Kepler-142 c</t>
  </si>
  <si>
    <t>Kepler-142 d</t>
  </si>
  <si>
    <t>Kepler-1420</t>
  </si>
  <si>
    <t>Kepler-1420 b</t>
  </si>
  <si>
    <t>Kepler-1421</t>
  </si>
  <si>
    <t>Kepler-1421 b</t>
  </si>
  <si>
    <t>Kepler-1422</t>
  </si>
  <si>
    <t>Kepler-1422 b</t>
  </si>
  <si>
    <t>Kepler-1423</t>
  </si>
  <si>
    <t>Kepler-1423 b</t>
  </si>
  <si>
    <t>Kepler-1424</t>
  </si>
  <si>
    <t>Kepler-1424 b</t>
  </si>
  <si>
    <t>Kepler-1425</t>
  </si>
  <si>
    <t>Kepler-1425 b</t>
  </si>
  <si>
    <t>Kepler-1426</t>
  </si>
  <si>
    <t>Kepler-1426 b</t>
  </si>
  <si>
    <t>Kepler-1427</t>
  </si>
  <si>
    <t>Kepler-1427 b</t>
  </si>
  <si>
    <t>Kepler-1428</t>
  </si>
  <si>
    <t>Kepler-1428 b</t>
  </si>
  <si>
    <t>Kepler-1429</t>
  </si>
  <si>
    <t>Kepler-1429 b</t>
  </si>
  <si>
    <t>Kepler-143</t>
  </si>
  <si>
    <t>Kepler-143 b</t>
  </si>
  <si>
    <t>Kepler-143 c</t>
  </si>
  <si>
    <t>Kepler-1430</t>
  </si>
  <si>
    <t>Kepler-1430 b</t>
  </si>
  <si>
    <t>Kepler-1431</t>
  </si>
  <si>
    <t>Kepler-1431 b</t>
  </si>
  <si>
    <t>Kepler-1432</t>
  </si>
  <si>
    <t>Kepler-1432 b</t>
  </si>
  <si>
    <t>Kepler-1433</t>
  </si>
  <si>
    <t>Kepler-1433 b</t>
  </si>
  <si>
    <t>Kepler-1434</t>
  </si>
  <si>
    <t>Kepler-1434 b</t>
  </si>
  <si>
    <t>Kepler-1435</t>
  </si>
  <si>
    <t>Kepler-1435 b</t>
  </si>
  <si>
    <t>Kepler-1436</t>
  </si>
  <si>
    <t>Kepler-1436 b</t>
  </si>
  <si>
    <t>Kepler-1437</t>
  </si>
  <si>
    <t>Kepler-1437 b</t>
  </si>
  <si>
    <t>Kepler-1438</t>
  </si>
  <si>
    <t>Kepler-1438 b</t>
  </si>
  <si>
    <t>Kepler-1439</t>
  </si>
  <si>
    <t>Kepler-1439 b</t>
  </si>
  <si>
    <t>Kepler-144</t>
  </si>
  <si>
    <t>Kepler-144 b</t>
  </si>
  <si>
    <t>Kepler-144 c</t>
  </si>
  <si>
    <t>Kepler-1440</t>
  </si>
  <si>
    <t>Kepler-1440 b</t>
  </si>
  <si>
    <t>Kepler-1441</t>
  </si>
  <si>
    <t>Kepler-1441 b</t>
  </si>
  <si>
    <t>Kepler-1442</t>
  </si>
  <si>
    <t>Kepler-1442 b</t>
  </si>
  <si>
    <t>Kepler-1443</t>
  </si>
  <si>
    <t>Kepler-1443 b</t>
  </si>
  <si>
    <t>Kepler-1444</t>
  </si>
  <si>
    <t>Kepler-1444 b</t>
  </si>
  <si>
    <t>Kepler-1445</t>
  </si>
  <si>
    <t>Kepler-1445 b</t>
  </si>
  <si>
    <t>Kepler-1446</t>
  </si>
  <si>
    <t>Kepler-1446 b</t>
  </si>
  <si>
    <t>Kepler-1447</t>
  </si>
  <si>
    <t>Kepler-1447 b</t>
  </si>
  <si>
    <t>Kepler-1448</t>
  </si>
  <si>
    <t>Kepler-1448 b</t>
  </si>
  <si>
    <t>Kepler-1449</t>
  </si>
  <si>
    <t>Kepler-1449 b</t>
  </si>
  <si>
    <t>Kepler-145</t>
  </si>
  <si>
    <t>Kepler-145 b</t>
  </si>
  <si>
    <t>Kepler-145 c</t>
  </si>
  <si>
    <t>Kepler-1450</t>
  </si>
  <si>
    <t>Kepler-1450 b</t>
  </si>
  <si>
    <t>Kepler-1451</t>
  </si>
  <si>
    <t>Kepler-1451 b</t>
  </si>
  <si>
    <t>Kepler-1452</t>
  </si>
  <si>
    <t>Kepler-1452 b</t>
  </si>
  <si>
    <t>Kepler-1453</t>
  </si>
  <si>
    <t>Kepler-1453 b</t>
  </si>
  <si>
    <t>Kepler-1454</t>
  </si>
  <si>
    <t>Kepler-1454 b</t>
  </si>
  <si>
    <t>Kepler-1455</t>
  </si>
  <si>
    <t>Kepler-1455 b</t>
  </si>
  <si>
    <t>Kepler-1456</t>
  </si>
  <si>
    <t>Kepler-1456 b</t>
  </si>
  <si>
    <t>Kepler-1457</t>
  </si>
  <si>
    <t>Kepler-1457 b</t>
  </si>
  <si>
    <t>Kepler-1458</t>
  </si>
  <si>
    <t>Kepler-1458 b</t>
  </si>
  <si>
    <t>Kepler-1459</t>
  </si>
  <si>
    <t>Kepler-1459 b</t>
  </si>
  <si>
    <t>Kepler-146</t>
  </si>
  <si>
    <t>Kepler-146 b</t>
  </si>
  <si>
    <t>Kepler-146 c</t>
  </si>
  <si>
    <t>Kepler-1460</t>
  </si>
  <si>
    <t>Kepler-1460 b</t>
  </si>
  <si>
    <t>Kepler-1461</t>
  </si>
  <si>
    <t>Kepler-1461 b</t>
  </si>
  <si>
    <t>Kepler-1462</t>
  </si>
  <si>
    <t>Kepler-1462 b</t>
  </si>
  <si>
    <t>Kepler-1463</t>
  </si>
  <si>
    <t>Kepler-1463 b</t>
  </si>
  <si>
    <t>Kepler-1464</t>
  </si>
  <si>
    <t>Kepler-1464 b</t>
  </si>
  <si>
    <t>Kepler-1464 c</t>
  </si>
  <si>
    <t>Kepler-1465</t>
  </si>
  <si>
    <t>Kepler-1465 b</t>
  </si>
  <si>
    <t>Kepler-1466</t>
  </si>
  <si>
    <t>Kepler-1466 b</t>
  </si>
  <si>
    <t>Kepler-1467</t>
  </si>
  <si>
    <t>Kepler-1467 b</t>
  </si>
  <si>
    <t>Kepler-1468</t>
  </si>
  <si>
    <t>Kepler-1468 b</t>
  </si>
  <si>
    <t>Kepler-1468 c</t>
  </si>
  <si>
    <t>Kepler-1469</t>
  </si>
  <si>
    <t>Kepler-1469 b</t>
  </si>
  <si>
    <t>Kepler-147</t>
  </si>
  <si>
    <t>Kepler-147 b</t>
  </si>
  <si>
    <t>Kepler-147 c</t>
  </si>
  <si>
    <t>Kepler-1470</t>
  </si>
  <si>
    <t>Kepler-1470 b</t>
  </si>
  <si>
    <t>Kepler-1471</t>
  </si>
  <si>
    <t>Kepler-1471 b</t>
  </si>
  <si>
    <t>Kepler-1472</t>
  </si>
  <si>
    <t>Kepler-1472 b</t>
  </si>
  <si>
    <t>Kepler-1473</t>
  </si>
  <si>
    <t>Kepler-1473 b</t>
  </si>
  <si>
    <t>Kepler-1474</t>
  </si>
  <si>
    <t>Kepler-1474 b</t>
  </si>
  <si>
    <t>Kepler-1475</t>
  </si>
  <si>
    <t>Kepler-1475 b</t>
  </si>
  <si>
    <t>Kepler-1476</t>
  </si>
  <si>
    <t>Kepler-1476 b</t>
  </si>
  <si>
    <t>Kepler-1477</t>
  </si>
  <si>
    <t>Kepler-1477 b</t>
  </si>
  <si>
    <t>Kepler-1478</t>
  </si>
  <si>
    <t>Kepler-1478 b</t>
  </si>
  <si>
    <t>Kepler-1479</t>
  </si>
  <si>
    <t>Kepler-1479 b</t>
  </si>
  <si>
    <t>Kepler-148</t>
  </si>
  <si>
    <t>Kepler-148 b</t>
  </si>
  <si>
    <t>Kepler-148 c</t>
  </si>
  <si>
    <t>Kepler-148 d</t>
  </si>
  <si>
    <t>Kepler-1480</t>
  </si>
  <si>
    <t>Kepler-1480 b</t>
  </si>
  <si>
    <t>Kepler-1481</t>
  </si>
  <si>
    <t>Kepler-1481 b</t>
  </si>
  <si>
    <t>Kepler-1482</t>
  </si>
  <si>
    <t>Kepler-1482 b</t>
  </si>
  <si>
    <t>Kepler-1483</t>
  </si>
  <si>
    <t>Kepler-1483 b</t>
  </si>
  <si>
    <t>Kepler-1484</t>
  </si>
  <si>
    <t>Kepler-1484 b</t>
  </si>
  <si>
    <t>Kepler-1485</t>
  </si>
  <si>
    <t>Kepler-1485 b</t>
  </si>
  <si>
    <t>Kepler-1486</t>
  </si>
  <si>
    <t>Kepler-1486 b</t>
  </si>
  <si>
    <t>Kepler-1487</t>
  </si>
  <si>
    <t>Kepler-1487 b</t>
  </si>
  <si>
    <t>Kepler-1488</t>
  </si>
  <si>
    <t>Kepler-1488 b</t>
  </si>
  <si>
    <t>Kepler-1489</t>
  </si>
  <si>
    <t>Kepler-1489 b</t>
  </si>
  <si>
    <t>Kepler-149</t>
  </si>
  <si>
    <t>Kepler-149 b</t>
  </si>
  <si>
    <t>Kepler-149 c</t>
  </si>
  <si>
    <t>Kepler-149 d</t>
  </si>
  <si>
    <t>Kepler-1490</t>
  </si>
  <si>
    <t>Kepler-1490 b</t>
  </si>
  <si>
    <t>Kepler-1491</t>
  </si>
  <si>
    <t>Kepler-1491 b</t>
  </si>
  <si>
    <t>Kepler-1492</t>
  </si>
  <si>
    <t>Kepler-1492 b</t>
  </si>
  <si>
    <t>Kepler-1493</t>
  </si>
  <si>
    <t>Kepler-1493 b</t>
  </si>
  <si>
    <t>Kepler-1494</t>
  </si>
  <si>
    <t>Kepler-1494 b</t>
  </si>
  <si>
    <t>Kepler-1495</t>
  </si>
  <si>
    <t>Kepler-1495 b</t>
  </si>
  <si>
    <t>Kepler-1496</t>
  </si>
  <si>
    <t>Kepler-1496 b</t>
  </si>
  <si>
    <t>Kepler-1497</t>
  </si>
  <si>
    <t>Kepler-1497 b</t>
  </si>
  <si>
    <t>Kepler-1498</t>
  </si>
  <si>
    <t>Kepler-1498 b</t>
  </si>
  <si>
    <t>Kepler-1499</t>
  </si>
  <si>
    <t>Kepler-1499 b</t>
  </si>
  <si>
    <t>Kepler-15</t>
  </si>
  <si>
    <t>Kepler-15 b</t>
  </si>
  <si>
    <t>Kepler-150</t>
  </si>
  <si>
    <t>Kepler-150 b</t>
  </si>
  <si>
    <t>Kepler-150 c</t>
  </si>
  <si>
    <t>Kepler-150 d</t>
  </si>
  <si>
    <t>Kepler-150 e</t>
  </si>
  <si>
    <t>Kepler-150 f</t>
  </si>
  <si>
    <t>Kepler-1500</t>
  </si>
  <si>
    <t>Kepler-1500 b</t>
  </si>
  <si>
    <t>Kepler-1501</t>
  </si>
  <si>
    <t>Kepler-1501 b</t>
  </si>
  <si>
    <t>Kepler-1502</t>
  </si>
  <si>
    <t>Kepler-1502 b</t>
  </si>
  <si>
    <t>Kepler-1503</t>
  </si>
  <si>
    <t>Kepler-1503 b</t>
  </si>
  <si>
    <t>Kepler-1504</t>
  </si>
  <si>
    <t>Kepler-1504 b</t>
  </si>
  <si>
    <t>Kepler-1505</t>
  </si>
  <si>
    <t>Kepler-1505 b</t>
  </si>
  <si>
    <t>Kepler-1506</t>
  </si>
  <si>
    <t>Kepler-1506 b</t>
  </si>
  <si>
    <t>Kepler-1507</t>
  </si>
  <si>
    <t>Kepler-1507 b</t>
  </si>
  <si>
    <t>Kepler-1508</t>
  </si>
  <si>
    <t>Kepler-1508 b</t>
  </si>
  <si>
    <t>Kepler-1509</t>
  </si>
  <si>
    <t>Kepler-1509 b</t>
  </si>
  <si>
    <t>Kepler-151</t>
  </si>
  <si>
    <t>Kepler-151 b</t>
  </si>
  <si>
    <t>Kepler-151 c</t>
  </si>
  <si>
    <t>Kepler-1510</t>
  </si>
  <si>
    <t>Kepler-1510 b</t>
  </si>
  <si>
    <t>Kepler-1511</t>
  </si>
  <si>
    <t>Kepler-1511 b</t>
  </si>
  <si>
    <t>Kepler-1512</t>
  </si>
  <si>
    <t>Kepler-1512 b</t>
  </si>
  <si>
    <t>Kepler-1513</t>
  </si>
  <si>
    <t>Kepler-1513 b</t>
  </si>
  <si>
    <t>Kepler-1514</t>
  </si>
  <si>
    <t>Kepler-1514 b</t>
  </si>
  <si>
    <t>Kepler-1515</t>
  </si>
  <si>
    <t>Kepler-1515 b</t>
  </si>
  <si>
    <t>Kepler-1516</t>
  </si>
  <si>
    <t>Kepler-1516 b</t>
  </si>
  <si>
    <t>Kepler-1517</t>
  </si>
  <si>
    <t>Kepler-1517 b</t>
  </si>
  <si>
    <t>Kepler-1518</t>
  </si>
  <si>
    <t>Kepler-1518 b</t>
  </si>
  <si>
    <t>Kepler-1519</t>
  </si>
  <si>
    <t>Kepler-1519 b</t>
  </si>
  <si>
    <t>Kepler-152</t>
  </si>
  <si>
    <t>Kepler-152 b</t>
  </si>
  <si>
    <t>Kepler-152 c</t>
  </si>
  <si>
    <t>Kepler-1520</t>
  </si>
  <si>
    <t>Kepler-1520 b</t>
  </si>
  <si>
    <t>Kepler-1521</t>
  </si>
  <si>
    <t>Kepler-1521 b</t>
  </si>
  <si>
    <t>Kepler-1522</t>
  </si>
  <si>
    <t>Kepler-1522 b</t>
  </si>
  <si>
    <t>Kepler-1523</t>
  </si>
  <si>
    <t>Kepler-1523 b</t>
  </si>
  <si>
    <t>Kepler-1524</t>
  </si>
  <si>
    <t>Kepler-1524 b</t>
  </si>
  <si>
    <t>Kepler-1525</t>
  </si>
  <si>
    <t>Kepler-1525 b</t>
  </si>
  <si>
    <t>Kepler-1526</t>
  </si>
  <si>
    <t>Kepler-1526 b</t>
  </si>
  <si>
    <t>Kepler-1527</t>
  </si>
  <si>
    <t>Kepler-1527 b</t>
  </si>
  <si>
    <t>Kepler-1528</t>
  </si>
  <si>
    <t>Kepler-1528 b</t>
  </si>
  <si>
    <t>Kepler-1529</t>
  </si>
  <si>
    <t>Kepler-1529 b</t>
  </si>
  <si>
    <t>Kepler-153</t>
  </si>
  <si>
    <t>Kepler-153 b</t>
  </si>
  <si>
    <t>Kepler-153 c</t>
  </si>
  <si>
    <t>Kepler-1530</t>
  </si>
  <si>
    <t>Kepler-1530 b</t>
  </si>
  <si>
    <t>Kepler-1530 c</t>
  </si>
  <si>
    <t>Kepler-1531</t>
  </si>
  <si>
    <t>Kepler-1531 b</t>
  </si>
  <si>
    <t>Kepler-1532</t>
  </si>
  <si>
    <t>Kepler-1532 b</t>
  </si>
  <si>
    <t>Kepler-1533</t>
  </si>
  <si>
    <t>Kepler-1533 b</t>
  </si>
  <si>
    <t>Kepler-1534</t>
  </si>
  <si>
    <t>Kepler-1534 b</t>
  </si>
  <si>
    <t>Kepler-1535</t>
  </si>
  <si>
    <t>Kepler-1535 b</t>
  </si>
  <si>
    <t>Kepler-1536</t>
  </si>
  <si>
    <t>Kepler-1536 b</t>
  </si>
  <si>
    <t>Kepler-1537</t>
  </si>
  <si>
    <t>Kepler-1537 b</t>
  </si>
  <si>
    <t>Kepler-1538</t>
  </si>
  <si>
    <t>Kepler-1538 b</t>
  </si>
  <si>
    <t>Kepler-1539</t>
  </si>
  <si>
    <t>Kepler-1539 b</t>
  </si>
  <si>
    <t>Kepler-154</t>
  </si>
  <si>
    <t>Kepler-154 b</t>
  </si>
  <si>
    <t>Kepler-154 c</t>
  </si>
  <si>
    <t>Kepler-154 d</t>
  </si>
  <si>
    <t>Kepler-154 e</t>
  </si>
  <si>
    <t>Kepler-154 f</t>
  </si>
  <si>
    <t>Kepler-1540</t>
  </si>
  <si>
    <t>Kepler-1540 b</t>
  </si>
  <si>
    <t>Kepler-1541</t>
  </si>
  <si>
    <t>Kepler-1541 b</t>
  </si>
  <si>
    <t>Kepler-1542</t>
  </si>
  <si>
    <t>Kepler-1542 b</t>
  </si>
  <si>
    <t>Kepler-1542 c</t>
  </si>
  <si>
    <t>Kepler-1542 d</t>
  </si>
  <si>
    <t>Kepler-1542 e</t>
  </si>
  <si>
    <t>Kepler-1543</t>
  </si>
  <si>
    <t>Kepler-1543 b</t>
  </si>
  <si>
    <t>Kepler-1544</t>
  </si>
  <si>
    <t>Kepler-1544 b</t>
  </si>
  <si>
    <t>Kepler-1545</t>
  </si>
  <si>
    <t>Kepler-1545 b</t>
  </si>
  <si>
    <t>Kepler-1546</t>
  </si>
  <si>
    <t>Kepler-1546 b</t>
  </si>
  <si>
    <t>Kepler-1547</t>
  </si>
  <si>
    <t>Kepler-1547 b</t>
  </si>
  <si>
    <t>Kepler-1548</t>
  </si>
  <si>
    <t>Kepler-1548 b</t>
  </si>
  <si>
    <t>Kepler-1549</t>
  </si>
  <si>
    <t>Kepler-1549 b</t>
  </si>
  <si>
    <t>Kepler-155</t>
  </si>
  <si>
    <t>Kepler-155 b</t>
  </si>
  <si>
    <t>Kepler-155 c</t>
  </si>
  <si>
    <t>Kepler-1550</t>
  </si>
  <si>
    <t>Kepler-1550 b</t>
  </si>
  <si>
    <t>Kepler-1551</t>
  </si>
  <si>
    <t>Kepler-1551 b</t>
  </si>
  <si>
    <t>Kepler-1552</t>
  </si>
  <si>
    <t>Kepler-1552 b</t>
  </si>
  <si>
    <t>Kepler-1553</t>
  </si>
  <si>
    <t>Kepler-1553 b</t>
  </si>
  <si>
    <t>Kepler-1554</t>
  </si>
  <si>
    <t>Kepler-1554 b</t>
  </si>
  <si>
    <t>Kepler-1555</t>
  </si>
  <si>
    <t>Kepler-1555 b</t>
  </si>
  <si>
    <t>Kepler-1556</t>
  </si>
  <si>
    <t>Kepler-1556 b</t>
  </si>
  <si>
    <t>Kepler-1557</t>
  </si>
  <si>
    <t>Kepler-1557 b</t>
  </si>
  <si>
    <t>Kepler-1558</t>
  </si>
  <si>
    <t>Kepler-1558 b</t>
  </si>
  <si>
    <t>Kepler-1559</t>
  </si>
  <si>
    <t>Kepler-1559 b</t>
  </si>
  <si>
    <t>Kepler-156</t>
  </si>
  <si>
    <t>Kepler-156 b</t>
  </si>
  <si>
    <t>Kepler-156 c</t>
  </si>
  <si>
    <t>Kepler-1560</t>
  </si>
  <si>
    <t>Kepler-1560 b</t>
  </si>
  <si>
    <t>Kepler-1561</t>
  </si>
  <si>
    <t>Kepler-1561 b</t>
  </si>
  <si>
    <t>Kepler-1562</t>
  </si>
  <si>
    <t>Kepler-1562 b</t>
  </si>
  <si>
    <t>Kepler-1563</t>
  </si>
  <si>
    <t>Kepler-1563 b</t>
  </si>
  <si>
    <t>Kepler-1564</t>
  </si>
  <si>
    <t>Kepler-1564 b</t>
  </si>
  <si>
    <t>Kepler-1565</t>
  </si>
  <si>
    <t>Kepler-1565 b</t>
  </si>
  <si>
    <t>Kepler-1566</t>
  </si>
  <si>
    <t>Kepler-1566 b</t>
  </si>
  <si>
    <t>Kepler-1567</t>
  </si>
  <si>
    <t>Kepler-1567 b</t>
  </si>
  <si>
    <t>Kepler-1568</t>
  </si>
  <si>
    <t>Kepler-1568 b</t>
  </si>
  <si>
    <t>Kepler-1569</t>
  </si>
  <si>
    <t>Kepler-1569 b</t>
  </si>
  <si>
    <t>Kepler-157</t>
  </si>
  <si>
    <t>Kepler-157 b</t>
  </si>
  <si>
    <t>Kepler-157 c</t>
  </si>
  <si>
    <t>Kepler-157 d</t>
  </si>
  <si>
    <t>Kepler-1570</t>
  </si>
  <si>
    <t>Kepler-1570 b</t>
  </si>
  <si>
    <t>Kepler-1571</t>
  </si>
  <si>
    <t>Kepler-1571 b</t>
  </si>
  <si>
    <t>Kepler-1572</t>
  </si>
  <si>
    <t>Kepler-1572 b</t>
  </si>
  <si>
    <t>Kepler-1573</t>
  </si>
  <si>
    <t>Kepler-1573 b</t>
  </si>
  <si>
    <t>Kepler-1574</t>
  </si>
  <si>
    <t>Kepler-1574 b</t>
  </si>
  <si>
    <t>Kepler-1575</t>
  </si>
  <si>
    <t>Kepler-1575 b</t>
  </si>
  <si>
    <t>Kepler-1576</t>
  </si>
  <si>
    <t>Kepler-1576 b</t>
  </si>
  <si>
    <t>Kepler-1577</t>
  </si>
  <si>
    <t>Kepler-1577 b</t>
  </si>
  <si>
    <t>Kepler-1578</t>
  </si>
  <si>
    <t>Kepler-1578 b</t>
  </si>
  <si>
    <t>Kepler-1579</t>
  </si>
  <si>
    <t>Kepler-1579 b</t>
  </si>
  <si>
    <t>Kepler-158</t>
  </si>
  <si>
    <t>Kepler-158 b</t>
  </si>
  <si>
    <t>Kepler-158 c</t>
  </si>
  <si>
    <t>Kepler-1580</t>
  </si>
  <si>
    <t>Kepler-1580 b</t>
  </si>
  <si>
    <t>Kepler-1581</t>
  </si>
  <si>
    <t>Kepler-1581 b</t>
  </si>
  <si>
    <t>Kepler-1582</t>
  </si>
  <si>
    <t>Kepler-1582 b</t>
  </si>
  <si>
    <t>Kepler-1583</t>
  </si>
  <si>
    <t>Kepler-1583 b</t>
  </si>
  <si>
    <t>Kepler-1584</t>
  </si>
  <si>
    <t>Kepler-1584 b</t>
  </si>
  <si>
    <t>Kepler-1585</t>
  </si>
  <si>
    <t>Kepler-1585 b</t>
  </si>
  <si>
    <t>Kepler-1586</t>
  </si>
  <si>
    <t>Kepler-1586 b</t>
  </si>
  <si>
    <t>Kepler-1587</t>
  </si>
  <si>
    <t>Kepler-1587 b</t>
  </si>
  <si>
    <t>Kepler-1588</t>
  </si>
  <si>
    <t>Kepler-1588 b</t>
  </si>
  <si>
    <t>Kepler-1589</t>
  </si>
  <si>
    <t>Kepler-1589 b</t>
  </si>
  <si>
    <t>Kepler-159</t>
  </si>
  <si>
    <t>Kepler-159 b</t>
  </si>
  <si>
    <t>Kepler-159 c</t>
  </si>
  <si>
    <t>Kepler-1590</t>
  </si>
  <si>
    <t>Kepler-1590 b</t>
  </si>
  <si>
    <t>Kepler-1591</t>
  </si>
  <si>
    <t>Kepler-1591 b</t>
  </si>
  <si>
    <t>Kepler-1592</t>
  </si>
  <si>
    <t>Kepler-1592 b</t>
  </si>
  <si>
    <t>Kepler-1593</t>
  </si>
  <si>
    <t>Kepler-1593 b</t>
  </si>
  <si>
    <t>Kepler-1594</t>
  </si>
  <si>
    <t>Kepler-1594 b</t>
  </si>
  <si>
    <t>Kepler-1595</t>
  </si>
  <si>
    <t>Kepler-1595 b</t>
  </si>
  <si>
    <t>Kepler-1596</t>
  </si>
  <si>
    <t>Kepler-1596 b</t>
  </si>
  <si>
    <t>Kepler-1597</t>
  </si>
  <si>
    <t>Kepler-1597 b</t>
  </si>
  <si>
    <t>Kepler-1598</t>
  </si>
  <si>
    <t>Kepler-1598 b</t>
  </si>
  <si>
    <t>Kepler-1599</t>
  </si>
  <si>
    <t>Kepler-1599 b</t>
  </si>
  <si>
    <t>Kepler-16</t>
  </si>
  <si>
    <t>Kepler-16 b</t>
  </si>
  <si>
    <t>Kepler-160</t>
  </si>
  <si>
    <t>Kepler-160 b</t>
  </si>
  <si>
    <t>Kepler-160 c</t>
  </si>
  <si>
    <t>Kepler-1600</t>
  </si>
  <si>
    <t>Kepler-1600 b</t>
  </si>
  <si>
    <t>Kepler-1601</t>
  </si>
  <si>
    <t>Kepler-1601 b</t>
  </si>
  <si>
    <t>Kepler-1602</t>
  </si>
  <si>
    <t>Kepler-1602 b</t>
  </si>
  <si>
    <t>Kepler-1603</t>
  </si>
  <si>
    <t>Kepler-1603 b</t>
  </si>
  <si>
    <t>Kepler-1604</t>
  </si>
  <si>
    <t>Kepler-1604 b</t>
  </si>
  <si>
    <t>Kepler-1605</t>
  </si>
  <si>
    <t>Kepler-1605 b</t>
  </si>
  <si>
    <t>Kepler-1606</t>
  </si>
  <si>
    <t>Kepler-1606 b</t>
  </si>
  <si>
    <t>Kepler-1607</t>
  </si>
  <si>
    <t>Kepler-1607 b</t>
  </si>
  <si>
    <t>Kepler-1608</t>
  </si>
  <si>
    <t>Kepler-1608 b</t>
  </si>
  <si>
    <t>Kepler-1609</t>
  </si>
  <si>
    <t>Kepler-1609 b</t>
  </si>
  <si>
    <t>Kepler-161</t>
  </si>
  <si>
    <t>Kepler-161 b</t>
  </si>
  <si>
    <t>Kepler-161 c</t>
  </si>
  <si>
    <t>Kepler-1610</t>
  </si>
  <si>
    <t>Kepler-1610 b</t>
  </si>
  <si>
    <t>Kepler-1611</t>
  </si>
  <si>
    <t>Kepler-1611 b</t>
  </si>
  <si>
    <t>Kepler-1612</t>
  </si>
  <si>
    <t>Kepler-1612 b</t>
  </si>
  <si>
    <t>Kepler-1613</t>
  </si>
  <si>
    <t>Kepler-1613 b</t>
  </si>
  <si>
    <t>Kepler-1614</t>
  </si>
  <si>
    <t>Kepler-1614 b</t>
  </si>
  <si>
    <t>Kepler-1615</t>
  </si>
  <si>
    <t>Kepler-1615 b</t>
  </si>
  <si>
    <t>Kepler-1616</t>
  </si>
  <si>
    <t>Kepler-1616 b</t>
  </si>
  <si>
    <t>Kepler-1617</t>
  </si>
  <si>
    <t>Kepler-1617 b</t>
  </si>
  <si>
    <t>Kepler-1618</t>
  </si>
  <si>
    <t>Kepler-1618 b</t>
  </si>
  <si>
    <t>Kepler-1619</t>
  </si>
  <si>
    <t>Kepler-1619 b</t>
  </si>
  <si>
    <t>Kepler-162</t>
  </si>
  <si>
    <t>Kepler-162 b</t>
  </si>
  <si>
    <t>Kepler-162 c</t>
  </si>
  <si>
    <t>Kepler-1620</t>
  </si>
  <si>
    <t>Kepler-1620 b</t>
  </si>
  <si>
    <t>Kepler-1621</t>
  </si>
  <si>
    <t>Kepler-1621 b</t>
  </si>
  <si>
    <t>Kepler-1622</t>
  </si>
  <si>
    <t>Kepler-1622 b</t>
  </si>
  <si>
    <t>Kepler-1623</t>
  </si>
  <si>
    <t>Kepler-1623 b</t>
  </si>
  <si>
    <t>Kepler-1624</t>
  </si>
  <si>
    <t>Kepler-1624 b</t>
  </si>
  <si>
    <t>Kepler-1625</t>
  </si>
  <si>
    <t>Kepler-1625 b</t>
  </si>
  <si>
    <t>Kepler-1626</t>
  </si>
  <si>
    <t>Kepler-1626 b</t>
  </si>
  <si>
    <t>Kepler-1627</t>
  </si>
  <si>
    <t>Kepler-1627 b</t>
  </si>
  <si>
    <t>Kepler-1628</t>
  </si>
  <si>
    <t>Kepler-1628 b</t>
  </si>
  <si>
    <t>Kepler-1629</t>
  </si>
  <si>
    <t>Kepler-1629 b</t>
  </si>
  <si>
    <t>Kepler-163</t>
  </si>
  <si>
    <t>Kepler-163 b</t>
  </si>
  <si>
    <t>Kepler-163 c</t>
  </si>
  <si>
    <t>Kepler-1630</t>
  </si>
  <si>
    <t>Kepler-1630 b</t>
  </si>
  <si>
    <t>Kepler-1631</t>
  </si>
  <si>
    <t>Kepler-1631 b</t>
  </si>
  <si>
    <t>Kepler-1632</t>
  </si>
  <si>
    <t>Kepler-1632 b</t>
  </si>
  <si>
    <t>Kepler-1633</t>
  </si>
  <si>
    <t>Kepler-1633 b</t>
  </si>
  <si>
    <t>Kepler-1634</t>
  </si>
  <si>
    <t>Kepler-1634 b</t>
  </si>
  <si>
    <t>Kepler-1635</t>
  </si>
  <si>
    <t>Kepler-1635 b</t>
  </si>
  <si>
    <t>Kepler-1636</t>
  </si>
  <si>
    <t>Kepler-1636 b</t>
  </si>
  <si>
    <t>Kepler-1637</t>
  </si>
  <si>
    <t>Kepler-1637 b</t>
  </si>
  <si>
    <t>Kepler-1638</t>
  </si>
  <si>
    <t>Kepler-1638 b</t>
  </si>
  <si>
    <t>Kepler-1639</t>
  </si>
  <si>
    <t>Kepler-1639 b</t>
  </si>
  <si>
    <t>Kepler-164</t>
  </si>
  <si>
    <t>Kepler-164 b</t>
  </si>
  <si>
    <t>Kepler-164 c</t>
  </si>
  <si>
    <t>Kepler-164 d</t>
  </si>
  <si>
    <t>Kepler-1640</t>
  </si>
  <si>
    <t>Kepler-1640 b</t>
  </si>
  <si>
    <t>Kepler-1641</t>
  </si>
  <si>
    <t>Kepler-1641 b</t>
  </si>
  <si>
    <t>Kepler-1641 c</t>
  </si>
  <si>
    <t>Kepler-1642</t>
  </si>
  <si>
    <t>Kepler-1642 b</t>
  </si>
  <si>
    <t>Kepler-1642 c</t>
  </si>
  <si>
    <t>Kepler-1643</t>
  </si>
  <si>
    <t>Kepler-1643 b</t>
  </si>
  <si>
    <t>Kepler-1644</t>
  </si>
  <si>
    <t>Kepler-1644 b</t>
  </si>
  <si>
    <t>Kepler-1645</t>
  </si>
  <si>
    <t>Kepler-1645 b</t>
  </si>
  <si>
    <t>Kepler-1646</t>
  </si>
  <si>
    <t>Kepler-1646 b</t>
  </si>
  <si>
    <t>Kepler-1647</t>
  </si>
  <si>
    <t>Kepler-1647 b</t>
  </si>
  <si>
    <t>Kepler-1649</t>
  </si>
  <si>
    <t>Kepler-1649 b</t>
  </si>
  <si>
    <t>Kepler-165</t>
  </si>
  <si>
    <t>Kepler-165 b</t>
  </si>
  <si>
    <t>Kepler-165 c</t>
  </si>
  <si>
    <t>Kepler-1650</t>
  </si>
  <si>
    <t>Kepler-1650 b</t>
  </si>
  <si>
    <t>Kepler-1651</t>
  </si>
  <si>
    <t>Kepler-1651 b</t>
  </si>
  <si>
    <t>Kepler-1652</t>
  </si>
  <si>
    <t>Kepler-1652 b</t>
  </si>
  <si>
    <t>Kepler-1653</t>
  </si>
  <si>
    <t>Kepler-1653 b</t>
  </si>
  <si>
    <t>Kepler-1654</t>
  </si>
  <si>
    <t>Kepler-1654 b</t>
  </si>
  <si>
    <t>Kepler-1655</t>
  </si>
  <si>
    <t>Kepler-1655 b</t>
  </si>
  <si>
    <t>Kepler-1656</t>
  </si>
  <si>
    <t>Kepler-1656 b</t>
  </si>
  <si>
    <t>Kepler-1658</t>
  </si>
  <si>
    <t>Kepler-1658 b</t>
  </si>
  <si>
    <t>Kepler-166</t>
  </si>
  <si>
    <t>Kepler-166 b</t>
  </si>
  <si>
    <t>Kepler-166 c</t>
  </si>
  <si>
    <t>Kepler-166 d</t>
  </si>
  <si>
    <t>Kepler-167</t>
  </si>
  <si>
    <t>Kepler-167 b</t>
  </si>
  <si>
    <t>Kepler-167 c</t>
  </si>
  <si>
    <t>Kepler-167 d</t>
  </si>
  <si>
    <t>Kepler-167 e</t>
  </si>
  <si>
    <t>Kepler-168</t>
  </si>
  <si>
    <t>Kepler-168 b</t>
  </si>
  <si>
    <t>Kepler-168 c</t>
  </si>
  <si>
    <t>Kepler-169</t>
  </si>
  <si>
    <t>Kepler-169 b</t>
  </si>
  <si>
    <t>Kepler-169 c</t>
  </si>
  <si>
    <t>Kepler-169 d</t>
  </si>
  <si>
    <t>Kepler-169 e</t>
  </si>
  <si>
    <t>Kepler-169 f</t>
  </si>
  <si>
    <t>Kepler-17</t>
  </si>
  <si>
    <t>Kepler-17 b</t>
  </si>
  <si>
    <t>Kepler-170</t>
  </si>
  <si>
    <t>Kepler-170 b</t>
  </si>
  <si>
    <t>Kepler-170 c</t>
  </si>
  <si>
    <t>Kepler-171</t>
  </si>
  <si>
    <t>Kepler-171 b</t>
  </si>
  <si>
    <t>Kepler-171 c</t>
  </si>
  <si>
    <t>Kepler-171 d</t>
  </si>
  <si>
    <t>Kepler-172</t>
  </si>
  <si>
    <t>Kepler-172 b</t>
  </si>
  <si>
    <t>Kepler-172 c</t>
  </si>
  <si>
    <t>Kepler-172 d</t>
  </si>
  <si>
    <t>Kepler-172 e</t>
  </si>
  <si>
    <t>Kepler-173</t>
  </si>
  <si>
    <t>Kepler-173 b</t>
  </si>
  <si>
    <t>Kepler-173 c</t>
  </si>
  <si>
    <t>Kepler-174</t>
  </si>
  <si>
    <t>Kepler-174 b</t>
  </si>
  <si>
    <t>Kepler-174 c</t>
  </si>
  <si>
    <t>Kepler-174 d</t>
  </si>
  <si>
    <t>Kepler-175</t>
  </si>
  <si>
    <t>Kepler-175 b</t>
  </si>
  <si>
    <t>Kepler-175 c</t>
  </si>
  <si>
    <t>Kepler-176</t>
  </si>
  <si>
    <t>Kepler-176 b</t>
  </si>
  <si>
    <t>Kepler-176 c</t>
  </si>
  <si>
    <t>Kepler-176 d</t>
  </si>
  <si>
    <t>Kepler-176 e</t>
  </si>
  <si>
    <t>Kepler-177</t>
  </si>
  <si>
    <t>Kepler-177 b</t>
  </si>
  <si>
    <t>Kepler-177 c</t>
  </si>
  <si>
    <t>Kepler-178</t>
  </si>
  <si>
    <t>Kepler-178 b</t>
  </si>
  <si>
    <t>Kepler-178 c</t>
  </si>
  <si>
    <t>Kepler-178 d</t>
  </si>
  <si>
    <t>Kepler-179</t>
  </si>
  <si>
    <t>Kepler-179 b</t>
  </si>
  <si>
    <t>Kepler-179 c</t>
  </si>
  <si>
    <t>Kepler-18</t>
  </si>
  <si>
    <t>Kepler-18 b</t>
  </si>
  <si>
    <t>Kepler-18 c</t>
  </si>
  <si>
    <t>Kepler-18 d</t>
  </si>
  <si>
    <t>Kepler-180</t>
  </si>
  <si>
    <t>Kepler-180 b</t>
  </si>
  <si>
    <t>Kepler-180 c</t>
  </si>
  <si>
    <t>Kepler-181</t>
  </si>
  <si>
    <t>Kepler-181 b</t>
  </si>
  <si>
    <t>Kepler-181 c</t>
  </si>
  <si>
    <t>Kepler-182</t>
  </si>
  <si>
    <t>Kepler-182 b</t>
  </si>
  <si>
    <t>Kepler-182 c</t>
  </si>
  <si>
    <t>Kepler-183</t>
  </si>
  <si>
    <t>Kepler-183 b</t>
  </si>
  <si>
    <t>Kepler-183 c</t>
  </si>
  <si>
    <t>Kepler-184</t>
  </si>
  <si>
    <t>Kepler-184 b</t>
  </si>
  <si>
    <t>Kepler-184 c</t>
  </si>
  <si>
    <t>Kepler-184 d</t>
  </si>
  <si>
    <t>Kepler-185</t>
  </si>
  <si>
    <t>Kepler-185 b</t>
  </si>
  <si>
    <t>Kepler-185 c</t>
  </si>
  <si>
    <t>Kepler-186</t>
  </si>
  <si>
    <t>Kepler-186 b</t>
  </si>
  <si>
    <t>Kepler-186 c</t>
  </si>
  <si>
    <t>Kepler-186 d</t>
  </si>
  <si>
    <t>Kepler-186 e</t>
  </si>
  <si>
    <t>Kepler-186 f</t>
  </si>
  <si>
    <t>Kepler-187</t>
  </si>
  <si>
    <t>Kepler-187 b</t>
  </si>
  <si>
    <t>Kepler-187 c</t>
  </si>
  <si>
    <t>Kepler-188</t>
  </si>
  <si>
    <t>Kepler-188 b</t>
  </si>
  <si>
    <t>Kepler-188 c</t>
  </si>
  <si>
    <t>Kepler-189</t>
  </si>
  <si>
    <t>Kepler-189 b</t>
  </si>
  <si>
    <t>Kepler-189 c</t>
  </si>
  <si>
    <t>Kepler-19</t>
  </si>
  <si>
    <t>Kepler-19 b</t>
  </si>
  <si>
    <t>Kepler-19 c</t>
  </si>
  <si>
    <t>Kepler-19 d</t>
  </si>
  <si>
    <t>Kepler-190</t>
  </si>
  <si>
    <t>Kepler-190 b</t>
  </si>
  <si>
    <t>Kepler-190 c</t>
  </si>
  <si>
    <t>Kepler-191</t>
  </si>
  <si>
    <t>Kepler-191 b</t>
  </si>
  <si>
    <t>Kepler-191 c</t>
  </si>
  <si>
    <t>Kepler-191 d</t>
  </si>
  <si>
    <t>Kepler-192</t>
  </si>
  <si>
    <t>Kepler-192 b</t>
  </si>
  <si>
    <t>Kepler-192 c</t>
  </si>
  <si>
    <t>Kepler-192 d</t>
  </si>
  <si>
    <t>Kepler-193</t>
  </si>
  <si>
    <t>Kepler-193 b</t>
  </si>
  <si>
    <t>Kepler-193 c</t>
  </si>
  <si>
    <t>Kepler-194</t>
  </si>
  <si>
    <t>Kepler-194 b</t>
  </si>
  <si>
    <t>Kepler-194 c</t>
  </si>
  <si>
    <t>Kepler-194 d</t>
  </si>
  <si>
    <t>Kepler-195</t>
  </si>
  <si>
    <t>Kepler-195 b</t>
  </si>
  <si>
    <t>Kepler-195 c</t>
  </si>
  <si>
    <t>Kepler-196</t>
  </si>
  <si>
    <t>Kepler-196 b</t>
  </si>
  <si>
    <t>Kepler-196 c</t>
  </si>
  <si>
    <t>Kepler-197</t>
  </si>
  <si>
    <t>Kepler-197 b</t>
  </si>
  <si>
    <t>Kepler-197 c</t>
  </si>
  <si>
    <t>Kepler-197 d</t>
  </si>
  <si>
    <t>Kepler-197 e</t>
  </si>
  <si>
    <t>Kepler-198</t>
  </si>
  <si>
    <t>Kepler-198 b</t>
  </si>
  <si>
    <t>Kepler-198 c</t>
  </si>
  <si>
    <t>Kepler-198 d</t>
  </si>
  <si>
    <t>Kepler-199</t>
  </si>
  <si>
    <t>Kepler-199 b</t>
  </si>
  <si>
    <t>Kepler-199 c</t>
  </si>
  <si>
    <t>Kepler-20</t>
  </si>
  <si>
    <t>Kepler-20 b</t>
  </si>
  <si>
    <t>Kepler-20 c</t>
  </si>
  <si>
    <t>Kepler-20 d</t>
  </si>
  <si>
    <t>Kepler-20 e</t>
  </si>
  <si>
    <t>Kepler-20 f</t>
  </si>
  <si>
    <t>Kepler-20 g</t>
  </si>
  <si>
    <t>Kepler-200</t>
  </si>
  <si>
    <t>Kepler-200 b</t>
  </si>
  <si>
    <t>Kepler-200 c</t>
  </si>
  <si>
    <t>Kepler-201</t>
  </si>
  <si>
    <t>Kepler-201 b</t>
  </si>
  <si>
    <t>Kepler-201 c</t>
  </si>
  <si>
    <t>Kepler-202</t>
  </si>
  <si>
    <t>Kepler-202 b</t>
  </si>
  <si>
    <t>Kepler-202 c</t>
  </si>
  <si>
    <t>Kepler-203</t>
  </si>
  <si>
    <t>Kepler-203 b</t>
  </si>
  <si>
    <t>Kepler-203 c</t>
  </si>
  <si>
    <t>Kepler-203 d</t>
  </si>
  <si>
    <t>Kepler-204</t>
  </si>
  <si>
    <t>Kepler-204 b</t>
  </si>
  <si>
    <t>Kepler-204 c</t>
  </si>
  <si>
    <t>Kepler-205</t>
  </si>
  <si>
    <t>Kepler-205 b</t>
  </si>
  <si>
    <t>Kepler-205 c</t>
  </si>
  <si>
    <t>Kepler-206</t>
  </si>
  <si>
    <t>Kepler-206 b</t>
  </si>
  <si>
    <t>Kepler-206 c</t>
  </si>
  <si>
    <t>Kepler-206 d</t>
  </si>
  <si>
    <t>Kepler-207</t>
  </si>
  <si>
    <t>Kepler-207 b</t>
  </si>
  <si>
    <t>Kepler-207 c</t>
  </si>
  <si>
    <t>Kepler-207 d</t>
  </si>
  <si>
    <t>Kepler-208</t>
  </si>
  <si>
    <t>Kepler-208 b</t>
  </si>
  <si>
    <t>Kepler-208 c</t>
  </si>
  <si>
    <t>Kepler-208 d</t>
  </si>
  <si>
    <t>Kepler-208 e</t>
  </si>
  <si>
    <t>Kepler-209</t>
  </si>
  <si>
    <t>Kepler-209 b</t>
  </si>
  <si>
    <t>Kepler-209 c</t>
  </si>
  <si>
    <t>Kepler-21</t>
  </si>
  <si>
    <t>Kepler-21 b</t>
  </si>
  <si>
    <t>Kepler-210</t>
  </si>
  <si>
    <t>Kepler-210 b</t>
  </si>
  <si>
    <t>Kepler-210 c</t>
  </si>
  <si>
    <t>Kepler-211</t>
  </si>
  <si>
    <t>Kepler-211 b</t>
  </si>
  <si>
    <t>Kepler-211 c</t>
  </si>
  <si>
    <t>Kepler-212</t>
  </si>
  <si>
    <t>Kepler-212 b</t>
  </si>
  <si>
    <t>Kepler-212 c</t>
  </si>
  <si>
    <t>Kepler-213</t>
  </si>
  <si>
    <t>Kepler-213 b</t>
  </si>
  <si>
    <t>Kepler-213 c</t>
  </si>
  <si>
    <t>Kepler-214</t>
  </si>
  <si>
    <t>Kepler-214 b</t>
  </si>
  <si>
    <t>Kepler-214 c</t>
  </si>
  <si>
    <t>Kepler-215</t>
  </si>
  <si>
    <t>Kepler-215 b</t>
  </si>
  <si>
    <t>Kepler-215 c</t>
  </si>
  <si>
    <t>Kepler-215 d</t>
  </si>
  <si>
    <t>Kepler-215 e</t>
  </si>
  <si>
    <t>Kepler-216</t>
  </si>
  <si>
    <t>Kepler-216 b</t>
  </si>
  <si>
    <t>Kepler-216 c</t>
  </si>
  <si>
    <t>Kepler-217</t>
  </si>
  <si>
    <t>Kepler-217 b</t>
  </si>
  <si>
    <t>Kepler-217 c</t>
  </si>
  <si>
    <t>Kepler-217 d</t>
  </si>
  <si>
    <t>Kepler-218</t>
  </si>
  <si>
    <t>Kepler-218 b</t>
  </si>
  <si>
    <t>Kepler-218 c</t>
  </si>
  <si>
    <t>Kepler-218 d</t>
  </si>
  <si>
    <t>Kepler-219</t>
  </si>
  <si>
    <t>Kepler-219 b</t>
  </si>
  <si>
    <t>Kepler-219 c</t>
  </si>
  <si>
    <t>Kepler-219 d</t>
  </si>
  <si>
    <t>Kepler-22</t>
  </si>
  <si>
    <t>Kepler-22 b</t>
  </si>
  <si>
    <t>Kepler-220</t>
  </si>
  <si>
    <t>Kepler-220 b</t>
  </si>
  <si>
    <t>Kepler-220 c</t>
  </si>
  <si>
    <t>Kepler-220 d</t>
  </si>
  <si>
    <t>Kepler-220 e</t>
  </si>
  <si>
    <t>Kepler-221</t>
  </si>
  <si>
    <t>Kepler-221 b</t>
  </si>
  <si>
    <t>Kepler-221 c</t>
  </si>
  <si>
    <t>Kepler-221 d</t>
  </si>
  <si>
    <t>Kepler-221 e</t>
  </si>
  <si>
    <t>Kepler-222</t>
  </si>
  <si>
    <t>Kepler-222 b</t>
  </si>
  <si>
    <t>Kepler-222 c</t>
  </si>
  <si>
    <t>Kepler-222 d</t>
  </si>
  <si>
    <t>Kepler-223</t>
  </si>
  <si>
    <t>Kepler-223 b</t>
  </si>
  <si>
    <t>Kepler-223 c</t>
  </si>
  <si>
    <t>Kepler-223 d</t>
  </si>
  <si>
    <t>Kepler-223 e</t>
  </si>
  <si>
    <t>Kepler-224</t>
  </si>
  <si>
    <t>Kepler-224 b</t>
  </si>
  <si>
    <t>Kepler-224 c</t>
  </si>
  <si>
    <t>Kepler-224 d</t>
  </si>
  <si>
    <t>Kepler-224 e</t>
  </si>
  <si>
    <t>Kepler-225</t>
  </si>
  <si>
    <t>Kepler-225 b</t>
  </si>
  <si>
    <t>Kepler-225 c</t>
  </si>
  <si>
    <t>Kepler-226</t>
  </si>
  <si>
    <t>Kepler-226 b</t>
  </si>
  <si>
    <t>Kepler-226 c</t>
  </si>
  <si>
    <t>Kepler-226 d</t>
  </si>
  <si>
    <t>Kepler-227</t>
  </si>
  <si>
    <t>Kepler-227 b</t>
  </si>
  <si>
    <t>Kepler-227 c</t>
  </si>
  <si>
    <t>Kepler-228</t>
  </si>
  <si>
    <t>Kepler-228 b</t>
  </si>
  <si>
    <t>Kepler-228 c</t>
  </si>
  <si>
    <t>Kepler-228 d</t>
  </si>
  <si>
    <t>Kepler-229</t>
  </si>
  <si>
    <t>Kepler-229 b</t>
  </si>
  <si>
    <t>Kepler-229 c</t>
  </si>
  <si>
    <t>Kepler-229 d</t>
  </si>
  <si>
    <t>Kepler-23</t>
  </si>
  <si>
    <t>Kepler-23 b</t>
  </si>
  <si>
    <t>Kepler-23 c</t>
  </si>
  <si>
    <t>Kepler-23 d</t>
  </si>
  <si>
    <t>Kepler-230</t>
  </si>
  <si>
    <t>Kepler-230 b</t>
  </si>
  <si>
    <t>Kepler-230 c</t>
  </si>
  <si>
    <t>Kepler-231</t>
  </si>
  <si>
    <t>Kepler-231 b</t>
  </si>
  <si>
    <t>Kepler-231 c</t>
  </si>
  <si>
    <t>Kepler-232</t>
  </si>
  <si>
    <t>Kepler-232 b</t>
  </si>
  <si>
    <t>Kepler-232 c</t>
  </si>
  <si>
    <t>Kepler-233</t>
  </si>
  <si>
    <t>Kepler-233 b</t>
  </si>
  <si>
    <t>Kepler-233 c</t>
  </si>
  <si>
    <t>Kepler-234</t>
  </si>
  <si>
    <t>Kepler-234 b</t>
  </si>
  <si>
    <t>Kepler-234 c</t>
  </si>
  <si>
    <t>Kepler-235</t>
  </si>
  <si>
    <t>Kepler-235 b</t>
  </si>
  <si>
    <t>Kepler-235 c</t>
  </si>
  <si>
    <t>Kepler-235 d</t>
  </si>
  <si>
    <t>Kepler-235 e</t>
  </si>
  <si>
    <t>Kepler-236</t>
  </si>
  <si>
    <t>Kepler-236 b</t>
  </si>
  <si>
    <t>Kepler-236 c</t>
  </si>
  <si>
    <t>Kepler-237</t>
  </si>
  <si>
    <t>Kepler-237 b</t>
  </si>
  <si>
    <t>Kepler-237 c</t>
  </si>
  <si>
    <t>Kepler-238</t>
  </si>
  <si>
    <t>Kepler-238 b</t>
  </si>
  <si>
    <t>Kepler-238 c</t>
  </si>
  <si>
    <t>Kepler-238 d</t>
  </si>
  <si>
    <t>Kepler-238 e</t>
  </si>
  <si>
    <t>Kepler-238 f</t>
  </si>
  <si>
    <t>Kepler-239</t>
  </si>
  <si>
    <t>Kepler-239 b</t>
  </si>
  <si>
    <t>Kepler-239 c</t>
  </si>
  <si>
    <t>Kepler-24</t>
  </si>
  <si>
    <t>Kepler-24 b</t>
  </si>
  <si>
    <t>Kepler-24 c</t>
  </si>
  <si>
    <t>Kepler-24 d</t>
  </si>
  <si>
    <t>Kepler-24 e</t>
  </si>
  <si>
    <t>Kepler-240</t>
  </si>
  <si>
    <t>Kepler-240 b</t>
  </si>
  <si>
    <t>Kepler-240 c</t>
  </si>
  <si>
    <t>Kepler-241</t>
  </si>
  <si>
    <t>Kepler-241 b</t>
  </si>
  <si>
    <t>Kepler-241 c</t>
  </si>
  <si>
    <t>Kepler-242</t>
  </si>
  <si>
    <t>Kepler-242 b</t>
  </si>
  <si>
    <t>Kepler-242 c</t>
  </si>
  <si>
    <t>Kepler-243</t>
  </si>
  <si>
    <t>Kepler-243 b</t>
  </si>
  <si>
    <t>Kepler-243 c</t>
  </si>
  <si>
    <t>Kepler-244</t>
  </si>
  <si>
    <t>Kepler-244 b</t>
  </si>
  <si>
    <t>Kepler-244 c</t>
  </si>
  <si>
    <t>Kepler-244 d</t>
  </si>
  <si>
    <t>Kepler-245</t>
  </si>
  <si>
    <t>Kepler-245 b</t>
  </si>
  <si>
    <t>Kepler-245 c</t>
  </si>
  <si>
    <t>Kepler-245 d</t>
  </si>
  <si>
    <t>Kepler-245 e</t>
  </si>
  <si>
    <t>Kepler-246</t>
  </si>
  <si>
    <t>Kepler-246 b</t>
  </si>
  <si>
    <t>Kepler-246 c</t>
  </si>
  <si>
    <t>Kepler-247</t>
  </si>
  <si>
    <t>Kepler-247 b</t>
  </si>
  <si>
    <t>Kepler-247 c</t>
  </si>
  <si>
    <t>Kepler-247 d</t>
  </si>
  <si>
    <t>Kepler-248</t>
  </si>
  <si>
    <t>Kepler-248 b</t>
  </si>
  <si>
    <t>Kepler-248 c</t>
  </si>
  <si>
    <t>Kepler-249</t>
  </si>
  <si>
    <t>Kepler-249 b</t>
  </si>
  <si>
    <t>Kepler-249 c</t>
  </si>
  <si>
    <t>Kepler-249 d</t>
  </si>
  <si>
    <t>Kepler-25</t>
  </si>
  <si>
    <t>Kepler-25 b</t>
  </si>
  <si>
    <t>Kepler-25 c</t>
  </si>
  <si>
    <t>Kepler-25 d</t>
  </si>
  <si>
    <t>Kepler-250</t>
  </si>
  <si>
    <t>Kepler-250 b</t>
  </si>
  <si>
    <t>Kepler-250 c</t>
  </si>
  <si>
    <t>Kepler-250 d</t>
  </si>
  <si>
    <t>Kepler-251</t>
  </si>
  <si>
    <t>Kepler-251 b</t>
  </si>
  <si>
    <t>Kepler-251 c</t>
  </si>
  <si>
    <t>Kepler-251 d</t>
  </si>
  <si>
    <t>Kepler-251 e</t>
  </si>
  <si>
    <t>Kepler-252</t>
  </si>
  <si>
    <t>Kepler-252 b</t>
  </si>
  <si>
    <t>Kepler-252 c</t>
  </si>
  <si>
    <t>Kepler-253</t>
  </si>
  <si>
    <t>Kepler-253 b</t>
  </si>
  <si>
    <t>Kepler-253 c</t>
  </si>
  <si>
    <t>Kepler-253 d</t>
  </si>
  <si>
    <t>Kepler-254</t>
  </si>
  <si>
    <t>Kepler-254 b</t>
  </si>
  <si>
    <t>Kepler-254 c</t>
  </si>
  <si>
    <t>Kepler-254 d</t>
  </si>
  <si>
    <t>Kepler-255</t>
  </si>
  <si>
    <t>Kepler-255 b</t>
  </si>
  <si>
    <t>Kepler-255 c</t>
  </si>
  <si>
    <t>Kepler-255 d</t>
  </si>
  <si>
    <t>Kepler-256</t>
  </si>
  <si>
    <t>Kepler-256 b</t>
  </si>
  <si>
    <t>Kepler-256 c</t>
  </si>
  <si>
    <t>Kepler-256 d</t>
  </si>
  <si>
    <t>Kepler-256 e</t>
  </si>
  <si>
    <t>Kepler-257</t>
  </si>
  <si>
    <t>Kepler-257 b</t>
  </si>
  <si>
    <t>Kepler-257 c</t>
  </si>
  <si>
    <t>Kepler-257 d</t>
  </si>
  <si>
    <t>Kepler-258</t>
  </si>
  <si>
    <t>Kepler-258 b</t>
  </si>
  <si>
    <t>Kepler-258 c</t>
  </si>
  <si>
    <t>Kepler-259</t>
  </si>
  <si>
    <t>Kepler-259 b</t>
  </si>
  <si>
    <t>Kepler-259 c</t>
  </si>
  <si>
    <t>Kepler-26</t>
  </si>
  <si>
    <t>Kepler-26 b</t>
  </si>
  <si>
    <t>Kepler-26 c</t>
  </si>
  <si>
    <t>Kepler-26 d</t>
  </si>
  <si>
    <t>Kepler-26 e</t>
  </si>
  <si>
    <t>Kepler-260</t>
  </si>
  <si>
    <t>Kepler-260 b</t>
  </si>
  <si>
    <t>Kepler-260 c</t>
  </si>
  <si>
    <t>Kepler-261</t>
  </si>
  <si>
    <t>Kepler-261 b</t>
  </si>
  <si>
    <t>Kepler-261 c</t>
  </si>
  <si>
    <t>Kepler-262</t>
  </si>
  <si>
    <t>Kepler-262 b</t>
  </si>
  <si>
    <t>Kepler-262 c</t>
  </si>
  <si>
    <t>Kepler-263</t>
  </si>
  <si>
    <t>Kepler-263 b</t>
  </si>
  <si>
    <t>Kepler-263 c</t>
  </si>
  <si>
    <t>Kepler-264</t>
  </si>
  <si>
    <t>Kepler-264 b</t>
  </si>
  <si>
    <t>Kepler-264 c</t>
  </si>
  <si>
    <t>Kepler-265</t>
  </si>
  <si>
    <t>Kepler-265 b</t>
  </si>
  <si>
    <t>Kepler-265 c</t>
  </si>
  <si>
    <t>Kepler-265 d</t>
  </si>
  <si>
    <t>Kepler-265 e</t>
  </si>
  <si>
    <t>Kepler-266</t>
  </si>
  <si>
    <t>Kepler-266 b</t>
  </si>
  <si>
    <t>Kepler-266 c</t>
  </si>
  <si>
    <t>Kepler-267</t>
  </si>
  <si>
    <t>Kepler-267 b</t>
  </si>
  <si>
    <t>Kepler-267 c</t>
  </si>
  <si>
    <t>Kepler-267 d</t>
  </si>
  <si>
    <t>Kepler-268</t>
  </si>
  <si>
    <t>Kepler-268 b</t>
  </si>
  <si>
    <t>Kepler-268 c</t>
  </si>
  <si>
    <t>Kepler-269</t>
  </si>
  <si>
    <t>Kepler-269 b</t>
  </si>
  <si>
    <t>Kepler-269 c</t>
  </si>
  <si>
    <t>Kepler-27</t>
  </si>
  <si>
    <t>Kepler-27 b</t>
  </si>
  <si>
    <t>Kepler-27 c</t>
  </si>
  <si>
    <t>Kepler-270</t>
  </si>
  <si>
    <t>Kepler-270 b</t>
  </si>
  <si>
    <t>Kepler-270 c</t>
  </si>
  <si>
    <t>Kepler-271</t>
  </si>
  <si>
    <t>Kepler-271 b</t>
  </si>
  <si>
    <t>Kepler-271 c</t>
  </si>
  <si>
    <t>Kepler-271 d</t>
  </si>
  <si>
    <t>Kepler-272</t>
  </si>
  <si>
    <t>Kepler-272 b</t>
  </si>
  <si>
    <t>Kepler-272 c</t>
  </si>
  <si>
    <t>Kepler-272 d</t>
  </si>
  <si>
    <t>Kepler-273</t>
  </si>
  <si>
    <t>Kepler-273 b</t>
  </si>
  <si>
    <t>Kepler-273 c</t>
  </si>
  <si>
    <t>Kepler-274</t>
  </si>
  <si>
    <t>Kepler-274 b</t>
  </si>
  <si>
    <t>Kepler-274 c</t>
  </si>
  <si>
    <t>Kepler-275</t>
  </si>
  <si>
    <t>Kepler-275 b</t>
  </si>
  <si>
    <t>Kepler-275 c</t>
  </si>
  <si>
    <t>Kepler-275 d</t>
  </si>
  <si>
    <t>Kepler-276</t>
  </si>
  <si>
    <t>Kepler-276 b</t>
  </si>
  <si>
    <t>Kepler-276 c</t>
  </si>
  <si>
    <t>Kepler-276 d</t>
  </si>
  <si>
    <t>Kepler-277</t>
  </si>
  <si>
    <t>Kepler-277 b</t>
  </si>
  <si>
    <t>Kepler-277 c</t>
  </si>
  <si>
    <t>Kepler-278</t>
  </si>
  <si>
    <t>Kepler-278 b</t>
  </si>
  <si>
    <t>Kepler-278 c</t>
  </si>
  <si>
    <t>Kepler-279</t>
  </si>
  <si>
    <t>Kepler-279 b</t>
  </si>
  <si>
    <t>Kepler-279 c</t>
  </si>
  <si>
    <t>Kepler-279 d</t>
  </si>
  <si>
    <t>Kepler-28</t>
  </si>
  <si>
    <t>Kepler-28 b</t>
  </si>
  <si>
    <t>Kepler-28 c</t>
  </si>
  <si>
    <t>Kepler-280</t>
  </si>
  <si>
    <t>Kepler-280 b</t>
  </si>
  <si>
    <t>Kepler-280 c</t>
  </si>
  <si>
    <t>Kepler-281</t>
  </si>
  <si>
    <t>Kepler-281 b</t>
  </si>
  <si>
    <t>Kepler-281 c</t>
  </si>
  <si>
    <t>Kepler-282</t>
  </si>
  <si>
    <t>Kepler-282 b</t>
  </si>
  <si>
    <t>Kepler-282 c</t>
  </si>
  <si>
    <t>Kepler-282 d</t>
  </si>
  <si>
    <t>Kepler-282 e</t>
  </si>
  <si>
    <t>Kepler-283</t>
  </si>
  <si>
    <t>Kepler-283 b</t>
  </si>
  <si>
    <t>Kepler-283 c</t>
  </si>
  <si>
    <t>Kepler-284</t>
  </si>
  <si>
    <t>Kepler-284 b</t>
  </si>
  <si>
    <t>Kepler-284 c</t>
  </si>
  <si>
    <t>Kepler-285</t>
  </si>
  <si>
    <t>Kepler-285 b</t>
  </si>
  <si>
    <t>Kepler-285 c</t>
  </si>
  <si>
    <t>Kepler-286</t>
  </si>
  <si>
    <t>Kepler-286 b</t>
  </si>
  <si>
    <t>Kepler-286 c</t>
  </si>
  <si>
    <t>Kepler-286 d</t>
  </si>
  <si>
    <t>Kepler-286 e</t>
  </si>
  <si>
    <t>Kepler-287</t>
  </si>
  <si>
    <t>Kepler-287 b</t>
  </si>
  <si>
    <t>Kepler-287 c</t>
  </si>
  <si>
    <t>Kepler-288</t>
  </si>
  <si>
    <t>Kepler-288 b</t>
  </si>
  <si>
    <t>Kepler-288 c</t>
  </si>
  <si>
    <t>Kepler-288 d</t>
  </si>
  <si>
    <t>Kepler-289</t>
  </si>
  <si>
    <t>Kepler-289 b</t>
  </si>
  <si>
    <t>Kepler-289 c</t>
  </si>
  <si>
    <t>Kepler-289 d</t>
  </si>
  <si>
    <t>Kepler-29</t>
  </si>
  <si>
    <t>Kepler-29 b</t>
  </si>
  <si>
    <t>Kepler-29 c</t>
  </si>
  <si>
    <t>Kepler-290</t>
  </si>
  <si>
    <t>Kepler-290 b</t>
  </si>
  <si>
    <t>Kepler-290 c</t>
  </si>
  <si>
    <t>Kepler-291</t>
  </si>
  <si>
    <t>Kepler-291 b</t>
  </si>
  <si>
    <t>Kepler-291 c</t>
  </si>
  <si>
    <t>Kepler-292</t>
  </si>
  <si>
    <t>Kepler-292 b</t>
  </si>
  <si>
    <t>Kepler-292 c</t>
  </si>
  <si>
    <t>Kepler-292 d</t>
  </si>
  <si>
    <t>Kepler-292 e</t>
  </si>
  <si>
    <t>Kepler-292 f</t>
  </si>
  <si>
    <t>Kepler-293</t>
  </si>
  <si>
    <t>Kepler-293 b</t>
  </si>
  <si>
    <t>Kepler-293 c</t>
  </si>
  <si>
    <t>Kepler-294</t>
  </si>
  <si>
    <t>Kepler-294 b</t>
  </si>
  <si>
    <t>Kepler-294 c</t>
  </si>
  <si>
    <t>Kepler-295</t>
  </si>
  <si>
    <t>Kepler-295 b</t>
  </si>
  <si>
    <t>Kepler-295 c</t>
  </si>
  <si>
    <t>Kepler-295 d</t>
  </si>
  <si>
    <t>Kepler-296</t>
  </si>
  <si>
    <t>Kepler-296 b</t>
  </si>
  <si>
    <t>Kepler-296 c</t>
  </si>
  <si>
    <t>Kepler-296 d</t>
  </si>
  <si>
    <t>Kepler-296 e</t>
  </si>
  <si>
    <t>Kepler-296 f</t>
  </si>
  <si>
    <t>Kepler-297</t>
  </si>
  <si>
    <t>Kepler-297 b</t>
  </si>
  <si>
    <t>Kepler-297 c</t>
  </si>
  <si>
    <t>Kepler-298</t>
  </si>
  <si>
    <t>Kepler-298 b</t>
  </si>
  <si>
    <t>Kepler-298 c</t>
  </si>
  <si>
    <t>Kepler-298 d</t>
  </si>
  <si>
    <t>Kepler-299</t>
  </si>
  <si>
    <t>Kepler-299 b</t>
  </si>
  <si>
    <t>Kepler-299 c</t>
  </si>
  <si>
    <t>Kepler-299 d</t>
  </si>
  <si>
    <t>Kepler-299 e</t>
  </si>
  <si>
    <t>Kepler-30</t>
  </si>
  <si>
    <t>Kepler-30 b</t>
  </si>
  <si>
    <t>Kepler-30 c</t>
  </si>
  <si>
    <t>Kepler-30 d</t>
  </si>
  <si>
    <t>Kepler-300</t>
  </si>
  <si>
    <t>Kepler-300 b</t>
  </si>
  <si>
    <t>Kepler-300 c</t>
  </si>
  <si>
    <t>Kepler-301</t>
  </si>
  <si>
    <t>Kepler-301 b</t>
  </si>
  <si>
    <t>Kepler-301 c</t>
  </si>
  <si>
    <t>Kepler-301 d</t>
  </si>
  <si>
    <t>Kepler-302</t>
  </si>
  <si>
    <t>Kepler-302 b</t>
  </si>
  <si>
    <t>Kepler-302 c</t>
  </si>
  <si>
    <t>Kepler-303</t>
  </si>
  <si>
    <t>Kepler-303 b</t>
  </si>
  <si>
    <t>Kepler-303 c</t>
  </si>
  <si>
    <t>Kepler-304</t>
  </si>
  <si>
    <t>Kepler-304 b</t>
  </si>
  <si>
    <t>Kepler-304 c</t>
  </si>
  <si>
    <t>Kepler-304 d</t>
  </si>
  <si>
    <t>Kepler-304 e</t>
  </si>
  <si>
    <t>Kepler-305</t>
  </si>
  <si>
    <t>Kepler-305 b</t>
  </si>
  <si>
    <t>Kepler-305 c</t>
  </si>
  <si>
    <t>Kepler-305 d</t>
  </si>
  <si>
    <t>Kepler-306</t>
  </si>
  <si>
    <t>Kepler-306 b</t>
  </si>
  <si>
    <t>Kepler-306 c</t>
  </si>
  <si>
    <t>Kepler-306 d</t>
  </si>
  <si>
    <t>Kepler-306 e</t>
  </si>
  <si>
    <t>Kepler-307</t>
  </si>
  <si>
    <t>Kepler-307 b</t>
  </si>
  <si>
    <t>Kepler-307 c</t>
  </si>
  <si>
    <t>Kepler-308</t>
  </si>
  <si>
    <t>Kepler-308 b</t>
  </si>
  <si>
    <t>Kepler-308 c</t>
  </si>
  <si>
    <t>Kepler-309</t>
  </si>
  <si>
    <t>Kepler-309 b</t>
  </si>
  <si>
    <t>Kepler-309 c</t>
  </si>
  <si>
    <t>Kepler-31</t>
  </si>
  <si>
    <t>Kepler-31 b</t>
  </si>
  <si>
    <t>Kepler-31 c</t>
  </si>
  <si>
    <t>Kepler-31 d</t>
  </si>
  <si>
    <t>Kepler-310</t>
  </si>
  <si>
    <t>Kepler-310 b</t>
  </si>
  <si>
    <t>Kepler-310 c</t>
  </si>
  <si>
    <t>Kepler-310 d</t>
  </si>
  <si>
    <t>Kepler-311</t>
  </si>
  <si>
    <t>Kepler-311 b</t>
  </si>
  <si>
    <t>Kepler-311 c</t>
  </si>
  <si>
    <t>Kepler-312</t>
  </si>
  <si>
    <t>Kepler-312 b</t>
  </si>
  <si>
    <t>Kepler-312 c</t>
  </si>
  <si>
    <t>Kepler-313</t>
  </si>
  <si>
    <t>Kepler-313 b</t>
  </si>
  <si>
    <t>Kepler-313 c</t>
  </si>
  <si>
    <t>Kepler-314</t>
  </si>
  <si>
    <t>Kepler-314 b</t>
  </si>
  <si>
    <t>Kepler-314 c</t>
  </si>
  <si>
    <t>Kepler-315</t>
  </si>
  <si>
    <t>Kepler-315 b</t>
  </si>
  <si>
    <t>Kepler-315 c</t>
  </si>
  <si>
    <t>Kepler-316</t>
  </si>
  <si>
    <t>Kepler-316 b</t>
  </si>
  <si>
    <t>Kepler-316 c</t>
  </si>
  <si>
    <t>Kepler-317</t>
  </si>
  <si>
    <t>Kepler-317 b</t>
  </si>
  <si>
    <t>Kepler-317 c</t>
  </si>
  <si>
    <t>Kepler-318</t>
  </si>
  <si>
    <t>Kepler-318 b</t>
  </si>
  <si>
    <t>Kepler-318 c</t>
  </si>
  <si>
    <t>Kepler-319</t>
  </si>
  <si>
    <t>Kepler-319 b</t>
  </si>
  <si>
    <t>Kepler-319 c</t>
  </si>
  <si>
    <t>Kepler-319 d</t>
  </si>
  <si>
    <t>Kepler-32</t>
  </si>
  <si>
    <t>Kepler-32 b</t>
  </si>
  <si>
    <t>Kepler-32 c</t>
  </si>
  <si>
    <t>Kepler-32 d</t>
  </si>
  <si>
    <t>Kepler-32 e</t>
  </si>
  <si>
    <t>Kepler-32 f</t>
  </si>
  <si>
    <t>Kepler-320</t>
  </si>
  <si>
    <t>Kepler-320 b</t>
  </si>
  <si>
    <t>Kepler-320 c</t>
  </si>
  <si>
    <t>Kepler-321</t>
  </si>
  <si>
    <t>Kepler-321 b</t>
  </si>
  <si>
    <t>Kepler-321 c</t>
  </si>
  <si>
    <t>Kepler-322</t>
  </si>
  <si>
    <t>Kepler-322 b</t>
  </si>
  <si>
    <t>Kepler-322 c</t>
  </si>
  <si>
    <t>Kepler-323</t>
  </si>
  <si>
    <t>Kepler-323 b</t>
  </si>
  <si>
    <t>Kepler-323 c</t>
  </si>
  <si>
    <t>Kepler-324</t>
  </si>
  <si>
    <t>Kepler-324 b</t>
  </si>
  <si>
    <t>Kepler-324 c</t>
  </si>
  <si>
    <t>Kepler-325</t>
  </si>
  <si>
    <t>Kepler-325 b</t>
  </si>
  <si>
    <t>Kepler-325 c</t>
  </si>
  <si>
    <t>Kepler-325 d</t>
  </si>
  <si>
    <t>Kepler-326</t>
  </si>
  <si>
    <t>Kepler-326 b</t>
  </si>
  <si>
    <t>Kepler-326 c</t>
  </si>
  <si>
    <t>Kepler-326 d</t>
  </si>
  <si>
    <t>Kepler-327</t>
  </si>
  <si>
    <t>Kepler-327 b</t>
  </si>
  <si>
    <t>Kepler-327 c</t>
  </si>
  <si>
    <t>Kepler-327 d</t>
  </si>
  <si>
    <t>Kepler-328</t>
  </si>
  <si>
    <t>Kepler-328 b</t>
  </si>
  <si>
    <t>Kepler-328 c</t>
  </si>
  <si>
    <t>Kepler-329</t>
  </si>
  <si>
    <t>Kepler-329 b</t>
  </si>
  <si>
    <t>Kepler-329 c</t>
  </si>
  <si>
    <t>Kepler-33</t>
  </si>
  <si>
    <t>Kepler-33 b</t>
  </si>
  <si>
    <t>Kepler-33 c</t>
  </si>
  <si>
    <t>Kepler-33 d</t>
  </si>
  <si>
    <t>Kepler-33 e</t>
  </si>
  <si>
    <t>Kepler-33 f</t>
  </si>
  <si>
    <t>Kepler-330</t>
  </si>
  <si>
    <t>Kepler-330 b</t>
  </si>
  <si>
    <t>Kepler-330 c</t>
  </si>
  <si>
    <t>Kepler-331</t>
  </si>
  <si>
    <t>Kepler-331 b</t>
  </si>
  <si>
    <t>Kepler-331 c</t>
  </si>
  <si>
    <t>Kepler-331 d</t>
  </si>
  <si>
    <t>Kepler-332</t>
  </si>
  <si>
    <t>Kepler-332 b</t>
  </si>
  <si>
    <t>Kepler-332 c</t>
  </si>
  <si>
    <t>Kepler-332 d</t>
  </si>
  <si>
    <t>Kepler-333</t>
  </si>
  <si>
    <t>Kepler-333 b</t>
  </si>
  <si>
    <t>Kepler-333 c</t>
  </si>
  <si>
    <t>Kepler-334</t>
  </si>
  <si>
    <t>Kepler-334 b</t>
  </si>
  <si>
    <t>Kepler-334 c</t>
  </si>
  <si>
    <t>Kepler-334 d</t>
  </si>
  <si>
    <t>Kepler-335</t>
  </si>
  <si>
    <t>Kepler-335 b</t>
  </si>
  <si>
    <t>Kepler-335 c</t>
  </si>
  <si>
    <t>Kepler-336</t>
  </si>
  <si>
    <t>Kepler-336 b</t>
  </si>
  <si>
    <t>Kepler-336 c</t>
  </si>
  <si>
    <t>Kepler-336 d</t>
  </si>
  <si>
    <t>Kepler-337</t>
  </si>
  <si>
    <t>Kepler-337 b</t>
  </si>
  <si>
    <t>Kepler-337 c</t>
  </si>
  <si>
    <t>Kepler-338</t>
  </si>
  <si>
    <t>Kepler-338 b</t>
  </si>
  <si>
    <t>Kepler-338 c</t>
  </si>
  <si>
    <t>Kepler-338 d</t>
  </si>
  <si>
    <t>Kepler-338 e</t>
  </si>
  <si>
    <t>Kepler-339</t>
  </si>
  <si>
    <t>Kepler-339 b</t>
  </si>
  <si>
    <t>Kepler-339 c</t>
  </si>
  <si>
    <t>Kepler-339 d</t>
  </si>
  <si>
    <t>Kepler-34</t>
  </si>
  <si>
    <t>Kepler-34 b</t>
  </si>
  <si>
    <t>Kepler-340</t>
  </si>
  <si>
    <t>Kepler-340 b</t>
  </si>
  <si>
    <t>Kepler-340 c</t>
  </si>
  <si>
    <t>Kepler-341</t>
  </si>
  <si>
    <t>Kepler-341 b</t>
  </si>
  <si>
    <t>Kepler-341 c</t>
  </si>
  <si>
    <t>Kepler-341 d</t>
  </si>
  <si>
    <t>Kepler-341 e</t>
  </si>
  <si>
    <t>Kepler-342</t>
  </si>
  <si>
    <t>Kepler-342 b</t>
  </si>
  <si>
    <t>Kepler-342 c</t>
  </si>
  <si>
    <t>Kepler-342 d</t>
  </si>
  <si>
    <t>Kepler-342 e</t>
  </si>
  <si>
    <t>Kepler-343</t>
  </si>
  <si>
    <t>Kepler-343 b</t>
  </si>
  <si>
    <t>Kepler-343 c</t>
  </si>
  <si>
    <t>Kepler-344</t>
  </si>
  <si>
    <t>Kepler-344 b</t>
  </si>
  <si>
    <t>Kepler-344 c</t>
  </si>
  <si>
    <t>Kepler-345</t>
  </si>
  <si>
    <t>Kepler-345 b</t>
  </si>
  <si>
    <t>Kepler-345 c</t>
  </si>
  <si>
    <t>Kepler-346</t>
  </si>
  <si>
    <t>Kepler-346 b</t>
  </si>
  <si>
    <t>Kepler-346 c</t>
  </si>
  <si>
    <t>Kepler-347</t>
  </si>
  <si>
    <t>Kepler-347 b</t>
  </si>
  <si>
    <t>Kepler-347 c</t>
  </si>
  <si>
    <t>Kepler-348</t>
  </si>
  <si>
    <t>Kepler-348 b</t>
  </si>
  <si>
    <t>Kepler-348 c</t>
  </si>
  <si>
    <t>Kepler-349</t>
  </si>
  <si>
    <t>Kepler-349 b</t>
  </si>
  <si>
    <t>Kepler-349 c</t>
  </si>
  <si>
    <t>Kepler-35</t>
  </si>
  <si>
    <t>Kepler-35 b</t>
  </si>
  <si>
    <t>Kepler-350</t>
  </si>
  <si>
    <t>Kepler-350 b</t>
  </si>
  <si>
    <t>Kepler-350 c</t>
  </si>
  <si>
    <t>Kepler-350 d</t>
  </si>
  <si>
    <t>Kepler-351</t>
  </si>
  <si>
    <t>Kepler-351 b</t>
  </si>
  <si>
    <t>Kepler-351 c</t>
  </si>
  <si>
    <t>Kepler-351 d</t>
  </si>
  <si>
    <t>Kepler-352</t>
  </si>
  <si>
    <t>Kepler-352 b</t>
  </si>
  <si>
    <t>Kepler-352 c</t>
  </si>
  <si>
    <t>Kepler-353</t>
  </si>
  <si>
    <t>Kepler-353 b</t>
  </si>
  <si>
    <t>Kepler-353 c</t>
  </si>
  <si>
    <t>Kepler-354</t>
  </si>
  <si>
    <t>Kepler-354 b</t>
  </si>
  <si>
    <t>Kepler-354 c</t>
  </si>
  <si>
    <t>Kepler-354 d</t>
  </si>
  <si>
    <t>Kepler-355</t>
  </si>
  <si>
    <t>Kepler-355 b</t>
  </si>
  <si>
    <t>Kepler-355 c</t>
  </si>
  <si>
    <t>Kepler-356</t>
  </si>
  <si>
    <t>Kepler-356 b</t>
  </si>
  <si>
    <t>Kepler-356 c</t>
  </si>
  <si>
    <t>Kepler-357</t>
  </si>
  <si>
    <t>Kepler-357 b</t>
  </si>
  <si>
    <t>Kepler-357 c</t>
  </si>
  <si>
    <t>Kepler-357 d</t>
  </si>
  <si>
    <t>Kepler-358</t>
  </si>
  <si>
    <t>Kepler-358 b</t>
  </si>
  <si>
    <t>Kepler-358 c</t>
  </si>
  <si>
    <t>Kepler-359</t>
  </si>
  <si>
    <t>Kepler-359 b</t>
  </si>
  <si>
    <t>Kepler-359 c</t>
  </si>
  <si>
    <t>Kepler-359 d</t>
  </si>
  <si>
    <t>Kepler-36</t>
  </si>
  <si>
    <t>Kepler-36 b</t>
  </si>
  <si>
    <t>Kepler-36 c</t>
  </si>
  <si>
    <t>Kepler-360</t>
  </si>
  <si>
    <t>Kepler-360 b</t>
  </si>
  <si>
    <t>Kepler-360 c</t>
  </si>
  <si>
    <t>Kepler-361</t>
  </si>
  <si>
    <t>Kepler-361 b</t>
  </si>
  <si>
    <t>Kepler-361 c</t>
  </si>
  <si>
    <t>Kepler-362</t>
  </si>
  <si>
    <t>Kepler-362 b</t>
  </si>
  <si>
    <t>Kepler-362 c</t>
  </si>
  <si>
    <t>Kepler-363</t>
  </si>
  <si>
    <t>Kepler-363 b</t>
  </si>
  <si>
    <t>Kepler-363 c</t>
  </si>
  <si>
    <t>Kepler-363 d</t>
  </si>
  <si>
    <t>Kepler-364</t>
  </si>
  <si>
    <t>Kepler-364 b</t>
  </si>
  <si>
    <t>Kepler-364 c</t>
  </si>
  <si>
    <t>Kepler-365</t>
  </si>
  <si>
    <t>Kepler-365 b</t>
  </si>
  <si>
    <t>Kepler-365 c</t>
  </si>
  <si>
    <t>Kepler-366</t>
  </si>
  <si>
    <t>Kepler-366 b</t>
  </si>
  <si>
    <t>Kepler-366 c</t>
  </si>
  <si>
    <t>Kepler-367</t>
  </si>
  <si>
    <t>Kepler-367 b</t>
  </si>
  <si>
    <t>Kepler-367 c</t>
  </si>
  <si>
    <t>Kepler-368</t>
  </si>
  <si>
    <t>Kepler-368 b</t>
  </si>
  <si>
    <t>Kepler-368 c</t>
  </si>
  <si>
    <t>Kepler-369</t>
  </si>
  <si>
    <t>Kepler-369 b</t>
  </si>
  <si>
    <t>Kepler-369 c</t>
  </si>
  <si>
    <t>Kepler-37</t>
  </si>
  <si>
    <t>Kepler-37 b</t>
  </si>
  <si>
    <t>Kepler-37 c</t>
  </si>
  <si>
    <t>Kepler-37 d</t>
  </si>
  <si>
    <t>Kepler-37 e</t>
  </si>
  <si>
    <t>Kepler-370</t>
  </si>
  <si>
    <t>Kepler-370 b</t>
  </si>
  <si>
    <t>Kepler-370 c</t>
  </si>
  <si>
    <t>Kepler-371</t>
  </si>
  <si>
    <t>Kepler-371 b</t>
  </si>
  <si>
    <t>Kepler-371 c</t>
  </si>
  <si>
    <t>Kepler-372</t>
  </si>
  <si>
    <t>Kepler-372 b</t>
  </si>
  <si>
    <t>Kepler-372 c</t>
  </si>
  <si>
    <t>Kepler-372 d</t>
  </si>
  <si>
    <t>Kepler-373</t>
  </si>
  <si>
    <t>Kepler-373 b</t>
  </si>
  <si>
    <t>Kepler-373 c</t>
  </si>
  <si>
    <t>Kepler-374</t>
  </si>
  <si>
    <t>Kepler-374 b</t>
  </si>
  <si>
    <t>Kepler-374 c</t>
  </si>
  <si>
    <t>Kepler-374 d</t>
  </si>
  <si>
    <t>Kepler-375</t>
  </si>
  <si>
    <t>Kepler-375 b</t>
  </si>
  <si>
    <t>Kepler-375 c</t>
  </si>
  <si>
    <t>Kepler-376</t>
  </si>
  <si>
    <t>Kepler-376 b</t>
  </si>
  <si>
    <t>Kepler-376 c</t>
  </si>
  <si>
    <t>Kepler-377</t>
  </si>
  <si>
    <t>Kepler-377 b</t>
  </si>
  <si>
    <t>Kepler-377 c</t>
  </si>
  <si>
    <t>Kepler-378</t>
  </si>
  <si>
    <t>Kepler-378 b</t>
  </si>
  <si>
    <t>Kepler-378 c</t>
  </si>
  <si>
    <t>Kepler-379</t>
  </si>
  <si>
    <t>Kepler-379 b</t>
  </si>
  <si>
    <t>Kepler-379 c</t>
  </si>
  <si>
    <t>Kepler-38</t>
  </si>
  <si>
    <t>Kepler-38 b</t>
  </si>
  <si>
    <t>Kepler-380</t>
  </si>
  <si>
    <t>Kepler-380 b</t>
  </si>
  <si>
    <t>Kepler-380 c</t>
  </si>
  <si>
    <t>Kepler-381</t>
  </si>
  <si>
    <t>Kepler-381 b</t>
  </si>
  <si>
    <t>Kepler-381 c</t>
  </si>
  <si>
    <t>Kepler-382</t>
  </si>
  <si>
    <t>Kepler-382 b</t>
  </si>
  <si>
    <t>Kepler-382 c</t>
  </si>
  <si>
    <t>Kepler-383</t>
  </si>
  <si>
    <t>Kepler-383 b</t>
  </si>
  <si>
    <t>Kepler-383 c</t>
  </si>
  <si>
    <t>Kepler-384</t>
  </si>
  <si>
    <t>Kepler-384 b</t>
  </si>
  <si>
    <t>Kepler-384 c</t>
  </si>
  <si>
    <t>Kepler-385</t>
  </si>
  <si>
    <t>Kepler-385 b</t>
  </si>
  <si>
    <t>Kepler-385 c</t>
  </si>
  <si>
    <t>Kepler-386</t>
  </si>
  <si>
    <t>Kepler-386 b</t>
  </si>
  <si>
    <t>Kepler-386 c</t>
  </si>
  <si>
    <t>Kepler-387</t>
  </si>
  <si>
    <t>Kepler-387 b</t>
  </si>
  <si>
    <t>Kepler-387 c</t>
  </si>
  <si>
    <t>Kepler-388</t>
  </si>
  <si>
    <t>Kepler-388 b</t>
  </si>
  <si>
    <t>Kepler-388 c</t>
  </si>
  <si>
    <t>Kepler-389</t>
  </si>
  <si>
    <t>Kepler-389 b</t>
  </si>
  <si>
    <t>Kepler-389 c</t>
  </si>
  <si>
    <t>Kepler-39</t>
  </si>
  <si>
    <t>Kepler-39 b</t>
  </si>
  <si>
    <t>Kepler-390</t>
  </si>
  <si>
    <t>Kepler-390 b</t>
  </si>
  <si>
    <t>Kepler-390 c</t>
  </si>
  <si>
    <t>Kepler-391</t>
  </si>
  <si>
    <t>Kepler-391 b</t>
  </si>
  <si>
    <t>Kepler-391 c</t>
  </si>
  <si>
    <t>Kepler-392</t>
  </si>
  <si>
    <t>Kepler-392 b</t>
  </si>
  <si>
    <t>Kepler-392 c</t>
  </si>
  <si>
    <t>Kepler-393</t>
  </si>
  <si>
    <t>Kepler-393 b</t>
  </si>
  <si>
    <t>Kepler-393 c</t>
  </si>
  <si>
    <t>Kepler-394</t>
  </si>
  <si>
    <t>Kepler-394 b</t>
  </si>
  <si>
    <t>Kepler-394 c</t>
  </si>
  <si>
    <t>Kepler-395</t>
  </si>
  <si>
    <t>Kepler-395 b</t>
  </si>
  <si>
    <t>Kepler-395 c</t>
  </si>
  <si>
    <t>Kepler-396</t>
  </si>
  <si>
    <t>Kepler-396 b</t>
  </si>
  <si>
    <t>Kepler-396 c</t>
  </si>
  <si>
    <t>Kepler-397</t>
  </si>
  <si>
    <t>Kepler-397 b</t>
  </si>
  <si>
    <t>Kepler-397 c</t>
  </si>
  <si>
    <t>Kepler-398</t>
  </si>
  <si>
    <t>Kepler-398 b</t>
  </si>
  <si>
    <t>Kepler-398 c</t>
  </si>
  <si>
    <t>Kepler-398 d</t>
  </si>
  <si>
    <t>Kepler-399</t>
  </si>
  <si>
    <t>Kepler-399 b</t>
  </si>
  <si>
    <t>Kepler-399 c</t>
  </si>
  <si>
    <t>Kepler-399 d</t>
  </si>
  <si>
    <t>Kepler-4</t>
  </si>
  <si>
    <t>Kepler-4 b</t>
  </si>
  <si>
    <t>Kepler-40</t>
  </si>
  <si>
    <t>Kepler-40 b</t>
  </si>
  <si>
    <t>Kepler-400</t>
  </si>
  <si>
    <t>Kepler-400 b</t>
  </si>
  <si>
    <t>Kepler-400 c</t>
  </si>
  <si>
    <t>Kepler-401</t>
  </si>
  <si>
    <t>Kepler-401 b</t>
  </si>
  <si>
    <t>Kepler-401 c</t>
  </si>
  <si>
    <t>Kepler-401 d</t>
  </si>
  <si>
    <t>Kepler-402</t>
  </si>
  <si>
    <t>Kepler-402 b</t>
  </si>
  <si>
    <t>Kepler-402 c</t>
  </si>
  <si>
    <t>Kepler-402 d</t>
  </si>
  <si>
    <t>Kepler-402 e</t>
  </si>
  <si>
    <t>Kepler-403</t>
  </si>
  <si>
    <t>Kepler-403 b</t>
  </si>
  <si>
    <t>Kepler-403 c</t>
  </si>
  <si>
    <t>Kepler-403 d</t>
  </si>
  <si>
    <t>Kepler-404</t>
  </si>
  <si>
    <t>Kepler-404 b</t>
  </si>
  <si>
    <t>Kepler-404 c</t>
  </si>
  <si>
    <t>Kepler-405</t>
  </si>
  <si>
    <t>Kepler-405 b</t>
  </si>
  <si>
    <t>Kepler-405 c</t>
  </si>
  <si>
    <t>Kepler-406</t>
  </si>
  <si>
    <t>Kepler-406 b</t>
  </si>
  <si>
    <t>Kepler-406 c</t>
  </si>
  <si>
    <t>Kepler-407</t>
  </si>
  <si>
    <t>Kepler-407 b</t>
  </si>
  <si>
    <t>Kepler-407 c</t>
  </si>
  <si>
    <t>Kepler-408</t>
  </si>
  <si>
    <t>Kepler-408 b</t>
  </si>
  <si>
    <t>Kepler-409</t>
  </si>
  <si>
    <t>Kepler-409 b</t>
  </si>
  <si>
    <t>Kepler-41</t>
  </si>
  <si>
    <t>Kepler-41 b</t>
  </si>
  <si>
    <t>Kepler-410 A</t>
  </si>
  <si>
    <t>Kepler-410 A b</t>
  </si>
  <si>
    <t>Kepler-411</t>
  </si>
  <si>
    <t>Kepler-411 b</t>
  </si>
  <si>
    <t>Kepler-411 c</t>
  </si>
  <si>
    <t>Kepler-412</t>
  </si>
  <si>
    <t>Kepler-412 b</t>
  </si>
  <si>
    <t>Kepler-413</t>
  </si>
  <si>
    <t>Kepler-413 b</t>
  </si>
  <si>
    <t>Kepler-414</t>
  </si>
  <si>
    <t>Kepler-414 b</t>
  </si>
  <si>
    <t>Kepler-414 c</t>
  </si>
  <si>
    <t>Kepler-415</t>
  </si>
  <si>
    <t>Kepler-415 b</t>
  </si>
  <si>
    <t>Kepler-415 c</t>
  </si>
  <si>
    <t>Kepler-416</t>
  </si>
  <si>
    <t>Kepler-416 b</t>
  </si>
  <si>
    <t>Kepler-416 c</t>
  </si>
  <si>
    <t>Kepler-417</t>
  </si>
  <si>
    <t>Kepler-417 b</t>
  </si>
  <si>
    <t>Kepler-417 c</t>
  </si>
  <si>
    <t>Kepler-418</t>
  </si>
  <si>
    <t>Kepler-418 b</t>
  </si>
  <si>
    <t>Kepler-419</t>
  </si>
  <si>
    <t>Kepler-419 b</t>
  </si>
  <si>
    <t>Kepler-419 c</t>
  </si>
  <si>
    <t>Kepler-42</t>
  </si>
  <si>
    <t>Kepler-42 b</t>
  </si>
  <si>
    <t>Kepler-42 c</t>
  </si>
  <si>
    <t>Kepler-42 d</t>
  </si>
  <si>
    <t>Kepler-421</t>
  </si>
  <si>
    <t>Kepler-421 b</t>
  </si>
  <si>
    <t>Kepler-422</t>
  </si>
  <si>
    <t>Kepler-422 b</t>
  </si>
  <si>
    <t>Kepler-423</t>
  </si>
  <si>
    <t>Kepler-423 b</t>
  </si>
  <si>
    <t>Kepler-424</t>
  </si>
  <si>
    <t>Kepler-424 b</t>
  </si>
  <si>
    <t>Kepler-424 c</t>
  </si>
  <si>
    <t>Kepler-425</t>
  </si>
  <si>
    <t>Kepler-425 b</t>
  </si>
  <si>
    <t>Kepler-426</t>
  </si>
  <si>
    <t>Kepler-426 b</t>
  </si>
  <si>
    <t>Kepler-427</t>
  </si>
  <si>
    <t>Kepler-427 b</t>
  </si>
  <si>
    <t>Kepler-428</t>
  </si>
  <si>
    <t>Kepler-428 b</t>
  </si>
  <si>
    <t>Kepler-43</t>
  </si>
  <si>
    <t>Kepler-43 b</t>
  </si>
  <si>
    <t>Kepler-430</t>
  </si>
  <si>
    <t>Kepler-430 b</t>
  </si>
  <si>
    <t>Kepler-430 c</t>
  </si>
  <si>
    <t>Kepler-431</t>
  </si>
  <si>
    <t>Kepler-431 b</t>
  </si>
  <si>
    <t>Kepler-431 c</t>
  </si>
  <si>
    <t>Kepler-431 d</t>
  </si>
  <si>
    <t>Kepler-432</t>
  </si>
  <si>
    <t>Kepler-432 b</t>
  </si>
  <si>
    <t>Kepler-432 c</t>
  </si>
  <si>
    <t>Kepler-433</t>
  </si>
  <si>
    <t>Kepler-433 b</t>
  </si>
  <si>
    <t>Kepler-434</t>
  </si>
  <si>
    <t>Kepler-434 b</t>
  </si>
  <si>
    <t>Kepler-435</t>
  </si>
  <si>
    <t>Kepler-435 b</t>
  </si>
  <si>
    <t>Kepler-436</t>
  </si>
  <si>
    <t>Kepler-436 b</t>
  </si>
  <si>
    <t>Kepler-436 c</t>
  </si>
  <si>
    <t>Kepler-437</t>
  </si>
  <si>
    <t>Kepler-437 b</t>
  </si>
  <si>
    <t>Kepler-438</t>
  </si>
  <si>
    <t>Kepler-438 b</t>
  </si>
  <si>
    <t>Kepler-439</t>
  </si>
  <si>
    <t>Kepler-439 b</t>
  </si>
  <si>
    <t>Kepler-44</t>
  </si>
  <si>
    <t>Kepler-44 b</t>
  </si>
  <si>
    <t>Kepler-440</t>
  </si>
  <si>
    <t>Kepler-440 b</t>
  </si>
  <si>
    <t>Kepler-441</t>
  </si>
  <si>
    <t>Kepler-441 b</t>
  </si>
  <si>
    <t>Kepler-442</t>
  </si>
  <si>
    <t>Kepler-442 b</t>
  </si>
  <si>
    <t>Kepler-443</t>
  </si>
  <si>
    <t>Kepler-443 b</t>
  </si>
  <si>
    <t>Kepler-444</t>
  </si>
  <si>
    <t>Kepler-444 b</t>
  </si>
  <si>
    <t>Kepler-444 c</t>
  </si>
  <si>
    <t>Kepler-444 d</t>
  </si>
  <si>
    <t>Kepler-444 e</t>
  </si>
  <si>
    <t>Kepler-444 f</t>
  </si>
  <si>
    <t>Kepler-445</t>
  </si>
  <si>
    <t>Kepler-445 b</t>
  </si>
  <si>
    <t>Kepler-445 c</t>
  </si>
  <si>
    <t>Kepler-445 d</t>
  </si>
  <si>
    <t>Kepler-446</t>
  </si>
  <si>
    <t>Kepler-446 b</t>
  </si>
  <si>
    <t>Kepler-446 c</t>
  </si>
  <si>
    <t>Kepler-446 d</t>
  </si>
  <si>
    <t>Kepler-447</t>
  </si>
  <si>
    <t>Kepler-447 b</t>
  </si>
  <si>
    <t>Kepler-449</t>
  </si>
  <si>
    <t>Kepler-449 b</t>
  </si>
  <si>
    <t>Kepler-449 c</t>
  </si>
  <si>
    <t>Kepler-45</t>
  </si>
  <si>
    <t>Kepler-45 b</t>
  </si>
  <si>
    <t>Kepler-450</t>
  </si>
  <si>
    <t>Kepler-450 b</t>
  </si>
  <si>
    <t>Kepler-450 c</t>
  </si>
  <si>
    <t>Kepler-450 d</t>
  </si>
  <si>
    <t>Kepler-452</t>
  </si>
  <si>
    <t>Kepler-452 b</t>
  </si>
  <si>
    <t>Kepler-453</t>
  </si>
  <si>
    <t>Kepler-453 b</t>
  </si>
  <si>
    <t>Kepler-454</t>
  </si>
  <si>
    <t>Kepler-454 b</t>
  </si>
  <si>
    <t>Kepler-454 c</t>
  </si>
  <si>
    <t>Kepler-458 c</t>
  </si>
  <si>
    <t>Kepler-46</t>
  </si>
  <si>
    <t>Kepler-46 b</t>
  </si>
  <si>
    <t>Kepler-46 c</t>
  </si>
  <si>
    <t>Kepler-46 d</t>
  </si>
  <si>
    <t>Kepler-460 c</t>
  </si>
  <si>
    <t>Kepler-461</t>
  </si>
  <si>
    <t>Kepler-461 b</t>
  </si>
  <si>
    <t>Kepler-462</t>
  </si>
  <si>
    <t>Kepler-462 b</t>
  </si>
  <si>
    <t>Kepler-463</t>
  </si>
  <si>
    <t>Kepler-463 b</t>
  </si>
  <si>
    <t>Kepler-464</t>
  </si>
  <si>
    <t>Kepler-464 b</t>
  </si>
  <si>
    <t>Kepler-465</t>
  </si>
  <si>
    <t>Kepler-465 b</t>
  </si>
  <si>
    <t>Kepler-466</t>
  </si>
  <si>
    <t>Kepler-466 b</t>
  </si>
  <si>
    <t>Kepler-466 c</t>
  </si>
  <si>
    <t>Kepler-467</t>
  </si>
  <si>
    <t>Kepler-467 b</t>
  </si>
  <si>
    <t>Kepler-468</t>
  </si>
  <si>
    <t>Kepler-468 b</t>
  </si>
  <si>
    <t>Kepler-47</t>
  </si>
  <si>
    <t>Kepler-47 b</t>
  </si>
  <si>
    <t>Kepler-47 c</t>
  </si>
  <si>
    <t>Kepler-47 d</t>
  </si>
  <si>
    <t>Kepler-470</t>
  </si>
  <si>
    <t>Kepler-470 b</t>
  </si>
  <si>
    <t>Kepler-471</t>
  </si>
  <si>
    <t>Kepler-471 b</t>
  </si>
  <si>
    <t>Kepler-472</t>
  </si>
  <si>
    <t>Kepler-472 b</t>
  </si>
  <si>
    <t>Kepler-473</t>
  </si>
  <si>
    <t>Kepler-473 b</t>
  </si>
  <si>
    <t>Kepler-474</t>
  </si>
  <si>
    <t>Kepler-474 b</t>
  </si>
  <si>
    <t>Kepler-475</t>
  </si>
  <si>
    <t>Kepler-475 b</t>
  </si>
  <si>
    <t>Kepler-476</t>
  </si>
  <si>
    <t>Kepler-476 b</t>
  </si>
  <si>
    <t>Kepler-477</t>
  </si>
  <si>
    <t>Kepler-477 b</t>
  </si>
  <si>
    <t>Kepler-478</t>
  </si>
  <si>
    <t>Kepler-478 b</t>
  </si>
  <si>
    <t>Kepler-479</t>
  </si>
  <si>
    <t>Kepler-479 b</t>
  </si>
  <si>
    <t>Kepler-48</t>
  </si>
  <si>
    <t>Kepler-48 b</t>
  </si>
  <si>
    <t>Kepler-48 c</t>
  </si>
  <si>
    <t>Kepler-48 d</t>
  </si>
  <si>
    <t>Kepler-48 e</t>
  </si>
  <si>
    <t>Kepler-480</t>
  </si>
  <si>
    <t>Kepler-480 b</t>
  </si>
  <si>
    <t>Kepler-481</t>
  </si>
  <si>
    <t>Kepler-481 b</t>
  </si>
  <si>
    <t>Kepler-482</t>
  </si>
  <si>
    <t>Kepler-482 b</t>
  </si>
  <si>
    <t>Kepler-483</t>
  </si>
  <si>
    <t>Kepler-483 b</t>
  </si>
  <si>
    <t>Kepler-484</t>
  </si>
  <si>
    <t>Kepler-484 b</t>
  </si>
  <si>
    <t>Kepler-485</t>
  </si>
  <si>
    <t>Kepler-485 b</t>
  </si>
  <si>
    <t>Kepler-486</t>
  </si>
  <si>
    <t>Kepler-486 b</t>
  </si>
  <si>
    <t>Kepler-487</t>
  </si>
  <si>
    <t>Kepler-487 b</t>
  </si>
  <si>
    <t>Kepler-487 c</t>
  </si>
  <si>
    <t>Kepler-488</t>
  </si>
  <si>
    <t>Kepler-488 b</t>
  </si>
  <si>
    <t>Kepler-489</t>
  </si>
  <si>
    <t>Kepler-489 b</t>
  </si>
  <si>
    <t>Kepler-49</t>
  </si>
  <si>
    <t>Kepler-49 b</t>
  </si>
  <si>
    <t>Kepler-49 c</t>
  </si>
  <si>
    <t>Kepler-49 d</t>
  </si>
  <si>
    <t>Kepler-49 e</t>
  </si>
  <si>
    <t>Kepler-490</t>
  </si>
  <si>
    <t>Kepler-490 b</t>
  </si>
  <si>
    <t>Kepler-491</t>
  </si>
  <si>
    <t>Kepler-491 b</t>
  </si>
  <si>
    <t>Kepler-492</t>
  </si>
  <si>
    <t>Kepler-492 b</t>
  </si>
  <si>
    <t>Kepler-493</t>
  </si>
  <si>
    <t>Kepler-493 b</t>
  </si>
  <si>
    <t>Kepler-494</t>
  </si>
  <si>
    <t>Kepler-494 b</t>
  </si>
  <si>
    <t>Kepler-495</t>
  </si>
  <si>
    <t>Kepler-495 b</t>
  </si>
  <si>
    <t>Kepler-496</t>
  </si>
  <si>
    <t>Kepler-496 b</t>
  </si>
  <si>
    <t>Kepler-497</t>
  </si>
  <si>
    <t>Kepler-497 b</t>
  </si>
  <si>
    <t>Kepler-498</t>
  </si>
  <si>
    <t>Kepler-498 b</t>
  </si>
  <si>
    <t>Kepler-499</t>
  </si>
  <si>
    <t>Kepler-499 b</t>
  </si>
  <si>
    <t>Kepler-5</t>
  </si>
  <si>
    <t>Kepler-5 b</t>
  </si>
  <si>
    <t>Kepler-50</t>
  </si>
  <si>
    <t>Kepler-50 b</t>
  </si>
  <si>
    <t>Kepler-50 c</t>
  </si>
  <si>
    <t>Kepler-500</t>
  </si>
  <si>
    <t>Kepler-500 b</t>
  </si>
  <si>
    <t>Kepler-501</t>
  </si>
  <si>
    <t>Kepler-501 b</t>
  </si>
  <si>
    <t>Kepler-502</t>
  </si>
  <si>
    <t>Kepler-502 b</t>
  </si>
  <si>
    <t>Kepler-504</t>
  </si>
  <si>
    <t>Kepler-504 b</t>
  </si>
  <si>
    <t>Kepler-505</t>
  </si>
  <si>
    <t>Kepler-505 b</t>
  </si>
  <si>
    <t>Kepler-506</t>
  </si>
  <si>
    <t>Kepler-506 b</t>
  </si>
  <si>
    <t>Kepler-507</t>
  </si>
  <si>
    <t>Kepler-507 b</t>
  </si>
  <si>
    <t>Kepler-508</t>
  </si>
  <si>
    <t>Kepler-508 b</t>
  </si>
  <si>
    <t>Kepler-509</t>
  </si>
  <si>
    <t>Kepler-509 b</t>
  </si>
  <si>
    <t>Kepler-51</t>
  </si>
  <si>
    <t>Kepler-51 b</t>
  </si>
  <si>
    <t>Kepler-51 c</t>
  </si>
  <si>
    <t>Kepler-51 d</t>
  </si>
  <si>
    <t>Kepler-510</t>
  </si>
  <si>
    <t>Kepler-510 b</t>
  </si>
  <si>
    <t>Kepler-511</t>
  </si>
  <si>
    <t>Kepler-511 b</t>
  </si>
  <si>
    <t>Kepler-512</t>
  </si>
  <si>
    <t>Kepler-512 b</t>
  </si>
  <si>
    <t>Kepler-513</t>
  </si>
  <si>
    <t>Kepler-513 b</t>
  </si>
  <si>
    <t>Kepler-514</t>
  </si>
  <si>
    <t>Kepler-514 b</t>
  </si>
  <si>
    <t>Kepler-515</t>
  </si>
  <si>
    <t>Kepler-515 b</t>
  </si>
  <si>
    <t>Kepler-516</t>
  </si>
  <si>
    <t>Kepler-516 b</t>
  </si>
  <si>
    <t>Kepler-517</t>
  </si>
  <si>
    <t>Kepler-517 b</t>
  </si>
  <si>
    <t>Kepler-518</t>
  </si>
  <si>
    <t>Kepler-518 b</t>
  </si>
  <si>
    <t>Kepler-519</t>
  </si>
  <si>
    <t>Kepler-519 b</t>
  </si>
  <si>
    <t>Kepler-52</t>
  </si>
  <si>
    <t>Kepler-52 b</t>
  </si>
  <si>
    <t>Kepler-52 c</t>
  </si>
  <si>
    <t>Kepler-52 d</t>
  </si>
  <si>
    <t>Kepler-520</t>
  </si>
  <si>
    <t>Kepler-520 b</t>
  </si>
  <si>
    <t>Kepler-520 c</t>
  </si>
  <si>
    <t>Kepler-521</t>
  </si>
  <si>
    <t>Kepler-521 b</t>
  </si>
  <si>
    <t>Kepler-522</t>
  </si>
  <si>
    <t>Kepler-522 b</t>
  </si>
  <si>
    <t>Kepler-523</t>
  </si>
  <si>
    <t>Kepler-523 b</t>
  </si>
  <si>
    <t>Kepler-524</t>
  </si>
  <si>
    <t>Kepler-524 b</t>
  </si>
  <si>
    <t>Kepler-524 c</t>
  </si>
  <si>
    <t>Kepler-525</t>
  </si>
  <si>
    <t>Kepler-525 b</t>
  </si>
  <si>
    <t>Kepler-526</t>
  </si>
  <si>
    <t>Kepler-526 b</t>
  </si>
  <si>
    <t>Kepler-527</t>
  </si>
  <si>
    <t>Kepler-527 b</t>
  </si>
  <si>
    <t>Kepler-528</t>
  </si>
  <si>
    <t>Kepler-528 b</t>
  </si>
  <si>
    <t>Kepler-529</t>
  </si>
  <si>
    <t>Kepler-529 b</t>
  </si>
  <si>
    <t>Kepler-529 c</t>
  </si>
  <si>
    <t>Kepler-53</t>
  </si>
  <si>
    <t>Kepler-53 b</t>
  </si>
  <si>
    <t>Kepler-53 c</t>
  </si>
  <si>
    <t>Kepler-53 d</t>
  </si>
  <si>
    <t>Kepler-530</t>
  </si>
  <si>
    <t>Kepler-530 b</t>
  </si>
  <si>
    <t>Kepler-531</t>
  </si>
  <si>
    <t>Kepler-531 b</t>
  </si>
  <si>
    <t>Kepler-532</t>
  </si>
  <si>
    <t>Kepler-532 b</t>
  </si>
  <si>
    <t>Kepler-533</t>
  </si>
  <si>
    <t>Kepler-533 b</t>
  </si>
  <si>
    <t>Kepler-534</t>
  </si>
  <si>
    <t>Kepler-534 b</t>
  </si>
  <si>
    <t>Kepler-535</t>
  </si>
  <si>
    <t>Kepler-535 b</t>
  </si>
  <si>
    <t>Kepler-536</t>
  </si>
  <si>
    <t>Kepler-536 b</t>
  </si>
  <si>
    <t>Kepler-537</t>
  </si>
  <si>
    <t>Kepler-537 b</t>
  </si>
  <si>
    <t>Kepler-538</t>
  </si>
  <si>
    <t>Kepler-538 b</t>
  </si>
  <si>
    <t>Kepler-539</t>
  </si>
  <si>
    <t>Kepler-539 b</t>
  </si>
  <si>
    <t>Kepler-539 c</t>
  </si>
  <si>
    <t>Kepler-54</t>
  </si>
  <si>
    <t>Kepler-54 b</t>
  </si>
  <si>
    <t>Kepler-54 c</t>
  </si>
  <si>
    <t>Kepler-54 d</t>
  </si>
  <si>
    <t>Kepler-540</t>
  </si>
  <si>
    <t>Kepler-540 b</t>
  </si>
  <si>
    <t>Kepler-541</t>
  </si>
  <si>
    <t>Kepler-541 b</t>
  </si>
  <si>
    <t>Kepler-542</t>
  </si>
  <si>
    <t>Kepler-542 b</t>
  </si>
  <si>
    <t>Kepler-543</t>
  </si>
  <si>
    <t>Kepler-543 b</t>
  </si>
  <si>
    <t>Kepler-544</t>
  </si>
  <si>
    <t>Kepler-544 b</t>
  </si>
  <si>
    <t>Kepler-545</t>
  </si>
  <si>
    <t>Kepler-545 b</t>
  </si>
  <si>
    <t>Kepler-546</t>
  </si>
  <si>
    <t>Kepler-546 b</t>
  </si>
  <si>
    <t>Kepler-547</t>
  </si>
  <si>
    <t>Kepler-547 b</t>
  </si>
  <si>
    <t>Kepler-548</t>
  </si>
  <si>
    <t>Kepler-548 b</t>
  </si>
  <si>
    <t>Kepler-549</t>
  </si>
  <si>
    <t>Kepler-549 b</t>
  </si>
  <si>
    <t>Kepler-549 c</t>
  </si>
  <si>
    <t>Kepler-55</t>
  </si>
  <si>
    <t>Kepler-55 b</t>
  </si>
  <si>
    <t>Kepler-55 c</t>
  </si>
  <si>
    <t>Kepler-55 d</t>
  </si>
  <si>
    <t>Kepler-55 e</t>
  </si>
  <si>
    <t>Kepler-55 f</t>
  </si>
  <si>
    <t>Kepler-550</t>
  </si>
  <si>
    <t>Kepler-550 b</t>
  </si>
  <si>
    <t>Kepler-551</t>
  </si>
  <si>
    <t>Kepler-551 b</t>
  </si>
  <si>
    <t>Kepler-552</t>
  </si>
  <si>
    <t>Kepler-552 b</t>
  </si>
  <si>
    <t>Kepler-553</t>
  </si>
  <si>
    <t>Kepler-553 b</t>
  </si>
  <si>
    <t>Kepler-553 c</t>
  </si>
  <si>
    <t>Kepler-554</t>
  </si>
  <si>
    <t>Kepler-554 b</t>
  </si>
  <si>
    <t>Kepler-555</t>
  </si>
  <si>
    <t>Kepler-555 b</t>
  </si>
  <si>
    <t>Kepler-556</t>
  </si>
  <si>
    <t>Kepler-556 b</t>
  </si>
  <si>
    <t>Kepler-557</t>
  </si>
  <si>
    <t>Kepler-557 b</t>
  </si>
  <si>
    <t>Kepler-558</t>
  </si>
  <si>
    <t>Kepler-558 b</t>
  </si>
  <si>
    <t>Kepler-559</t>
  </si>
  <si>
    <t>Kepler-559 b</t>
  </si>
  <si>
    <t>Kepler-56</t>
  </si>
  <si>
    <t>Kepler-56 b</t>
  </si>
  <si>
    <t>Kepler-56 c</t>
  </si>
  <si>
    <t>Kepler-56 d</t>
  </si>
  <si>
    <t>Kepler-560</t>
  </si>
  <si>
    <t>Kepler-560 b</t>
  </si>
  <si>
    <t>Kepler-561</t>
  </si>
  <si>
    <t>Kepler-561 b</t>
  </si>
  <si>
    <t>Kepler-561 c</t>
  </si>
  <si>
    <t>Kepler-562</t>
  </si>
  <si>
    <t>Kepler-562 b</t>
  </si>
  <si>
    <t>Kepler-563</t>
  </si>
  <si>
    <t>Kepler-563 b</t>
  </si>
  <si>
    <t>Kepler-564</t>
  </si>
  <si>
    <t>Kepler-564 b</t>
  </si>
  <si>
    <t>Kepler-565</t>
  </si>
  <si>
    <t>Kepler-565 b</t>
  </si>
  <si>
    <t>Kepler-566</t>
  </si>
  <si>
    <t>Kepler-566 b</t>
  </si>
  <si>
    <t>Kepler-567</t>
  </si>
  <si>
    <t>Kepler-567 b</t>
  </si>
  <si>
    <t>Kepler-568</t>
  </si>
  <si>
    <t>Kepler-568 b</t>
  </si>
  <si>
    <t>Kepler-569</t>
  </si>
  <si>
    <t>Kepler-569 b</t>
  </si>
  <si>
    <t>Kepler-57</t>
  </si>
  <si>
    <t>Kepler-57 b</t>
  </si>
  <si>
    <t>Kepler-57 c</t>
  </si>
  <si>
    <t>Kepler-570</t>
  </si>
  <si>
    <t>Kepler-570 b</t>
  </si>
  <si>
    <t>Kepler-571</t>
  </si>
  <si>
    <t>Kepler-571 b</t>
  </si>
  <si>
    <t>Kepler-572</t>
  </si>
  <si>
    <t>Kepler-572 b</t>
  </si>
  <si>
    <t>Kepler-573</t>
  </si>
  <si>
    <t>Kepler-573 b</t>
  </si>
  <si>
    <t>Kepler-574</t>
  </si>
  <si>
    <t>Kepler-574 b</t>
  </si>
  <si>
    <t>Kepler-575</t>
  </si>
  <si>
    <t>Kepler-575 b</t>
  </si>
  <si>
    <t>Kepler-576</t>
  </si>
  <si>
    <t>Kepler-576 b</t>
  </si>
  <si>
    <t>Kepler-577</t>
  </si>
  <si>
    <t>Kepler-577 b</t>
  </si>
  <si>
    <t>Kepler-578</t>
  </si>
  <si>
    <t>Kepler-578 b</t>
  </si>
  <si>
    <t>Kepler-579</t>
  </si>
  <si>
    <t>Kepler-579 b</t>
  </si>
  <si>
    <t>Kepler-58</t>
  </si>
  <si>
    <t>Kepler-58 b</t>
  </si>
  <si>
    <t>Kepler-58 c</t>
  </si>
  <si>
    <t>Kepler-58 d</t>
  </si>
  <si>
    <t>Kepler-580</t>
  </si>
  <si>
    <t>Kepler-580 b</t>
  </si>
  <si>
    <t>Kepler-581</t>
  </si>
  <si>
    <t>Kepler-581 b</t>
  </si>
  <si>
    <t>Kepler-582</t>
  </si>
  <si>
    <t>Kepler-582 b</t>
  </si>
  <si>
    <t>Kepler-583</t>
  </si>
  <si>
    <t>Kepler-583 b</t>
  </si>
  <si>
    <t>Kepler-584</t>
  </si>
  <si>
    <t>Kepler-584 b</t>
  </si>
  <si>
    <t>Kepler-585</t>
  </si>
  <si>
    <t>Kepler-585 b</t>
  </si>
  <si>
    <t>Kepler-586</t>
  </si>
  <si>
    <t>Kepler-586 b</t>
  </si>
  <si>
    <t>Kepler-587</t>
  </si>
  <si>
    <t>Kepler-587 b</t>
  </si>
  <si>
    <t>Kepler-588</t>
  </si>
  <si>
    <t>Kepler-588 b</t>
  </si>
  <si>
    <t>Kepler-589</t>
  </si>
  <si>
    <t>Kepler-589 b</t>
  </si>
  <si>
    <t>Kepler-59</t>
  </si>
  <si>
    <t>Kepler-59 b</t>
  </si>
  <si>
    <t>Kepler-59 c</t>
  </si>
  <si>
    <t>Kepler-590</t>
  </si>
  <si>
    <t>Kepler-590 b</t>
  </si>
  <si>
    <t>Kepler-591</t>
  </si>
  <si>
    <t>Kepler-591 b</t>
  </si>
  <si>
    <t>Kepler-592</t>
  </si>
  <si>
    <t>Kepler-592 b</t>
  </si>
  <si>
    <t>Kepler-593</t>
  </si>
  <si>
    <t>Kepler-593 b</t>
  </si>
  <si>
    <t>Kepler-594</t>
  </si>
  <si>
    <t>Kepler-594 b</t>
  </si>
  <si>
    <t>Kepler-595</t>
  </si>
  <si>
    <t>Kepler-595 b</t>
  </si>
  <si>
    <t>Kepler-596</t>
  </si>
  <si>
    <t>Kepler-596 b</t>
  </si>
  <si>
    <t>Kepler-597</t>
  </si>
  <si>
    <t>Kepler-597 b</t>
  </si>
  <si>
    <t>Kepler-598</t>
  </si>
  <si>
    <t>Kepler-598 b</t>
  </si>
  <si>
    <t>Kepler-599</t>
  </si>
  <si>
    <t>Kepler-599 b</t>
  </si>
  <si>
    <t>Kepler-6</t>
  </si>
  <si>
    <t>Kepler-6 b</t>
  </si>
  <si>
    <t>Kepler-60</t>
  </si>
  <si>
    <t>Kepler-60 b</t>
  </si>
  <si>
    <t>Kepler-60 c</t>
  </si>
  <si>
    <t>Kepler-60 d</t>
  </si>
  <si>
    <t>Kepler-600</t>
  </si>
  <si>
    <t>Kepler-600 b</t>
  </si>
  <si>
    <t>Kepler-601</t>
  </si>
  <si>
    <t>Kepler-601 b</t>
  </si>
  <si>
    <t>Kepler-602</t>
  </si>
  <si>
    <t>Kepler-602 b</t>
  </si>
  <si>
    <t>Kepler-603</t>
  </si>
  <si>
    <t>Kepler-603 b</t>
  </si>
  <si>
    <t>Kepler-603 c</t>
  </si>
  <si>
    <t>Kepler-603 d</t>
  </si>
  <si>
    <t>Kepler-604</t>
  </si>
  <si>
    <t>Kepler-604 b</t>
  </si>
  <si>
    <t>Kepler-605</t>
  </si>
  <si>
    <t>Kepler-605 b</t>
  </si>
  <si>
    <t>Kepler-605 c</t>
  </si>
  <si>
    <t>Kepler-606</t>
  </si>
  <si>
    <t>Kepler-606 b</t>
  </si>
  <si>
    <t>Kepler-607</t>
  </si>
  <si>
    <t>Kepler-607 b</t>
  </si>
  <si>
    <t>Kepler-608</t>
  </si>
  <si>
    <t>Kepler-608 b</t>
  </si>
  <si>
    <t>Kepler-609</t>
  </si>
  <si>
    <t>Kepler-609 b</t>
  </si>
  <si>
    <t>Kepler-61</t>
  </si>
  <si>
    <t>Kepler-61 b</t>
  </si>
  <si>
    <t>Kepler-610</t>
  </si>
  <si>
    <t>Kepler-610 b</t>
  </si>
  <si>
    <t>Kepler-610 c</t>
  </si>
  <si>
    <t>Kepler-611</t>
  </si>
  <si>
    <t>Kepler-611 b</t>
  </si>
  <si>
    <t>Kepler-612</t>
  </si>
  <si>
    <t>Kepler-612 b</t>
  </si>
  <si>
    <t>Kepler-613</t>
  </si>
  <si>
    <t>Kepler-613 b</t>
  </si>
  <si>
    <t>Kepler-614</t>
  </si>
  <si>
    <t>Kepler-614 b</t>
  </si>
  <si>
    <t>Kepler-615</t>
  </si>
  <si>
    <t>Kepler-615 b</t>
  </si>
  <si>
    <t>Kepler-616</t>
  </si>
  <si>
    <t>Kepler-616 b</t>
  </si>
  <si>
    <t>Kepler-616 c</t>
  </si>
  <si>
    <t>Kepler-617</t>
  </si>
  <si>
    <t>Kepler-617 b</t>
  </si>
  <si>
    <t>Kepler-618</t>
  </si>
  <si>
    <t>Kepler-618 b</t>
  </si>
  <si>
    <t>Kepler-619</t>
  </si>
  <si>
    <t>Kepler-619 b</t>
  </si>
  <si>
    <t>Kepler-619 c</t>
  </si>
  <si>
    <t>Kepler-62</t>
  </si>
  <si>
    <t>Kepler-62 b</t>
  </si>
  <si>
    <t>Kepler-62 c</t>
  </si>
  <si>
    <t>Kepler-62 d</t>
  </si>
  <si>
    <t>Kepler-62 e</t>
  </si>
  <si>
    <t>Kepler-62 f</t>
  </si>
  <si>
    <t>Kepler-620</t>
  </si>
  <si>
    <t>Kepler-620 b</t>
  </si>
  <si>
    <t>Kepler-621</t>
  </si>
  <si>
    <t>Kepler-621 b</t>
  </si>
  <si>
    <t>Kepler-622</t>
  </si>
  <si>
    <t>Kepler-622 b</t>
  </si>
  <si>
    <t>Kepler-623</t>
  </si>
  <si>
    <t>Kepler-623 b</t>
  </si>
  <si>
    <t>Kepler-624</t>
  </si>
  <si>
    <t>Kepler-624 b</t>
  </si>
  <si>
    <t>Kepler-625</t>
  </si>
  <si>
    <t>Kepler-625 b</t>
  </si>
  <si>
    <t>Kepler-625 c</t>
  </si>
  <si>
    <t>Kepler-626</t>
  </si>
  <si>
    <t>Kepler-626 b</t>
  </si>
  <si>
    <t>Kepler-627</t>
  </si>
  <si>
    <t>Kepler-627 b</t>
  </si>
  <si>
    <t>Kepler-628</t>
  </si>
  <si>
    <t>Kepler-628 b</t>
  </si>
  <si>
    <t>Kepler-629</t>
  </si>
  <si>
    <t>Kepler-629 b</t>
  </si>
  <si>
    <t>Kepler-63</t>
  </si>
  <si>
    <t>Kepler-63 b</t>
  </si>
  <si>
    <t>Kepler-630</t>
  </si>
  <si>
    <t>Kepler-630 b</t>
  </si>
  <si>
    <t>Kepler-631</t>
  </si>
  <si>
    <t>Kepler-631 b</t>
  </si>
  <si>
    <t>Kepler-632</t>
  </si>
  <si>
    <t>Kepler-632 b</t>
  </si>
  <si>
    <t>Kepler-633</t>
  </si>
  <si>
    <t>Kepler-633 b</t>
  </si>
  <si>
    <t>Kepler-634</t>
  </si>
  <si>
    <t>Kepler-634 b</t>
  </si>
  <si>
    <t>Kepler-635</t>
  </si>
  <si>
    <t>Kepler-635 b</t>
  </si>
  <si>
    <t>Kepler-636</t>
  </si>
  <si>
    <t>Kepler-636 b</t>
  </si>
  <si>
    <t>Kepler-637</t>
  </si>
  <si>
    <t>Kepler-637 b</t>
  </si>
  <si>
    <t>Kepler-638</t>
  </si>
  <si>
    <t>Kepler-638 b</t>
  </si>
  <si>
    <t>Kepler-639</t>
  </si>
  <si>
    <t>Kepler-639 b</t>
  </si>
  <si>
    <t>Kepler-640</t>
  </si>
  <si>
    <t>Kepler-640 b</t>
  </si>
  <si>
    <t>Kepler-641</t>
  </si>
  <si>
    <t>Kepler-641 b</t>
  </si>
  <si>
    <t>Kepler-642</t>
  </si>
  <si>
    <t>Kepler-642 b</t>
  </si>
  <si>
    <t>Kepler-643</t>
  </si>
  <si>
    <t>Kepler-643 b</t>
  </si>
  <si>
    <t>Kepler-644</t>
  </si>
  <si>
    <t>Kepler-644 b</t>
  </si>
  <si>
    <t>Kepler-645</t>
  </si>
  <si>
    <t>Kepler-645 b</t>
  </si>
  <si>
    <t>Kepler-646</t>
  </si>
  <si>
    <t>Kepler-646 b</t>
  </si>
  <si>
    <t>Kepler-647</t>
  </si>
  <si>
    <t>Kepler-647 b</t>
  </si>
  <si>
    <t>Kepler-648</t>
  </si>
  <si>
    <t>Kepler-648 b</t>
  </si>
  <si>
    <t>Kepler-649</t>
  </si>
  <si>
    <t>Kepler-649 b</t>
  </si>
  <si>
    <t>Kepler-65</t>
  </si>
  <si>
    <t>Kepler-65 b</t>
  </si>
  <si>
    <t>Kepler-65 c</t>
  </si>
  <si>
    <t>Kepler-65 d</t>
  </si>
  <si>
    <t>Kepler-650</t>
  </si>
  <si>
    <t>Kepler-650 b</t>
  </si>
  <si>
    <t>Kepler-651</t>
  </si>
  <si>
    <t>Kepler-651 b</t>
  </si>
  <si>
    <t>Kepler-652</t>
  </si>
  <si>
    <t>Kepler-652 b</t>
  </si>
  <si>
    <t>Kepler-653</t>
  </si>
  <si>
    <t>Kepler-653 b</t>
  </si>
  <si>
    <t>Kepler-653 c</t>
  </si>
  <si>
    <t>Kepler-654</t>
  </si>
  <si>
    <t>Kepler-654 b</t>
  </si>
  <si>
    <t>Kepler-655</t>
  </si>
  <si>
    <t>Kepler-655 b</t>
  </si>
  <si>
    <t>Kepler-656</t>
  </si>
  <si>
    <t>Kepler-656 b</t>
  </si>
  <si>
    <t>Kepler-657</t>
  </si>
  <si>
    <t>Kepler-657 b</t>
  </si>
  <si>
    <t>Kepler-658</t>
  </si>
  <si>
    <t>Kepler-658 b</t>
  </si>
  <si>
    <t>Kepler-659</t>
  </si>
  <si>
    <t>Kepler-659 b</t>
  </si>
  <si>
    <t>Kepler-66</t>
  </si>
  <si>
    <t>Kepler-66 b</t>
  </si>
  <si>
    <t>Kepler-660</t>
  </si>
  <si>
    <t>Kepler-660 b</t>
  </si>
  <si>
    <t>Kepler-661</t>
  </si>
  <si>
    <t>Kepler-661 b</t>
  </si>
  <si>
    <t>Kepler-662</t>
  </si>
  <si>
    <t>Kepler-662 b</t>
  </si>
  <si>
    <t>Kepler-663</t>
  </si>
  <si>
    <t>Kepler-663 b</t>
  </si>
  <si>
    <t>Kepler-664</t>
  </si>
  <si>
    <t>Kepler-664 b</t>
  </si>
  <si>
    <t>Kepler-665</t>
  </si>
  <si>
    <t>Kepler-665 b</t>
  </si>
  <si>
    <t>Kepler-666</t>
  </si>
  <si>
    <t>Kepler-666 b</t>
  </si>
  <si>
    <t>Kepler-667</t>
  </si>
  <si>
    <t>Kepler-667 b</t>
  </si>
  <si>
    <t>Kepler-668</t>
  </si>
  <si>
    <t>Kepler-668 b</t>
  </si>
  <si>
    <t>Kepler-669</t>
  </si>
  <si>
    <t>Kepler-669 b</t>
  </si>
  <si>
    <t>Kepler-67</t>
  </si>
  <si>
    <t>Kepler-67 b</t>
  </si>
  <si>
    <t>Kepler-670</t>
  </si>
  <si>
    <t>Kepler-670 b</t>
  </si>
  <si>
    <t>Kepler-671</t>
  </si>
  <si>
    <t>Kepler-671 b</t>
  </si>
  <si>
    <t>Kepler-672</t>
  </si>
  <si>
    <t>Kepler-672 b</t>
  </si>
  <si>
    <t>Kepler-673</t>
  </si>
  <si>
    <t>Kepler-673 b</t>
  </si>
  <si>
    <t>Kepler-674</t>
  </si>
  <si>
    <t>Kepler-674 b</t>
  </si>
  <si>
    <t>Kepler-675</t>
  </si>
  <si>
    <t>Kepler-675 b</t>
  </si>
  <si>
    <t>Kepler-676</t>
  </si>
  <si>
    <t>Kepler-676 b</t>
  </si>
  <si>
    <t>Kepler-677</t>
  </si>
  <si>
    <t>Kepler-677 b</t>
  </si>
  <si>
    <t>Kepler-678</t>
  </si>
  <si>
    <t>Kepler-678 b</t>
  </si>
  <si>
    <t>Kepler-679</t>
  </si>
  <si>
    <t>Kepler-679 b</t>
  </si>
  <si>
    <t>Kepler-68</t>
  </si>
  <si>
    <t>Kepler-68 b</t>
  </si>
  <si>
    <t>Kepler-68 c</t>
  </si>
  <si>
    <t>Kepler-68 d</t>
  </si>
  <si>
    <t>Kepler-680</t>
  </si>
  <si>
    <t>Kepler-680 b</t>
  </si>
  <si>
    <t>Kepler-681</t>
  </si>
  <si>
    <t>Kepler-681 b</t>
  </si>
  <si>
    <t>Kepler-682</t>
  </si>
  <si>
    <t>Kepler-682 b</t>
  </si>
  <si>
    <t>Kepler-683</t>
  </si>
  <si>
    <t>Kepler-683 b</t>
  </si>
  <si>
    <t>Kepler-684</t>
  </si>
  <si>
    <t>Kepler-684 b</t>
  </si>
  <si>
    <t>Kepler-685</t>
  </si>
  <si>
    <t>Kepler-685 b</t>
  </si>
  <si>
    <t>Kepler-686</t>
  </si>
  <si>
    <t>Kepler-686 b</t>
  </si>
  <si>
    <t>Kepler-687</t>
  </si>
  <si>
    <t>Kepler-687 b</t>
  </si>
  <si>
    <t>Kepler-688</t>
  </si>
  <si>
    <t>Kepler-688 b</t>
  </si>
  <si>
    <t>Kepler-689</t>
  </si>
  <si>
    <t>Kepler-689 b</t>
  </si>
  <si>
    <t>Kepler-69</t>
  </si>
  <si>
    <t>Kepler-69 b</t>
  </si>
  <si>
    <t>Kepler-69 c</t>
  </si>
  <si>
    <t>Kepler-690</t>
  </si>
  <si>
    <t>Kepler-690 b</t>
  </si>
  <si>
    <t>Kepler-691</t>
  </si>
  <si>
    <t>Kepler-691 b</t>
  </si>
  <si>
    <t>Kepler-692</t>
  </si>
  <si>
    <t>Kepler-692 b</t>
  </si>
  <si>
    <t>Kepler-693</t>
  </si>
  <si>
    <t>Kepler-693 b</t>
  </si>
  <si>
    <t>Kepler-694</t>
  </si>
  <si>
    <t>Kepler-694 b</t>
  </si>
  <si>
    <t>Kepler-695</t>
  </si>
  <si>
    <t>Kepler-695 b</t>
  </si>
  <si>
    <t>Kepler-696</t>
  </si>
  <si>
    <t>Kepler-696 b</t>
  </si>
  <si>
    <t>Kepler-697</t>
  </si>
  <si>
    <t>Kepler-697 b</t>
  </si>
  <si>
    <t>Kepler-698</t>
  </si>
  <si>
    <t>Kepler-698 b</t>
  </si>
  <si>
    <t>Kepler-699</t>
  </si>
  <si>
    <t>Kepler-699 b</t>
  </si>
  <si>
    <t>Kepler-7</t>
  </si>
  <si>
    <t>Kepler-7 b</t>
  </si>
  <si>
    <t>Kepler-700</t>
  </si>
  <si>
    <t>Kepler-700 b</t>
  </si>
  <si>
    <t>Kepler-701</t>
  </si>
  <si>
    <t>Kepler-701 b</t>
  </si>
  <si>
    <t>Kepler-702</t>
  </si>
  <si>
    <t>Kepler-702 b</t>
  </si>
  <si>
    <t>Kepler-703</t>
  </si>
  <si>
    <t>Kepler-703 b</t>
  </si>
  <si>
    <t>Kepler-704</t>
  </si>
  <si>
    <t>Kepler-704 b</t>
  </si>
  <si>
    <t>Kepler-705</t>
  </si>
  <si>
    <t>Kepler-705 b</t>
  </si>
  <si>
    <t>Kepler-706</t>
  </si>
  <si>
    <t>Kepler-706 b</t>
  </si>
  <si>
    <t>Kepler-707</t>
  </si>
  <si>
    <t>Kepler-707 b</t>
  </si>
  <si>
    <t>Kepler-708</t>
  </si>
  <si>
    <t>Kepler-708 b</t>
  </si>
  <si>
    <t>Kepler-709</t>
  </si>
  <si>
    <t>Kepler-709 b</t>
  </si>
  <si>
    <t>Kepler-710</t>
  </si>
  <si>
    <t>Kepler-710 b</t>
  </si>
  <si>
    <t>Kepler-711</t>
  </si>
  <si>
    <t>Kepler-711 b</t>
  </si>
  <si>
    <t>Kepler-712</t>
  </si>
  <si>
    <t>Kepler-712 b</t>
  </si>
  <si>
    <t>Kepler-712 c</t>
  </si>
  <si>
    <t>Kepler-713</t>
  </si>
  <si>
    <t>Kepler-713 b</t>
  </si>
  <si>
    <t>Kepler-714</t>
  </si>
  <si>
    <t>Kepler-714 b</t>
  </si>
  <si>
    <t>Kepler-715</t>
  </si>
  <si>
    <t>Kepler-715 b</t>
  </si>
  <si>
    <t>Kepler-716</t>
  </si>
  <si>
    <t>Kepler-716 b</t>
  </si>
  <si>
    <t>Kepler-717</t>
  </si>
  <si>
    <t>Kepler-717 b</t>
  </si>
  <si>
    <t>Kepler-718</t>
  </si>
  <si>
    <t>Kepler-718 b</t>
  </si>
  <si>
    <t>Kepler-719</t>
  </si>
  <si>
    <t>Kepler-719 b</t>
  </si>
  <si>
    <t>Kepler-720</t>
  </si>
  <si>
    <t>Kepler-720 b</t>
  </si>
  <si>
    <t>Kepler-721</t>
  </si>
  <si>
    <t>Kepler-721 b</t>
  </si>
  <si>
    <t>Kepler-722</t>
  </si>
  <si>
    <t>Kepler-722 b</t>
  </si>
  <si>
    <t>Kepler-722 c</t>
  </si>
  <si>
    <t>Kepler-723</t>
  </si>
  <si>
    <t>Kepler-723 b</t>
  </si>
  <si>
    <t>Kepler-724</t>
  </si>
  <si>
    <t>Kepler-724 b</t>
  </si>
  <si>
    <t>Kepler-725</t>
  </si>
  <si>
    <t>Kepler-725 b</t>
  </si>
  <si>
    <t>Kepler-726</t>
  </si>
  <si>
    <t>Kepler-726 b</t>
  </si>
  <si>
    <t>Kepler-727</t>
  </si>
  <si>
    <t>Kepler-727 b</t>
  </si>
  <si>
    <t>Kepler-728</t>
  </si>
  <si>
    <t>Kepler-728 b</t>
  </si>
  <si>
    <t>Kepler-729</t>
  </si>
  <si>
    <t>Kepler-729 b</t>
  </si>
  <si>
    <t>Kepler-730</t>
  </si>
  <si>
    <t>Kepler-730 b</t>
  </si>
  <si>
    <t>Kepler-730 c</t>
  </si>
  <si>
    <t>Kepler-731</t>
  </si>
  <si>
    <t>Kepler-731 b</t>
  </si>
  <si>
    <t>Kepler-732</t>
  </si>
  <si>
    <t>Kepler-732 b</t>
  </si>
  <si>
    <t>Kepler-732 c</t>
  </si>
  <si>
    <t>Kepler-733</t>
  </si>
  <si>
    <t>Kepler-733 b</t>
  </si>
  <si>
    <t>Kepler-734</t>
  </si>
  <si>
    <t>Kepler-734 b</t>
  </si>
  <si>
    <t>Kepler-735</t>
  </si>
  <si>
    <t>Kepler-735 b</t>
  </si>
  <si>
    <t>Kepler-736</t>
  </si>
  <si>
    <t>Kepler-736 b</t>
  </si>
  <si>
    <t>Kepler-737</t>
  </si>
  <si>
    <t>Kepler-737 b</t>
  </si>
  <si>
    <t>Kepler-738</t>
  </si>
  <si>
    <t>Kepler-738 b</t>
  </si>
  <si>
    <t>Kepler-739</t>
  </si>
  <si>
    <t>Kepler-739 b</t>
  </si>
  <si>
    <t>Kepler-74</t>
  </si>
  <si>
    <t>Kepler-74 b</t>
  </si>
  <si>
    <t>Kepler-740</t>
  </si>
  <si>
    <t>Kepler-740 b</t>
  </si>
  <si>
    <t>Kepler-741</t>
  </si>
  <si>
    <t>Kepler-741 b</t>
  </si>
  <si>
    <t>Kepler-742</t>
  </si>
  <si>
    <t>Kepler-742 b</t>
  </si>
  <si>
    <t>Kepler-743</t>
  </si>
  <si>
    <t>Kepler-743 b</t>
  </si>
  <si>
    <t>Kepler-744</t>
  </si>
  <si>
    <t>Kepler-744 b</t>
  </si>
  <si>
    <t>Kepler-745</t>
  </si>
  <si>
    <t>Kepler-745 b</t>
  </si>
  <si>
    <t>Kepler-746</t>
  </si>
  <si>
    <t>Kepler-746 b</t>
  </si>
  <si>
    <t>Kepler-747</t>
  </si>
  <si>
    <t>Kepler-747 b</t>
  </si>
  <si>
    <t>Kepler-748</t>
  </si>
  <si>
    <t>Kepler-748 b</t>
  </si>
  <si>
    <t>Kepler-749</t>
  </si>
  <si>
    <t>Kepler-749 b</t>
  </si>
  <si>
    <t>Kepler-75</t>
  </si>
  <si>
    <t>Kepler-75 b</t>
  </si>
  <si>
    <t>Kepler-750</t>
  </si>
  <si>
    <t>Kepler-750 b</t>
  </si>
  <si>
    <t>Kepler-750 c</t>
  </si>
  <si>
    <t>Kepler-751</t>
  </si>
  <si>
    <t>Kepler-751 b</t>
  </si>
  <si>
    <t>Kepler-752</t>
  </si>
  <si>
    <t>Kepler-752 b</t>
  </si>
  <si>
    <t>Kepler-753</t>
  </si>
  <si>
    <t>Kepler-753 b</t>
  </si>
  <si>
    <t>Kepler-754</t>
  </si>
  <si>
    <t>Kepler-754 b</t>
  </si>
  <si>
    <t>Kepler-755</t>
  </si>
  <si>
    <t>Kepler-755 b</t>
  </si>
  <si>
    <t>Kepler-755 c</t>
  </si>
  <si>
    <t>Kepler-756</t>
  </si>
  <si>
    <t>Kepler-756 b</t>
  </si>
  <si>
    <t>Kepler-757</t>
  </si>
  <si>
    <t>Kepler-757 b</t>
  </si>
  <si>
    <t>Kepler-758</t>
  </si>
  <si>
    <t>Kepler-758 b</t>
  </si>
  <si>
    <t>Kepler-758 c</t>
  </si>
  <si>
    <t>Kepler-758 d</t>
  </si>
  <si>
    <t>Kepler-758 e</t>
  </si>
  <si>
    <t>Kepler-759</t>
  </si>
  <si>
    <t>Kepler-759 b</t>
  </si>
  <si>
    <t>Kepler-76</t>
  </si>
  <si>
    <t>Kepler-76 b</t>
  </si>
  <si>
    <t>Kepler-760</t>
  </si>
  <si>
    <t>Kepler-760 b</t>
  </si>
  <si>
    <t>Kepler-760 c</t>
  </si>
  <si>
    <t>Kepler-761</t>
  </si>
  <si>
    <t>Kepler-761 b</t>
  </si>
  <si>
    <t>Kepler-762</t>
  </si>
  <si>
    <t>Kepler-762 b</t>
  </si>
  <si>
    <t>Kepler-763</t>
  </si>
  <si>
    <t>Kepler-763 b</t>
  </si>
  <si>
    <t>Kepler-764</t>
  </si>
  <si>
    <t>Kepler-764 b</t>
  </si>
  <si>
    <t>Kepler-765</t>
  </si>
  <si>
    <t>Kepler-765 b</t>
  </si>
  <si>
    <t>Kepler-766</t>
  </si>
  <si>
    <t>Kepler-766 b</t>
  </si>
  <si>
    <t>Kepler-767</t>
  </si>
  <si>
    <t>Kepler-767 b</t>
  </si>
  <si>
    <t>Kepler-768</t>
  </si>
  <si>
    <t>Kepler-768 b</t>
  </si>
  <si>
    <t>Kepler-769</t>
  </si>
  <si>
    <t>Kepler-769 b</t>
  </si>
  <si>
    <t>Kepler-769 c</t>
  </si>
  <si>
    <t>Kepler-77</t>
  </si>
  <si>
    <t>Kepler-77 b</t>
  </si>
  <si>
    <t>Kepler-770</t>
  </si>
  <si>
    <t>Kepler-770 b</t>
  </si>
  <si>
    <t>Kepler-770 c</t>
  </si>
  <si>
    <t>Kepler-770 d</t>
  </si>
  <si>
    <t>Kepler-771</t>
  </si>
  <si>
    <t>Kepler-771 b</t>
  </si>
  <si>
    <t>Kepler-772</t>
  </si>
  <si>
    <t>Kepler-772 b</t>
  </si>
  <si>
    <t>Kepler-773</t>
  </si>
  <si>
    <t>Kepler-773 b</t>
  </si>
  <si>
    <t>Kepler-774</t>
  </si>
  <si>
    <t>Kepler-774 b</t>
  </si>
  <si>
    <t>Kepler-775</t>
  </si>
  <si>
    <t>Kepler-775 b</t>
  </si>
  <si>
    <t>Kepler-776</t>
  </si>
  <si>
    <t>Kepler-776 b</t>
  </si>
  <si>
    <t>Kepler-777</t>
  </si>
  <si>
    <t>Kepler-777 b</t>
  </si>
  <si>
    <t>Kepler-778</t>
  </si>
  <si>
    <t>Kepler-778 b</t>
  </si>
  <si>
    <t>Kepler-779</t>
  </si>
  <si>
    <t>Kepler-779 b</t>
  </si>
  <si>
    <t>Kepler-78</t>
  </si>
  <si>
    <t>Kepler-78 b</t>
  </si>
  <si>
    <t>Kepler-780</t>
  </si>
  <si>
    <t>Kepler-780 b</t>
  </si>
  <si>
    <t>Kepler-781</t>
  </si>
  <si>
    <t>Kepler-781 b</t>
  </si>
  <si>
    <t>Kepler-782</t>
  </si>
  <si>
    <t>Kepler-782 b</t>
  </si>
  <si>
    <t>Kepler-783</t>
  </si>
  <si>
    <t>Kepler-783 b</t>
  </si>
  <si>
    <t>Kepler-784</t>
  </si>
  <si>
    <t>Kepler-784 b</t>
  </si>
  <si>
    <t>Kepler-785</t>
  </si>
  <si>
    <t>Kepler-785 b</t>
  </si>
  <si>
    <t>Kepler-786</t>
  </si>
  <si>
    <t>Kepler-786 b</t>
  </si>
  <si>
    <t>Kepler-787</t>
  </si>
  <si>
    <t>Kepler-787 b</t>
  </si>
  <si>
    <t>Kepler-788</t>
  </si>
  <si>
    <t>Kepler-788 b</t>
  </si>
  <si>
    <t>Kepler-789</t>
  </si>
  <si>
    <t>Kepler-789 b</t>
  </si>
  <si>
    <t>Kepler-79</t>
  </si>
  <si>
    <t>Kepler-79 b</t>
  </si>
  <si>
    <t>Kepler-79 c</t>
  </si>
  <si>
    <t>Kepler-79 d</t>
  </si>
  <si>
    <t>Kepler-79 e</t>
  </si>
  <si>
    <t>Kepler-790</t>
  </si>
  <si>
    <t>Kepler-790 b</t>
  </si>
  <si>
    <t>Kepler-791</t>
  </si>
  <si>
    <t>Kepler-791 b</t>
  </si>
  <si>
    <t>Kepler-792</t>
  </si>
  <si>
    <t>Kepler-792 b</t>
  </si>
  <si>
    <t>Kepler-793</t>
  </si>
  <si>
    <t>Kepler-793 b</t>
  </si>
  <si>
    <t>Kepler-794</t>
  </si>
  <si>
    <t>Kepler-794 b</t>
  </si>
  <si>
    <t>Kepler-795</t>
  </si>
  <si>
    <t>Kepler-795 b</t>
  </si>
  <si>
    <t>Kepler-796</t>
  </si>
  <si>
    <t>Kepler-796 b</t>
  </si>
  <si>
    <t>Kepler-797</t>
  </si>
  <si>
    <t>Kepler-797 b</t>
  </si>
  <si>
    <t>Kepler-798</t>
  </si>
  <si>
    <t>Kepler-798 b</t>
  </si>
  <si>
    <t>Kepler-799</t>
  </si>
  <si>
    <t>Kepler-799 b</t>
  </si>
  <si>
    <t>Kepler-8</t>
  </si>
  <si>
    <t>Kepler-8 b</t>
  </si>
  <si>
    <t>Kepler-80</t>
  </si>
  <si>
    <t>Kepler-80 b</t>
  </si>
  <si>
    <t>Kepler-80 c</t>
  </si>
  <si>
    <t>Kepler-80 d</t>
  </si>
  <si>
    <t>Kepler-80 e</t>
  </si>
  <si>
    <t>Kepler-80 f</t>
  </si>
  <si>
    <t>Kepler-80 g</t>
  </si>
  <si>
    <t>Kepler-800</t>
  </si>
  <si>
    <t>Kepler-800 b</t>
  </si>
  <si>
    <t>Kepler-801</t>
  </si>
  <si>
    <t>Kepler-801 b</t>
  </si>
  <si>
    <t>Kepler-802</t>
  </si>
  <si>
    <t>Kepler-802 b</t>
  </si>
  <si>
    <t>Kepler-803</t>
  </si>
  <si>
    <t>Kepler-803 b</t>
  </si>
  <si>
    <t>Kepler-804</t>
  </si>
  <si>
    <t>Kepler-804 b</t>
  </si>
  <si>
    <t>Kepler-804 c</t>
  </si>
  <si>
    <t>Kepler-805</t>
  </si>
  <si>
    <t>Kepler-805 b</t>
  </si>
  <si>
    <t>Kepler-806</t>
  </si>
  <si>
    <t>Kepler-806 b</t>
  </si>
  <si>
    <t>Kepler-807</t>
  </si>
  <si>
    <t>Kepler-807 b</t>
  </si>
  <si>
    <t>Kepler-808</t>
  </si>
  <si>
    <t>Kepler-808 b</t>
  </si>
  <si>
    <t>Kepler-809</t>
  </si>
  <si>
    <t>Kepler-809 b</t>
  </si>
  <si>
    <t>Kepler-81</t>
  </si>
  <si>
    <t>Kepler-81 b</t>
  </si>
  <si>
    <t>Kepler-81 c</t>
  </si>
  <si>
    <t>Kepler-81 d</t>
  </si>
  <si>
    <t>Kepler-810</t>
  </si>
  <si>
    <t>Kepler-810 b</t>
  </si>
  <si>
    <t>Kepler-811</t>
  </si>
  <si>
    <t>Kepler-811 b</t>
  </si>
  <si>
    <t>Kepler-812</t>
  </si>
  <si>
    <t>Kepler-812 b</t>
  </si>
  <si>
    <t>Kepler-813</t>
  </si>
  <si>
    <t>Kepler-813 b</t>
  </si>
  <si>
    <t>Kepler-814</t>
  </si>
  <si>
    <t>Kepler-814 b</t>
  </si>
  <si>
    <t>Kepler-815</t>
  </si>
  <si>
    <t>Kepler-815 b</t>
  </si>
  <si>
    <t>Kepler-816</t>
  </si>
  <si>
    <t>Kepler-816 b</t>
  </si>
  <si>
    <t>Kepler-817</t>
  </si>
  <si>
    <t>Kepler-817 b</t>
  </si>
  <si>
    <t>Kepler-818</t>
  </si>
  <si>
    <t>Kepler-818 b</t>
  </si>
  <si>
    <t>Kepler-819</t>
  </si>
  <si>
    <t>Kepler-819 b</t>
  </si>
  <si>
    <t>Kepler-82</t>
  </si>
  <si>
    <t>Kepler-82 b</t>
  </si>
  <si>
    <t>Kepler-82 c</t>
  </si>
  <si>
    <t>Kepler-82 d</t>
  </si>
  <si>
    <t>Kepler-82 e</t>
  </si>
  <si>
    <t>Kepler-820</t>
  </si>
  <si>
    <t>Kepler-820 b</t>
  </si>
  <si>
    <t>Kepler-821</t>
  </si>
  <si>
    <t>Kepler-821 b</t>
  </si>
  <si>
    <t>Kepler-822</t>
  </si>
  <si>
    <t>Kepler-822 b</t>
  </si>
  <si>
    <t>Kepler-823</t>
  </si>
  <si>
    <t>Kepler-823 b</t>
  </si>
  <si>
    <t>Kepler-824</t>
  </si>
  <si>
    <t>Kepler-824 b</t>
  </si>
  <si>
    <t>Kepler-825</t>
  </si>
  <si>
    <t>Kepler-825 b</t>
  </si>
  <si>
    <t>Kepler-825 c</t>
  </si>
  <si>
    <t>Kepler-826</t>
  </si>
  <si>
    <t>Kepler-826 b</t>
  </si>
  <si>
    <t>Kepler-827</t>
  </si>
  <si>
    <t>Kepler-827 b</t>
  </si>
  <si>
    <t>Kepler-828</t>
  </si>
  <si>
    <t>Kepler-828 b</t>
  </si>
  <si>
    <t>Kepler-829</t>
  </si>
  <si>
    <t>Kepler-829 b</t>
  </si>
  <si>
    <t>Kepler-83</t>
  </si>
  <si>
    <t>Kepler-83 b</t>
  </si>
  <si>
    <t>Kepler-83 c</t>
  </si>
  <si>
    <t>Kepler-83 d</t>
  </si>
  <si>
    <t>Kepler-830</t>
  </si>
  <si>
    <t>Kepler-830 b</t>
  </si>
  <si>
    <t>Kepler-831</t>
  </si>
  <si>
    <t>Kepler-831 b</t>
  </si>
  <si>
    <t>Kepler-832</t>
  </si>
  <si>
    <t>Kepler-832 b</t>
  </si>
  <si>
    <t>Kepler-833</t>
  </si>
  <si>
    <t>Kepler-833 b</t>
  </si>
  <si>
    <t>Kepler-834</t>
  </si>
  <si>
    <t>Kepler-834 b</t>
  </si>
  <si>
    <t>Kepler-835</t>
  </si>
  <si>
    <t>Kepler-835 b</t>
  </si>
  <si>
    <t>Kepler-836</t>
  </si>
  <si>
    <t>Kepler-836 b</t>
  </si>
  <si>
    <t>Kepler-837</t>
  </si>
  <si>
    <t>Kepler-837 b</t>
  </si>
  <si>
    <t>Kepler-838</t>
  </si>
  <si>
    <t>Kepler-838 b</t>
  </si>
  <si>
    <t>Kepler-839</t>
  </si>
  <si>
    <t>Kepler-839 b</t>
  </si>
  <si>
    <t>Kepler-84</t>
  </si>
  <si>
    <t>Kepler-84 b</t>
  </si>
  <si>
    <t>Kepler-84 c</t>
  </si>
  <si>
    <t>Kepler-84 d</t>
  </si>
  <si>
    <t>Kepler-84 e</t>
  </si>
  <si>
    <t>Kepler-84 f</t>
  </si>
  <si>
    <t>Kepler-840</t>
  </si>
  <si>
    <t>Kepler-840 b</t>
  </si>
  <si>
    <t>Kepler-841</t>
  </si>
  <si>
    <t>Kepler-841 b</t>
  </si>
  <si>
    <t>Kepler-842</t>
  </si>
  <si>
    <t>Kepler-842 b</t>
  </si>
  <si>
    <t>Kepler-843</t>
  </si>
  <si>
    <t>Kepler-843 b</t>
  </si>
  <si>
    <t>Kepler-844</t>
  </si>
  <si>
    <t>Kepler-844 b</t>
  </si>
  <si>
    <t>Kepler-845</t>
  </si>
  <si>
    <t>Kepler-845 b</t>
  </si>
  <si>
    <t>Kepler-846</t>
  </si>
  <si>
    <t>Kepler-846 b</t>
  </si>
  <si>
    <t>Kepler-847</t>
  </si>
  <si>
    <t>Kepler-847 b</t>
  </si>
  <si>
    <t>Kepler-848</t>
  </si>
  <si>
    <t>Kepler-848 b</t>
  </si>
  <si>
    <t>Kepler-849</t>
  </si>
  <si>
    <t>Kepler-849 b</t>
  </si>
  <si>
    <t>Kepler-85</t>
  </si>
  <si>
    <t>Kepler-85 b</t>
  </si>
  <si>
    <t>Kepler-85 c</t>
  </si>
  <si>
    <t>Kepler-85 d</t>
  </si>
  <si>
    <t>Kepler-85 e</t>
  </si>
  <si>
    <t>Kepler-850</t>
  </si>
  <si>
    <t>Kepler-850 b</t>
  </si>
  <si>
    <t>Kepler-851</t>
  </si>
  <si>
    <t>Kepler-851 b</t>
  </si>
  <si>
    <t>Kepler-852</t>
  </si>
  <si>
    <t>Kepler-852 b</t>
  </si>
  <si>
    <t>Kepler-853</t>
  </si>
  <si>
    <t>Kepler-853 b</t>
  </si>
  <si>
    <t>Kepler-854</t>
  </si>
  <si>
    <t>Kepler-854 b</t>
  </si>
  <si>
    <t>Kepler-855</t>
  </si>
  <si>
    <t>Kepler-855 b</t>
  </si>
  <si>
    <t>Kepler-856</t>
  </si>
  <si>
    <t>Kepler-856 b</t>
  </si>
  <si>
    <t>Kepler-857</t>
  </si>
  <si>
    <t>Kepler-857 b</t>
  </si>
  <si>
    <t>Kepler-858</t>
  </si>
  <si>
    <t>Kepler-858 b</t>
  </si>
  <si>
    <t>Kepler-859</t>
  </si>
  <si>
    <t>Kepler-859 b</t>
  </si>
  <si>
    <t>Kepler-860</t>
  </si>
  <si>
    <t>Kepler-860 b</t>
  </si>
  <si>
    <t>Kepler-861</t>
  </si>
  <si>
    <t>Kepler-861 b</t>
  </si>
  <si>
    <t>Kepler-862</t>
  </si>
  <si>
    <t>Kepler-862 b</t>
  </si>
  <si>
    <t>Kepler-863</t>
  </si>
  <si>
    <t>Kepler-863 b</t>
  </si>
  <si>
    <t>Kepler-864</t>
  </si>
  <si>
    <t>Kepler-864 b</t>
  </si>
  <si>
    <t>Kepler-865</t>
  </si>
  <si>
    <t>Kepler-865 b</t>
  </si>
  <si>
    <t>Kepler-866</t>
  </si>
  <si>
    <t>Kepler-866 b</t>
  </si>
  <si>
    <t>Kepler-867</t>
  </si>
  <si>
    <t>Kepler-867 b</t>
  </si>
  <si>
    <t>Kepler-868</t>
  </si>
  <si>
    <t>Kepler-868 b</t>
  </si>
  <si>
    <t>Kepler-869</t>
  </si>
  <si>
    <t>Kepler-869 b</t>
  </si>
  <si>
    <t>Kepler-87</t>
  </si>
  <si>
    <t>Kepler-87 b</t>
  </si>
  <si>
    <t>Kepler-87 c</t>
  </si>
  <si>
    <t>Kepler-870</t>
  </si>
  <si>
    <t>Kepler-870 b</t>
  </si>
  <si>
    <t>Kepler-871</t>
  </si>
  <si>
    <t>Kepler-871 b</t>
  </si>
  <si>
    <t>Kepler-872</t>
  </si>
  <si>
    <t>Kepler-872 b</t>
  </si>
  <si>
    <t>Kepler-873</t>
  </si>
  <si>
    <t>Kepler-873 b</t>
  </si>
  <si>
    <t>Kepler-874</t>
  </si>
  <si>
    <t>Kepler-874 b</t>
  </si>
  <si>
    <t>Kepler-875</t>
  </si>
  <si>
    <t>Kepler-875 b</t>
  </si>
  <si>
    <t>Kepler-876</t>
  </si>
  <si>
    <t>Kepler-876 b</t>
  </si>
  <si>
    <t>Kepler-877</t>
  </si>
  <si>
    <t>Kepler-877 b</t>
  </si>
  <si>
    <t>Kepler-878</t>
  </si>
  <si>
    <t>Kepler-878 b</t>
  </si>
  <si>
    <t>Kepler-879</t>
  </si>
  <si>
    <t>Kepler-879 b</t>
  </si>
  <si>
    <t>Kepler-880</t>
  </si>
  <si>
    <t>Kepler-880 b</t>
  </si>
  <si>
    <t>Kepler-881</t>
  </si>
  <si>
    <t>Kepler-881 b</t>
  </si>
  <si>
    <t>Kepler-882</t>
  </si>
  <si>
    <t>Kepler-882 b</t>
  </si>
  <si>
    <t>Kepler-883</t>
  </si>
  <si>
    <t>Kepler-883 b</t>
  </si>
  <si>
    <t>Kepler-884</t>
  </si>
  <si>
    <t>Kepler-884 b</t>
  </si>
  <si>
    <t>Kepler-885</t>
  </si>
  <si>
    <t>Kepler-885 b</t>
  </si>
  <si>
    <t>Kepler-886</t>
  </si>
  <si>
    <t>Kepler-886 b</t>
  </si>
  <si>
    <t>Kepler-887</t>
  </si>
  <si>
    <t>Kepler-887 b</t>
  </si>
  <si>
    <t>Kepler-887 c</t>
  </si>
  <si>
    <t>Kepler-888</t>
  </si>
  <si>
    <t>Kepler-888 b</t>
  </si>
  <si>
    <t>Kepler-889</t>
  </si>
  <si>
    <t>Kepler-889 b</t>
  </si>
  <si>
    <t>Kepler-890</t>
  </si>
  <si>
    <t>Kepler-890 b</t>
  </si>
  <si>
    <t>Kepler-891</t>
  </si>
  <si>
    <t>Kepler-891 b</t>
  </si>
  <si>
    <t>Kepler-892</t>
  </si>
  <si>
    <t>Kepler-892 b</t>
  </si>
  <si>
    <t>Kepler-893</t>
  </si>
  <si>
    <t>Kepler-893 b</t>
  </si>
  <si>
    <t>Kepler-894</t>
  </si>
  <si>
    <t>Kepler-894 b</t>
  </si>
  <si>
    <t>Kepler-895</t>
  </si>
  <si>
    <t>Kepler-895 b</t>
  </si>
  <si>
    <t>Kepler-896</t>
  </si>
  <si>
    <t>Kepler-896 b</t>
  </si>
  <si>
    <t>Kepler-897</t>
  </si>
  <si>
    <t>Kepler-897 b</t>
  </si>
  <si>
    <t>Kepler-898</t>
  </si>
  <si>
    <t>Kepler-898 b</t>
  </si>
  <si>
    <t>Kepler-899</t>
  </si>
  <si>
    <t>Kepler-899 b</t>
  </si>
  <si>
    <t>Kepler-9</t>
  </si>
  <si>
    <t>Kepler-9 b</t>
  </si>
  <si>
    <t>Kepler-9 c</t>
  </si>
  <si>
    <t>Kepler-9 d</t>
  </si>
  <si>
    <t>Kepler-900</t>
  </si>
  <si>
    <t>Kepler-900 b</t>
  </si>
  <si>
    <t>Kepler-901</t>
  </si>
  <si>
    <t>Kepler-901 b</t>
  </si>
  <si>
    <t>Kepler-902</t>
  </si>
  <si>
    <t>Kepler-902 b</t>
  </si>
  <si>
    <t>Kepler-903</t>
  </si>
  <si>
    <t>Kepler-903 b</t>
  </si>
  <si>
    <t>Kepler-903 c</t>
  </si>
  <si>
    <t>Kepler-904</t>
  </si>
  <si>
    <t>Kepler-904 b</t>
  </si>
  <si>
    <t>Kepler-905</t>
  </si>
  <si>
    <t>Kepler-905 b</t>
  </si>
  <si>
    <t>Kepler-906</t>
  </si>
  <si>
    <t>Kepler-906 b</t>
  </si>
  <si>
    <t>Kepler-907</t>
  </si>
  <si>
    <t>Kepler-907 b</t>
  </si>
  <si>
    <t>Kepler-908</t>
  </si>
  <si>
    <t>Kepler-908 b</t>
  </si>
  <si>
    <t>Kepler-909</t>
  </si>
  <si>
    <t>Kepler-909 b</t>
  </si>
  <si>
    <t>Kepler-91</t>
  </si>
  <si>
    <t>Kepler-91 b</t>
  </si>
  <si>
    <t>Kepler-910</t>
  </si>
  <si>
    <t>Kepler-910 b</t>
  </si>
  <si>
    <t>Kepler-911</t>
  </si>
  <si>
    <t>Kepler-911 b</t>
  </si>
  <si>
    <t>Kepler-912</t>
  </si>
  <si>
    <t>Kepler-912 b</t>
  </si>
  <si>
    <t>Kepler-913</t>
  </si>
  <si>
    <t>Kepler-913 b</t>
  </si>
  <si>
    <t>Kepler-914</t>
  </si>
  <si>
    <t>Kepler-914 b</t>
  </si>
  <si>
    <t>Kepler-915</t>
  </si>
  <si>
    <t>Kepler-915 b</t>
  </si>
  <si>
    <t>Kepler-916</t>
  </si>
  <si>
    <t>Kepler-916 b</t>
  </si>
  <si>
    <t>Kepler-917</t>
  </si>
  <si>
    <t>Kepler-917 b</t>
  </si>
  <si>
    <t>Kepler-918</t>
  </si>
  <si>
    <t>Kepler-918 b</t>
  </si>
  <si>
    <t>Kepler-919</t>
  </si>
  <si>
    <t>Kepler-919 b</t>
  </si>
  <si>
    <t>Kepler-92</t>
  </si>
  <si>
    <t>Kepler-92 b</t>
  </si>
  <si>
    <t>Kepler-92 c</t>
  </si>
  <si>
    <t>Kepler-92 d</t>
  </si>
  <si>
    <t>Kepler-920</t>
  </si>
  <si>
    <t>Kepler-920 b</t>
  </si>
  <si>
    <t>Kepler-920 c</t>
  </si>
  <si>
    <t>Kepler-921</t>
  </si>
  <si>
    <t>Kepler-921 b</t>
  </si>
  <si>
    <t>Kepler-922</t>
  </si>
  <si>
    <t>Kepler-922 b</t>
  </si>
  <si>
    <t>Kepler-923</t>
  </si>
  <si>
    <t>Kepler-923 b</t>
  </si>
  <si>
    <t>Kepler-924</t>
  </si>
  <si>
    <t>Kepler-924 b</t>
  </si>
  <si>
    <t>Kepler-925</t>
  </si>
  <si>
    <t>Kepler-925 b</t>
  </si>
  <si>
    <t>Kepler-926</t>
  </si>
  <si>
    <t>Kepler-926 b</t>
  </si>
  <si>
    <t>Kepler-927</t>
  </si>
  <si>
    <t>Kepler-927 b</t>
  </si>
  <si>
    <t>Kepler-928</t>
  </si>
  <si>
    <t>Kepler-928 b</t>
  </si>
  <si>
    <t>Kepler-929</t>
  </si>
  <si>
    <t>Kepler-929 b</t>
  </si>
  <si>
    <t>Kepler-93</t>
  </si>
  <si>
    <t>Kepler-93 b</t>
  </si>
  <si>
    <t>Kepler-93 c</t>
  </si>
  <si>
    <t>Kepler-930</t>
  </si>
  <si>
    <t>Kepler-930 b</t>
  </si>
  <si>
    <t>Kepler-931</t>
  </si>
  <si>
    <t>Kepler-931 b</t>
  </si>
  <si>
    <t>Kepler-932</t>
  </si>
  <si>
    <t>Kepler-932 b</t>
  </si>
  <si>
    <t>Kepler-933</t>
  </si>
  <si>
    <t>Kepler-933 b</t>
  </si>
  <si>
    <t>Kepler-934</t>
  </si>
  <si>
    <t>Kepler-934 b</t>
  </si>
  <si>
    <t>Kepler-935</t>
  </si>
  <si>
    <t>Kepler-935 b</t>
  </si>
  <si>
    <t>Kepler-936</t>
  </si>
  <si>
    <t>Kepler-936 b</t>
  </si>
  <si>
    <t>Kepler-937</t>
  </si>
  <si>
    <t>Kepler-937 b</t>
  </si>
  <si>
    <t>Kepler-937 c</t>
  </si>
  <si>
    <t>Kepler-938</t>
  </si>
  <si>
    <t>Kepler-938 b</t>
  </si>
  <si>
    <t>Kepler-939</t>
  </si>
  <si>
    <t>Kepler-939 b</t>
  </si>
  <si>
    <t>Kepler-94</t>
  </si>
  <si>
    <t>Kepler-94 b</t>
  </si>
  <si>
    <t>Kepler-94 c</t>
  </si>
  <si>
    <t>Kepler-940</t>
  </si>
  <si>
    <t>Kepler-940 b</t>
  </si>
  <si>
    <t>Kepler-941</t>
  </si>
  <si>
    <t>Kepler-941 b</t>
  </si>
  <si>
    <t>Kepler-942</t>
  </si>
  <si>
    <t>Kepler-942 b</t>
  </si>
  <si>
    <t>Kepler-943</t>
  </si>
  <si>
    <t>Kepler-943 b</t>
  </si>
  <si>
    <t>Kepler-944</t>
  </si>
  <si>
    <t>Kepler-944 b</t>
  </si>
  <si>
    <t>Kepler-945</t>
  </si>
  <si>
    <t>Kepler-945 b</t>
  </si>
  <si>
    <t>Kepler-946</t>
  </si>
  <si>
    <t>Kepler-946 b</t>
  </si>
  <si>
    <t>Kepler-947</t>
  </si>
  <si>
    <t>Kepler-947 b</t>
  </si>
  <si>
    <t>Kepler-948</t>
  </si>
  <si>
    <t>Kepler-948 b</t>
  </si>
  <si>
    <t>Kepler-949</t>
  </si>
  <si>
    <t>Kepler-949 b</t>
  </si>
  <si>
    <t>Kepler-95</t>
  </si>
  <si>
    <t>Kepler-95 b</t>
  </si>
  <si>
    <t>Kepler-950</t>
  </si>
  <si>
    <t>Kepler-950 b</t>
  </si>
  <si>
    <t>Kepler-951</t>
  </si>
  <si>
    <t>Kepler-951 b</t>
  </si>
  <si>
    <t>Kepler-952</t>
  </si>
  <si>
    <t>Kepler-952 b</t>
  </si>
  <si>
    <t>Kepler-953</t>
  </si>
  <si>
    <t>Kepler-953 b</t>
  </si>
  <si>
    <t>Kepler-953 c</t>
  </si>
  <si>
    <t>Kepler-954</t>
  </si>
  <si>
    <t>Kepler-954 b</t>
  </si>
  <si>
    <t>Kepler-955</t>
  </si>
  <si>
    <t>Kepler-955 b</t>
  </si>
  <si>
    <t>Kepler-956</t>
  </si>
  <si>
    <t>Kepler-956 b</t>
  </si>
  <si>
    <t>Kepler-957</t>
  </si>
  <si>
    <t>Kepler-957 b</t>
  </si>
  <si>
    <t>Kepler-958</t>
  </si>
  <si>
    <t>Kepler-958 b</t>
  </si>
  <si>
    <t>Kepler-959</t>
  </si>
  <si>
    <t>Kepler-959 b</t>
  </si>
  <si>
    <t>Kepler-96</t>
  </si>
  <si>
    <t>Kepler-96 b</t>
  </si>
  <si>
    <t>Kepler-960</t>
  </si>
  <si>
    <t>Kepler-960 b</t>
  </si>
  <si>
    <t>Kepler-961</t>
  </si>
  <si>
    <t>Kepler-961 b</t>
  </si>
  <si>
    <t>Kepler-962</t>
  </si>
  <si>
    <t>Kepler-962 b</t>
  </si>
  <si>
    <t>Kepler-963</t>
  </si>
  <si>
    <t>Kepler-963 b</t>
  </si>
  <si>
    <t>Kepler-964</t>
  </si>
  <si>
    <t>Kepler-964 b</t>
  </si>
  <si>
    <t>Kepler-965</t>
  </si>
  <si>
    <t>Kepler-965 b</t>
  </si>
  <si>
    <t>Kepler-966</t>
  </si>
  <si>
    <t>Kepler-966 b</t>
  </si>
  <si>
    <t>Kepler-967</t>
  </si>
  <si>
    <t>Kepler-967 b</t>
  </si>
  <si>
    <t>Kepler-967 c</t>
  </si>
  <si>
    <t>Kepler-968</t>
  </si>
  <si>
    <t>Kepler-968 b</t>
  </si>
  <si>
    <t>Kepler-968 c</t>
  </si>
  <si>
    <t>Kepler-969</t>
  </si>
  <si>
    <t>Kepler-969 b</t>
  </si>
  <si>
    <t>Kepler-969 c</t>
  </si>
  <si>
    <t>Kepler-97</t>
  </si>
  <si>
    <t>Kepler-97 b</t>
  </si>
  <si>
    <t>Kepler-97 c</t>
  </si>
  <si>
    <t>Kepler-970</t>
  </si>
  <si>
    <t>Kepler-970 b</t>
  </si>
  <si>
    <t>Kepler-971</t>
  </si>
  <si>
    <t>Kepler-971 b</t>
  </si>
  <si>
    <t>Kepler-972</t>
  </si>
  <si>
    <t>Kepler-972 b</t>
  </si>
  <si>
    <t>Kepler-973</t>
  </si>
  <si>
    <t>Kepler-973 b</t>
  </si>
  <si>
    <t>Kepler-974</t>
  </si>
  <si>
    <t>Kepler-974 b</t>
  </si>
  <si>
    <t>Kepler-975</t>
  </si>
  <si>
    <t>Kepler-975 b</t>
  </si>
  <si>
    <t>Kepler-976</t>
  </si>
  <si>
    <t>Kepler-976 b</t>
  </si>
  <si>
    <t>Kepler-977</t>
  </si>
  <si>
    <t>Kepler-977 b</t>
  </si>
  <si>
    <t>Kepler-978</t>
  </si>
  <si>
    <t>Kepler-978 b</t>
  </si>
  <si>
    <t>Kepler-979</t>
  </si>
  <si>
    <t>Kepler-979 b</t>
  </si>
  <si>
    <t>Kepler-98</t>
  </si>
  <si>
    <t>Kepler-98 b</t>
  </si>
  <si>
    <t>Kepler-980</t>
  </si>
  <si>
    <t>Kepler-980 b</t>
  </si>
  <si>
    <t>Kepler-981</t>
  </si>
  <si>
    <t>Kepler-981 b</t>
  </si>
  <si>
    <t>Kepler-982</t>
  </si>
  <si>
    <t>Kepler-982 b</t>
  </si>
  <si>
    <t>Kepler-983</t>
  </si>
  <si>
    <t>Kepler-983 b</t>
  </si>
  <si>
    <t>Kepler-984</t>
  </si>
  <si>
    <t>Kepler-984 b</t>
  </si>
  <si>
    <t>Kepler-985</t>
  </si>
  <si>
    <t>Kepler-985 b</t>
  </si>
  <si>
    <t>Kepler-986</t>
  </si>
  <si>
    <t>Kepler-986 b</t>
  </si>
  <si>
    <t>Kepler-987</t>
  </si>
  <si>
    <t>Kepler-987 b</t>
  </si>
  <si>
    <t>Kepler-988</t>
  </si>
  <si>
    <t>Kepler-988 b</t>
  </si>
  <si>
    <t>Kepler-989</t>
  </si>
  <si>
    <t>Kepler-989 b</t>
  </si>
  <si>
    <t>Kepler-99</t>
  </si>
  <si>
    <t>Kepler-99 b</t>
  </si>
  <si>
    <t>Kepler-990</t>
  </si>
  <si>
    <t>Kepler-990 b</t>
  </si>
  <si>
    <t>Kepler-990 c</t>
  </si>
  <si>
    <t>Kepler-991</t>
  </si>
  <si>
    <t>Kepler-991 b</t>
  </si>
  <si>
    <t>Kepler-992</t>
  </si>
  <si>
    <t>Kepler-992 b</t>
  </si>
  <si>
    <t>Kepler-993</t>
  </si>
  <si>
    <t>Kepler-993 b</t>
  </si>
  <si>
    <t>Kepler-994</t>
  </si>
  <si>
    <t>Kepler-994 b</t>
  </si>
  <si>
    <t>Kepler-995</t>
  </si>
  <si>
    <t>Kepler-995 b</t>
  </si>
  <si>
    <t>Kepler-996</t>
  </si>
  <si>
    <t>Kepler-996 b</t>
  </si>
  <si>
    <t>Kepler-997</t>
  </si>
  <si>
    <t>Kepler-997 b</t>
  </si>
  <si>
    <t>Kepler-998</t>
  </si>
  <si>
    <t>Kepler-998 b</t>
  </si>
  <si>
    <t>Kepler-999</t>
  </si>
  <si>
    <t>Kepler-999 b</t>
  </si>
  <si>
    <t>LHS 1140</t>
  </si>
  <si>
    <t>LHS 1140 b</t>
  </si>
  <si>
    <t>LHS 1140 c</t>
  </si>
  <si>
    <t>Multiple Locales</t>
  </si>
  <si>
    <t>LHS 3844</t>
  </si>
  <si>
    <t>LHS 3844 b</t>
  </si>
  <si>
    <t>LkCa 15</t>
  </si>
  <si>
    <t>LkCa 15 b</t>
  </si>
  <si>
    <t>Large Binocular Telescope Observatory</t>
  </si>
  <si>
    <t>LkCa 15 c</t>
  </si>
  <si>
    <t>Lupus-TR-3</t>
  </si>
  <si>
    <t>Lupus-TR-3 b</t>
  </si>
  <si>
    <t>MASCARA-1</t>
  </si>
  <si>
    <t>MASCARA-1 b</t>
  </si>
  <si>
    <t>MOA-2007-BLG-192L</t>
  </si>
  <si>
    <t>MOA-2007-BLG-192L b</t>
  </si>
  <si>
    <t>MOA</t>
  </si>
  <si>
    <t>MOA-2007-BLG-400L</t>
  </si>
  <si>
    <t>MOA-2007-BLG-400L b</t>
  </si>
  <si>
    <t>MOA-2008-BLG-310L</t>
  </si>
  <si>
    <t>MOA-2008-BLG-310L b</t>
  </si>
  <si>
    <t>MOA-2008-BLG-379L</t>
  </si>
  <si>
    <t>MOA-2008-BLG-379L b</t>
  </si>
  <si>
    <t>MOA-2009-BLG-266L</t>
  </si>
  <si>
    <t>MOA-2009-BLG-266L b</t>
  </si>
  <si>
    <t>MOA-2009-BLG-319L</t>
  </si>
  <si>
    <t>MOA-2009-BLG-319L b</t>
  </si>
  <si>
    <t>MOA-2009-BLG-387L</t>
  </si>
  <si>
    <t>MOA-2009-BLG-387L b</t>
  </si>
  <si>
    <t>MOA-2010-BLG-073L</t>
  </si>
  <si>
    <t>MOA-2010-BLG-073L b</t>
  </si>
  <si>
    <t>MOA-2010-BLG-117L</t>
  </si>
  <si>
    <t>MOA-2010-BLG-117L b</t>
  </si>
  <si>
    <t>MOA-2010-BLG-328L</t>
  </si>
  <si>
    <t>MOA-2010-BLG-328L b</t>
  </si>
  <si>
    <t>MOA-2010-BLG-353L</t>
  </si>
  <si>
    <t>MOA-2010-BLG-353L b</t>
  </si>
  <si>
    <t>MOA-2010-BLG-477L</t>
  </si>
  <si>
    <t>MOA-2010-BLG-477L b</t>
  </si>
  <si>
    <t>MOA-2011-BLG-028L</t>
  </si>
  <si>
    <t>MOA-2011-BLG-028L b</t>
  </si>
  <si>
    <t>MOA-2011-BLG-262L</t>
  </si>
  <si>
    <t>MOA-2011-BLG-262L b</t>
  </si>
  <si>
    <t>MOA-2011-BLG-291L</t>
  </si>
  <si>
    <t>MOA-2011-BLG-291L b</t>
  </si>
  <si>
    <t>MOA-2011-BLG-293L</t>
  </si>
  <si>
    <t>MOA-2011-BLG-293L b</t>
  </si>
  <si>
    <t>MOA-2011-BLG-322L</t>
  </si>
  <si>
    <t>MOA-2011-BLG-322L b</t>
  </si>
  <si>
    <t>MOA-2012-BLG-006L</t>
  </si>
  <si>
    <t>MOA-2012-BLG-006L b</t>
  </si>
  <si>
    <t>MOA-2012-BLG-505L</t>
  </si>
  <si>
    <t>MOA-2012-BLG-505L b</t>
  </si>
  <si>
    <t>MOA-2013-BLG-605L</t>
  </si>
  <si>
    <t>MOA-2013-BLG-605L b</t>
  </si>
  <si>
    <t>MOA-2015-BLG-337L</t>
  </si>
  <si>
    <t>MOA-2015-BLG-337L b</t>
  </si>
  <si>
    <t>MOA-2016-BLG-227L</t>
  </si>
  <si>
    <t>MOA-2016-BLG-227L b</t>
  </si>
  <si>
    <t>MOA-2016-BLG-319L</t>
  </si>
  <si>
    <t>MOA-2016-BLG-319L b</t>
  </si>
  <si>
    <t>MOA-bin-1L</t>
  </si>
  <si>
    <t>MOA-bin-1L b</t>
  </si>
  <si>
    <t>MXB 1658-298</t>
  </si>
  <si>
    <t>MXB 1658-298 b</t>
  </si>
  <si>
    <t>NGC 2682 Sand 364</t>
  </si>
  <si>
    <t>NGC 2682 Sand 364 b</t>
  </si>
  <si>
    <t>NGC 2682 Sand 978</t>
  </si>
  <si>
    <t>NGC 2682 Sand 978 b</t>
  </si>
  <si>
    <t>NGC 2682 YBP 1194</t>
  </si>
  <si>
    <t>NGC 2682 YBP 1194 b</t>
  </si>
  <si>
    <t>NGC 2682 YBP 1514</t>
  </si>
  <si>
    <t>NGC 2682 YBP 1514 b</t>
  </si>
  <si>
    <t>NGC 2682 YBP 401</t>
  </si>
  <si>
    <t>NGC 2682 YBP 401 b</t>
  </si>
  <si>
    <t>NGTS-1</t>
  </si>
  <si>
    <t>NGTS-1 b</t>
  </si>
  <si>
    <t>NGTS-2</t>
  </si>
  <si>
    <t>NGTS-2 b</t>
  </si>
  <si>
    <t>NGTS-3 A</t>
  </si>
  <si>
    <t>NGTS-3 A b</t>
  </si>
  <si>
    <t>NGTS-4</t>
  </si>
  <si>
    <t>NGTS-4 b</t>
  </si>
  <si>
    <t>NGTS-5</t>
  </si>
  <si>
    <t>NGTS-5 b</t>
  </si>
  <si>
    <t>NN Ser</t>
  </si>
  <si>
    <t>NN Ser c</t>
  </si>
  <si>
    <t>NN Ser d</t>
  </si>
  <si>
    <t>NY Vir</t>
  </si>
  <si>
    <t>NY Vir b</t>
  </si>
  <si>
    <t>OGLE-2003-BLG-235L</t>
  </si>
  <si>
    <t>OGLE-2003-BLG-235L b</t>
  </si>
  <si>
    <t>OGLE</t>
  </si>
  <si>
    <t>OGLE-2005-BLG-071L</t>
  </si>
  <si>
    <t>OGLE-2005-BLG-071L b</t>
  </si>
  <si>
    <t>OGLE-2005-BLG-169L</t>
  </si>
  <si>
    <t>OGLE-2005-BLG-169L b</t>
  </si>
  <si>
    <t>OGLE-2005-BLG-390L</t>
  </si>
  <si>
    <t>OGLE-2005-BLG-390L b</t>
  </si>
  <si>
    <t>OGLE-2006-BLG-109L</t>
  </si>
  <si>
    <t>OGLE-2006-BLG-109L b</t>
  </si>
  <si>
    <t>OGLE-2006-BLG-109L c</t>
  </si>
  <si>
    <t>OGLE-2007-BLG-349L A</t>
  </si>
  <si>
    <t>OGLE-2007-BLG-349L AB c</t>
  </si>
  <si>
    <t>OGLE-2007-BLG-368L</t>
  </si>
  <si>
    <t>OGLE-2007-BLG-368L b</t>
  </si>
  <si>
    <t>OGLE-2008-BLG-092L</t>
  </si>
  <si>
    <t>OGLE-2008-BLG-092L b</t>
  </si>
  <si>
    <t>OGLE-2008-BLG-355L</t>
  </si>
  <si>
    <t>OGLE-2008-BLG-355L b</t>
  </si>
  <si>
    <t>OGLE-2011-BLG-0173L</t>
  </si>
  <si>
    <t>OGLE-2011-BLG-0173L b</t>
  </si>
  <si>
    <t>OGLE-2011-BLG-0251L</t>
  </si>
  <si>
    <t>OGLE-2011-BLG-0251L b</t>
  </si>
  <si>
    <t>OGLE-2011-BLG-0265L</t>
  </si>
  <si>
    <t>OGLE-2011-BLG-0265L b</t>
  </si>
  <si>
    <t>OGLE-2012-BLG-0026L</t>
  </si>
  <si>
    <t>OGLE-2012-BLG-0026L b</t>
  </si>
  <si>
    <t>OGLE-2012-BLG-0026L c</t>
  </si>
  <si>
    <t>OGLE-2012-BLG-0358L</t>
  </si>
  <si>
    <t>OGLE-2012-BLG-0358L b</t>
  </si>
  <si>
    <t>OGLE-2012-BLG-0406L</t>
  </si>
  <si>
    <t>OGLE-2012-BLG-0406L b</t>
  </si>
  <si>
    <t>OGLE-2012-BLG-0563L</t>
  </si>
  <si>
    <t>OGLE-2012-BLG-0563L b</t>
  </si>
  <si>
    <t>OGLE-2012-BLG-0724L</t>
  </si>
  <si>
    <t>OGLE-2012-BLG-0724L b</t>
  </si>
  <si>
    <t>OGLE-2012-BLG-0950L</t>
  </si>
  <si>
    <t>OGLE-2012-BLG-0950L b</t>
  </si>
  <si>
    <t>OGLE-2013-BLG-0102L</t>
  </si>
  <si>
    <t>OGLE-2013-BLG-0102L b</t>
  </si>
  <si>
    <t>OGLE-2013-BLG-0132L</t>
  </si>
  <si>
    <t>OGLE-2013-BLG-0132L b</t>
  </si>
  <si>
    <t>OGLE-2013-BLG-0341L B</t>
  </si>
  <si>
    <t>OGLE-2013-BLG-0341L B b</t>
  </si>
  <si>
    <t>OGLE-2013-BLG-1721L</t>
  </si>
  <si>
    <t>OGLE-2013-BLG-1721L b</t>
  </si>
  <si>
    <t>OGLE-2013-BLG-1761L</t>
  </si>
  <si>
    <t>OGLE-2013-BLG-1761L b</t>
  </si>
  <si>
    <t>OGLE-2014-BLG-0124L</t>
  </si>
  <si>
    <t>OGLE-2014-BLG-0124L b</t>
  </si>
  <si>
    <t>OGLE-2014-BLG-0676L</t>
  </si>
  <si>
    <t>OGLE-2014-BLG-0676L b</t>
  </si>
  <si>
    <t>OGLE-2014-BLG-1722L</t>
  </si>
  <si>
    <t>OGLE-2014-BLG-1722L b</t>
  </si>
  <si>
    <t>OGLE-2014-BLG-1722L c</t>
  </si>
  <si>
    <t>OGLE-2014-BLG-1760L</t>
  </si>
  <si>
    <t>OGLE-2014-BLG-1760L b</t>
  </si>
  <si>
    <t>OGLE-2015-BLG-0051L</t>
  </si>
  <si>
    <t>OGLE-2015-BLG-0051L b</t>
  </si>
  <si>
    <t>OGLE-2015-BLG-0954L</t>
  </si>
  <si>
    <t>OGLE-2015-BLG-0954L b</t>
  </si>
  <si>
    <t>OGLE-2015-BLG-0966L</t>
  </si>
  <si>
    <t>OGLE-2015-BLG-0966L b</t>
  </si>
  <si>
    <t>OGLE-2016-BLG-0263L</t>
  </si>
  <si>
    <t>OGLE-2016-BLG-0263L b</t>
  </si>
  <si>
    <t>OGLE-2016-BLG-0613L AB</t>
  </si>
  <si>
    <t>OGLE-2016-BLG-0613L AB b</t>
  </si>
  <si>
    <t>OGLE-2016-BLG-1190L</t>
  </si>
  <si>
    <t>OGLE-2016-BLG-1190L b</t>
  </si>
  <si>
    <t>OGLE-2016-BLG-1195L</t>
  </si>
  <si>
    <t>OGLE-2016-BLG-1195L b</t>
  </si>
  <si>
    <t>OGLE-2017-BLG-0173L</t>
  </si>
  <si>
    <t>OGLE-2017-BLG-0173L b</t>
  </si>
  <si>
    <t>OGLE-2017-BLG-0373L</t>
  </si>
  <si>
    <t>OGLE-2017-BLG-0373L b</t>
  </si>
  <si>
    <t>OGLE-2017-BLG-0482L</t>
  </si>
  <si>
    <t>OGLE-2017-BLG-0482L b</t>
  </si>
  <si>
    <t>OGLE-2017-BLG-1140L</t>
  </si>
  <si>
    <t>OGLE-2017-BLG-1140L b</t>
  </si>
  <si>
    <t>OGLE-2017-BLG-1434L</t>
  </si>
  <si>
    <t>OGLE-2017-BLG-1434L b</t>
  </si>
  <si>
    <t>OGLE-2017-BLG-1522L</t>
  </si>
  <si>
    <t>OGLE-2017-BLG-1522L b</t>
  </si>
  <si>
    <t>OGLE-TR-056</t>
  </si>
  <si>
    <t>OGLE-TR-056 b</t>
  </si>
  <si>
    <t>OGLE-TR-10</t>
  </si>
  <si>
    <t>OGLE-TR-10 b</t>
  </si>
  <si>
    <t>OGLE-TR-111</t>
  </si>
  <si>
    <t>OGLE-TR-111 b</t>
  </si>
  <si>
    <t>OGLE-TR-113</t>
  </si>
  <si>
    <t>OGLE-TR-113 b</t>
  </si>
  <si>
    <t>OGLE-TR-132</t>
  </si>
  <si>
    <t>OGLE-TR-132 b</t>
  </si>
  <si>
    <t>OGLE-TR-182</t>
  </si>
  <si>
    <t>OGLE-TR-182 b</t>
  </si>
  <si>
    <t>OGLE-TR-211</t>
  </si>
  <si>
    <t>OGLE-TR-211 b</t>
  </si>
  <si>
    <t>OGLE2-TR-L9</t>
  </si>
  <si>
    <t>OGLE2-TR-L9 b</t>
  </si>
  <si>
    <t>Oph 11</t>
  </si>
  <si>
    <t>Oph 11 b</t>
  </si>
  <si>
    <t>PDS 70</t>
  </si>
  <si>
    <t>PDS 70 b</t>
  </si>
  <si>
    <t>PH1</t>
  </si>
  <si>
    <t>PH1 b</t>
  </si>
  <si>
    <t>PH2</t>
  </si>
  <si>
    <t>PH2 b</t>
  </si>
  <si>
    <t>POTS-1</t>
  </si>
  <si>
    <t>POTS-1 b</t>
  </si>
  <si>
    <t>PSR B1257+12</t>
  </si>
  <si>
    <t>PSR B1257+12 b</t>
  </si>
  <si>
    <t>Pulsar Timing</t>
  </si>
  <si>
    <t>Arecibo Observatory</t>
  </si>
  <si>
    <t>PSR B1257+12 c</t>
  </si>
  <si>
    <t>PSR B1257+12 d</t>
  </si>
  <si>
    <t>PSR B1620-26</t>
  </si>
  <si>
    <t>PSR B1620-26 b</t>
  </si>
  <si>
    <t>PSR J1719-1438</t>
  </si>
  <si>
    <t>PSR J1719-1438 b</t>
  </si>
  <si>
    <t>Parkes Observatory</t>
  </si>
  <si>
    <t>PSR J2322-2650</t>
  </si>
  <si>
    <t>PSR J2322-2650 b</t>
  </si>
  <si>
    <t>Pr0201</t>
  </si>
  <si>
    <t>Pr0201 b</t>
  </si>
  <si>
    <t>Pr0211</t>
  </si>
  <si>
    <t>Pr0211 b</t>
  </si>
  <si>
    <t>Pr0211 c</t>
  </si>
  <si>
    <t>Proxima Cen</t>
  </si>
  <si>
    <t>Proxima Cen b</t>
  </si>
  <si>
    <t>European Southern Observatory</t>
  </si>
  <si>
    <t>Qatar-1</t>
  </si>
  <si>
    <t>Qatar-1 b</t>
  </si>
  <si>
    <t>Qatar-10</t>
  </si>
  <si>
    <t>Qatar-10 b</t>
  </si>
  <si>
    <t>Qatar-2</t>
  </si>
  <si>
    <t>Qatar-2 b</t>
  </si>
  <si>
    <t>Qatar-3</t>
  </si>
  <si>
    <t>Qatar-3 b</t>
  </si>
  <si>
    <t>Qatar-4</t>
  </si>
  <si>
    <t>Qatar-4 b</t>
  </si>
  <si>
    <t>Qatar-5</t>
  </si>
  <si>
    <t>Qatar-5 b</t>
  </si>
  <si>
    <t>Qatar-7</t>
  </si>
  <si>
    <t>Qatar-7 b</t>
  </si>
  <si>
    <t>Qatar-8</t>
  </si>
  <si>
    <t>Qatar-8 b</t>
  </si>
  <si>
    <t>Qatar-9</t>
  </si>
  <si>
    <t>Qatar-9 b</t>
  </si>
  <si>
    <t>ROXs 12</t>
  </si>
  <si>
    <t>ROXs 12 b</t>
  </si>
  <si>
    <t>ROXs 42 B</t>
  </si>
  <si>
    <t>ROXs 42 B b</t>
  </si>
  <si>
    <t>RR Cae</t>
  </si>
  <si>
    <t>RR Cae b</t>
  </si>
  <si>
    <t>Leoncito Astronomical Complex</t>
  </si>
  <si>
    <t>Ross 128</t>
  </si>
  <si>
    <t>Ross 128 b</t>
  </si>
  <si>
    <t>Ross 458</t>
  </si>
  <si>
    <t>Ross 458 c</t>
  </si>
  <si>
    <t>SR 12 AB</t>
  </si>
  <si>
    <t>SR 12 AB c</t>
  </si>
  <si>
    <t>Infrared Survey Facility</t>
  </si>
  <si>
    <t>SWEEPS-11</t>
  </si>
  <si>
    <t>SWEEPS-11 b</t>
  </si>
  <si>
    <t>SWEEPS-4</t>
  </si>
  <si>
    <t>SWEEPS-4 b</t>
  </si>
  <si>
    <t>TAP 26</t>
  </si>
  <si>
    <t>TAP 26 b</t>
  </si>
  <si>
    <t>TCP J05074264+2447555</t>
  </si>
  <si>
    <t>TCP J05074264+2447555 b</t>
  </si>
  <si>
    <t>TOI 172</t>
  </si>
  <si>
    <t>TOI 172 b</t>
  </si>
  <si>
    <t>TOI 216</t>
  </si>
  <si>
    <t>TOI 216 b</t>
  </si>
  <si>
    <t>TOI 216 c</t>
  </si>
  <si>
    <t>TRAPPIST-1</t>
  </si>
  <si>
    <t>TRAPPIST-1 b</t>
  </si>
  <si>
    <t>TRAPPIST-1 c</t>
  </si>
  <si>
    <t>TRAPPIST-1 d</t>
  </si>
  <si>
    <t>TRAPPIST-1 e</t>
  </si>
  <si>
    <t>TRAPPIST-1 f</t>
  </si>
  <si>
    <t>TRAPPIST-1 g</t>
  </si>
  <si>
    <t>TRAPPIST-1 h</t>
  </si>
  <si>
    <t>TYC 1422-614-1</t>
  </si>
  <si>
    <t>TYC 1422-614-1 b</t>
  </si>
  <si>
    <t>TYC 1422-614-1 c</t>
  </si>
  <si>
    <t>TYC 3318-01333-1</t>
  </si>
  <si>
    <t>TYC 3318-01333-1 b</t>
  </si>
  <si>
    <t>TYC 3667-1280-1</t>
  </si>
  <si>
    <t>TYC 3667-1280-1 b</t>
  </si>
  <si>
    <t>TYC 4282-00605-1</t>
  </si>
  <si>
    <t>TYC 4282-00605-1 b</t>
  </si>
  <si>
    <t>TrES-1</t>
  </si>
  <si>
    <t>TrES-1 b</t>
  </si>
  <si>
    <t>TrES</t>
  </si>
  <si>
    <t>TrES-2</t>
  </si>
  <si>
    <t>TrES-2 b</t>
  </si>
  <si>
    <t>TrES-3</t>
  </si>
  <si>
    <t>TrES-3 b</t>
  </si>
  <si>
    <t>TrES-4</t>
  </si>
  <si>
    <t>TrES-4 b</t>
  </si>
  <si>
    <t>TrES-5</t>
  </si>
  <si>
    <t>TrES-5 b</t>
  </si>
  <si>
    <t>UKIRT-2017-BLG-001L</t>
  </si>
  <si>
    <t>UKIRT-2017-BLG-001L b</t>
  </si>
  <si>
    <t>Mauna Kea Observatory</t>
  </si>
  <si>
    <t>USco CTIO 108</t>
  </si>
  <si>
    <t>USco CTIO 108 b</t>
  </si>
  <si>
    <t>Teide Observatory</t>
  </si>
  <si>
    <t>UZ For</t>
  </si>
  <si>
    <t>UZ For b</t>
  </si>
  <si>
    <t>UZ For c</t>
  </si>
  <si>
    <t>V0391 Peg</t>
  </si>
  <si>
    <t>V0391 Peg b</t>
  </si>
  <si>
    <t>V830 Tau</t>
  </si>
  <si>
    <t>V830 Tau b</t>
  </si>
  <si>
    <t>VHS J125601.92-125723.9</t>
  </si>
  <si>
    <t>VHS J125601.92-125723.9 b</t>
  </si>
  <si>
    <t>WASP-1</t>
  </si>
  <si>
    <t>WASP-1 b</t>
  </si>
  <si>
    <t>SuperWASP</t>
  </si>
  <si>
    <t>WASP-10</t>
  </si>
  <si>
    <t>WASP-10 b</t>
  </si>
  <si>
    <t>WASP-100</t>
  </si>
  <si>
    <t>WASP-100 b</t>
  </si>
  <si>
    <t>WASP-101</t>
  </si>
  <si>
    <t>WASP-101 b</t>
  </si>
  <si>
    <t>WASP-103</t>
  </si>
  <si>
    <t>WASP-103 b</t>
  </si>
  <si>
    <t>WASP-104</t>
  </si>
  <si>
    <t>WASP-104 b</t>
  </si>
  <si>
    <t>WASP-105</t>
  </si>
  <si>
    <t>WASP-105 b</t>
  </si>
  <si>
    <t>SuperWASP-South</t>
  </si>
  <si>
    <t>WASP-106</t>
  </si>
  <si>
    <t>WASP-106 b</t>
  </si>
  <si>
    <t>WASP-107</t>
  </si>
  <si>
    <t>WASP-107 b</t>
  </si>
  <si>
    <t>WASP-11</t>
  </si>
  <si>
    <t>WASP-11 b</t>
  </si>
  <si>
    <t>WASP-113</t>
  </si>
  <si>
    <t>WASP-113 b</t>
  </si>
  <si>
    <t>SuperWASP-North</t>
  </si>
  <si>
    <t>WASP-114</t>
  </si>
  <si>
    <t>WASP-114 b</t>
  </si>
  <si>
    <t>WASP-117</t>
  </si>
  <si>
    <t>WASP-117 b</t>
  </si>
  <si>
    <t>WASP-118</t>
  </si>
  <si>
    <t>WASP-118 b</t>
  </si>
  <si>
    <t>WASP-119</t>
  </si>
  <si>
    <t>WASP-119 b</t>
  </si>
  <si>
    <t>WASP-12</t>
  </si>
  <si>
    <t>WASP-12 b</t>
  </si>
  <si>
    <t>WASP-120</t>
  </si>
  <si>
    <t>WASP-120 b</t>
  </si>
  <si>
    <t>WASP-121</t>
  </si>
  <si>
    <t>WASP-121 b</t>
  </si>
  <si>
    <t>WASP-123</t>
  </si>
  <si>
    <t>WASP-123 b</t>
  </si>
  <si>
    <t>WASP-124</t>
  </si>
  <si>
    <t>WASP-124 b</t>
  </si>
  <si>
    <t>WASP-126</t>
  </si>
  <si>
    <t>WASP-126 b</t>
  </si>
  <si>
    <t>WASP-127</t>
  </si>
  <si>
    <t>WASP-127 b</t>
  </si>
  <si>
    <t>WASP-129</t>
  </si>
  <si>
    <t>WASP-129 b</t>
  </si>
  <si>
    <t>WASP-13</t>
  </si>
  <si>
    <t>WASP-13 b</t>
  </si>
  <si>
    <t>WASP-130</t>
  </si>
  <si>
    <t>WASP-130 b</t>
  </si>
  <si>
    <t>WASP-131</t>
  </si>
  <si>
    <t>WASP-131 b</t>
  </si>
  <si>
    <t>WASP-132</t>
  </si>
  <si>
    <t>WASP-132 b</t>
  </si>
  <si>
    <t>WASP-133</t>
  </si>
  <si>
    <t>WASP-133 b</t>
  </si>
  <si>
    <t>WASP-135</t>
  </si>
  <si>
    <t>WASP-135 b</t>
  </si>
  <si>
    <t>WASP-136</t>
  </si>
  <si>
    <t>WASP-136 b</t>
  </si>
  <si>
    <t>WASP-138</t>
  </si>
  <si>
    <t>WASP-138 b</t>
  </si>
  <si>
    <t>WASP-139</t>
  </si>
  <si>
    <t>WASP-139 b</t>
  </si>
  <si>
    <t>WASP-14</t>
  </si>
  <si>
    <t>WASP-14 b</t>
  </si>
  <si>
    <t>WASP-140</t>
  </si>
  <si>
    <t>WASP-140 b</t>
  </si>
  <si>
    <t>WASP-141</t>
  </si>
  <si>
    <t>WASP-141 b</t>
  </si>
  <si>
    <t>WASP-142</t>
  </si>
  <si>
    <t>WASP-142 b</t>
  </si>
  <si>
    <t>WASP-144</t>
  </si>
  <si>
    <t>WASP-144 b</t>
  </si>
  <si>
    <t>WASP-145 A</t>
  </si>
  <si>
    <t>WASP-145 A b</t>
  </si>
  <si>
    <t>WASP-147</t>
  </si>
  <si>
    <t>WASP-147 b</t>
  </si>
  <si>
    <t>WASP-15</t>
  </si>
  <si>
    <t>WASP-15 b</t>
  </si>
  <si>
    <t>WASP-151</t>
  </si>
  <si>
    <t>WASP-151 b</t>
  </si>
  <si>
    <t>WASP-153</t>
  </si>
  <si>
    <t>WASP-153 b</t>
  </si>
  <si>
    <t>WASP-156</t>
  </si>
  <si>
    <t>WASP-156 b</t>
  </si>
  <si>
    <t>WASP-157</t>
  </si>
  <si>
    <t>WASP-157 b</t>
  </si>
  <si>
    <t>WASP-158</t>
  </si>
  <si>
    <t>WASP-158 b</t>
  </si>
  <si>
    <t>WASP-159</t>
  </si>
  <si>
    <t>WASP-159 b</t>
  </si>
  <si>
    <t>WASP-16</t>
  </si>
  <si>
    <t>WASP-16 b</t>
  </si>
  <si>
    <t>WASP-160 B</t>
  </si>
  <si>
    <t>WASP-160 B b</t>
  </si>
  <si>
    <t>WASP-161</t>
  </si>
  <si>
    <t>WASP-161 b</t>
  </si>
  <si>
    <t>WASP-162</t>
  </si>
  <si>
    <t>WASP-162 b</t>
  </si>
  <si>
    <t>WASP-163</t>
  </si>
  <si>
    <t>WASP-163 b</t>
  </si>
  <si>
    <t>WASP-164</t>
  </si>
  <si>
    <t>WASP-164 b</t>
  </si>
  <si>
    <t>WASP-165</t>
  </si>
  <si>
    <t>WASP-165 b</t>
  </si>
  <si>
    <t>WASP-167</t>
  </si>
  <si>
    <t>WASP-167 b</t>
  </si>
  <si>
    <t>WASP-168</t>
  </si>
  <si>
    <t>WASP-168 b</t>
  </si>
  <si>
    <t>WASP-17</t>
  </si>
  <si>
    <t>WASP-17 b</t>
  </si>
  <si>
    <t>WASP-170</t>
  </si>
  <si>
    <t>WASP-170 b</t>
  </si>
  <si>
    <t>WASP-172</t>
  </si>
  <si>
    <t>WASP-172 b</t>
  </si>
  <si>
    <t>WASP-173 A</t>
  </si>
  <si>
    <t>WASP-173 A b</t>
  </si>
  <si>
    <t>WASP-174</t>
  </si>
  <si>
    <t>WASP-174 b</t>
  </si>
  <si>
    <t>WASP-177</t>
  </si>
  <si>
    <t>WASP-177 b</t>
  </si>
  <si>
    <t>WASP-18</t>
  </si>
  <si>
    <t>WASP-18 b</t>
  </si>
  <si>
    <t>WASP-181</t>
  </si>
  <si>
    <t>WASP-181 b</t>
  </si>
  <si>
    <t>WASP-183</t>
  </si>
  <si>
    <t>WASP-183 b</t>
  </si>
  <si>
    <t>WASP-19</t>
  </si>
  <si>
    <t>WASP-19 b</t>
  </si>
  <si>
    <t>WASP-190</t>
  </si>
  <si>
    <t>WASP-190 b</t>
  </si>
  <si>
    <t>WASP-South</t>
  </si>
  <si>
    <t>WASP-2</t>
  </si>
  <si>
    <t>WASP-2 b</t>
  </si>
  <si>
    <t>WASP-20</t>
  </si>
  <si>
    <t>WASP-20 b</t>
  </si>
  <si>
    <t>WASP-21</t>
  </si>
  <si>
    <t>WASP-21 b</t>
  </si>
  <si>
    <t>WASP-22</t>
  </si>
  <si>
    <t>WASP-22 b</t>
  </si>
  <si>
    <t>WASP-23</t>
  </si>
  <si>
    <t>WASP-23 b</t>
  </si>
  <si>
    <t>WASP-24</t>
  </si>
  <si>
    <t>WASP-24 b</t>
  </si>
  <si>
    <t>WASP-25</t>
  </si>
  <si>
    <t>WASP-25 b</t>
  </si>
  <si>
    <t>WASP-26</t>
  </si>
  <si>
    <t>WASP-26 b</t>
  </si>
  <si>
    <t>WASP-28</t>
  </si>
  <si>
    <t>WASP-28 b</t>
  </si>
  <si>
    <t>WASP-29</t>
  </si>
  <si>
    <t>WASP-29 b</t>
  </si>
  <si>
    <t>WASP-3</t>
  </si>
  <si>
    <t>WASP-3 b</t>
  </si>
  <si>
    <t>WASP-31</t>
  </si>
  <si>
    <t>WASP-31 b</t>
  </si>
  <si>
    <t>WASP-32</t>
  </si>
  <si>
    <t>WASP-32 b</t>
  </si>
  <si>
    <t>WASP-33</t>
  </si>
  <si>
    <t>WASP-33 b</t>
  </si>
  <si>
    <t>WASP-34</t>
  </si>
  <si>
    <t>WASP-34 b</t>
  </si>
  <si>
    <t>WASP-35</t>
  </si>
  <si>
    <t>WASP-35 b</t>
  </si>
  <si>
    <t>WASP-36</t>
  </si>
  <si>
    <t>WASP-36 b</t>
  </si>
  <si>
    <t>WASP-37</t>
  </si>
  <si>
    <t>WASP-37 b</t>
  </si>
  <si>
    <t>WASP-38</t>
  </si>
  <si>
    <t>WASP-38 b</t>
  </si>
  <si>
    <t>WASP-39</t>
  </si>
  <si>
    <t>WASP-39 b</t>
  </si>
  <si>
    <t>WASP-4</t>
  </si>
  <si>
    <t>WASP-4 b</t>
  </si>
  <si>
    <t>WASP-41</t>
  </si>
  <si>
    <t>WASP-41 b</t>
  </si>
  <si>
    <t>WASP-41 c</t>
  </si>
  <si>
    <t>WASP-42</t>
  </si>
  <si>
    <t>WASP-42 b</t>
  </si>
  <si>
    <t>WASP-43</t>
  </si>
  <si>
    <t>WASP-43 b</t>
  </si>
  <si>
    <t>WASP-44</t>
  </si>
  <si>
    <t>WASP-44 b</t>
  </si>
  <si>
    <t>WASP-45</t>
  </si>
  <si>
    <t>WASP-45 b</t>
  </si>
  <si>
    <t>WASP-46</t>
  </si>
  <si>
    <t>WASP-46 b</t>
  </si>
  <si>
    <t>WASP-47</t>
  </si>
  <si>
    <t>WASP-47 b</t>
  </si>
  <si>
    <t>WASP-47 c</t>
  </si>
  <si>
    <t>WASP-47 d</t>
  </si>
  <si>
    <t>WASP-47 e</t>
  </si>
  <si>
    <t>WASP-48</t>
  </si>
  <si>
    <t>WASP-48 b</t>
  </si>
  <si>
    <t>WASP-49</t>
  </si>
  <si>
    <t>WASP-49 b</t>
  </si>
  <si>
    <t>WASP-5</t>
  </si>
  <si>
    <t>WASP-5 b</t>
  </si>
  <si>
    <t>WASP-50</t>
  </si>
  <si>
    <t>WASP-50 b</t>
  </si>
  <si>
    <t>WASP-52</t>
  </si>
  <si>
    <t>WASP-52 b</t>
  </si>
  <si>
    <t>WASP-53</t>
  </si>
  <si>
    <t>WASP-53 b</t>
  </si>
  <si>
    <t>WASP-53 c</t>
  </si>
  <si>
    <t>WASP-54</t>
  </si>
  <si>
    <t>WASP-54 b</t>
  </si>
  <si>
    <t>WASP-55</t>
  </si>
  <si>
    <t>WASP-55 b</t>
  </si>
  <si>
    <t>WASP-56</t>
  </si>
  <si>
    <t>WASP-56 b</t>
  </si>
  <si>
    <t>WASP-57</t>
  </si>
  <si>
    <t>WASP-57 b</t>
  </si>
  <si>
    <t>WASP-58</t>
  </si>
  <si>
    <t>WASP-58 b</t>
  </si>
  <si>
    <t>WASP-59</t>
  </si>
  <si>
    <t>WASP-59 b</t>
  </si>
  <si>
    <t>WASP-6</t>
  </si>
  <si>
    <t>WASP-6 b</t>
  </si>
  <si>
    <t>WASP-60</t>
  </si>
  <si>
    <t>WASP-60 b</t>
  </si>
  <si>
    <t>WASP-61</t>
  </si>
  <si>
    <t>WASP-61 b</t>
  </si>
  <si>
    <t>WASP-62</t>
  </si>
  <si>
    <t>WASP-62 b</t>
  </si>
  <si>
    <t>WASP-63</t>
  </si>
  <si>
    <t>WASP-63 b</t>
  </si>
  <si>
    <t>WASP-64</t>
  </si>
  <si>
    <t>WASP-64 b</t>
  </si>
  <si>
    <t>WASP-65</t>
  </si>
  <si>
    <t>WASP-65 b</t>
  </si>
  <si>
    <t>WASP-66</t>
  </si>
  <si>
    <t>WASP-66 b</t>
  </si>
  <si>
    <t>WASP-67</t>
  </si>
  <si>
    <t>WASP-67 b</t>
  </si>
  <si>
    <t>WASP-68</t>
  </si>
  <si>
    <t>WASP-68 b</t>
  </si>
  <si>
    <t>WASP-69</t>
  </si>
  <si>
    <t>WASP-69 b</t>
  </si>
  <si>
    <t>WASP-7</t>
  </si>
  <si>
    <t>WASP-7 b</t>
  </si>
  <si>
    <t>WASP-70 A</t>
  </si>
  <si>
    <t>WASP-70 A b</t>
  </si>
  <si>
    <t>WASP-71</t>
  </si>
  <si>
    <t>WASP-71 b</t>
  </si>
  <si>
    <t>WASP-72</t>
  </si>
  <si>
    <t>WASP-72 b</t>
  </si>
  <si>
    <t>WASP-73</t>
  </si>
  <si>
    <t>WASP-73 b</t>
  </si>
  <si>
    <t>WASP-74</t>
  </si>
  <si>
    <t>WASP-74 b</t>
  </si>
  <si>
    <t>WASP-75</t>
  </si>
  <si>
    <t>WASP-75 b</t>
  </si>
  <si>
    <t>WASP-76</t>
  </si>
  <si>
    <t>WASP-76 b</t>
  </si>
  <si>
    <t>WASP-77 A</t>
  </si>
  <si>
    <t>WASP-77 A b</t>
  </si>
  <si>
    <t>WASP-78</t>
  </si>
  <si>
    <t>WASP-78 b</t>
  </si>
  <si>
    <t>WASP-79</t>
  </si>
  <si>
    <t>WASP-79 b</t>
  </si>
  <si>
    <t>WASP-8</t>
  </si>
  <si>
    <t>WASP-8 b</t>
  </si>
  <si>
    <t>WASP-8 c</t>
  </si>
  <si>
    <t>WASP-80</t>
  </si>
  <si>
    <t>WASP-80 b</t>
  </si>
  <si>
    <t>WASP-81</t>
  </si>
  <si>
    <t>WASP-81 b</t>
  </si>
  <si>
    <t>WASP-82</t>
  </si>
  <si>
    <t>WASP-82 b</t>
  </si>
  <si>
    <t>WASP-83</t>
  </si>
  <si>
    <t>WASP-83 b</t>
  </si>
  <si>
    <t>WASP-84</t>
  </si>
  <si>
    <t>WASP-84 b</t>
  </si>
  <si>
    <t>WASP-85 A</t>
  </si>
  <si>
    <t>WASP-85 A b</t>
  </si>
  <si>
    <t>WASP-88</t>
  </si>
  <si>
    <t>WASP-88 b</t>
  </si>
  <si>
    <t>WASP-89</t>
  </si>
  <si>
    <t>WASP-89 b</t>
  </si>
  <si>
    <t>WASP-90</t>
  </si>
  <si>
    <t>WASP-90 b</t>
  </si>
  <si>
    <t>WASP-91</t>
  </si>
  <si>
    <t>WASP-91 b</t>
  </si>
  <si>
    <t>WASP-92</t>
  </si>
  <si>
    <t>WASP-92 b</t>
  </si>
  <si>
    <t>WASP-93</t>
  </si>
  <si>
    <t>WASP-93 b</t>
  </si>
  <si>
    <t>WASP-94 A</t>
  </si>
  <si>
    <t>WASP-94 A b</t>
  </si>
  <si>
    <t>WASP-94 B</t>
  </si>
  <si>
    <t>WASP-94 B b</t>
  </si>
  <si>
    <t>WASP-95</t>
  </si>
  <si>
    <t>WASP-95 b</t>
  </si>
  <si>
    <t>WASP-96</t>
  </si>
  <si>
    <t>WASP-96 b</t>
  </si>
  <si>
    <t>WASP-97</t>
  </si>
  <si>
    <t>WASP-97 b</t>
  </si>
  <si>
    <t>WASP-98</t>
  </si>
  <si>
    <t>WASP-98 b</t>
  </si>
  <si>
    <t>WASP-99</t>
  </si>
  <si>
    <t>WASP-99 b</t>
  </si>
  <si>
    <t>WD 0806-661</t>
  </si>
  <si>
    <t>WD 0806-661 b</t>
  </si>
  <si>
    <t>WISEP J121756.91+162640.2 A</t>
  </si>
  <si>
    <t>WISEP J121756.91+162640.2 A b</t>
  </si>
  <si>
    <t>WTS-1</t>
  </si>
  <si>
    <t>WTS-1 b</t>
  </si>
  <si>
    <t>United Kingdom Infrared Telescope</t>
  </si>
  <si>
    <t>WTS-2</t>
  </si>
  <si>
    <t>WTS-2 b</t>
  </si>
  <si>
    <t>Wolf 1061</t>
  </si>
  <si>
    <t>Wolf 1061 b</t>
  </si>
  <si>
    <t>Wolf 1061 c</t>
  </si>
  <si>
    <t>Wolf 1061 d</t>
  </si>
  <si>
    <t>Wolf 503</t>
  </si>
  <si>
    <t>Wolf 503 b</t>
  </si>
  <si>
    <t>XO-1</t>
  </si>
  <si>
    <t>XO-1 b</t>
  </si>
  <si>
    <t>XO</t>
  </si>
  <si>
    <t>XO-2 N</t>
  </si>
  <si>
    <t>XO-2 N b</t>
  </si>
  <si>
    <t>XO-2 S</t>
  </si>
  <si>
    <t>XO-2 S b</t>
  </si>
  <si>
    <t>XO-2 S c</t>
  </si>
  <si>
    <t>XO-3</t>
  </si>
  <si>
    <t>XO-3 b</t>
  </si>
  <si>
    <t>XO-4</t>
  </si>
  <si>
    <t>XO-4 b</t>
  </si>
  <si>
    <t>XO-5</t>
  </si>
  <si>
    <t>XO-5 b</t>
  </si>
  <si>
    <t>XO-6</t>
  </si>
  <si>
    <t>XO-6 b</t>
  </si>
  <si>
    <t>YZ Cet</t>
  </si>
  <si>
    <t>YZ Cet b</t>
  </si>
  <si>
    <t>YZ Cet c</t>
  </si>
  <si>
    <t>YZ Cet d</t>
  </si>
  <si>
    <t>alf Ari</t>
  </si>
  <si>
    <t>alf Ari b</t>
  </si>
  <si>
    <t>alf Tau</t>
  </si>
  <si>
    <t>alf Tau b</t>
  </si>
  <si>
    <t>bet Cnc</t>
  </si>
  <si>
    <t>bet Cnc b</t>
  </si>
  <si>
    <t>bet Pic</t>
  </si>
  <si>
    <t>bet Pic b</t>
  </si>
  <si>
    <t>bet UMi</t>
  </si>
  <si>
    <t>bet UMi b</t>
  </si>
  <si>
    <t>eps CrB</t>
  </si>
  <si>
    <t>eps CrB b</t>
  </si>
  <si>
    <t>eps Eri</t>
  </si>
  <si>
    <t>eps Eri b</t>
  </si>
  <si>
    <t>eps Tau</t>
  </si>
  <si>
    <t>eps Tau b</t>
  </si>
  <si>
    <t>gam 1 Leo</t>
  </si>
  <si>
    <t>gam 1 Leo b</t>
  </si>
  <si>
    <t>gam Cep</t>
  </si>
  <si>
    <t>gam Cep b</t>
  </si>
  <si>
    <t>gam Lib</t>
  </si>
  <si>
    <t>gam Lib b</t>
  </si>
  <si>
    <t>gam Lib c</t>
  </si>
  <si>
    <t>iot Dra</t>
  </si>
  <si>
    <t>iot Dra b</t>
  </si>
  <si>
    <t>kap And</t>
  </si>
  <si>
    <t>kap And b</t>
  </si>
  <si>
    <t>kap CrB</t>
  </si>
  <si>
    <t>kap CrB b</t>
  </si>
  <si>
    <t>mu Leo</t>
  </si>
  <si>
    <t>mu Leo b</t>
  </si>
  <si>
    <t>nu Oph</t>
  </si>
  <si>
    <t>nu Oph b</t>
  </si>
  <si>
    <t>nu Oph c</t>
  </si>
  <si>
    <t>ome Ser</t>
  </si>
  <si>
    <t>ome Ser b</t>
  </si>
  <si>
    <t>omi CrB</t>
  </si>
  <si>
    <t>omi CrB b</t>
  </si>
  <si>
    <t>omi UMa</t>
  </si>
  <si>
    <t>omi UMa b</t>
  </si>
  <si>
    <t>pi Men c</t>
  </si>
  <si>
    <t>psi 1 Dra B</t>
  </si>
  <si>
    <t>psi 1 Dra B b</t>
  </si>
  <si>
    <t>rho CrB</t>
  </si>
  <si>
    <t>rho CrB b</t>
  </si>
  <si>
    <t>rho CrB c</t>
  </si>
  <si>
    <t>tau Boo</t>
  </si>
  <si>
    <t>tau Boo b</t>
  </si>
  <si>
    <t>tau Cet</t>
  </si>
  <si>
    <t>tau Cet e</t>
  </si>
  <si>
    <t>tau Cet f</t>
  </si>
  <si>
    <t>tau Cet g</t>
  </si>
  <si>
    <t>tau Cet h</t>
  </si>
  <si>
    <t>tau Gem</t>
  </si>
  <si>
    <t>tau Gem b</t>
  </si>
  <si>
    <t>ups And</t>
  </si>
  <si>
    <t>ups And b</t>
  </si>
  <si>
    <t>ups And c</t>
  </si>
  <si>
    <t>ups And d</t>
  </si>
  <si>
    <t>xi Aql</t>
  </si>
  <si>
    <t>xi Aql b</t>
  </si>
  <si>
    <t>(All)</t>
  </si>
  <si>
    <t>Row Labels</t>
  </si>
  <si>
    <t>Grand Total</t>
  </si>
  <si>
    <t>Count of pl_name</t>
  </si>
  <si>
    <t>Average of st_age</t>
  </si>
  <si>
    <t>Count of systems</t>
  </si>
  <si>
    <t>Count of planets</t>
  </si>
  <si>
    <t>Orbital Period (days)</t>
  </si>
  <si>
    <t>&lt;= 1 day</t>
  </si>
  <si>
    <t>]1;5] days</t>
  </si>
  <si>
    <t>]5;15] days</t>
  </si>
  <si>
    <t>]15;30] days</t>
  </si>
  <si>
    <t>&gt; 1 year</t>
  </si>
  <si>
    <t>]30;365) days</t>
  </si>
  <si>
    <t>Null Data</t>
  </si>
  <si>
    <t>Stellar age (Gyr)</t>
  </si>
  <si>
    <t>]2.5;5] Gyr</t>
  </si>
  <si>
    <t>&lt;= 2.5 Gyr</t>
  </si>
  <si>
    <t>]5;10] Gyr</t>
  </si>
  <si>
    <t>]10;15] Gyr</t>
  </si>
  <si>
    <t>st dist</t>
  </si>
  <si>
    <t>&gt; 1500</t>
  </si>
  <si>
    <t>&lt;= 250</t>
  </si>
  <si>
    <t xml:space="preserve">]250;500] </t>
  </si>
  <si>
    <t>]500;750]</t>
  </si>
  <si>
    <t>]750;1000]</t>
  </si>
  <si>
    <t>]1250;1500]</t>
  </si>
  <si>
    <t>]1000;1250]</t>
  </si>
  <si>
    <t>(Multiple Items)</t>
  </si>
  <si>
    <t>Total Number of planets and average stellar year</t>
  </si>
  <si>
    <t>Attribution of exoplanets detection to Kepler mission</t>
  </si>
  <si>
    <t>Not attributable to Kepler</t>
  </si>
  <si>
    <t>Attributable to Kepler</t>
  </si>
  <si>
    <t>Attribution of exoplanets detection to the location</t>
  </si>
  <si>
    <t>Attributable to devices located on the Ground</t>
  </si>
  <si>
    <t>Attributable to devices located in Space</t>
  </si>
  <si>
    <t>Filter on location of observation</t>
  </si>
  <si>
    <t>Filter on years of discovery</t>
  </si>
  <si>
    <t>Filter on discovering facility</t>
  </si>
  <si>
    <t>Filter on detection method</t>
  </si>
  <si>
    <t>Filter on Kepler Flag</t>
  </si>
  <si>
    <t>DISCOVERY LOCATION</t>
  </si>
  <si>
    <t>STATS ON OUR SAMPLE</t>
  </si>
  <si>
    <t>ORBITAL PERIOD (DAYS)</t>
  </si>
  <si>
    <t>DETECTIONS METHOD</t>
  </si>
  <si>
    <t>DISCOVERY FACILITY</t>
  </si>
  <si>
    <t>NUMBER (KNOWN) OF PLANETS IN PLANETARY SYSTEM</t>
  </si>
  <si>
    <t>DISTANCE TO THE PLANETARY SYSTEM (PARSECS)</t>
  </si>
  <si>
    <t>STELLAR AGE (IN GIGA YEARS)</t>
  </si>
  <si>
    <t>Manually built chart</t>
  </si>
  <si>
    <t>Others</t>
  </si>
  <si>
    <t>Apply filters here</t>
  </si>
  <si>
    <t>DETECTIONS PER YEAR (NON CUMULATIVE)</t>
  </si>
  <si>
    <t>Cumulative Count</t>
  </si>
  <si>
    <t>DETECTIONS PER YEAR (CUMULATIVE)</t>
  </si>
  <si>
    <t>max(pl_masse)</t>
  </si>
  <si>
    <t>max(pl_rade)</t>
  </si>
  <si>
    <t>max(st_mass)</t>
  </si>
  <si>
    <t>max(st_rad)</t>
  </si>
  <si>
    <t>Timing variations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</si>
</sst>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4"/>
      <color rgb="FF1A1A1A"/>
      <name val="Helvetica Neue"/>
      <family val="2"/>
    </font>
    <font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0" fontId="16" fillId="33" borderId="10" xfId="0" applyFont="1" applyFill="1" applyBorder="1"/>
    <xf numFmtId="0" fontId="16" fillId="33" borderId="11" xfId="0" applyFont="1" applyFill="1" applyBorder="1" applyAlignment="1">
      <alignment horizontal="left"/>
    </xf>
    <xf numFmtId="0" fontId="16" fillId="33" borderId="11" xfId="0" applyNumberFormat="1" applyFont="1" applyFill="1" applyBorder="1"/>
    <xf numFmtId="0" fontId="0" fillId="34" borderId="0" xfId="0" applyFill="1" applyAlignment="1">
      <alignment horizontal="left"/>
    </xf>
    <xf numFmtId="0" fontId="0" fillId="34" borderId="0" xfId="0" applyNumberFormat="1" applyFill="1"/>
    <xf numFmtId="0" fontId="0" fillId="34" borderId="0" xfId="0" applyFill="1"/>
    <xf numFmtId="0" fontId="18" fillId="34" borderId="0" xfId="0" applyFont="1" applyFill="1"/>
    <xf numFmtId="0" fontId="16" fillId="33" borderId="10" xfId="0" applyFont="1" applyFill="1" applyBorder="1" applyAlignment="1">
      <alignment wrapText="1"/>
    </xf>
    <xf numFmtId="164" fontId="0" fillId="0" borderId="0" xfId="0" applyNumberFormat="1"/>
    <xf numFmtId="9" fontId="0" fillId="0" borderId="0" xfId="0" applyNumberFormat="1"/>
    <xf numFmtId="0" fontId="16" fillId="0" borderId="0" xfId="0" applyFont="1"/>
    <xf numFmtId="0" fontId="18" fillId="0" borderId="0" xfId="0" applyFont="1"/>
    <xf numFmtId="0" fontId="0" fillId="0" borderId="13" xfId="0" applyBorder="1"/>
    <xf numFmtId="0" fontId="19" fillId="0" borderId="12" xfId="0" applyFont="1" applyBorder="1"/>
    <xf numFmtId="0" fontId="20" fillId="0" borderId="14" xfId="0" applyFont="1" applyBorder="1"/>
    <xf numFmtId="0" fontId="20" fillId="0" borderId="13" xfId="0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0" borderId="18" xfId="0" applyBorder="1"/>
    <xf numFmtId="0" fontId="0" fillId="0" borderId="0" xfId="0" applyNumberForma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 applyAlignment="1">
      <alignment horizontal="left"/>
    </xf>
    <xf numFmtId="0" fontId="0" fillId="0" borderId="14" xfId="0" applyBorder="1"/>
    <xf numFmtId="0" fontId="19" fillId="0" borderId="0" xfId="0" applyFont="1" applyBorder="1"/>
    <xf numFmtId="0" fontId="20" fillId="0" borderId="0" xfId="0" applyFont="1" applyBorder="1"/>
    <xf numFmtId="0" fontId="16" fillId="0" borderId="0" xfId="0" applyFont="1" applyBorder="1"/>
    <xf numFmtId="0" fontId="21" fillId="0" borderId="15" xfId="0" applyFont="1" applyBorder="1"/>
    <xf numFmtId="0" fontId="17" fillId="0" borderId="0" xfId="0" applyFont="1" applyAlignment="1">
      <alignment horizontal="left"/>
    </xf>
    <xf numFmtId="0" fontId="0" fillId="33" borderId="10" xfId="0" applyFont="1" applyFill="1" applyBorder="1"/>
    <xf numFmtId="43" fontId="1" fillId="35" borderId="10" xfId="42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13" formatCode="0%"/>
    </dxf>
    <dxf>
      <numFmt numFmtId="164" formatCode="0.0%"/>
    </dxf>
    <dxf>
      <numFmt numFmtId="2" formatCode="0.00"/>
    </dxf>
    <dxf>
      <numFmt numFmtId="13" formatCode="0%"/>
    </dxf>
    <dxf>
      <numFmt numFmtId="164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[Testing-file.xlsm]pie chart 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Discovery location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'pie chart 1'!$B$10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D7F-1E4D-A0FC-3A9396E7F3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D7F-1E4D-A0FC-3A9396E7F3B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D7F-1E4D-A0FC-3A9396E7F3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chart 1'!$A$11:$A$14</c:f>
              <c:strCache>
                <c:ptCount val="3"/>
                <c:pt idx="0">
                  <c:v>Ground</c:v>
                </c:pt>
                <c:pt idx="1">
                  <c:v>Multiple Locales</c:v>
                </c:pt>
                <c:pt idx="2">
                  <c:v>Space</c:v>
                </c:pt>
              </c:strCache>
            </c:strRef>
          </c:cat>
          <c:val>
            <c:numRef>
              <c:f>'pie chart 1'!$B$11:$B$14</c:f>
              <c:numCache>
                <c:formatCode>General</c:formatCode>
                <c:ptCount val="3"/>
                <c:pt idx="0">
                  <c:v>1206</c:v>
                </c:pt>
                <c:pt idx="1">
                  <c:v>5</c:v>
                </c:pt>
                <c:pt idx="2">
                  <c:v>2761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9D-1945-9B57-C5A584F1EB2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[Testing-file.xlsm]pie chart 2!PivotTable1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Discovery FACILITY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'pie chart 2'!$B$10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CE3-C24F-8703-FAC5050F80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CE3-C24F-8703-FAC5050F80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CE3-C24F-8703-FAC5050F80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CE3-C24F-8703-FAC5050F80C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CE3-C24F-8703-FAC5050F80C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CE3-C24F-8703-FAC5050F80C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ECE3-C24F-8703-FAC5050F80C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ECE3-C24F-8703-FAC5050F80C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ECE3-C24F-8703-FAC5050F80C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ECE3-C24F-8703-FAC5050F80C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ECE3-C24F-8703-FAC5050F80C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ECE3-C24F-8703-FAC5050F80C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ECE3-C24F-8703-FAC5050F80C8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ECE3-C24F-8703-FAC5050F80C8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ECE3-C24F-8703-FAC5050F80C8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ECE3-C24F-8703-FAC5050F80C8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ECE3-C24F-8703-FAC5050F80C8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ECE3-C24F-8703-FAC5050F80C8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ECE3-C24F-8703-FAC5050F80C8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ECE3-C24F-8703-FAC5050F80C8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ECE3-C24F-8703-FAC5050F80C8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ECE3-C24F-8703-FAC5050F80C8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ECE3-C24F-8703-FAC5050F80C8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ECE3-C24F-8703-FAC5050F80C8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1-ECE3-C24F-8703-FAC5050F80C8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3-ECE3-C24F-8703-FAC5050F80C8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5-ECE3-C24F-8703-FAC5050F80C8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7-ECE3-C24F-8703-FAC5050F80C8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9-ECE3-C24F-8703-FAC5050F80C8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B-ECE3-C24F-8703-FAC5050F80C8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D-ECE3-C24F-8703-FAC5050F80C8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F-ECE3-C24F-8703-FAC5050F80C8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1-ECE3-C24F-8703-FAC5050F80C8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3-ECE3-C24F-8703-FAC5050F80C8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5-ECE3-C24F-8703-FAC5050F80C8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7-ECE3-C24F-8703-FAC5050F80C8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9-ECE3-C24F-8703-FAC5050F80C8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B-ECE3-C24F-8703-FAC5050F80C8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D-ECE3-C24F-8703-FAC5050F80C8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F-ECE3-C24F-8703-FAC5050F80C8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1-ECE3-C24F-8703-FAC5050F80C8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3-ECE3-C24F-8703-FAC5050F80C8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5-ECE3-C24F-8703-FAC5050F80C8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7-ECE3-C24F-8703-FAC5050F80C8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9-ECE3-C24F-8703-FAC5050F80C8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B-ECE3-C24F-8703-FAC5050F80C8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D-ECE3-C24F-8703-FAC5050F80C8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F-ECE3-C24F-8703-FAC5050F80C8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1-ECE3-C24F-8703-FAC5050F80C8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3-ECE3-C24F-8703-FAC5050F80C8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5-ECE3-C24F-8703-FAC5050F80C8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7-ECE3-C24F-8703-FAC5050F80C8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9-ECE3-C24F-8703-FAC5050F80C8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B-ECE3-C24F-8703-FAC5050F80C8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D-ECE3-C24F-8703-FAC5050F80C8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F-ECE3-C24F-8703-FAC5050F80C8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1-ECE3-C24F-8703-FAC5050F80C8}"/>
              </c:ext>
            </c:extLst>
          </c:dPt>
          <c:dLbls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ECE3-C24F-8703-FAC5050F80C8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ECE3-C24F-8703-FAC5050F80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chart 2'!$A$11:$A$68</c:f>
              <c:strCache>
                <c:ptCount val="57"/>
                <c:pt idx="0">
                  <c:v>Kepler</c:v>
                </c:pt>
                <c:pt idx="1">
                  <c:v>K2</c:v>
                </c:pt>
                <c:pt idx="2">
                  <c:v>La Silla Observatory</c:v>
                </c:pt>
                <c:pt idx="3">
                  <c:v>W. M. Keck Observatory</c:v>
                </c:pt>
                <c:pt idx="4">
                  <c:v>Multiple Observatories</c:v>
                </c:pt>
                <c:pt idx="5">
                  <c:v>SuperWASP</c:v>
                </c:pt>
                <c:pt idx="6">
                  <c:v>HATSouth</c:v>
                </c:pt>
                <c:pt idx="7">
                  <c:v>HATNet</c:v>
                </c:pt>
                <c:pt idx="8">
                  <c:v>OGLE</c:v>
                </c:pt>
                <c:pt idx="9">
                  <c:v>Haute-Provence Observatory</c:v>
                </c:pt>
                <c:pt idx="10">
                  <c:v>Anglo-Australian Telescope</c:v>
                </c:pt>
                <c:pt idx="11">
                  <c:v>SuperWASP-South</c:v>
                </c:pt>
                <c:pt idx="12">
                  <c:v>Lick Observatory</c:v>
                </c:pt>
                <c:pt idx="13">
                  <c:v>CoRoT</c:v>
                </c:pt>
                <c:pt idx="14">
                  <c:v>Las Campanas Observatory</c:v>
                </c:pt>
                <c:pt idx="15">
                  <c:v>McDonald Observatory</c:v>
                </c:pt>
                <c:pt idx="16">
                  <c:v>Okayama Astrophysical Observatory</c:v>
                </c:pt>
                <c:pt idx="17">
                  <c:v>MOA</c:v>
                </c:pt>
                <c:pt idx="18">
                  <c:v>Paranal Observatory</c:v>
                </c:pt>
                <c:pt idx="19">
                  <c:v>Roque de los Muchachos Observatory</c:v>
                </c:pt>
                <c:pt idx="20">
                  <c:v>Bohyunsan Optical Astronomical Observatory</c:v>
                </c:pt>
                <c:pt idx="21">
                  <c:v>Transiting Exoplanet Survey Satellite (TESS)</c:v>
                </c:pt>
                <c:pt idx="22">
                  <c:v>KELT</c:v>
                </c:pt>
                <c:pt idx="23">
                  <c:v>Qatar</c:v>
                </c:pt>
                <c:pt idx="24">
                  <c:v>Gemini Observatory</c:v>
                </c:pt>
                <c:pt idx="25">
                  <c:v>Subaru Telescope</c:v>
                </c:pt>
                <c:pt idx="26">
                  <c:v>Thueringer Landessternwarte Tautenburg</c:v>
                </c:pt>
                <c:pt idx="27">
                  <c:v>KMTNet</c:v>
                </c:pt>
                <c:pt idx="28">
                  <c:v>Multiple Facilities</c:v>
                </c:pt>
                <c:pt idx="29">
                  <c:v>Hubble Space Telescope</c:v>
                </c:pt>
                <c:pt idx="30">
                  <c:v>Fred Lawrence Whipple Observatory</c:v>
                </c:pt>
                <c:pt idx="31">
                  <c:v>XO</c:v>
                </c:pt>
                <c:pt idx="32">
                  <c:v>Calar Alto Observatory</c:v>
                </c:pt>
                <c:pt idx="33">
                  <c:v>TrES</c:v>
                </c:pt>
                <c:pt idx="34">
                  <c:v>KELT-North</c:v>
                </c:pt>
                <c:pt idx="35">
                  <c:v>KELT-South</c:v>
                </c:pt>
                <c:pt idx="36">
                  <c:v>Arecibo Observatory</c:v>
                </c:pt>
                <c:pt idx="37">
                  <c:v>Spitzer Space Telescope</c:v>
                </c:pt>
                <c:pt idx="38">
                  <c:v>Palomar Observatory</c:v>
                </c:pt>
                <c:pt idx="39">
                  <c:v>Large Binocular Telescope Observatory</c:v>
                </c:pt>
                <c:pt idx="40">
                  <c:v>Cerro Tololo Inter-American Observatory</c:v>
                </c:pt>
                <c:pt idx="41">
                  <c:v>Parkes Observatory</c:v>
                </c:pt>
                <c:pt idx="42">
                  <c:v>United Kingdom Infrared Telescope</c:v>
                </c:pt>
                <c:pt idx="43">
                  <c:v>Xinglong Station</c:v>
                </c:pt>
                <c:pt idx="44">
                  <c:v>MEarth Project</c:v>
                </c:pt>
                <c:pt idx="45">
                  <c:v>SuperWASP-North</c:v>
                </c:pt>
                <c:pt idx="46">
                  <c:v>WASP-South</c:v>
                </c:pt>
                <c:pt idx="47">
                  <c:v>Infrared Survey Facility</c:v>
                </c:pt>
                <c:pt idx="48">
                  <c:v>Acton Sky Portal Observatory</c:v>
                </c:pt>
                <c:pt idx="49">
                  <c:v>Teide Observatory</c:v>
                </c:pt>
                <c:pt idx="50">
                  <c:v>Leoncito Astronomical Complex</c:v>
                </c:pt>
                <c:pt idx="51">
                  <c:v>Yunnan Astronomical Observatory</c:v>
                </c:pt>
                <c:pt idx="52">
                  <c:v>Apache Point Observatory</c:v>
                </c:pt>
                <c:pt idx="53">
                  <c:v>Kitt Peak National Observatory</c:v>
                </c:pt>
                <c:pt idx="54">
                  <c:v>European Southern Observatory</c:v>
                </c:pt>
                <c:pt idx="55">
                  <c:v>Oak Ridge Observatory</c:v>
                </c:pt>
                <c:pt idx="56">
                  <c:v>Mauna Kea Observatory</c:v>
                </c:pt>
              </c:strCache>
            </c:strRef>
          </c:cat>
          <c:val>
            <c:numRef>
              <c:f>'pie chart 2'!$B$11:$B$68</c:f>
              <c:numCache>
                <c:formatCode>General</c:formatCode>
                <c:ptCount val="57"/>
                <c:pt idx="0">
                  <c:v>2343</c:v>
                </c:pt>
                <c:pt idx="1">
                  <c:v>362</c:v>
                </c:pt>
                <c:pt idx="2">
                  <c:v>232</c:v>
                </c:pt>
                <c:pt idx="3">
                  <c:v>171</c:v>
                </c:pt>
                <c:pt idx="4">
                  <c:v>116</c:v>
                </c:pt>
                <c:pt idx="5">
                  <c:v>110</c:v>
                </c:pt>
                <c:pt idx="6">
                  <c:v>57</c:v>
                </c:pt>
                <c:pt idx="7">
                  <c:v>57</c:v>
                </c:pt>
                <c:pt idx="8">
                  <c:v>50</c:v>
                </c:pt>
                <c:pt idx="9">
                  <c:v>45</c:v>
                </c:pt>
                <c:pt idx="10">
                  <c:v>36</c:v>
                </c:pt>
                <c:pt idx="11">
                  <c:v>32</c:v>
                </c:pt>
                <c:pt idx="12">
                  <c:v>32</c:v>
                </c:pt>
                <c:pt idx="13">
                  <c:v>31</c:v>
                </c:pt>
                <c:pt idx="14">
                  <c:v>28</c:v>
                </c:pt>
                <c:pt idx="15">
                  <c:v>28</c:v>
                </c:pt>
                <c:pt idx="16">
                  <c:v>23</c:v>
                </c:pt>
                <c:pt idx="17">
                  <c:v>23</c:v>
                </c:pt>
                <c:pt idx="18">
                  <c:v>19</c:v>
                </c:pt>
                <c:pt idx="19">
                  <c:v>17</c:v>
                </c:pt>
                <c:pt idx="20">
                  <c:v>16</c:v>
                </c:pt>
                <c:pt idx="21">
                  <c:v>15</c:v>
                </c:pt>
                <c:pt idx="22">
                  <c:v>10</c:v>
                </c:pt>
                <c:pt idx="23">
                  <c:v>10</c:v>
                </c:pt>
                <c:pt idx="24">
                  <c:v>9</c:v>
                </c:pt>
                <c:pt idx="25">
                  <c:v>8</c:v>
                </c:pt>
                <c:pt idx="26">
                  <c:v>8</c:v>
                </c:pt>
                <c:pt idx="27">
                  <c:v>7</c:v>
                </c:pt>
                <c:pt idx="28">
                  <c:v>7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4</c:v>
                </c:pt>
                <c:pt idx="36">
                  <c:v>3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2BF-0C40-B0A0-E6E66BC89AD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384474667939249"/>
          <c:y val="0.24624562554680665"/>
          <c:w val="0.36100373816909248"/>
          <c:h val="0.563480971128608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DISCOVERY</a:t>
            </a:r>
            <a:r>
              <a:rPr lang="en-US" baseline="0"/>
              <a:t> FACILITY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DISCOVERY LOCATION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A66-994B-BD5D-A9284EFE8B3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A66-994B-BD5D-A9284EFE8B3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A66-994B-BD5D-A9284EFE8B3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A66-994B-BD5D-A9284EFE8B3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A66-994B-BD5D-A9284EFE8B3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8A66-994B-BD5D-A9284EFE8B3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8A66-994B-BD5D-A9284EFE8B3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8A66-994B-BD5D-A9284EFE8B3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8A66-994B-BD5D-A9284EFE8B3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chart 2'!$J$6:$J$14</c:f>
              <c:strCache>
                <c:ptCount val="9"/>
                <c:pt idx="0">
                  <c:v>Kepler</c:v>
                </c:pt>
                <c:pt idx="1">
                  <c:v>Others</c:v>
                </c:pt>
                <c:pt idx="2">
                  <c:v>K2</c:v>
                </c:pt>
                <c:pt idx="3">
                  <c:v>La Silla Observatory</c:v>
                </c:pt>
                <c:pt idx="4">
                  <c:v>W. M. Keck Observatory</c:v>
                </c:pt>
                <c:pt idx="5">
                  <c:v>Multiple Observatories</c:v>
                </c:pt>
                <c:pt idx="6">
                  <c:v>SuperWASP</c:v>
                </c:pt>
                <c:pt idx="7">
                  <c:v>HATNet</c:v>
                </c:pt>
                <c:pt idx="8">
                  <c:v>HATSouth</c:v>
                </c:pt>
              </c:strCache>
            </c:strRef>
          </c:cat>
          <c:val>
            <c:numRef>
              <c:f>'pie chart 2'!$K$6:$K$14</c:f>
              <c:numCache>
                <c:formatCode>General</c:formatCode>
                <c:ptCount val="9"/>
                <c:pt idx="0">
                  <c:v>2343</c:v>
                </c:pt>
                <c:pt idx="1">
                  <c:v>524</c:v>
                </c:pt>
                <c:pt idx="2">
                  <c:v>362</c:v>
                </c:pt>
                <c:pt idx="3">
                  <c:v>232</c:v>
                </c:pt>
                <c:pt idx="4">
                  <c:v>171</c:v>
                </c:pt>
                <c:pt idx="5">
                  <c:v>116</c:v>
                </c:pt>
                <c:pt idx="6">
                  <c:v>110</c:v>
                </c:pt>
                <c:pt idx="7">
                  <c:v>57</c:v>
                </c:pt>
                <c:pt idx="8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C7-774A-BFBB-20245B07647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711624115167415"/>
          <c:y val="0.25049504228638092"/>
          <c:w val="0.35975244571701259"/>
          <c:h val="0.605907699037620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[Testing-file.xlsm]row chart 3!PivotTable1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Detection</a:t>
            </a:r>
            <a:r>
              <a:rPr lang="en-US" baseline="0"/>
              <a:t> method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</c:pivotFmt>
      <c:pivotFmt>
        <c:idx val="8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</c:pivotFmt>
      <c:pivotFmt>
        <c:idx val="11"/>
      </c:pivotFmt>
      <c:pivotFmt>
        <c:idx val="12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</c:pivotFmt>
      <c:pivotFmt>
        <c:idx val="115"/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</c:pivotFmt>
      <c:pivotFmt>
        <c:idx val="121"/>
      </c:pivotFmt>
      <c:pivotFmt>
        <c:idx val="122"/>
      </c:pivotFmt>
      <c:pivotFmt>
        <c:idx val="123"/>
      </c:pivotFmt>
      <c:pivotFmt>
        <c:idx val="124"/>
      </c:pivotFmt>
      <c:pivotFmt>
        <c:idx val="125"/>
      </c:pivotFmt>
      <c:pivotFmt>
        <c:idx val="126"/>
      </c:pivotFmt>
      <c:pivotFmt>
        <c:idx val="127"/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'row chart 3'!$B$10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'row chart 3'!$A$11:$A$21</c:f>
              <c:strCache>
                <c:ptCount val="10"/>
                <c:pt idx="0">
                  <c:v>Astrometry</c:v>
                </c:pt>
                <c:pt idx="1">
                  <c:v>Pulsation Timing Variations</c:v>
                </c:pt>
                <c:pt idx="2">
                  <c:v>Orbital Brightness Modulation</c:v>
                </c:pt>
                <c:pt idx="3">
                  <c:v>Pulsar Timing</c:v>
                </c:pt>
                <c:pt idx="4">
                  <c:v>Eclipse Timing Variations</c:v>
                </c:pt>
                <c:pt idx="5">
                  <c:v>Transit Timing Variations</c:v>
                </c:pt>
                <c:pt idx="6">
                  <c:v>Imaging</c:v>
                </c:pt>
                <c:pt idx="7">
                  <c:v>Microlensing</c:v>
                </c:pt>
                <c:pt idx="8">
                  <c:v>Radial Velocity</c:v>
                </c:pt>
                <c:pt idx="9">
                  <c:v>Transit</c:v>
                </c:pt>
              </c:strCache>
            </c:strRef>
          </c:cat>
          <c:val>
            <c:numRef>
              <c:f>'row chart 3'!$B$11:$B$21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9</c:v>
                </c:pt>
                <c:pt idx="5">
                  <c:v>16</c:v>
                </c:pt>
                <c:pt idx="6">
                  <c:v>45</c:v>
                </c:pt>
                <c:pt idx="7">
                  <c:v>75</c:v>
                </c:pt>
                <c:pt idx="8">
                  <c:v>751</c:v>
                </c:pt>
                <c:pt idx="9">
                  <c:v>3061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4B-8F43-BDAE-BE400B01E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52104783"/>
        <c:axId val="1645123263"/>
      </c:barChart>
      <c:catAx>
        <c:axId val="16521047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123263"/>
        <c:crosses val="autoZero"/>
        <c:auto val="1"/>
        <c:lblAlgn val="ctr"/>
        <c:lblOffset val="100"/>
        <c:noMultiLvlLbl val="0"/>
      </c:catAx>
      <c:valAx>
        <c:axId val="164512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104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[Testing-file.xlsm]bar chart 4.1!PivotTable1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Detections per year (non cumulative)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</c:pivotFmt>
      <c:pivotFmt>
        <c:idx val="8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</c:pivotFmt>
      <c:pivotFmt>
        <c:idx val="11"/>
      </c:pivotFmt>
      <c:pivotFmt>
        <c:idx val="12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</c:pivotFmt>
      <c:pivotFmt>
        <c:idx val="115"/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</c:pivotFmt>
      <c:pivotFmt>
        <c:idx val="121"/>
      </c:pivotFmt>
      <c:pivotFmt>
        <c:idx val="122"/>
      </c:pivotFmt>
      <c:pivotFmt>
        <c:idx val="123"/>
      </c:pivotFmt>
      <c:pivotFmt>
        <c:idx val="124"/>
      </c:pivotFmt>
      <c:pivotFmt>
        <c:idx val="125"/>
      </c:pivotFmt>
      <c:pivotFmt>
        <c:idx val="126"/>
      </c:pivotFmt>
      <c:pivotFmt>
        <c:idx val="127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'bar chart 4.1'!$B$10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'bar chart 4.1'!$A$11:$A$39</c:f>
              <c:strCache>
                <c:ptCount val="28"/>
                <c:pt idx="0">
                  <c:v>1989</c:v>
                </c:pt>
                <c:pt idx="1">
                  <c:v>1992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</c:strCache>
            </c:strRef>
          </c:cat>
          <c:val>
            <c:numRef>
              <c:f>'bar chart 4.1'!$B$11:$B$39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6</c:v>
                </c:pt>
                <c:pt idx="5">
                  <c:v>1</c:v>
                </c:pt>
                <c:pt idx="6">
                  <c:v>6</c:v>
                </c:pt>
                <c:pt idx="7">
                  <c:v>13</c:v>
                </c:pt>
                <c:pt idx="8">
                  <c:v>16</c:v>
                </c:pt>
                <c:pt idx="9">
                  <c:v>12</c:v>
                </c:pt>
                <c:pt idx="10">
                  <c:v>29</c:v>
                </c:pt>
                <c:pt idx="11">
                  <c:v>22</c:v>
                </c:pt>
                <c:pt idx="12">
                  <c:v>27</c:v>
                </c:pt>
                <c:pt idx="13">
                  <c:v>36</c:v>
                </c:pt>
                <c:pt idx="14">
                  <c:v>31</c:v>
                </c:pt>
                <c:pt idx="15">
                  <c:v>52</c:v>
                </c:pt>
                <c:pt idx="16">
                  <c:v>67</c:v>
                </c:pt>
                <c:pt idx="17">
                  <c:v>95</c:v>
                </c:pt>
                <c:pt idx="18">
                  <c:v>97</c:v>
                </c:pt>
                <c:pt idx="19">
                  <c:v>136</c:v>
                </c:pt>
                <c:pt idx="20">
                  <c:v>138</c:v>
                </c:pt>
                <c:pt idx="21">
                  <c:v>124</c:v>
                </c:pt>
                <c:pt idx="22">
                  <c:v>860</c:v>
                </c:pt>
                <c:pt idx="23">
                  <c:v>157</c:v>
                </c:pt>
                <c:pt idx="24">
                  <c:v>1504</c:v>
                </c:pt>
                <c:pt idx="25">
                  <c:v>149</c:v>
                </c:pt>
                <c:pt idx="26">
                  <c:v>304</c:v>
                </c:pt>
                <c:pt idx="27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FF3E-CE46-AC41-1C49DDC64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2104783"/>
        <c:axId val="1645123263"/>
      </c:barChart>
      <c:catAx>
        <c:axId val="1652104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123263"/>
        <c:crosses val="autoZero"/>
        <c:auto val="1"/>
        <c:lblAlgn val="ctr"/>
        <c:lblOffset val="100"/>
        <c:noMultiLvlLbl val="0"/>
      </c:catAx>
      <c:valAx>
        <c:axId val="164512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104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Detections per year (cumulative)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'bar chart 4.2'!$D$11:$D$38</c:f>
              <c:numCache>
                <c:formatCode>General</c:formatCode>
                <c:ptCount val="28"/>
                <c:pt idx="0">
                  <c:v>1989</c:v>
                </c:pt>
                <c:pt idx="1">
                  <c:v>1992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</c:numCache>
            </c:numRef>
          </c:cat>
          <c:val>
            <c:numRef>
              <c:f>'bar chart 4.2'!$C$11:$C$38</c:f>
              <c:numCache>
                <c:formatCode>General</c:formatCode>
                <c:ptCount val="28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11</c:v>
                </c:pt>
                <c:pt idx="5">
                  <c:v>12</c:v>
                </c:pt>
                <c:pt idx="6">
                  <c:v>18</c:v>
                </c:pt>
                <c:pt idx="7">
                  <c:v>31</c:v>
                </c:pt>
                <c:pt idx="8">
                  <c:v>47</c:v>
                </c:pt>
                <c:pt idx="9">
                  <c:v>59</c:v>
                </c:pt>
                <c:pt idx="10">
                  <c:v>88</c:v>
                </c:pt>
                <c:pt idx="11">
                  <c:v>110</c:v>
                </c:pt>
                <c:pt idx="12">
                  <c:v>137</c:v>
                </c:pt>
                <c:pt idx="13">
                  <c:v>173</c:v>
                </c:pt>
                <c:pt idx="14">
                  <c:v>204</c:v>
                </c:pt>
                <c:pt idx="15">
                  <c:v>256</c:v>
                </c:pt>
                <c:pt idx="16">
                  <c:v>323</c:v>
                </c:pt>
                <c:pt idx="17">
                  <c:v>418</c:v>
                </c:pt>
                <c:pt idx="18">
                  <c:v>515</c:v>
                </c:pt>
                <c:pt idx="19">
                  <c:v>651</c:v>
                </c:pt>
                <c:pt idx="20">
                  <c:v>789</c:v>
                </c:pt>
                <c:pt idx="21">
                  <c:v>913</c:v>
                </c:pt>
                <c:pt idx="22">
                  <c:v>1773</c:v>
                </c:pt>
                <c:pt idx="23">
                  <c:v>1930</c:v>
                </c:pt>
                <c:pt idx="24">
                  <c:v>3434</c:v>
                </c:pt>
                <c:pt idx="25">
                  <c:v>3583</c:v>
                </c:pt>
                <c:pt idx="26">
                  <c:v>3887</c:v>
                </c:pt>
                <c:pt idx="27">
                  <c:v>3972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E8-D245-A82A-6CBC9A03F1B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60648592"/>
        <c:axId val="1777340992"/>
      </c:barChart>
      <c:catAx>
        <c:axId val="166064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7340992"/>
        <c:crosses val="autoZero"/>
        <c:auto val="1"/>
        <c:lblAlgn val="ctr"/>
        <c:lblOffset val="100"/>
        <c:noMultiLvlLbl val="0"/>
      </c:catAx>
      <c:valAx>
        <c:axId val="177734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64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Orbital period (in days)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'bar chart 5'!$B$5:$B$10</c:f>
              <c:strCache>
                <c:ptCount val="6"/>
                <c:pt idx="0">
                  <c:v>&lt;= 1 day</c:v>
                </c:pt>
                <c:pt idx="1">
                  <c:v>]1;5] days</c:v>
                </c:pt>
                <c:pt idx="2">
                  <c:v>]5;15] days</c:v>
                </c:pt>
                <c:pt idx="3">
                  <c:v>]15;30] days</c:v>
                </c:pt>
                <c:pt idx="4">
                  <c:v>]30;365) days</c:v>
                </c:pt>
                <c:pt idx="5">
                  <c:v>&gt; 1 year</c:v>
                </c:pt>
              </c:strCache>
            </c:strRef>
          </c:cat>
          <c:val>
            <c:numRef>
              <c:f>'bar chart 5'!$C$5:$C$10</c:f>
              <c:numCache>
                <c:formatCode>General</c:formatCode>
                <c:ptCount val="6"/>
                <c:pt idx="0">
                  <c:v>90</c:v>
                </c:pt>
                <c:pt idx="1">
                  <c:v>968</c:v>
                </c:pt>
                <c:pt idx="2">
                  <c:v>1106</c:v>
                </c:pt>
                <c:pt idx="3">
                  <c:v>542</c:v>
                </c:pt>
                <c:pt idx="4">
                  <c:v>737</c:v>
                </c:pt>
                <c:pt idx="5">
                  <c:v>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55-9146-BD3C-B965A2C9F7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0310768"/>
        <c:axId val="1583684592"/>
      </c:barChart>
      <c:catAx>
        <c:axId val="158031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684592"/>
        <c:crosses val="autoZero"/>
        <c:auto val="1"/>
        <c:lblAlgn val="ctr"/>
        <c:lblOffset val="100"/>
        <c:noMultiLvlLbl val="0"/>
      </c:catAx>
      <c:valAx>
        <c:axId val="158368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31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[Testing-file.xlsm]line chart 6!PivotTable1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know planet in planetary 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</c:pivotFmt>
      <c:pivotFmt>
        <c:idx val="8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</c:pivotFmt>
      <c:pivotFmt>
        <c:idx val="11"/>
      </c:pivotFmt>
      <c:pivotFmt>
        <c:idx val="12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</c:pivotFmt>
      <c:pivotFmt>
        <c:idx val="115"/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</c:pivotFmt>
      <c:pivotFmt>
        <c:idx val="121"/>
      </c:pivotFmt>
      <c:pivotFmt>
        <c:idx val="122"/>
      </c:pivotFmt>
      <c:pivotFmt>
        <c:idx val="123"/>
      </c:pivotFmt>
      <c:pivotFmt>
        <c:idx val="124"/>
      </c:pivotFmt>
      <c:pivotFmt>
        <c:idx val="125"/>
      </c:pivotFmt>
      <c:pivotFmt>
        <c:idx val="126"/>
      </c:pivotFmt>
      <c:pivotFmt>
        <c:idx val="127"/>
      </c:pivotFmt>
      <c:pivotFmt>
        <c:idx val="1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'line chart 6'!$B$9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'line chart 6'!$A$10:$A$18</c:f>
              <c:strCach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strCache>
            </c:strRef>
          </c:cat>
          <c:val>
            <c:numRef>
              <c:f>'line chart 6'!$B$10:$B$18</c:f>
              <c:numCache>
                <c:formatCode>General</c:formatCode>
                <c:ptCount val="8"/>
                <c:pt idx="0">
                  <c:v>2298</c:v>
                </c:pt>
                <c:pt idx="1">
                  <c:v>886</c:v>
                </c:pt>
                <c:pt idx="2">
                  <c:v>417</c:v>
                </c:pt>
                <c:pt idx="3">
                  <c:v>220</c:v>
                </c:pt>
                <c:pt idx="4">
                  <c:v>100</c:v>
                </c:pt>
                <c:pt idx="5">
                  <c:v>36</c:v>
                </c:pt>
                <c:pt idx="6">
                  <c:v>7</c:v>
                </c:pt>
                <c:pt idx="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1E4D-B856-61F81F433F5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652104783"/>
        <c:axId val="1645123263"/>
      </c:lineChart>
      <c:catAx>
        <c:axId val="1652104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123263"/>
        <c:crosses val="autoZero"/>
        <c:auto val="1"/>
        <c:lblAlgn val="ctr"/>
        <c:lblOffset val="100"/>
        <c:noMultiLvlLbl val="0"/>
      </c:catAx>
      <c:valAx>
        <c:axId val="16451232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104783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planetary system with associated number of planets discovered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'line chart 6'!$B$24:$B$31</c:f>
              <c:numCache>
                <c:formatCode>General</c:formatCode>
                <c:ptCount val="8"/>
                <c:pt idx="0">
                  <c:v>2298</c:v>
                </c:pt>
                <c:pt idx="1">
                  <c:v>443</c:v>
                </c:pt>
                <c:pt idx="2">
                  <c:v>139</c:v>
                </c:pt>
                <c:pt idx="3">
                  <c:v>55</c:v>
                </c:pt>
                <c:pt idx="4">
                  <c:v>20</c:v>
                </c:pt>
                <c:pt idx="5">
                  <c:v>6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A7-B54F-B5C6-14401559060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580366448"/>
        <c:axId val="1580340064"/>
      </c:lineChart>
      <c:catAx>
        <c:axId val="1580366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340064"/>
        <c:crosses val="autoZero"/>
        <c:auto val="1"/>
        <c:lblAlgn val="ctr"/>
        <c:lblOffset val="100"/>
        <c:noMultiLvlLbl val="0"/>
      </c:catAx>
      <c:valAx>
        <c:axId val="1580340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36644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 to the planetary 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'bar chart 7'!$B$4:$B$10</c:f>
              <c:strCache>
                <c:ptCount val="7"/>
                <c:pt idx="0">
                  <c:v>&lt;= 250</c:v>
                </c:pt>
                <c:pt idx="1">
                  <c:v>]250;500] </c:v>
                </c:pt>
                <c:pt idx="2">
                  <c:v>]500;750]</c:v>
                </c:pt>
                <c:pt idx="3">
                  <c:v>]750;1000]</c:v>
                </c:pt>
                <c:pt idx="4">
                  <c:v>]1000;1250]</c:v>
                </c:pt>
                <c:pt idx="5">
                  <c:v>]1250;1500]</c:v>
                </c:pt>
                <c:pt idx="6">
                  <c:v>&gt; 1500</c:v>
                </c:pt>
              </c:strCache>
            </c:strRef>
          </c:cat>
          <c:val>
            <c:numRef>
              <c:f>'bar chart 7'!$C$4:$C$10</c:f>
              <c:numCache>
                <c:formatCode>General</c:formatCode>
                <c:ptCount val="7"/>
                <c:pt idx="0">
                  <c:v>1273</c:v>
                </c:pt>
                <c:pt idx="1">
                  <c:v>756</c:v>
                </c:pt>
                <c:pt idx="2">
                  <c:v>665</c:v>
                </c:pt>
                <c:pt idx="3">
                  <c:v>590</c:v>
                </c:pt>
                <c:pt idx="4">
                  <c:v>355</c:v>
                </c:pt>
                <c:pt idx="5">
                  <c:v>178</c:v>
                </c:pt>
                <c:pt idx="6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10-4F4F-8313-1B84577AAD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0310768"/>
        <c:axId val="1583684592"/>
      </c:barChart>
      <c:catAx>
        <c:axId val="158031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684592"/>
        <c:crosses val="autoZero"/>
        <c:auto val="1"/>
        <c:lblAlgn val="ctr"/>
        <c:lblOffset val="100"/>
        <c:noMultiLvlLbl val="0"/>
      </c:catAx>
      <c:valAx>
        <c:axId val="158368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31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Stellar</a:t>
            </a:r>
            <a:r>
              <a:rPr lang="en-US" baseline="0"/>
              <a:t> 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'bar chart 8'!$B$4:$B$7</c:f>
              <c:strCache>
                <c:ptCount val="4"/>
                <c:pt idx="0">
                  <c:v>&lt;= 2.5 Gyr</c:v>
                </c:pt>
                <c:pt idx="1">
                  <c:v>]2.5;5] Gyr</c:v>
                </c:pt>
                <c:pt idx="2">
                  <c:v>]5;10] Gyr</c:v>
                </c:pt>
                <c:pt idx="3">
                  <c:v>]10;15] Gyr</c:v>
                </c:pt>
              </c:strCache>
            </c:strRef>
          </c:cat>
          <c:val>
            <c:numRef>
              <c:f>'bar chart 8'!$C$4:$C$7</c:f>
              <c:numCache>
                <c:formatCode>General</c:formatCode>
                <c:ptCount val="4"/>
                <c:pt idx="0">
                  <c:v>344</c:v>
                </c:pt>
                <c:pt idx="1">
                  <c:v>1238</c:v>
                </c:pt>
                <c:pt idx="2">
                  <c:v>338</c:v>
                </c:pt>
                <c:pt idx="3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3D-1749-A1DE-0F32B9F21B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0310768"/>
        <c:axId val="1583684592"/>
      </c:barChart>
      <c:catAx>
        <c:axId val="158031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684592"/>
        <c:crosses val="autoZero"/>
        <c:auto val="1"/>
        <c:lblAlgn val="ctr"/>
        <c:lblOffset val="100"/>
        <c:noMultiLvlLbl val="0"/>
      </c:catAx>
      <c:valAx>
        <c:axId val="158368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31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Planet Mass vs Planet Radius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Planet mass vs Planet radius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7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BE-E34C-B0C8-4BD410B3ECCD}"/>
              </c:ext>
            </c:extLst>
          </c:dPt>
          <c:dPt>
            <c:idx val="20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11BE-E34C-B0C8-4BD410B3ECCD}"/>
              </c:ext>
            </c:extLst>
          </c:dPt>
          <c:xVal>
            <c:numRef>
              <c:f>'static-exo'!$L$2:$L$3973</c:f>
              <c:numCache>
                <c:formatCode>General</c:formatCode>
                <c:ptCount val="3972"/>
                <c:pt idx="6">
                  <c:v>3000</c:v>
                </c:pt>
                <c:pt idx="10">
                  <c:v>7786.5</c:v>
                </c:pt>
                <c:pt idx="11">
                  <c:v>4417.8370000000004</c:v>
                </c:pt>
                <c:pt idx="12">
                  <c:v>2383.6</c:v>
                </c:pt>
                <c:pt idx="13">
                  <c:v>1271</c:v>
                </c:pt>
                <c:pt idx="14">
                  <c:v>603.87699999999995</c:v>
                </c:pt>
                <c:pt idx="15">
                  <c:v>6657.48</c:v>
                </c:pt>
                <c:pt idx="16">
                  <c:v>3972.875</c:v>
                </c:pt>
                <c:pt idx="23">
                  <c:v>635.66</c:v>
                </c:pt>
                <c:pt idx="25">
                  <c:v>263.9785</c:v>
                </c:pt>
                <c:pt idx="26">
                  <c:v>54.473799999999997</c:v>
                </c:pt>
                <c:pt idx="27">
                  <c:v>1232.4929999999999</c:v>
                </c:pt>
                <c:pt idx="28">
                  <c:v>8.08</c:v>
                </c:pt>
                <c:pt idx="29">
                  <c:v>44.811999999999998</c:v>
                </c:pt>
                <c:pt idx="40">
                  <c:v>4290.5</c:v>
                </c:pt>
                <c:pt idx="48">
                  <c:v>22.248100000000001</c:v>
                </c:pt>
                <c:pt idx="60">
                  <c:v>3337.1</c:v>
                </c:pt>
                <c:pt idx="61">
                  <c:v>3994.4859999999999</c:v>
                </c:pt>
                <c:pt idx="62">
                  <c:v>5403</c:v>
                </c:pt>
                <c:pt idx="63">
                  <c:v>327.35000000000002</c:v>
                </c:pt>
                <c:pt idx="64">
                  <c:v>874</c:v>
                </c:pt>
                <c:pt idx="65">
                  <c:v>740.51</c:v>
                </c:pt>
                <c:pt idx="66">
                  <c:v>291.43799999999999</c:v>
                </c:pt>
                <c:pt idx="67">
                  <c:v>415.70400000000001</c:v>
                </c:pt>
                <c:pt idx="68">
                  <c:v>2415.4</c:v>
                </c:pt>
                <c:pt idx="69">
                  <c:v>170.03200000000001</c:v>
                </c:pt>
                <c:pt idx="70">
                  <c:v>772.29</c:v>
                </c:pt>
                <c:pt idx="71">
                  <c:v>1102.82</c:v>
                </c:pt>
                <c:pt idx="72">
                  <c:v>352.78</c:v>
                </c:pt>
                <c:pt idx="73">
                  <c:v>1102.82</c:v>
                </c:pt>
                <c:pt idx="74">
                  <c:v>1366.6690000000001</c:v>
                </c:pt>
                <c:pt idx="76">
                  <c:v>718.29579999999999</c:v>
                </c:pt>
                <c:pt idx="77">
                  <c:v>12.2</c:v>
                </c:pt>
                <c:pt idx="78">
                  <c:v>889.9</c:v>
                </c:pt>
                <c:pt idx="79">
                  <c:v>5.7</c:v>
                </c:pt>
                <c:pt idx="80">
                  <c:v>28</c:v>
                </c:pt>
                <c:pt idx="81">
                  <c:v>85.81</c:v>
                </c:pt>
                <c:pt idx="82">
                  <c:v>165.26</c:v>
                </c:pt>
                <c:pt idx="83">
                  <c:v>3302.11</c:v>
                </c:pt>
                <c:pt idx="84">
                  <c:v>153.82972000000001</c:v>
                </c:pt>
                <c:pt idx="85">
                  <c:v>270.15550000000002</c:v>
                </c:pt>
                <c:pt idx="86">
                  <c:v>6883.91</c:v>
                </c:pt>
                <c:pt idx="87">
                  <c:v>228.83</c:v>
                </c:pt>
                <c:pt idx="88">
                  <c:v>148.41999999999999</c:v>
                </c:pt>
                <c:pt idx="89">
                  <c:v>940.74</c:v>
                </c:pt>
                <c:pt idx="90">
                  <c:v>3.1783000000000001</c:v>
                </c:pt>
                <c:pt idx="91">
                  <c:v>8.4</c:v>
                </c:pt>
                <c:pt idx="92">
                  <c:v>69.92</c:v>
                </c:pt>
                <c:pt idx="93">
                  <c:v>266.97719999999998</c:v>
                </c:pt>
                <c:pt idx="94">
                  <c:v>47.674500000000002</c:v>
                </c:pt>
                <c:pt idx="95">
                  <c:v>9057.77</c:v>
                </c:pt>
                <c:pt idx="96">
                  <c:v>3496</c:v>
                </c:pt>
                <c:pt idx="102">
                  <c:v>953.49</c:v>
                </c:pt>
                <c:pt idx="103">
                  <c:v>5085.28</c:v>
                </c:pt>
                <c:pt idx="105">
                  <c:v>1.66</c:v>
                </c:pt>
                <c:pt idx="109">
                  <c:v>6.2612500000000004</c:v>
                </c:pt>
                <c:pt idx="111">
                  <c:v>22.7</c:v>
                </c:pt>
                <c:pt idx="122">
                  <c:v>794.5</c:v>
                </c:pt>
                <c:pt idx="132">
                  <c:v>13.9</c:v>
                </c:pt>
                <c:pt idx="133">
                  <c:v>8.4</c:v>
                </c:pt>
                <c:pt idx="141">
                  <c:v>22.1</c:v>
                </c:pt>
                <c:pt idx="142">
                  <c:v>1271.3</c:v>
                </c:pt>
                <c:pt idx="165">
                  <c:v>723.22349999999994</c:v>
                </c:pt>
                <c:pt idx="166">
                  <c:v>226.9846</c:v>
                </c:pt>
                <c:pt idx="167">
                  <c:v>6.83</c:v>
                </c:pt>
                <c:pt idx="168">
                  <c:v>14.6</c:v>
                </c:pt>
                <c:pt idx="170">
                  <c:v>3.42</c:v>
                </c:pt>
                <c:pt idx="171">
                  <c:v>2.42</c:v>
                </c:pt>
                <c:pt idx="172">
                  <c:v>5.2</c:v>
                </c:pt>
                <c:pt idx="173">
                  <c:v>6356</c:v>
                </c:pt>
                <c:pt idx="174">
                  <c:v>5000</c:v>
                </c:pt>
                <c:pt idx="175">
                  <c:v>3591.3</c:v>
                </c:pt>
                <c:pt idx="178">
                  <c:v>166.86075</c:v>
                </c:pt>
                <c:pt idx="181">
                  <c:v>67.058999999999997</c:v>
                </c:pt>
                <c:pt idx="182">
                  <c:v>270.46199999999999</c:v>
                </c:pt>
                <c:pt idx="184">
                  <c:v>1093.3352</c:v>
                </c:pt>
                <c:pt idx="185">
                  <c:v>616.59019999999998</c:v>
                </c:pt>
                <c:pt idx="186">
                  <c:v>1332.605</c:v>
                </c:pt>
                <c:pt idx="187">
                  <c:v>184.34139999999999</c:v>
                </c:pt>
                <c:pt idx="189">
                  <c:v>62.61</c:v>
                </c:pt>
                <c:pt idx="190">
                  <c:v>92.802000000000007</c:v>
                </c:pt>
                <c:pt idx="192">
                  <c:v>2302.8989999999999</c:v>
                </c:pt>
                <c:pt idx="193">
                  <c:v>1547.8321000000001</c:v>
                </c:pt>
                <c:pt idx="194">
                  <c:v>785.04010000000005</c:v>
                </c:pt>
                <c:pt idx="195">
                  <c:v>425.8922</c:v>
                </c:pt>
                <c:pt idx="196">
                  <c:v>238.3725</c:v>
                </c:pt>
                <c:pt idx="197">
                  <c:v>180.84527</c:v>
                </c:pt>
                <c:pt idx="198">
                  <c:v>22.248100000000001</c:v>
                </c:pt>
                <c:pt idx="199">
                  <c:v>197.05</c:v>
                </c:pt>
                <c:pt idx="200">
                  <c:v>198.953</c:v>
                </c:pt>
                <c:pt idx="201">
                  <c:v>279.69040000000001</c:v>
                </c:pt>
                <c:pt idx="202">
                  <c:v>206.58949999999999</c:v>
                </c:pt>
                <c:pt idx="203">
                  <c:v>263.7989</c:v>
                </c:pt>
                <c:pt idx="204">
                  <c:v>721.47410000000002</c:v>
                </c:pt>
                <c:pt idx="205">
                  <c:v>263.7989</c:v>
                </c:pt>
                <c:pt idx="206">
                  <c:v>292.40359999999998</c:v>
                </c:pt>
                <c:pt idx="207">
                  <c:v>2227.9883</c:v>
                </c:pt>
                <c:pt idx="208">
                  <c:v>2390.0816</c:v>
                </c:pt>
                <c:pt idx="209">
                  <c:v>486.2799</c:v>
                </c:pt>
                <c:pt idx="210">
                  <c:v>371.52800000000002</c:v>
                </c:pt>
                <c:pt idx="211">
                  <c:v>84.856999999999999</c:v>
                </c:pt>
                <c:pt idx="212">
                  <c:v>190.37200000000001</c:v>
                </c:pt>
                <c:pt idx="213">
                  <c:v>213.255</c:v>
                </c:pt>
                <c:pt idx="214">
                  <c:v>152.55840000000001</c:v>
                </c:pt>
                <c:pt idx="215">
                  <c:v>378.21769999999998</c:v>
                </c:pt>
                <c:pt idx="216">
                  <c:v>331.80099999999999</c:v>
                </c:pt>
                <c:pt idx="217">
                  <c:v>210.39500000000001</c:v>
                </c:pt>
                <c:pt idx="218">
                  <c:v>111.871</c:v>
                </c:pt>
                <c:pt idx="220">
                  <c:v>283.49200000000002</c:v>
                </c:pt>
                <c:pt idx="221">
                  <c:v>156.684</c:v>
                </c:pt>
                <c:pt idx="222">
                  <c:v>699.226</c:v>
                </c:pt>
                <c:pt idx="223">
                  <c:v>311.47340000000003</c:v>
                </c:pt>
                <c:pt idx="224">
                  <c:v>429.07049999999998</c:v>
                </c:pt>
                <c:pt idx="225">
                  <c:v>98.209469999999996</c:v>
                </c:pt>
                <c:pt idx="226">
                  <c:v>259.98493999999999</c:v>
                </c:pt>
                <c:pt idx="227">
                  <c:v>471.65971999999999</c:v>
                </c:pt>
                <c:pt idx="228">
                  <c:v>241.55080000000001</c:v>
                </c:pt>
                <c:pt idx="229">
                  <c:v>184.97705999999999</c:v>
                </c:pt>
                <c:pt idx="230">
                  <c:v>734.18730000000005</c:v>
                </c:pt>
                <c:pt idx="231">
                  <c:v>448.14030000000002</c:v>
                </c:pt>
                <c:pt idx="232">
                  <c:v>419.53559999999999</c:v>
                </c:pt>
                <c:pt idx="233">
                  <c:v>167.49641</c:v>
                </c:pt>
                <c:pt idx="234">
                  <c:v>248.86089000000001</c:v>
                </c:pt>
                <c:pt idx="235">
                  <c:v>108.0622</c:v>
                </c:pt>
                <c:pt idx="236">
                  <c:v>584.80719999999997</c:v>
                </c:pt>
                <c:pt idx="237">
                  <c:v>406.82240000000002</c:v>
                </c:pt>
                <c:pt idx="238">
                  <c:v>247.9</c:v>
                </c:pt>
                <c:pt idx="239">
                  <c:v>589.54999999999995</c:v>
                </c:pt>
                <c:pt idx="240">
                  <c:v>167.17858000000001</c:v>
                </c:pt>
                <c:pt idx="243">
                  <c:v>172.58169000000001</c:v>
                </c:pt>
                <c:pt idx="244">
                  <c:v>340.39593000000002</c:v>
                </c:pt>
                <c:pt idx="245">
                  <c:v>689.69110000000001</c:v>
                </c:pt>
                <c:pt idx="246">
                  <c:v>1039.3041000000001</c:v>
                </c:pt>
                <c:pt idx="247">
                  <c:v>425.25653999999997</c:v>
                </c:pt>
                <c:pt idx="248">
                  <c:v>629.30340000000001</c:v>
                </c:pt>
                <c:pt idx="249">
                  <c:v>427.46300000000002</c:v>
                </c:pt>
                <c:pt idx="250">
                  <c:v>870.85419999999999</c:v>
                </c:pt>
                <c:pt idx="251">
                  <c:v>467.21010000000001</c:v>
                </c:pt>
                <c:pt idx="252">
                  <c:v>775.50519999999995</c:v>
                </c:pt>
                <c:pt idx="253">
                  <c:v>194.82979</c:v>
                </c:pt>
                <c:pt idx="254">
                  <c:v>206.58949999999999</c:v>
                </c:pt>
                <c:pt idx="255">
                  <c:v>168.44990000000001</c:v>
                </c:pt>
                <c:pt idx="256">
                  <c:v>213.58176</c:v>
                </c:pt>
                <c:pt idx="257">
                  <c:v>207.54299</c:v>
                </c:pt>
                <c:pt idx="258">
                  <c:v>340.38200000000001</c:v>
                </c:pt>
                <c:pt idx="259">
                  <c:v>224.38798</c:v>
                </c:pt>
                <c:pt idx="260">
                  <c:v>279.69040000000001</c:v>
                </c:pt>
                <c:pt idx="261">
                  <c:v>292.40359999999998</c:v>
                </c:pt>
                <c:pt idx="262">
                  <c:v>378.85336000000001</c:v>
                </c:pt>
                <c:pt idx="263">
                  <c:v>299.07803000000001</c:v>
                </c:pt>
                <c:pt idx="264">
                  <c:v>388.38826</c:v>
                </c:pt>
                <c:pt idx="266">
                  <c:v>200.2329</c:v>
                </c:pt>
                <c:pt idx="267">
                  <c:v>420.471</c:v>
                </c:pt>
                <c:pt idx="268">
                  <c:v>505.34969999999998</c:v>
                </c:pt>
                <c:pt idx="269">
                  <c:v>3082.951</c:v>
                </c:pt>
                <c:pt idx="270">
                  <c:v>597.5204</c:v>
                </c:pt>
                <c:pt idx="271">
                  <c:v>82.953630000000004</c:v>
                </c:pt>
                <c:pt idx="272">
                  <c:v>177.98480000000001</c:v>
                </c:pt>
                <c:pt idx="273">
                  <c:v>222.48099999999999</c:v>
                </c:pt>
                <c:pt idx="274">
                  <c:v>54.984589999999997</c:v>
                </c:pt>
                <c:pt idx="275">
                  <c:v>75.322999999999993</c:v>
                </c:pt>
                <c:pt idx="276">
                  <c:v>123.9537</c:v>
                </c:pt>
                <c:pt idx="277">
                  <c:v>244.09343999999999</c:v>
                </c:pt>
                <c:pt idx="278">
                  <c:v>711.93920000000003</c:v>
                </c:pt>
                <c:pt idx="279">
                  <c:v>189.10884999999999</c:v>
                </c:pt>
                <c:pt idx="280">
                  <c:v>256.17097999999999</c:v>
                </c:pt>
                <c:pt idx="282">
                  <c:v>101.38777</c:v>
                </c:pt>
                <c:pt idx="283">
                  <c:v>210.40346</c:v>
                </c:pt>
                <c:pt idx="284">
                  <c:v>1080.6220000000001</c:v>
                </c:pt>
                <c:pt idx="285">
                  <c:v>56.891570000000002</c:v>
                </c:pt>
                <c:pt idx="286">
                  <c:v>305.11680000000001</c:v>
                </c:pt>
                <c:pt idx="287">
                  <c:v>305.11680000000001</c:v>
                </c:pt>
                <c:pt idx="288">
                  <c:v>260.93842999999998</c:v>
                </c:pt>
                <c:pt idx="289">
                  <c:v>1694.0338999999999</c:v>
                </c:pt>
                <c:pt idx="290">
                  <c:v>460.8535</c:v>
                </c:pt>
                <c:pt idx="291">
                  <c:v>410.00069999999999</c:v>
                </c:pt>
                <c:pt idx="292">
                  <c:v>183.38791000000001</c:v>
                </c:pt>
                <c:pt idx="293">
                  <c:v>38.139600000000002</c:v>
                </c:pt>
                <c:pt idx="294">
                  <c:v>4100.0069999999996</c:v>
                </c:pt>
                <c:pt idx="295">
                  <c:v>43.86054</c:v>
                </c:pt>
                <c:pt idx="328">
                  <c:v>3496</c:v>
                </c:pt>
                <c:pt idx="362">
                  <c:v>24.5</c:v>
                </c:pt>
                <c:pt idx="378">
                  <c:v>1204.2578699999999</c:v>
                </c:pt>
                <c:pt idx="405">
                  <c:v>131.89945</c:v>
                </c:pt>
                <c:pt idx="436">
                  <c:v>120.7754</c:v>
                </c:pt>
                <c:pt idx="442">
                  <c:v>7.51</c:v>
                </c:pt>
                <c:pt idx="443">
                  <c:v>8.11</c:v>
                </c:pt>
                <c:pt idx="494">
                  <c:v>1115.5833</c:v>
                </c:pt>
                <c:pt idx="526">
                  <c:v>359.14789999999999</c:v>
                </c:pt>
                <c:pt idx="546">
                  <c:v>5689.1570000000002</c:v>
                </c:pt>
                <c:pt idx="547">
                  <c:v>634.38868000000002</c:v>
                </c:pt>
                <c:pt idx="548">
                  <c:v>592.43511999999998</c:v>
                </c:pt>
                <c:pt idx="549">
                  <c:v>323.23311000000001</c:v>
                </c:pt>
                <c:pt idx="550">
                  <c:v>7656.0969999999998</c:v>
                </c:pt>
                <c:pt idx="574">
                  <c:v>232.01589999999999</c:v>
                </c:pt>
                <c:pt idx="599">
                  <c:v>3.7</c:v>
                </c:pt>
                <c:pt idx="604">
                  <c:v>4.74</c:v>
                </c:pt>
                <c:pt idx="605">
                  <c:v>4.3600000000000003</c:v>
                </c:pt>
                <c:pt idx="606">
                  <c:v>16.170000000000002</c:v>
                </c:pt>
                <c:pt idx="607">
                  <c:v>7.3</c:v>
                </c:pt>
                <c:pt idx="611">
                  <c:v>16.600000000000001</c:v>
                </c:pt>
                <c:pt idx="619">
                  <c:v>60.5</c:v>
                </c:pt>
                <c:pt idx="632">
                  <c:v>17.920000000000002</c:v>
                </c:pt>
                <c:pt idx="633">
                  <c:v>17.18</c:v>
                </c:pt>
                <c:pt idx="792">
                  <c:v>1392.0953999999999</c:v>
                </c:pt>
                <c:pt idx="796">
                  <c:v>534.25</c:v>
                </c:pt>
                <c:pt idx="797">
                  <c:v>622.60299999999995</c:v>
                </c:pt>
                <c:pt idx="813">
                  <c:v>34.961300000000001</c:v>
                </c:pt>
                <c:pt idx="824">
                  <c:v>1589</c:v>
                </c:pt>
                <c:pt idx="832">
                  <c:v>9.5349000000000004</c:v>
                </c:pt>
                <c:pt idx="844">
                  <c:v>12.713200000000001</c:v>
                </c:pt>
                <c:pt idx="865">
                  <c:v>2860.47</c:v>
                </c:pt>
                <c:pt idx="873">
                  <c:v>7300</c:v>
                </c:pt>
                <c:pt idx="878">
                  <c:v>6991.57</c:v>
                </c:pt>
                <c:pt idx="879">
                  <c:v>9534.9</c:v>
                </c:pt>
                <c:pt idx="881">
                  <c:v>2000</c:v>
                </c:pt>
                <c:pt idx="882">
                  <c:v>3000</c:v>
                </c:pt>
                <c:pt idx="883">
                  <c:v>3000</c:v>
                </c:pt>
                <c:pt idx="886">
                  <c:v>27</c:v>
                </c:pt>
                <c:pt idx="896">
                  <c:v>8.6</c:v>
                </c:pt>
                <c:pt idx="919">
                  <c:v>155.73670000000001</c:v>
                </c:pt>
                <c:pt idx="927">
                  <c:v>158.91499999999999</c:v>
                </c:pt>
                <c:pt idx="936">
                  <c:v>5.08</c:v>
                </c:pt>
                <c:pt idx="937">
                  <c:v>7.4</c:v>
                </c:pt>
                <c:pt idx="986">
                  <c:v>8.92</c:v>
                </c:pt>
                <c:pt idx="1040">
                  <c:v>8</c:v>
                </c:pt>
                <c:pt idx="1046">
                  <c:v>444.96199999999999</c:v>
                </c:pt>
                <c:pt idx="1062">
                  <c:v>126.49634</c:v>
                </c:pt>
                <c:pt idx="1066">
                  <c:v>392.83787999999998</c:v>
                </c:pt>
                <c:pt idx="1067">
                  <c:v>273.3338</c:v>
                </c:pt>
                <c:pt idx="1071">
                  <c:v>19</c:v>
                </c:pt>
                <c:pt idx="1072">
                  <c:v>15.4</c:v>
                </c:pt>
                <c:pt idx="1099">
                  <c:v>451.3186</c:v>
                </c:pt>
                <c:pt idx="1100">
                  <c:v>70.876090000000005</c:v>
                </c:pt>
                <c:pt idx="1101">
                  <c:v>14.8</c:v>
                </c:pt>
                <c:pt idx="1104">
                  <c:v>6.54</c:v>
                </c:pt>
                <c:pt idx="1105">
                  <c:v>11.3</c:v>
                </c:pt>
                <c:pt idx="1106">
                  <c:v>0.28999999999999998</c:v>
                </c:pt>
                <c:pt idx="1107">
                  <c:v>9.4</c:v>
                </c:pt>
                <c:pt idx="1108">
                  <c:v>8.3000000000000007</c:v>
                </c:pt>
                <c:pt idx="1112">
                  <c:v>30.9</c:v>
                </c:pt>
                <c:pt idx="1131">
                  <c:v>9.68</c:v>
                </c:pt>
                <c:pt idx="1132">
                  <c:v>15.68</c:v>
                </c:pt>
                <c:pt idx="1133">
                  <c:v>6.5</c:v>
                </c:pt>
                <c:pt idx="1134">
                  <c:v>10.7</c:v>
                </c:pt>
                <c:pt idx="1136">
                  <c:v>100.11645</c:v>
                </c:pt>
                <c:pt idx="1139">
                  <c:v>232.01589999999999</c:v>
                </c:pt>
                <c:pt idx="1140">
                  <c:v>10.9</c:v>
                </c:pt>
                <c:pt idx="1141">
                  <c:v>246.00041999999999</c:v>
                </c:pt>
                <c:pt idx="1142">
                  <c:v>6.49</c:v>
                </c:pt>
                <c:pt idx="1145">
                  <c:v>106.47305</c:v>
                </c:pt>
                <c:pt idx="1149">
                  <c:v>184.02357000000001</c:v>
                </c:pt>
                <c:pt idx="1150">
                  <c:v>563.83042</c:v>
                </c:pt>
                <c:pt idx="1151">
                  <c:v>16.5</c:v>
                </c:pt>
                <c:pt idx="1152">
                  <c:v>12.1</c:v>
                </c:pt>
                <c:pt idx="1153">
                  <c:v>10.3</c:v>
                </c:pt>
                <c:pt idx="1154">
                  <c:v>1175.971</c:v>
                </c:pt>
                <c:pt idx="1163">
                  <c:v>19.069800000000001</c:v>
                </c:pt>
                <c:pt idx="1164">
                  <c:v>9.9</c:v>
                </c:pt>
                <c:pt idx="1165">
                  <c:v>28.604700000000001</c:v>
                </c:pt>
                <c:pt idx="1189">
                  <c:v>135.39558</c:v>
                </c:pt>
                <c:pt idx="1197">
                  <c:v>21.3</c:v>
                </c:pt>
                <c:pt idx="1211">
                  <c:v>603.87699999999995</c:v>
                </c:pt>
                <c:pt idx="1236">
                  <c:v>8654.15</c:v>
                </c:pt>
                <c:pt idx="1237">
                  <c:v>215.80656999999999</c:v>
                </c:pt>
                <c:pt idx="1238">
                  <c:v>54.348930000000003</c:v>
                </c:pt>
                <c:pt idx="1239">
                  <c:v>301.93849999999998</c:v>
                </c:pt>
                <c:pt idx="1240">
                  <c:v>408.09372000000002</c:v>
                </c:pt>
                <c:pt idx="1241">
                  <c:v>416.35730000000001</c:v>
                </c:pt>
                <c:pt idx="1242">
                  <c:v>874.03250000000003</c:v>
                </c:pt>
                <c:pt idx="1243">
                  <c:v>416.35730000000001</c:v>
                </c:pt>
                <c:pt idx="1244">
                  <c:v>375.0394</c:v>
                </c:pt>
                <c:pt idx="1245">
                  <c:v>1293.5681</c:v>
                </c:pt>
                <c:pt idx="1246">
                  <c:v>540.31100000000004</c:v>
                </c:pt>
                <c:pt idx="1247">
                  <c:v>1074.9010599999999</c:v>
                </c:pt>
                <c:pt idx="1248">
                  <c:v>1242.7153000000001</c:v>
                </c:pt>
                <c:pt idx="1249">
                  <c:v>616.59019999999998</c:v>
                </c:pt>
                <c:pt idx="1250">
                  <c:v>286.68266</c:v>
                </c:pt>
                <c:pt idx="1251">
                  <c:v>165.27160000000001</c:v>
                </c:pt>
                <c:pt idx="1253">
                  <c:v>441.78370000000001</c:v>
                </c:pt>
                <c:pt idx="1254">
                  <c:v>209.76779999999999</c:v>
                </c:pt>
                <c:pt idx="1255">
                  <c:v>915.35040000000004</c:v>
                </c:pt>
                <c:pt idx="1267">
                  <c:v>1043.43589</c:v>
                </c:pt>
                <c:pt idx="1268">
                  <c:v>2224.81</c:v>
                </c:pt>
                <c:pt idx="1269">
                  <c:v>1452.4830999999999</c:v>
                </c:pt>
                <c:pt idx="1270">
                  <c:v>4923.1867000000002</c:v>
                </c:pt>
                <c:pt idx="1271">
                  <c:v>635.66</c:v>
                </c:pt>
                <c:pt idx="1272">
                  <c:v>225.6593</c:v>
                </c:pt>
                <c:pt idx="1273">
                  <c:v>1690.8556000000001</c:v>
                </c:pt>
                <c:pt idx="1274">
                  <c:v>460.83</c:v>
                </c:pt>
                <c:pt idx="1275">
                  <c:v>2949.4623999999999</c:v>
                </c:pt>
                <c:pt idx="1276">
                  <c:v>8.6999999999999993</c:v>
                </c:pt>
                <c:pt idx="1277">
                  <c:v>198.8</c:v>
                </c:pt>
                <c:pt idx="1278">
                  <c:v>4.5999999999999996</c:v>
                </c:pt>
                <c:pt idx="1279">
                  <c:v>9</c:v>
                </c:pt>
                <c:pt idx="1289">
                  <c:v>613.41189999999995</c:v>
                </c:pt>
                <c:pt idx="1290">
                  <c:v>0.44</c:v>
                </c:pt>
                <c:pt idx="1291">
                  <c:v>0.65500000000000003</c:v>
                </c:pt>
                <c:pt idx="1292">
                  <c:v>10.5</c:v>
                </c:pt>
                <c:pt idx="1293">
                  <c:v>15.6</c:v>
                </c:pt>
                <c:pt idx="1294">
                  <c:v>106</c:v>
                </c:pt>
                <c:pt idx="1295">
                  <c:v>35</c:v>
                </c:pt>
                <c:pt idx="1296">
                  <c:v>346.43470000000002</c:v>
                </c:pt>
                <c:pt idx="1298">
                  <c:v>4.60853</c:v>
                </c:pt>
                <c:pt idx="1299">
                  <c:v>17.2</c:v>
                </c:pt>
                <c:pt idx="1300">
                  <c:v>7.34</c:v>
                </c:pt>
                <c:pt idx="1301">
                  <c:v>7.05</c:v>
                </c:pt>
                <c:pt idx="1302">
                  <c:v>3</c:v>
                </c:pt>
                <c:pt idx="1313">
                  <c:v>51.1</c:v>
                </c:pt>
                <c:pt idx="1314">
                  <c:v>3.78</c:v>
                </c:pt>
                <c:pt idx="1326">
                  <c:v>4.3</c:v>
                </c:pt>
                <c:pt idx="1327">
                  <c:v>3</c:v>
                </c:pt>
                <c:pt idx="1328">
                  <c:v>3.8</c:v>
                </c:pt>
                <c:pt idx="1329">
                  <c:v>8.93</c:v>
                </c:pt>
                <c:pt idx="1330">
                  <c:v>5.2</c:v>
                </c:pt>
                <c:pt idx="1341">
                  <c:v>9.6999999999999993</c:v>
                </c:pt>
                <c:pt idx="1342">
                  <c:v>36.1</c:v>
                </c:pt>
                <c:pt idx="1368">
                  <c:v>4.5999999999999996</c:v>
                </c:pt>
                <c:pt idx="1380">
                  <c:v>5.3</c:v>
                </c:pt>
                <c:pt idx="1381">
                  <c:v>10.44</c:v>
                </c:pt>
                <c:pt idx="1382">
                  <c:v>8.1</c:v>
                </c:pt>
                <c:pt idx="1383">
                  <c:v>11.17</c:v>
                </c:pt>
                <c:pt idx="1423">
                  <c:v>7.3</c:v>
                </c:pt>
                <c:pt idx="1424">
                  <c:v>21.8</c:v>
                </c:pt>
                <c:pt idx="1436">
                  <c:v>1.9</c:v>
                </c:pt>
                <c:pt idx="1437">
                  <c:v>2.9</c:v>
                </c:pt>
                <c:pt idx="1438">
                  <c:v>7.3</c:v>
                </c:pt>
                <c:pt idx="1439">
                  <c:v>8</c:v>
                </c:pt>
                <c:pt idx="1440">
                  <c:v>2</c:v>
                </c:pt>
                <c:pt idx="1441">
                  <c:v>25</c:v>
                </c:pt>
                <c:pt idx="1479">
                  <c:v>11.7</c:v>
                </c:pt>
                <c:pt idx="1480">
                  <c:v>8.6999999999999993</c:v>
                </c:pt>
                <c:pt idx="1492">
                  <c:v>2.8</c:v>
                </c:pt>
                <c:pt idx="1493">
                  <c:v>3.9</c:v>
                </c:pt>
                <c:pt idx="1530">
                  <c:v>29.875</c:v>
                </c:pt>
                <c:pt idx="1531">
                  <c:v>584.78</c:v>
                </c:pt>
                <c:pt idx="1566">
                  <c:v>137.30256</c:v>
                </c:pt>
                <c:pt idx="1595">
                  <c:v>36</c:v>
                </c:pt>
                <c:pt idx="1672">
                  <c:v>30.7</c:v>
                </c:pt>
                <c:pt idx="1673">
                  <c:v>33.299999999999997</c:v>
                </c:pt>
                <c:pt idx="1709">
                  <c:v>16.13</c:v>
                </c:pt>
                <c:pt idx="1710">
                  <c:v>8.25</c:v>
                </c:pt>
                <c:pt idx="1802">
                  <c:v>6.6000000000000003E-2</c:v>
                </c:pt>
                <c:pt idx="1803">
                  <c:v>1.97</c:v>
                </c:pt>
                <c:pt idx="1804">
                  <c:v>0.64</c:v>
                </c:pt>
                <c:pt idx="1831">
                  <c:v>2669.66</c:v>
                </c:pt>
                <c:pt idx="1893">
                  <c:v>37.1</c:v>
                </c:pt>
                <c:pt idx="1894">
                  <c:v>79.400000000000006</c:v>
                </c:pt>
                <c:pt idx="1957">
                  <c:v>209.76</c:v>
                </c:pt>
                <c:pt idx="2089">
                  <c:v>105.833</c:v>
                </c:pt>
                <c:pt idx="2150">
                  <c:v>483</c:v>
                </c:pt>
                <c:pt idx="2158">
                  <c:v>158.91499999999999</c:v>
                </c:pt>
                <c:pt idx="2159">
                  <c:v>5</c:v>
                </c:pt>
                <c:pt idx="2160">
                  <c:v>48.6</c:v>
                </c:pt>
                <c:pt idx="2161">
                  <c:v>1868.8404</c:v>
                </c:pt>
                <c:pt idx="2176">
                  <c:v>778.65</c:v>
                </c:pt>
                <c:pt idx="2197">
                  <c:v>2</c:v>
                </c:pt>
                <c:pt idx="2198">
                  <c:v>7.5</c:v>
                </c:pt>
                <c:pt idx="2204">
                  <c:v>6.9</c:v>
                </c:pt>
                <c:pt idx="2205">
                  <c:v>17.3</c:v>
                </c:pt>
                <c:pt idx="2206">
                  <c:v>16.399999999999999</c:v>
                </c:pt>
                <c:pt idx="2231">
                  <c:v>8.4</c:v>
                </c:pt>
                <c:pt idx="2232">
                  <c:v>13.1</c:v>
                </c:pt>
                <c:pt idx="2233">
                  <c:v>22.5</c:v>
                </c:pt>
                <c:pt idx="2260">
                  <c:v>9.6999999999999993</c:v>
                </c:pt>
                <c:pt idx="2261">
                  <c:v>12.75</c:v>
                </c:pt>
                <c:pt idx="2262">
                  <c:v>10.07</c:v>
                </c:pt>
                <c:pt idx="2291">
                  <c:v>5.08</c:v>
                </c:pt>
                <c:pt idx="2317">
                  <c:v>36</c:v>
                </c:pt>
                <c:pt idx="2329">
                  <c:v>7.4</c:v>
                </c:pt>
                <c:pt idx="2330">
                  <c:v>5.0999999999999996</c:v>
                </c:pt>
                <c:pt idx="2331">
                  <c:v>8</c:v>
                </c:pt>
                <c:pt idx="2332">
                  <c:v>4.8</c:v>
                </c:pt>
                <c:pt idx="2350">
                  <c:v>254.3</c:v>
                </c:pt>
                <c:pt idx="2351">
                  <c:v>858.1</c:v>
                </c:pt>
                <c:pt idx="2374">
                  <c:v>169.7</c:v>
                </c:pt>
                <c:pt idx="2375">
                  <c:v>13.5</c:v>
                </c:pt>
                <c:pt idx="2378">
                  <c:v>508.5</c:v>
                </c:pt>
                <c:pt idx="2379">
                  <c:v>508.5</c:v>
                </c:pt>
                <c:pt idx="2407">
                  <c:v>9.6</c:v>
                </c:pt>
                <c:pt idx="2408">
                  <c:v>24.6</c:v>
                </c:pt>
                <c:pt idx="2409">
                  <c:v>89.9</c:v>
                </c:pt>
                <c:pt idx="2439">
                  <c:v>5.12</c:v>
                </c:pt>
                <c:pt idx="2440">
                  <c:v>6.2</c:v>
                </c:pt>
                <c:pt idx="2466">
                  <c:v>2895.31</c:v>
                </c:pt>
                <c:pt idx="2467">
                  <c:v>4385.87</c:v>
                </c:pt>
                <c:pt idx="2484">
                  <c:v>16.600000000000001</c:v>
                </c:pt>
                <c:pt idx="2485">
                  <c:v>16.3</c:v>
                </c:pt>
                <c:pt idx="2486">
                  <c:v>87.3</c:v>
                </c:pt>
                <c:pt idx="2487">
                  <c:v>64.2</c:v>
                </c:pt>
                <c:pt idx="2491">
                  <c:v>49.4</c:v>
                </c:pt>
                <c:pt idx="2492">
                  <c:v>37.5</c:v>
                </c:pt>
                <c:pt idx="2493">
                  <c:v>479.9</c:v>
                </c:pt>
                <c:pt idx="2494">
                  <c:v>432.23</c:v>
                </c:pt>
                <c:pt idx="2501">
                  <c:v>61</c:v>
                </c:pt>
                <c:pt idx="2502">
                  <c:v>56.2</c:v>
                </c:pt>
                <c:pt idx="2518">
                  <c:v>7.3</c:v>
                </c:pt>
                <c:pt idx="2519">
                  <c:v>132</c:v>
                </c:pt>
                <c:pt idx="2520">
                  <c:v>4</c:v>
                </c:pt>
                <c:pt idx="2521">
                  <c:v>4.51</c:v>
                </c:pt>
                <c:pt idx="2522">
                  <c:v>4</c:v>
                </c:pt>
                <c:pt idx="2553">
                  <c:v>11.3</c:v>
                </c:pt>
                <c:pt idx="2554">
                  <c:v>640</c:v>
                </c:pt>
                <c:pt idx="2555">
                  <c:v>23.1</c:v>
                </c:pt>
                <c:pt idx="2569">
                  <c:v>10.5</c:v>
                </c:pt>
                <c:pt idx="2570">
                  <c:v>6</c:v>
                </c:pt>
                <c:pt idx="2576">
                  <c:v>7.44</c:v>
                </c:pt>
                <c:pt idx="2577">
                  <c:v>3.64</c:v>
                </c:pt>
                <c:pt idx="2583">
                  <c:v>1493.7</c:v>
                </c:pt>
                <c:pt idx="2584">
                  <c:v>2161.2440000000001</c:v>
                </c:pt>
                <c:pt idx="2607">
                  <c:v>1303</c:v>
                </c:pt>
                <c:pt idx="2608">
                  <c:v>158.9</c:v>
                </c:pt>
                <c:pt idx="2631">
                  <c:v>28.5</c:v>
                </c:pt>
                <c:pt idx="2632">
                  <c:v>39.4</c:v>
                </c:pt>
                <c:pt idx="2663">
                  <c:v>8.5</c:v>
                </c:pt>
                <c:pt idx="2667">
                  <c:v>69.92</c:v>
                </c:pt>
                <c:pt idx="2692">
                  <c:v>40.363</c:v>
                </c:pt>
                <c:pt idx="2694">
                  <c:v>6.1</c:v>
                </c:pt>
                <c:pt idx="2695">
                  <c:v>14.9</c:v>
                </c:pt>
                <c:pt idx="2718">
                  <c:v>4.45</c:v>
                </c:pt>
                <c:pt idx="2719">
                  <c:v>8.08</c:v>
                </c:pt>
                <c:pt idx="2741">
                  <c:v>3.1783000000000001</c:v>
                </c:pt>
                <c:pt idx="2742">
                  <c:v>12</c:v>
                </c:pt>
                <c:pt idx="2743">
                  <c:v>12.2</c:v>
                </c:pt>
                <c:pt idx="2767">
                  <c:v>122</c:v>
                </c:pt>
                <c:pt idx="2788">
                  <c:v>6388.1</c:v>
                </c:pt>
                <c:pt idx="2801">
                  <c:v>75.5</c:v>
                </c:pt>
                <c:pt idx="2802">
                  <c:v>17.899999999999999</c:v>
                </c:pt>
                <c:pt idx="2811">
                  <c:v>24.472000000000001</c:v>
                </c:pt>
                <c:pt idx="2812">
                  <c:v>699.2</c:v>
                </c:pt>
                <c:pt idx="2829">
                  <c:v>6.35</c:v>
                </c:pt>
                <c:pt idx="2830">
                  <c:v>2.71</c:v>
                </c:pt>
                <c:pt idx="2831">
                  <c:v>3.2</c:v>
                </c:pt>
                <c:pt idx="2832">
                  <c:v>4000</c:v>
                </c:pt>
                <c:pt idx="2833">
                  <c:v>5</c:v>
                </c:pt>
                <c:pt idx="2834">
                  <c:v>22</c:v>
                </c:pt>
                <c:pt idx="2835">
                  <c:v>177.98</c:v>
                </c:pt>
                <c:pt idx="2839">
                  <c:v>299.07803000000001</c:v>
                </c:pt>
                <c:pt idx="2840">
                  <c:v>67</c:v>
                </c:pt>
                <c:pt idx="2841">
                  <c:v>3.5</c:v>
                </c:pt>
                <c:pt idx="2842">
                  <c:v>29.9</c:v>
                </c:pt>
                <c:pt idx="2843">
                  <c:v>119.9</c:v>
                </c:pt>
                <c:pt idx="2845">
                  <c:v>58.2</c:v>
                </c:pt>
                <c:pt idx="2847">
                  <c:v>11</c:v>
                </c:pt>
                <c:pt idx="2849">
                  <c:v>349.6</c:v>
                </c:pt>
                <c:pt idx="2850">
                  <c:v>794.5</c:v>
                </c:pt>
                <c:pt idx="2851">
                  <c:v>2320.1</c:v>
                </c:pt>
                <c:pt idx="2856">
                  <c:v>136.66</c:v>
                </c:pt>
                <c:pt idx="2857">
                  <c:v>189.101</c:v>
                </c:pt>
                <c:pt idx="2858">
                  <c:v>327.35000000000002</c:v>
                </c:pt>
                <c:pt idx="2860">
                  <c:v>79.45</c:v>
                </c:pt>
                <c:pt idx="2861">
                  <c:v>108.06</c:v>
                </c:pt>
                <c:pt idx="2862">
                  <c:v>92.17</c:v>
                </c:pt>
                <c:pt idx="2863">
                  <c:v>403.63</c:v>
                </c:pt>
                <c:pt idx="2864">
                  <c:v>1026.5908999999999</c:v>
                </c:pt>
                <c:pt idx="2870">
                  <c:v>1719.4603</c:v>
                </c:pt>
                <c:pt idx="2872">
                  <c:v>896.24</c:v>
                </c:pt>
                <c:pt idx="2873">
                  <c:v>908.96</c:v>
                </c:pt>
                <c:pt idx="2874">
                  <c:v>266.97000000000003</c:v>
                </c:pt>
                <c:pt idx="2880">
                  <c:v>317.82</c:v>
                </c:pt>
                <c:pt idx="2896">
                  <c:v>435.41</c:v>
                </c:pt>
                <c:pt idx="2899">
                  <c:v>160.49700000000001</c:v>
                </c:pt>
                <c:pt idx="2904">
                  <c:v>16</c:v>
                </c:pt>
                <c:pt idx="2905">
                  <c:v>6.3566000000000003</c:v>
                </c:pt>
                <c:pt idx="2908">
                  <c:v>1907</c:v>
                </c:pt>
                <c:pt idx="2909">
                  <c:v>119.499</c:v>
                </c:pt>
                <c:pt idx="2921">
                  <c:v>2.0699999999999998</c:v>
                </c:pt>
                <c:pt idx="2922">
                  <c:v>3.17</c:v>
                </c:pt>
                <c:pt idx="2923">
                  <c:v>19.02</c:v>
                </c:pt>
                <c:pt idx="2934">
                  <c:v>3.94</c:v>
                </c:pt>
                <c:pt idx="2935">
                  <c:v>14.61</c:v>
                </c:pt>
                <c:pt idx="2936">
                  <c:v>7.93</c:v>
                </c:pt>
                <c:pt idx="2937">
                  <c:v>657</c:v>
                </c:pt>
                <c:pt idx="2949">
                  <c:v>311.45999999999998</c:v>
                </c:pt>
                <c:pt idx="2950">
                  <c:v>228.83</c:v>
                </c:pt>
                <c:pt idx="2963">
                  <c:v>670.93912999999998</c:v>
                </c:pt>
                <c:pt idx="2975">
                  <c:v>2.1</c:v>
                </c:pt>
                <c:pt idx="2976">
                  <c:v>4</c:v>
                </c:pt>
                <c:pt idx="2977">
                  <c:v>7.6</c:v>
                </c:pt>
                <c:pt idx="2988">
                  <c:v>2765</c:v>
                </c:pt>
                <c:pt idx="2989">
                  <c:v>3308.41</c:v>
                </c:pt>
                <c:pt idx="3004">
                  <c:v>5851</c:v>
                </c:pt>
                <c:pt idx="3005">
                  <c:v>5002.43</c:v>
                </c:pt>
                <c:pt idx="3016">
                  <c:v>308.29509999999999</c:v>
                </c:pt>
                <c:pt idx="3017">
                  <c:v>762.79200000000003</c:v>
                </c:pt>
                <c:pt idx="3018">
                  <c:v>292.39</c:v>
                </c:pt>
                <c:pt idx="3019">
                  <c:v>117.59</c:v>
                </c:pt>
                <c:pt idx="3032">
                  <c:v>473.55</c:v>
                </c:pt>
                <c:pt idx="3033">
                  <c:v>352.78</c:v>
                </c:pt>
                <c:pt idx="3048">
                  <c:v>22.1</c:v>
                </c:pt>
                <c:pt idx="3049">
                  <c:v>181</c:v>
                </c:pt>
                <c:pt idx="3062">
                  <c:v>5994.02</c:v>
                </c:pt>
                <c:pt idx="3063">
                  <c:v>2208.83</c:v>
                </c:pt>
                <c:pt idx="3074">
                  <c:v>441.77</c:v>
                </c:pt>
                <c:pt idx="3075">
                  <c:v>696.02</c:v>
                </c:pt>
                <c:pt idx="3087">
                  <c:v>651.52</c:v>
                </c:pt>
                <c:pt idx="3088">
                  <c:v>435.41</c:v>
                </c:pt>
                <c:pt idx="3099">
                  <c:v>212.31044</c:v>
                </c:pt>
                <c:pt idx="3100">
                  <c:v>4.1900000000000004</c:v>
                </c:pt>
                <c:pt idx="3101">
                  <c:v>3.85</c:v>
                </c:pt>
                <c:pt idx="3102">
                  <c:v>4.16</c:v>
                </c:pt>
                <c:pt idx="3130">
                  <c:v>9</c:v>
                </c:pt>
                <c:pt idx="3131">
                  <c:v>4</c:v>
                </c:pt>
                <c:pt idx="3132">
                  <c:v>14</c:v>
                </c:pt>
                <c:pt idx="3133">
                  <c:v>36</c:v>
                </c:pt>
                <c:pt idx="3134">
                  <c:v>35</c:v>
                </c:pt>
                <c:pt idx="3146">
                  <c:v>120</c:v>
                </c:pt>
                <c:pt idx="3203">
                  <c:v>6.3566000000000003</c:v>
                </c:pt>
                <c:pt idx="3204">
                  <c:v>7.2</c:v>
                </c:pt>
                <c:pt idx="3205">
                  <c:v>267</c:v>
                </c:pt>
                <c:pt idx="3228">
                  <c:v>140.16302999999999</c:v>
                </c:pt>
                <c:pt idx="3273">
                  <c:v>200.22</c:v>
                </c:pt>
                <c:pt idx="3284">
                  <c:v>3209.9</c:v>
                </c:pt>
                <c:pt idx="3300">
                  <c:v>638.8383</c:v>
                </c:pt>
                <c:pt idx="3313">
                  <c:v>136.661</c:v>
                </c:pt>
                <c:pt idx="3326">
                  <c:v>3.1783000000000001</c:v>
                </c:pt>
                <c:pt idx="3337">
                  <c:v>10.9</c:v>
                </c:pt>
                <c:pt idx="3338">
                  <c:v>5.9</c:v>
                </c:pt>
                <c:pt idx="3339">
                  <c:v>6</c:v>
                </c:pt>
                <c:pt idx="3340">
                  <c:v>4.0999999999999996</c:v>
                </c:pt>
                <c:pt idx="3351">
                  <c:v>187.5197</c:v>
                </c:pt>
                <c:pt idx="3352">
                  <c:v>6.93</c:v>
                </c:pt>
                <c:pt idx="3353">
                  <c:v>6.74</c:v>
                </c:pt>
                <c:pt idx="3354">
                  <c:v>6.75</c:v>
                </c:pt>
                <c:pt idx="3355">
                  <c:v>4.13</c:v>
                </c:pt>
                <c:pt idx="3449">
                  <c:v>324.2</c:v>
                </c:pt>
                <c:pt idx="3450">
                  <c:v>6.4</c:v>
                </c:pt>
                <c:pt idx="3482">
                  <c:v>80.09</c:v>
                </c:pt>
                <c:pt idx="3483">
                  <c:v>54.347000000000001</c:v>
                </c:pt>
                <c:pt idx="3496">
                  <c:v>257.44229999999999</c:v>
                </c:pt>
                <c:pt idx="3507">
                  <c:v>64.3</c:v>
                </c:pt>
                <c:pt idx="3508">
                  <c:v>6.1</c:v>
                </c:pt>
                <c:pt idx="3521">
                  <c:v>3.1783000000000001</c:v>
                </c:pt>
                <c:pt idx="3522">
                  <c:v>954</c:v>
                </c:pt>
                <c:pt idx="3534">
                  <c:v>10.84</c:v>
                </c:pt>
                <c:pt idx="3535">
                  <c:v>3126</c:v>
                </c:pt>
                <c:pt idx="3546">
                  <c:v>13</c:v>
                </c:pt>
                <c:pt idx="3558">
                  <c:v>8.4600000000000009</c:v>
                </c:pt>
                <c:pt idx="3572">
                  <c:v>3.51</c:v>
                </c:pt>
                <c:pt idx="3573">
                  <c:v>344</c:v>
                </c:pt>
                <c:pt idx="3584">
                  <c:v>3.55</c:v>
                </c:pt>
                <c:pt idx="3595">
                  <c:v>6.15</c:v>
                </c:pt>
                <c:pt idx="3607">
                  <c:v>6.98</c:v>
                </c:pt>
                <c:pt idx="3608">
                  <c:v>1.81</c:v>
                </c:pt>
                <c:pt idx="3612">
                  <c:v>257.43099999999998</c:v>
                </c:pt>
                <c:pt idx="3613">
                  <c:v>1175.971</c:v>
                </c:pt>
                <c:pt idx="3614">
                  <c:v>3.3</c:v>
                </c:pt>
                <c:pt idx="3615">
                  <c:v>263.79000000000002</c:v>
                </c:pt>
                <c:pt idx="3616">
                  <c:v>23.4</c:v>
                </c:pt>
                <c:pt idx="3617">
                  <c:v>1303</c:v>
                </c:pt>
                <c:pt idx="3618">
                  <c:v>10.4</c:v>
                </c:pt>
                <c:pt idx="3619">
                  <c:v>50</c:v>
                </c:pt>
                <c:pt idx="3620">
                  <c:v>813.64480000000003</c:v>
                </c:pt>
                <c:pt idx="3621">
                  <c:v>3496</c:v>
                </c:pt>
                <c:pt idx="3622">
                  <c:v>171.62819999999999</c:v>
                </c:pt>
                <c:pt idx="3623">
                  <c:v>9.1999999999999993</c:v>
                </c:pt>
                <c:pt idx="3624">
                  <c:v>85.814099999999996</c:v>
                </c:pt>
                <c:pt idx="3625">
                  <c:v>476.7</c:v>
                </c:pt>
                <c:pt idx="3626">
                  <c:v>30</c:v>
                </c:pt>
                <c:pt idx="3627">
                  <c:v>18</c:v>
                </c:pt>
                <c:pt idx="3628">
                  <c:v>18</c:v>
                </c:pt>
                <c:pt idx="3629">
                  <c:v>1525.5</c:v>
                </c:pt>
                <c:pt idx="3630">
                  <c:v>3686.7</c:v>
                </c:pt>
                <c:pt idx="3631">
                  <c:v>2669.7719999999999</c:v>
                </c:pt>
                <c:pt idx="3632">
                  <c:v>6.7</c:v>
                </c:pt>
                <c:pt idx="3633">
                  <c:v>3.2</c:v>
                </c:pt>
                <c:pt idx="3634">
                  <c:v>33.700000000000003</c:v>
                </c:pt>
                <c:pt idx="3635">
                  <c:v>889.92399999999998</c:v>
                </c:pt>
                <c:pt idx="3636">
                  <c:v>197.05459999999999</c:v>
                </c:pt>
                <c:pt idx="3637">
                  <c:v>1175.9000000000001</c:v>
                </c:pt>
                <c:pt idx="3638">
                  <c:v>7532.5709999999999</c:v>
                </c:pt>
                <c:pt idx="3644">
                  <c:v>258.07796000000002</c:v>
                </c:pt>
                <c:pt idx="3645">
                  <c:v>235.1942</c:v>
                </c:pt>
                <c:pt idx="3646">
                  <c:v>756.43539999999996</c:v>
                </c:pt>
                <c:pt idx="3647">
                  <c:v>20.6</c:v>
                </c:pt>
                <c:pt idx="3648">
                  <c:v>72.783069999999995</c:v>
                </c:pt>
                <c:pt idx="3649">
                  <c:v>2329.6</c:v>
                </c:pt>
                <c:pt idx="3650">
                  <c:v>731</c:v>
                </c:pt>
                <c:pt idx="3652">
                  <c:v>826.35799999999995</c:v>
                </c:pt>
                <c:pt idx="3653">
                  <c:v>1207.7</c:v>
                </c:pt>
                <c:pt idx="3654">
                  <c:v>14.1</c:v>
                </c:pt>
                <c:pt idx="3655">
                  <c:v>5.5</c:v>
                </c:pt>
                <c:pt idx="3656">
                  <c:v>231</c:v>
                </c:pt>
                <c:pt idx="3657">
                  <c:v>86</c:v>
                </c:pt>
                <c:pt idx="3658">
                  <c:v>80</c:v>
                </c:pt>
                <c:pt idx="3659">
                  <c:v>20</c:v>
                </c:pt>
                <c:pt idx="3660">
                  <c:v>56.6</c:v>
                </c:pt>
                <c:pt idx="3661">
                  <c:v>1462</c:v>
                </c:pt>
                <c:pt idx="3662">
                  <c:v>60.387700000000002</c:v>
                </c:pt>
                <c:pt idx="3663">
                  <c:v>168.44</c:v>
                </c:pt>
                <c:pt idx="3664">
                  <c:v>279.68</c:v>
                </c:pt>
                <c:pt idx="3665">
                  <c:v>46.085349999999998</c:v>
                </c:pt>
                <c:pt idx="3666">
                  <c:v>273.3338</c:v>
                </c:pt>
                <c:pt idx="3667">
                  <c:v>587.96</c:v>
                </c:pt>
                <c:pt idx="3668">
                  <c:v>867.64</c:v>
                </c:pt>
                <c:pt idx="3669">
                  <c:v>123</c:v>
                </c:pt>
                <c:pt idx="3670">
                  <c:v>149.3801</c:v>
                </c:pt>
                <c:pt idx="3671">
                  <c:v>35</c:v>
                </c:pt>
                <c:pt idx="3672">
                  <c:v>3994.4859999999999</c:v>
                </c:pt>
                <c:pt idx="3673">
                  <c:v>92.170699999999997</c:v>
                </c:pt>
                <c:pt idx="3674">
                  <c:v>2.3199999999999998</c:v>
                </c:pt>
                <c:pt idx="3675">
                  <c:v>203.41120000000001</c:v>
                </c:pt>
                <c:pt idx="3676">
                  <c:v>858.14099999999996</c:v>
                </c:pt>
                <c:pt idx="3677">
                  <c:v>162.09</c:v>
                </c:pt>
                <c:pt idx="3678">
                  <c:v>982.09469999999999</c:v>
                </c:pt>
                <c:pt idx="3679">
                  <c:v>55.3</c:v>
                </c:pt>
                <c:pt idx="3680">
                  <c:v>83.7</c:v>
                </c:pt>
                <c:pt idx="3681">
                  <c:v>177.98480000000001</c:v>
                </c:pt>
                <c:pt idx="3682">
                  <c:v>228.83760000000001</c:v>
                </c:pt>
                <c:pt idx="3683">
                  <c:v>1080.6220000000001</c:v>
                </c:pt>
                <c:pt idx="3684">
                  <c:v>21</c:v>
                </c:pt>
                <c:pt idx="3685">
                  <c:v>1303.1030000000001</c:v>
                </c:pt>
                <c:pt idx="3686">
                  <c:v>1328.5293999999999</c:v>
                </c:pt>
                <c:pt idx="3687">
                  <c:v>4252.5654000000004</c:v>
                </c:pt>
                <c:pt idx="3688">
                  <c:v>1.43</c:v>
                </c:pt>
                <c:pt idx="3689">
                  <c:v>3.2690000000000001</c:v>
                </c:pt>
                <c:pt idx="3690">
                  <c:v>127.44983000000001</c:v>
                </c:pt>
                <c:pt idx="3691">
                  <c:v>9</c:v>
                </c:pt>
                <c:pt idx="3692">
                  <c:v>505.34969999999998</c:v>
                </c:pt>
                <c:pt idx="3693">
                  <c:v>4.4496200000000004</c:v>
                </c:pt>
                <c:pt idx="3694">
                  <c:v>238.3725</c:v>
                </c:pt>
                <c:pt idx="3695">
                  <c:v>441.77</c:v>
                </c:pt>
                <c:pt idx="3696">
                  <c:v>197.04599999999999</c:v>
                </c:pt>
                <c:pt idx="3698">
                  <c:v>400.44900000000001</c:v>
                </c:pt>
                <c:pt idx="3699">
                  <c:v>375.02</c:v>
                </c:pt>
                <c:pt idx="3700">
                  <c:v>320.995</c:v>
                </c:pt>
                <c:pt idx="3701">
                  <c:v>327.351</c:v>
                </c:pt>
                <c:pt idx="3702">
                  <c:v>1430.175</c:v>
                </c:pt>
                <c:pt idx="3703">
                  <c:v>4449.62</c:v>
                </c:pt>
                <c:pt idx="3704">
                  <c:v>2542.64</c:v>
                </c:pt>
                <c:pt idx="3705">
                  <c:v>169</c:v>
                </c:pt>
                <c:pt idx="3707">
                  <c:v>734.16</c:v>
                </c:pt>
                <c:pt idx="3708">
                  <c:v>0.02</c:v>
                </c:pt>
                <c:pt idx="3709">
                  <c:v>4.3</c:v>
                </c:pt>
                <c:pt idx="3710">
                  <c:v>3.9</c:v>
                </c:pt>
                <c:pt idx="3711">
                  <c:v>794.57500000000005</c:v>
                </c:pt>
                <c:pt idx="3712">
                  <c:v>382.8</c:v>
                </c:pt>
                <c:pt idx="3718">
                  <c:v>411.27202</c:v>
                </c:pt>
                <c:pt idx="3719">
                  <c:v>233.92287999999999</c:v>
                </c:pt>
                <c:pt idx="3720">
                  <c:v>792.63499999999999</c:v>
                </c:pt>
                <c:pt idx="3721">
                  <c:v>1369.8472999999999</c:v>
                </c:pt>
                <c:pt idx="3722">
                  <c:v>1938.7629999999999</c:v>
                </c:pt>
                <c:pt idx="3723">
                  <c:v>1373.0255999999999</c:v>
                </c:pt>
                <c:pt idx="3724">
                  <c:v>597.5204</c:v>
                </c:pt>
                <c:pt idx="3725">
                  <c:v>117.91493</c:v>
                </c:pt>
                <c:pt idx="3726">
                  <c:v>378.21769999999998</c:v>
                </c:pt>
                <c:pt idx="3727">
                  <c:v>5085</c:v>
                </c:pt>
                <c:pt idx="3728">
                  <c:v>2860</c:v>
                </c:pt>
                <c:pt idx="3731">
                  <c:v>1997.59</c:v>
                </c:pt>
                <c:pt idx="3732">
                  <c:v>4131.62</c:v>
                </c:pt>
                <c:pt idx="3733">
                  <c:v>3082.82</c:v>
                </c:pt>
                <c:pt idx="3734">
                  <c:v>1207.7</c:v>
                </c:pt>
                <c:pt idx="3736">
                  <c:v>9.1999999999999993</c:v>
                </c:pt>
                <c:pt idx="3737">
                  <c:v>1722.6386</c:v>
                </c:pt>
                <c:pt idx="3738">
                  <c:v>30</c:v>
                </c:pt>
                <c:pt idx="3739">
                  <c:v>200</c:v>
                </c:pt>
                <c:pt idx="3740">
                  <c:v>0.85</c:v>
                </c:pt>
                <c:pt idx="3741">
                  <c:v>1.38</c:v>
                </c:pt>
                <c:pt idx="3742">
                  <c:v>0.41</c:v>
                </c:pt>
                <c:pt idx="3743">
                  <c:v>0.62</c:v>
                </c:pt>
                <c:pt idx="3744">
                  <c:v>0.68</c:v>
                </c:pt>
                <c:pt idx="3745">
                  <c:v>1.34</c:v>
                </c:pt>
                <c:pt idx="3752">
                  <c:v>266.97719999999998</c:v>
                </c:pt>
                <c:pt idx="3753">
                  <c:v>473.56670000000003</c:v>
                </c:pt>
                <c:pt idx="3754">
                  <c:v>607.03</c:v>
                </c:pt>
                <c:pt idx="3755">
                  <c:v>247.9074</c:v>
                </c:pt>
                <c:pt idx="3756">
                  <c:v>568.91570000000002</c:v>
                </c:pt>
                <c:pt idx="3757">
                  <c:v>406.82240000000002</c:v>
                </c:pt>
                <c:pt idx="3758">
                  <c:v>4449.62</c:v>
                </c:pt>
                <c:pt idx="3759">
                  <c:v>2002.2</c:v>
                </c:pt>
                <c:pt idx="3760">
                  <c:v>2447.1999999999998</c:v>
                </c:pt>
                <c:pt idx="3762">
                  <c:v>222.48099999999999</c:v>
                </c:pt>
                <c:pt idx="3763">
                  <c:v>3559.6959999999999</c:v>
                </c:pt>
                <c:pt idx="3764">
                  <c:v>271.41500000000002</c:v>
                </c:pt>
                <c:pt idx="3765">
                  <c:v>1001.12</c:v>
                </c:pt>
                <c:pt idx="3766">
                  <c:v>400.4658</c:v>
                </c:pt>
                <c:pt idx="3767">
                  <c:v>162.0933</c:v>
                </c:pt>
                <c:pt idx="3768">
                  <c:v>473.54700000000003</c:v>
                </c:pt>
                <c:pt idx="3769">
                  <c:v>404.26299999999998</c:v>
                </c:pt>
                <c:pt idx="3770">
                  <c:v>572.09400000000005</c:v>
                </c:pt>
                <c:pt idx="3771">
                  <c:v>514.88459999999998</c:v>
                </c:pt>
                <c:pt idx="3772">
                  <c:v>38.139600000000002</c:v>
                </c:pt>
                <c:pt idx="3773">
                  <c:v>251.0857</c:v>
                </c:pt>
                <c:pt idx="3774">
                  <c:v>150.96924999999999</c:v>
                </c:pt>
                <c:pt idx="3775">
                  <c:v>562.24126999999999</c:v>
                </c:pt>
                <c:pt idx="3776">
                  <c:v>95.349000000000004</c:v>
                </c:pt>
                <c:pt idx="3777">
                  <c:v>163.36462</c:v>
                </c:pt>
                <c:pt idx="3778">
                  <c:v>390.93090000000001</c:v>
                </c:pt>
                <c:pt idx="3779">
                  <c:v>416.35730000000001</c:v>
                </c:pt>
                <c:pt idx="3780">
                  <c:v>1541.4755</c:v>
                </c:pt>
                <c:pt idx="3781">
                  <c:v>375.99288999999999</c:v>
                </c:pt>
                <c:pt idx="3782">
                  <c:v>285.72917000000001</c:v>
                </c:pt>
                <c:pt idx="3783">
                  <c:v>190.69800000000001</c:v>
                </c:pt>
                <c:pt idx="3784">
                  <c:v>88.992400000000004</c:v>
                </c:pt>
                <c:pt idx="3785">
                  <c:v>57.209400000000002</c:v>
                </c:pt>
                <c:pt idx="3786">
                  <c:v>317.83</c:v>
                </c:pt>
                <c:pt idx="3787">
                  <c:v>114.4188</c:v>
                </c:pt>
                <c:pt idx="3788">
                  <c:v>390.93090000000001</c:v>
                </c:pt>
                <c:pt idx="3789">
                  <c:v>85.814099999999996</c:v>
                </c:pt>
                <c:pt idx="3790">
                  <c:v>130.31030000000001</c:v>
                </c:pt>
                <c:pt idx="3791">
                  <c:v>368.68279999999999</c:v>
                </c:pt>
                <c:pt idx="3792">
                  <c:v>603.87699999999995</c:v>
                </c:pt>
                <c:pt idx="3793">
                  <c:v>479.92329999999998</c:v>
                </c:pt>
                <c:pt idx="3794">
                  <c:v>387.75259999999997</c:v>
                </c:pt>
                <c:pt idx="3795">
                  <c:v>37.186109999999999</c:v>
                </c:pt>
                <c:pt idx="3796">
                  <c:v>2809.6172000000001</c:v>
                </c:pt>
                <c:pt idx="3797">
                  <c:v>775.50519999999995</c:v>
                </c:pt>
                <c:pt idx="3798">
                  <c:v>854.96270000000004</c:v>
                </c:pt>
                <c:pt idx="3799">
                  <c:v>266.97719999999998</c:v>
                </c:pt>
                <c:pt idx="3800">
                  <c:v>139.84520000000001</c:v>
                </c:pt>
                <c:pt idx="3801">
                  <c:v>282.86869999999999</c:v>
                </c:pt>
                <c:pt idx="3802">
                  <c:v>87.40325</c:v>
                </c:pt>
                <c:pt idx="3803">
                  <c:v>171.62819999999999</c:v>
                </c:pt>
                <c:pt idx="3804">
                  <c:v>98.527299999999997</c:v>
                </c:pt>
                <c:pt idx="3805">
                  <c:v>123.9537</c:v>
                </c:pt>
                <c:pt idx="3806">
                  <c:v>40.68224</c:v>
                </c:pt>
                <c:pt idx="3808">
                  <c:v>886.74570000000006</c:v>
                </c:pt>
                <c:pt idx="3809">
                  <c:v>174.8065</c:v>
                </c:pt>
                <c:pt idx="3810">
                  <c:v>394.10919999999999</c:v>
                </c:pt>
                <c:pt idx="3811">
                  <c:v>88.356740000000002</c:v>
                </c:pt>
                <c:pt idx="3812">
                  <c:v>791.39670000000001</c:v>
                </c:pt>
                <c:pt idx="3813">
                  <c:v>1652.7159999999999</c:v>
                </c:pt>
                <c:pt idx="3814">
                  <c:v>594.34209999999996</c:v>
                </c:pt>
                <c:pt idx="3815">
                  <c:v>676.97789999999998</c:v>
                </c:pt>
                <c:pt idx="3816">
                  <c:v>209.13213999999999</c:v>
                </c:pt>
                <c:pt idx="3817">
                  <c:v>2542.64</c:v>
                </c:pt>
                <c:pt idx="3818">
                  <c:v>133.48859999999999</c:v>
                </c:pt>
                <c:pt idx="3819">
                  <c:v>247.9074</c:v>
                </c:pt>
                <c:pt idx="3820">
                  <c:v>508.52800000000002</c:v>
                </c:pt>
                <c:pt idx="3821">
                  <c:v>149.3801</c:v>
                </c:pt>
                <c:pt idx="3822">
                  <c:v>1172.7927</c:v>
                </c:pt>
                <c:pt idx="3823">
                  <c:v>413.17899999999997</c:v>
                </c:pt>
                <c:pt idx="3824">
                  <c:v>161.45764</c:v>
                </c:pt>
                <c:pt idx="3825">
                  <c:v>3635.9751999999999</c:v>
                </c:pt>
                <c:pt idx="3826">
                  <c:v>95.031170000000003</c:v>
                </c:pt>
                <c:pt idx="3827">
                  <c:v>159.55065999999999</c:v>
                </c:pt>
                <c:pt idx="3828">
                  <c:v>339.76026999999999</c:v>
                </c:pt>
                <c:pt idx="3829">
                  <c:v>317.83</c:v>
                </c:pt>
                <c:pt idx="3830">
                  <c:v>290.80200000000002</c:v>
                </c:pt>
                <c:pt idx="3831">
                  <c:v>98.840999999999994</c:v>
                </c:pt>
                <c:pt idx="3832">
                  <c:v>95.344999999999999</c:v>
                </c:pt>
                <c:pt idx="3833">
                  <c:v>212.9461</c:v>
                </c:pt>
                <c:pt idx="3834">
                  <c:v>280.95</c:v>
                </c:pt>
                <c:pt idx="3835">
                  <c:v>394.10919999999999</c:v>
                </c:pt>
                <c:pt idx="3836">
                  <c:v>139.84520000000001</c:v>
                </c:pt>
                <c:pt idx="3837">
                  <c:v>270.15550000000002</c:v>
                </c:pt>
                <c:pt idx="3838">
                  <c:v>288.26</c:v>
                </c:pt>
                <c:pt idx="3839">
                  <c:v>73.100899999999996</c:v>
                </c:pt>
                <c:pt idx="3840">
                  <c:v>772.32690000000002</c:v>
                </c:pt>
                <c:pt idx="3841">
                  <c:v>151.916</c:v>
                </c:pt>
                <c:pt idx="3842">
                  <c:v>835.89290000000005</c:v>
                </c:pt>
                <c:pt idx="3843">
                  <c:v>371.86110000000002</c:v>
                </c:pt>
                <c:pt idx="3844">
                  <c:v>177.98480000000001</c:v>
                </c:pt>
                <c:pt idx="3845">
                  <c:v>225.6593</c:v>
                </c:pt>
                <c:pt idx="3846">
                  <c:v>750.39662999999996</c:v>
                </c:pt>
                <c:pt idx="3847">
                  <c:v>572.07000000000005</c:v>
                </c:pt>
                <c:pt idx="3848">
                  <c:v>1093.3352</c:v>
                </c:pt>
                <c:pt idx="3849">
                  <c:v>88.989000000000004</c:v>
                </c:pt>
                <c:pt idx="3850">
                  <c:v>375.0394</c:v>
                </c:pt>
                <c:pt idx="3851">
                  <c:v>270.15550000000002</c:v>
                </c:pt>
                <c:pt idx="3853">
                  <c:v>167.49641</c:v>
                </c:pt>
                <c:pt idx="3854">
                  <c:v>565.71400000000006</c:v>
                </c:pt>
                <c:pt idx="3855">
                  <c:v>282.53899999999999</c:v>
                </c:pt>
                <c:pt idx="3856">
                  <c:v>330.54320000000001</c:v>
                </c:pt>
                <c:pt idx="3857">
                  <c:v>607.05529999999999</c:v>
                </c:pt>
                <c:pt idx="3858">
                  <c:v>363.1</c:v>
                </c:pt>
                <c:pt idx="3860">
                  <c:v>13.1</c:v>
                </c:pt>
                <c:pt idx="3861">
                  <c:v>6.83</c:v>
                </c:pt>
                <c:pt idx="3862">
                  <c:v>254.26400000000001</c:v>
                </c:pt>
                <c:pt idx="3863">
                  <c:v>117.5971</c:v>
                </c:pt>
                <c:pt idx="3864">
                  <c:v>502.15</c:v>
                </c:pt>
                <c:pt idx="3865">
                  <c:v>524.41949999999997</c:v>
                </c:pt>
                <c:pt idx="3866">
                  <c:v>146.19999999999999</c:v>
                </c:pt>
                <c:pt idx="3867">
                  <c:v>677.61356000000001</c:v>
                </c:pt>
                <c:pt idx="3869">
                  <c:v>187.5197</c:v>
                </c:pt>
                <c:pt idx="3870">
                  <c:v>193.87629999999999</c:v>
                </c:pt>
                <c:pt idx="3871">
                  <c:v>143.02350000000001</c:v>
                </c:pt>
                <c:pt idx="3872">
                  <c:v>204.68252000000001</c:v>
                </c:pt>
                <c:pt idx="3873">
                  <c:v>308.29509999999999</c:v>
                </c:pt>
                <c:pt idx="3874">
                  <c:v>274.27600000000001</c:v>
                </c:pt>
                <c:pt idx="3875">
                  <c:v>117.5971</c:v>
                </c:pt>
                <c:pt idx="3876">
                  <c:v>174.8065</c:v>
                </c:pt>
                <c:pt idx="3877">
                  <c:v>851.78440000000001</c:v>
                </c:pt>
                <c:pt idx="3878">
                  <c:v>165.27160000000001</c:v>
                </c:pt>
                <c:pt idx="3879">
                  <c:v>117.5971</c:v>
                </c:pt>
                <c:pt idx="3880">
                  <c:v>403.94499999999999</c:v>
                </c:pt>
                <c:pt idx="3881">
                  <c:v>492.62</c:v>
                </c:pt>
                <c:pt idx="3882">
                  <c:v>746.90049999999997</c:v>
                </c:pt>
                <c:pt idx="3883">
                  <c:v>136.6669</c:v>
                </c:pt>
                <c:pt idx="3884">
                  <c:v>343.25639999999999</c:v>
                </c:pt>
                <c:pt idx="3885">
                  <c:v>92.170699999999997</c:v>
                </c:pt>
                <c:pt idx="3886">
                  <c:v>305.11680000000001</c:v>
                </c:pt>
                <c:pt idx="3887">
                  <c:v>187.512</c:v>
                </c:pt>
                <c:pt idx="3888">
                  <c:v>441.78370000000001</c:v>
                </c:pt>
                <c:pt idx="3889">
                  <c:v>731.00900000000001</c:v>
                </c:pt>
                <c:pt idx="3890">
                  <c:v>908.99379999999996</c:v>
                </c:pt>
                <c:pt idx="3891">
                  <c:v>228.83760000000001</c:v>
                </c:pt>
                <c:pt idx="3892">
                  <c:v>340.06</c:v>
                </c:pt>
                <c:pt idx="3893">
                  <c:v>292.40359999999998</c:v>
                </c:pt>
                <c:pt idx="3894">
                  <c:v>727.83069999999998</c:v>
                </c:pt>
                <c:pt idx="3895">
                  <c:v>352.79129999999998</c:v>
                </c:pt>
                <c:pt idx="3896">
                  <c:v>270.15550000000002</c:v>
                </c:pt>
                <c:pt idx="3897">
                  <c:v>807.28819999999996</c:v>
                </c:pt>
                <c:pt idx="3899">
                  <c:v>170.99253999999999</c:v>
                </c:pt>
                <c:pt idx="3900">
                  <c:v>231.69807</c:v>
                </c:pt>
                <c:pt idx="3901">
                  <c:v>371.86110000000002</c:v>
                </c:pt>
                <c:pt idx="3902">
                  <c:v>95.349000000000004</c:v>
                </c:pt>
                <c:pt idx="3903">
                  <c:v>220.565</c:v>
                </c:pt>
                <c:pt idx="3904">
                  <c:v>402.05495000000002</c:v>
                </c:pt>
                <c:pt idx="3905">
                  <c:v>133.48859999999999</c:v>
                </c:pt>
                <c:pt idx="3906">
                  <c:v>1875.1969999999999</c:v>
                </c:pt>
                <c:pt idx="3907">
                  <c:v>200.2329</c:v>
                </c:pt>
                <c:pt idx="3908">
                  <c:v>425.8922</c:v>
                </c:pt>
                <c:pt idx="3909">
                  <c:v>255.85315</c:v>
                </c:pt>
                <c:pt idx="3910">
                  <c:v>467.21010000000001</c:v>
                </c:pt>
                <c:pt idx="3911">
                  <c:v>158.91499999999999</c:v>
                </c:pt>
                <c:pt idx="3913">
                  <c:v>457.67520000000002</c:v>
                </c:pt>
                <c:pt idx="3914">
                  <c:v>152.55000000000001</c:v>
                </c:pt>
                <c:pt idx="3915">
                  <c:v>432.24880000000002</c:v>
                </c:pt>
                <c:pt idx="3916">
                  <c:v>293.03926000000001</c:v>
                </c:pt>
                <c:pt idx="3917">
                  <c:v>772.32690000000002</c:v>
                </c:pt>
                <c:pt idx="3918">
                  <c:v>2383.6</c:v>
                </c:pt>
                <c:pt idx="3919">
                  <c:v>6992</c:v>
                </c:pt>
                <c:pt idx="3920">
                  <c:v>1274.44</c:v>
                </c:pt>
                <c:pt idx="3921">
                  <c:v>355.96960000000001</c:v>
                </c:pt>
                <c:pt idx="3926">
                  <c:v>263.7989</c:v>
                </c:pt>
                <c:pt idx="3927">
                  <c:v>179.89178000000001</c:v>
                </c:pt>
                <c:pt idx="3930">
                  <c:v>2316.9807000000001</c:v>
                </c:pt>
                <c:pt idx="3931">
                  <c:v>451.3186</c:v>
                </c:pt>
                <c:pt idx="3932">
                  <c:v>378.2</c:v>
                </c:pt>
                <c:pt idx="3933">
                  <c:v>1398.452</c:v>
                </c:pt>
                <c:pt idx="3943">
                  <c:v>492.63650000000001</c:v>
                </c:pt>
                <c:pt idx="3950">
                  <c:v>4327.3599999999997</c:v>
                </c:pt>
                <c:pt idx="3958">
                  <c:v>4.82</c:v>
                </c:pt>
              </c:numCache>
            </c:numRef>
          </c:xVal>
          <c:yVal>
            <c:numRef>
              <c:f>'static-exo'!$M$2:$M$3973</c:f>
              <c:numCache>
                <c:formatCode>General</c:formatCode>
                <c:ptCount val="3972"/>
                <c:pt idx="11">
                  <c:v>16.140999999999998</c:v>
                </c:pt>
                <c:pt idx="15">
                  <c:v>10.31</c:v>
                </c:pt>
                <c:pt idx="28">
                  <c:v>1.91</c:v>
                </c:pt>
                <c:pt idx="48">
                  <c:v>2.5779999999999998</c:v>
                </c:pt>
                <c:pt idx="62">
                  <c:v>24.66</c:v>
                </c:pt>
                <c:pt idx="63">
                  <c:v>16.7</c:v>
                </c:pt>
                <c:pt idx="64">
                  <c:v>10.87</c:v>
                </c:pt>
                <c:pt idx="65">
                  <c:v>16.03</c:v>
                </c:pt>
                <c:pt idx="66">
                  <c:v>16.14</c:v>
                </c:pt>
                <c:pt idx="67">
                  <c:v>9.92</c:v>
                </c:pt>
                <c:pt idx="68">
                  <c:v>12.22</c:v>
                </c:pt>
                <c:pt idx="69">
                  <c:v>13.11</c:v>
                </c:pt>
                <c:pt idx="70">
                  <c:v>11.43</c:v>
                </c:pt>
                <c:pt idx="71">
                  <c:v>14.68</c:v>
                </c:pt>
                <c:pt idx="72">
                  <c:v>14.46</c:v>
                </c:pt>
                <c:pt idx="73">
                  <c:v>16.431999999999999</c:v>
                </c:pt>
                <c:pt idx="76">
                  <c:v>14.571999999999999</c:v>
                </c:pt>
                <c:pt idx="77">
                  <c:v>4.88</c:v>
                </c:pt>
                <c:pt idx="78">
                  <c:v>11.77</c:v>
                </c:pt>
                <c:pt idx="79">
                  <c:v>3.7</c:v>
                </c:pt>
                <c:pt idx="80">
                  <c:v>5</c:v>
                </c:pt>
                <c:pt idx="81">
                  <c:v>12.11</c:v>
                </c:pt>
                <c:pt idx="82">
                  <c:v>14.12</c:v>
                </c:pt>
                <c:pt idx="83">
                  <c:v>11.287000000000001</c:v>
                </c:pt>
                <c:pt idx="84">
                  <c:v>10.705</c:v>
                </c:pt>
                <c:pt idx="85">
                  <c:v>10.087999999999999</c:v>
                </c:pt>
                <c:pt idx="86">
                  <c:v>11.32</c:v>
                </c:pt>
                <c:pt idx="87">
                  <c:v>13.34</c:v>
                </c:pt>
                <c:pt idx="88">
                  <c:v>15.558</c:v>
                </c:pt>
                <c:pt idx="89">
                  <c:v>13.068</c:v>
                </c:pt>
                <c:pt idx="90">
                  <c:v>1.681</c:v>
                </c:pt>
                <c:pt idx="92">
                  <c:v>6.39</c:v>
                </c:pt>
                <c:pt idx="93">
                  <c:v>11.949</c:v>
                </c:pt>
                <c:pt idx="94">
                  <c:v>6.3890000000000002</c:v>
                </c:pt>
                <c:pt idx="98">
                  <c:v>1.98</c:v>
                </c:pt>
                <c:pt idx="99">
                  <c:v>5.76</c:v>
                </c:pt>
                <c:pt idx="100">
                  <c:v>1.82</c:v>
                </c:pt>
                <c:pt idx="101">
                  <c:v>2.73</c:v>
                </c:pt>
                <c:pt idx="102">
                  <c:v>11.781000000000001</c:v>
                </c:pt>
                <c:pt idx="109">
                  <c:v>2.847</c:v>
                </c:pt>
                <c:pt idx="111">
                  <c:v>2.61</c:v>
                </c:pt>
                <c:pt idx="132">
                  <c:v>4.57</c:v>
                </c:pt>
                <c:pt idx="141">
                  <c:v>4.17</c:v>
                </c:pt>
                <c:pt idx="170">
                  <c:v>1.62</c:v>
                </c:pt>
                <c:pt idx="171">
                  <c:v>1.2689999999999999</c:v>
                </c:pt>
                <c:pt idx="172">
                  <c:v>2.0699999999999998</c:v>
                </c:pt>
                <c:pt idx="173">
                  <c:v>33.6</c:v>
                </c:pt>
                <c:pt idx="175">
                  <c:v>14.179</c:v>
                </c:pt>
                <c:pt idx="178">
                  <c:v>14.785</c:v>
                </c:pt>
                <c:pt idx="179">
                  <c:v>4.3600000000000003</c:v>
                </c:pt>
                <c:pt idx="181">
                  <c:v>10.749000000000001</c:v>
                </c:pt>
                <c:pt idx="182">
                  <c:v>14.257999999999999</c:v>
                </c:pt>
                <c:pt idx="184">
                  <c:v>15.917</c:v>
                </c:pt>
                <c:pt idx="185">
                  <c:v>11.882</c:v>
                </c:pt>
                <c:pt idx="186">
                  <c:v>14.448</c:v>
                </c:pt>
                <c:pt idx="187">
                  <c:v>11.769</c:v>
                </c:pt>
                <c:pt idx="189">
                  <c:v>11.153</c:v>
                </c:pt>
                <c:pt idx="190">
                  <c:v>12.689</c:v>
                </c:pt>
                <c:pt idx="192">
                  <c:v>9.718</c:v>
                </c:pt>
                <c:pt idx="193">
                  <c:v>12.442</c:v>
                </c:pt>
                <c:pt idx="194">
                  <c:v>12.89</c:v>
                </c:pt>
                <c:pt idx="195">
                  <c:v>12.218</c:v>
                </c:pt>
                <c:pt idx="196">
                  <c:v>14.571999999999999</c:v>
                </c:pt>
                <c:pt idx="197">
                  <c:v>12.722</c:v>
                </c:pt>
                <c:pt idx="198">
                  <c:v>7.0620000000000003</c:v>
                </c:pt>
                <c:pt idx="199">
                  <c:v>11.43</c:v>
                </c:pt>
                <c:pt idx="200">
                  <c:v>13.585000000000001</c:v>
                </c:pt>
                <c:pt idx="201">
                  <c:v>13.115</c:v>
                </c:pt>
                <c:pt idx="202">
                  <c:v>10.536</c:v>
                </c:pt>
                <c:pt idx="203">
                  <c:v>16.140999999999998</c:v>
                </c:pt>
                <c:pt idx="204">
                  <c:v>12.218</c:v>
                </c:pt>
                <c:pt idx="205">
                  <c:v>19.616</c:v>
                </c:pt>
                <c:pt idx="206">
                  <c:v>20.736999999999998</c:v>
                </c:pt>
                <c:pt idx="207">
                  <c:v>15.132</c:v>
                </c:pt>
                <c:pt idx="208">
                  <c:v>39.792000000000002</c:v>
                </c:pt>
                <c:pt idx="209">
                  <c:v>12.89</c:v>
                </c:pt>
                <c:pt idx="210">
                  <c:v>13.204000000000001</c:v>
                </c:pt>
                <c:pt idx="211">
                  <c:v>9.2469999999999999</c:v>
                </c:pt>
                <c:pt idx="212">
                  <c:v>17.609000000000002</c:v>
                </c:pt>
                <c:pt idx="213">
                  <c:v>14.28</c:v>
                </c:pt>
                <c:pt idx="214">
                  <c:v>17.038</c:v>
                </c:pt>
                <c:pt idx="215">
                  <c:v>22.978000000000002</c:v>
                </c:pt>
                <c:pt idx="216">
                  <c:v>14.348000000000001</c:v>
                </c:pt>
                <c:pt idx="217">
                  <c:v>14.359</c:v>
                </c:pt>
                <c:pt idx="218">
                  <c:v>13.922000000000001</c:v>
                </c:pt>
                <c:pt idx="220">
                  <c:v>15.984</c:v>
                </c:pt>
                <c:pt idx="221">
                  <c:v>14.391999999999999</c:v>
                </c:pt>
                <c:pt idx="222">
                  <c:v>17.821999999999999</c:v>
                </c:pt>
                <c:pt idx="223">
                  <c:v>13.563000000000001</c:v>
                </c:pt>
                <c:pt idx="224">
                  <c:v>14.436999999999999</c:v>
                </c:pt>
                <c:pt idx="225">
                  <c:v>14.493</c:v>
                </c:pt>
                <c:pt idx="226">
                  <c:v>11.31</c:v>
                </c:pt>
                <c:pt idx="227">
                  <c:v>14.773</c:v>
                </c:pt>
                <c:pt idx="228">
                  <c:v>10.581</c:v>
                </c:pt>
                <c:pt idx="229">
                  <c:v>13.249000000000001</c:v>
                </c:pt>
                <c:pt idx="230">
                  <c:v>16.925999999999998</c:v>
                </c:pt>
                <c:pt idx="231">
                  <c:v>19.504000000000001</c:v>
                </c:pt>
                <c:pt idx="232">
                  <c:v>16.588999999999999</c:v>
                </c:pt>
                <c:pt idx="233">
                  <c:v>21.184999999999999</c:v>
                </c:pt>
                <c:pt idx="234">
                  <c:v>17.821999999999999</c:v>
                </c:pt>
                <c:pt idx="235">
                  <c:v>23.370999999999999</c:v>
                </c:pt>
                <c:pt idx="236">
                  <c:v>16.925999999999998</c:v>
                </c:pt>
                <c:pt idx="237">
                  <c:v>15.693</c:v>
                </c:pt>
                <c:pt idx="238">
                  <c:v>15.69</c:v>
                </c:pt>
                <c:pt idx="239">
                  <c:v>14.593999999999999</c:v>
                </c:pt>
                <c:pt idx="240">
                  <c:v>10.862</c:v>
                </c:pt>
                <c:pt idx="241">
                  <c:v>18.03</c:v>
                </c:pt>
                <c:pt idx="242">
                  <c:v>7.76</c:v>
                </c:pt>
                <c:pt idx="243">
                  <c:v>13.585000000000001</c:v>
                </c:pt>
                <c:pt idx="244">
                  <c:v>11.646000000000001</c:v>
                </c:pt>
                <c:pt idx="245">
                  <c:v>12.385999999999999</c:v>
                </c:pt>
                <c:pt idx="246">
                  <c:v>14.571999999999999</c:v>
                </c:pt>
                <c:pt idx="247">
                  <c:v>8.7089999999999996</c:v>
                </c:pt>
                <c:pt idx="248">
                  <c:v>14.986000000000001</c:v>
                </c:pt>
                <c:pt idx="249">
                  <c:v>13.092000000000001</c:v>
                </c:pt>
                <c:pt idx="250">
                  <c:v>10.682</c:v>
                </c:pt>
                <c:pt idx="251">
                  <c:v>20.849</c:v>
                </c:pt>
                <c:pt idx="252">
                  <c:v>16.667999999999999</c:v>
                </c:pt>
                <c:pt idx="253">
                  <c:v>14.122999999999999</c:v>
                </c:pt>
                <c:pt idx="254">
                  <c:v>19.616</c:v>
                </c:pt>
                <c:pt idx="255">
                  <c:v>16.814</c:v>
                </c:pt>
                <c:pt idx="256">
                  <c:v>13.384</c:v>
                </c:pt>
                <c:pt idx="257">
                  <c:v>14.022</c:v>
                </c:pt>
                <c:pt idx="258">
                  <c:v>15.48</c:v>
                </c:pt>
                <c:pt idx="259">
                  <c:v>13.170999999999999</c:v>
                </c:pt>
                <c:pt idx="260">
                  <c:v>18.382999999999999</c:v>
                </c:pt>
                <c:pt idx="261">
                  <c:v>14</c:v>
                </c:pt>
                <c:pt idx="262">
                  <c:v>13.787000000000001</c:v>
                </c:pt>
                <c:pt idx="263">
                  <c:v>16.029</c:v>
                </c:pt>
                <c:pt idx="264">
                  <c:v>16.41</c:v>
                </c:pt>
                <c:pt idx="265">
                  <c:v>12.92</c:v>
                </c:pt>
                <c:pt idx="266">
                  <c:v>17.597999999999999</c:v>
                </c:pt>
                <c:pt idx="267">
                  <c:v>11.433</c:v>
                </c:pt>
                <c:pt idx="268">
                  <c:v>17.71</c:v>
                </c:pt>
                <c:pt idx="269">
                  <c:v>14.907999999999999</c:v>
                </c:pt>
                <c:pt idx="270">
                  <c:v>15.693</c:v>
                </c:pt>
                <c:pt idx="271">
                  <c:v>13.227</c:v>
                </c:pt>
                <c:pt idx="272">
                  <c:v>11.96</c:v>
                </c:pt>
                <c:pt idx="273">
                  <c:v>14.414999999999999</c:v>
                </c:pt>
                <c:pt idx="274">
                  <c:v>10.122</c:v>
                </c:pt>
                <c:pt idx="275">
                  <c:v>10.223000000000001</c:v>
                </c:pt>
                <c:pt idx="276">
                  <c:v>12.666</c:v>
                </c:pt>
                <c:pt idx="277">
                  <c:v>15.805</c:v>
                </c:pt>
                <c:pt idx="278">
                  <c:v>15.491</c:v>
                </c:pt>
                <c:pt idx="279">
                  <c:v>15.02</c:v>
                </c:pt>
                <c:pt idx="280">
                  <c:v>12.621</c:v>
                </c:pt>
                <c:pt idx="282">
                  <c:v>11.186999999999999</c:v>
                </c:pt>
                <c:pt idx="283">
                  <c:v>12.923999999999999</c:v>
                </c:pt>
                <c:pt idx="284">
                  <c:v>13.395</c:v>
                </c:pt>
                <c:pt idx="285">
                  <c:v>11.824999999999999</c:v>
                </c:pt>
                <c:pt idx="286">
                  <c:v>13.529</c:v>
                </c:pt>
                <c:pt idx="287">
                  <c:v>18.82</c:v>
                </c:pt>
                <c:pt idx="288">
                  <c:v>16.824999999999999</c:v>
                </c:pt>
                <c:pt idx="289">
                  <c:v>15.816000000000001</c:v>
                </c:pt>
                <c:pt idx="290">
                  <c:v>18.887</c:v>
                </c:pt>
                <c:pt idx="291">
                  <c:v>13.808999999999999</c:v>
                </c:pt>
                <c:pt idx="292">
                  <c:v>10.593</c:v>
                </c:pt>
                <c:pt idx="293">
                  <c:v>6.3109999999999999</c:v>
                </c:pt>
                <c:pt idx="294">
                  <c:v>15.513</c:v>
                </c:pt>
                <c:pt idx="295">
                  <c:v>9.7850000000000001</c:v>
                </c:pt>
                <c:pt idx="296">
                  <c:v>13.85</c:v>
                </c:pt>
                <c:pt idx="297">
                  <c:v>77.341999999999999</c:v>
                </c:pt>
                <c:pt idx="324">
                  <c:v>2.3199999999999998</c:v>
                </c:pt>
                <c:pt idx="325">
                  <c:v>4.3099999999999996</c:v>
                </c:pt>
                <c:pt idx="362">
                  <c:v>2.63</c:v>
                </c:pt>
                <c:pt idx="405">
                  <c:v>11.5</c:v>
                </c:pt>
                <c:pt idx="436">
                  <c:v>8.2949999999999999</c:v>
                </c:pt>
                <c:pt idx="442">
                  <c:v>1.64</c:v>
                </c:pt>
                <c:pt idx="443">
                  <c:v>2.39</c:v>
                </c:pt>
                <c:pt idx="494">
                  <c:v>12.33</c:v>
                </c:pt>
                <c:pt idx="526">
                  <c:v>12.666</c:v>
                </c:pt>
                <c:pt idx="549">
                  <c:v>17.318000000000001</c:v>
                </c:pt>
                <c:pt idx="574">
                  <c:v>15.581</c:v>
                </c:pt>
                <c:pt idx="599">
                  <c:v>0.89200000000000002</c:v>
                </c:pt>
                <c:pt idx="604">
                  <c:v>1.6020000000000001</c:v>
                </c:pt>
                <c:pt idx="605">
                  <c:v>1.5109999999999999</c:v>
                </c:pt>
                <c:pt idx="606">
                  <c:v>1.61</c:v>
                </c:pt>
                <c:pt idx="607">
                  <c:v>1.31</c:v>
                </c:pt>
                <c:pt idx="611">
                  <c:v>4.71</c:v>
                </c:pt>
                <c:pt idx="619">
                  <c:v>9.17</c:v>
                </c:pt>
                <c:pt idx="667">
                  <c:v>1.7</c:v>
                </c:pt>
                <c:pt idx="668">
                  <c:v>2.86</c:v>
                </c:pt>
                <c:pt idx="792">
                  <c:v>11.994</c:v>
                </c:pt>
                <c:pt idx="813">
                  <c:v>7.3979999999999997</c:v>
                </c:pt>
                <c:pt idx="832">
                  <c:v>2.3540000000000001</c:v>
                </c:pt>
                <c:pt idx="844">
                  <c:v>2.4660000000000002</c:v>
                </c:pt>
                <c:pt idx="850">
                  <c:v>2.9</c:v>
                </c:pt>
                <c:pt idx="851">
                  <c:v>2.56</c:v>
                </c:pt>
                <c:pt idx="852">
                  <c:v>3.96</c:v>
                </c:pt>
                <c:pt idx="853">
                  <c:v>5.51</c:v>
                </c:pt>
                <c:pt idx="854">
                  <c:v>10.199999999999999</c:v>
                </c:pt>
                <c:pt idx="865">
                  <c:v>16.814</c:v>
                </c:pt>
                <c:pt idx="878">
                  <c:v>11.776999999999999</c:v>
                </c:pt>
                <c:pt idx="879">
                  <c:v>12.442</c:v>
                </c:pt>
                <c:pt idx="881">
                  <c:v>13</c:v>
                </c:pt>
                <c:pt idx="882">
                  <c:v>13</c:v>
                </c:pt>
                <c:pt idx="883">
                  <c:v>13</c:v>
                </c:pt>
                <c:pt idx="886">
                  <c:v>3.84</c:v>
                </c:pt>
                <c:pt idx="887">
                  <c:v>3.59</c:v>
                </c:pt>
                <c:pt idx="888">
                  <c:v>2</c:v>
                </c:pt>
                <c:pt idx="889">
                  <c:v>1.3</c:v>
                </c:pt>
                <c:pt idx="890">
                  <c:v>1.96</c:v>
                </c:pt>
                <c:pt idx="891">
                  <c:v>3.37</c:v>
                </c:pt>
                <c:pt idx="892">
                  <c:v>15.98</c:v>
                </c:pt>
                <c:pt idx="893">
                  <c:v>5.33</c:v>
                </c:pt>
                <c:pt idx="894">
                  <c:v>7.55</c:v>
                </c:pt>
                <c:pt idx="895">
                  <c:v>2.56</c:v>
                </c:pt>
                <c:pt idx="896">
                  <c:v>1.9</c:v>
                </c:pt>
                <c:pt idx="897">
                  <c:v>12.14</c:v>
                </c:pt>
                <c:pt idx="898">
                  <c:v>10.67</c:v>
                </c:pt>
                <c:pt idx="899">
                  <c:v>12.06</c:v>
                </c:pt>
                <c:pt idx="900">
                  <c:v>0.69</c:v>
                </c:pt>
                <c:pt idx="901">
                  <c:v>2.0299999999999998</c:v>
                </c:pt>
                <c:pt idx="902">
                  <c:v>2.06</c:v>
                </c:pt>
                <c:pt idx="903">
                  <c:v>2.54</c:v>
                </c:pt>
                <c:pt idx="904">
                  <c:v>2.5299999999999998</c:v>
                </c:pt>
                <c:pt idx="905">
                  <c:v>2.33</c:v>
                </c:pt>
                <c:pt idx="906">
                  <c:v>2.0099999999999998</c:v>
                </c:pt>
                <c:pt idx="907">
                  <c:v>7.5</c:v>
                </c:pt>
                <c:pt idx="908">
                  <c:v>1.21</c:v>
                </c:pt>
                <c:pt idx="909">
                  <c:v>2.76</c:v>
                </c:pt>
                <c:pt idx="910">
                  <c:v>2.9</c:v>
                </c:pt>
                <c:pt idx="911">
                  <c:v>2.1800000000000002</c:v>
                </c:pt>
                <c:pt idx="912">
                  <c:v>1.97</c:v>
                </c:pt>
                <c:pt idx="913">
                  <c:v>8.3699999999999992</c:v>
                </c:pt>
                <c:pt idx="914">
                  <c:v>1.42</c:v>
                </c:pt>
                <c:pt idx="915">
                  <c:v>1.04</c:v>
                </c:pt>
                <c:pt idx="916">
                  <c:v>1.89</c:v>
                </c:pt>
                <c:pt idx="917">
                  <c:v>1.25</c:v>
                </c:pt>
                <c:pt idx="918">
                  <c:v>1.7</c:v>
                </c:pt>
                <c:pt idx="919">
                  <c:v>14.571999999999999</c:v>
                </c:pt>
                <c:pt idx="920">
                  <c:v>1.34</c:v>
                </c:pt>
                <c:pt idx="921">
                  <c:v>1.603</c:v>
                </c:pt>
                <c:pt idx="922">
                  <c:v>2.0030000000000001</c:v>
                </c:pt>
                <c:pt idx="923">
                  <c:v>1.73</c:v>
                </c:pt>
                <c:pt idx="924">
                  <c:v>0.99</c:v>
                </c:pt>
                <c:pt idx="925">
                  <c:v>2.91</c:v>
                </c:pt>
                <c:pt idx="926">
                  <c:v>1.45</c:v>
                </c:pt>
                <c:pt idx="927">
                  <c:v>0.89</c:v>
                </c:pt>
                <c:pt idx="928">
                  <c:v>1.57</c:v>
                </c:pt>
                <c:pt idx="929">
                  <c:v>2.52</c:v>
                </c:pt>
                <c:pt idx="930">
                  <c:v>2.66</c:v>
                </c:pt>
                <c:pt idx="931">
                  <c:v>3.29</c:v>
                </c:pt>
                <c:pt idx="932">
                  <c:v>2.81</c:v>
                </c:pt>
                <c:pt idx="933">
                  <c:v>9.11</c:v>
                </c:pt>
                <c:pt idx="934">
                  <c:v>4.8099999999999996</c:v>
                </c:pt>
                <c:pt idx="935">
                  <c:v>12.25</c:v>
                </c:pt>
                <c:pt idx="936">
                  <c:v>1.51</c:v>
                </c:pt>
                <c:pt idx="937">
                  <c:v>7</c:v>
                </c:pt>
                <c:pt idx="938">
                  <c:v>2.15</c:v>
                </c:pt>
                <c:pt idx="939">
                  <c:v>1.38</c:v>
                </c:pt>
                <c:pt idx="940">
                  <c:v>1.33</c:v>
                </c:pt>
                <c:pt idx="941">
                  <c:v>1.73</c:v>
                </c:pt>
                <c:pt idx="942">
                  <c:v>1.64</c:v>
                </c:pt>
                <c:pt idx="943">
                  <c:v>1.64</c:v>
                </c:pt>
                <c:pt idx="944">
                  <c:v>2.48</c:v>
                </c:pt>
                <c:pt idx="945">
                  <c:v>2</c:v>
                </c:pt>
                <c:pt idx="946">
                  <c:v>1.49</c:v>
                </c:pt>
                <c:pt idx="947">
                  <c:v>2.29</c:v>
                </c:pt>
                <c:pt idx="948">
                  <c:v>2</c:v>
                </c:pt>
                <c:pt idx="949">
                  <c:v>1.99</c:v>
                </c:pt>
                <c:pt idx="950">
                  <c:v>2.0699999999999998</c:v>
                </c:pt>
                <c:pt idx="951">
                  <c:v>1.8</c:v>
                </c:pt>
                <c:pt idx="952">
                  <c:v>2.6</c:v>
                </c:pt>
                <c:pt idx="953">
                  <c:v>1.9</c:v>
                </c:pt>
                <c:pt idx="954">
                  <c:v>1.1499999999999999</c:v>
                </c:pt>
                <c:pt idx="955">
                  <c:v>1.0549999999999999</c:v>
                </c:pt>
                <c:pt idx="956">
                  <c:v>2.64</c:v>
                </c:pt>
                <c:pt idx="957">
                  <c:v>1.28</c:v>
                </c:pt>
                <c:pt idx="958">
                  <c:v>2.2599999999999998</c:v>
                </c:pt>
                <c:pt idx="959">
                  <c:v>2.02</c:v>
                </c:pt>
                <c:pt idx="960">
                  <c:v>2.54</c:v>
                </c:pt>
                <c:pt idx="961">
                  <c:v>3.1779999999999999</c:v>
                </c:pt>
                <c:pt idx="962">
                  <c:v>6.117</c:v>
                </c:pt>
                <c:pt idx="963">
                  <c:v>1.44</c:v>
                </c:pt>
                <c:pt idx="964">
                  <c:v>2.4660000000000002</c:v>
                </c:pt>
                <c:pt idx="965">
                  <c:v>3.2490000000000001</c:v>
                </c:pt>
                <c:pt idx="966">
                  <c:v>1.274</c:v>
                </c:pt>
                <c:pt idx="967">
                  <c:v>1.554</c:v>
                </c:pt>
                <c:pt idx="968">
                  <c:v>2.6480000000000001</c:v>
                </c:pt>
                <c:pt idx="969">
                  <c:v>2.19</c:v>
                </c:pt>
                <c:pt idx="970">
                  <c:v>2.819</c:v>
                </c:pt>
                <c:pt idx="971">
                  <c:v>2.1440000000000001</c:v>
                </c:pt>
                <c:pt idx="972">
                  <c:v>1.2729999999999999</c:v>
                </c:pt>
                <c:pt idx="973">
                  <c:v>2.23</c:v>
                </c:pt>
                <c:pt idx="974">
                  <c:v>1.4179999999999999</c:v>
                </c:pt>
                <c:pt idx="975">
                  <c:v>1.802</c:v>
                </c:pt>
                <c:pt idx="976">
                  <c:v>2.6869999999999998</c:v>
                </c:pt>
                <c:pt idx="977">
                  <c:v>1.6659999999999999</c:v>
                </c:pt>
                <c:pt idx="978">
                  <c:v>3.206</c:v>
                </c:pt>
                <c:pt idx="979">
                  <c:v>1.6080000000000001</c:v>
                </c:pt>
                <c:pt idx="980">
                  <c:v>2.6</c:v>
                </c:pt>
                <c:pt idx="981">
                  <c:v>2.0379999999999998</c:v>
                </c:pt>
                <c:pt idx="982">
                  <c:v>1.4910000000000001</c:v>
                </c:pt>
                <c:pt idx="983">
                  <c:v>2.1160000000000001</c:v>
                </c:pt>
                <c:pt idx="984">
                  <c:v>3.5579999999999998</c:v>
                </c:pt>
                <c:pt idx="985">
                  <c:v>2.5129999999999999</c:v>
                </c:pt>
                <c:pt idx="986">
                  <c:v>2.37</c:v>
                </c:pt>
                <c:pt idx="988">
                  <c:v>2.31</c:v>
                </c:pt>
                <c:pt idx="989">
                  <c:v>2.84</c:v>
                </c:pt>
                <c:pt idx="990">
                  <c:v>2.76</c:v>
                </c:pt>
                <c:pt idx="991">
                  <c:v>2.5990000000000002</c:v>
                </c:pt>
                <c:pt idx="992">
                  <c:v>2.87</c:v>
                </c:pt>
                <c:pt idx="993">
                  <c:v>2.86</c:v>
                </c:pt>
                <c:pt idx="994">
                  <c:v>1.55</c:v>
                </c:pt>
                <c:pt idx="995">
                  <c:v>1.3129999999999999</c:v>
                </c:pt>
                <c:pt idx="996">
                  <c:v>3.1720000000000002</c:v>
                </c:pt>
                <c:pt idx="997">
                  <c:v>1.3</c:v>
                </c:pt>
                <c:pt idx="998">
                  <c:v>1.8</c:v>
                </c:pt>
                <c:pt idx="999">
                  <c:v>3.17</c:v>
                </c:pt>
                <c:pt idx="1000">
                  <c:v>2.38</c:v>
                </c:pt>
                <c:pt idx="1001">
                  <c:v>1.35</c:v>
                </c:pt>
                <c:pt idx="1002">
                  <c:v>2.83</c:v>
                </c:pt>
                <c:pt idx="1003">
                  <c:v>1.52</c:v>
                </c:pt>
                <c:pt idx="1004">
                  <c:v>2.5</c:v>
                </c:pt>
                <c:pt idx="1005">
                  <c:v>7.74</c:v>
                </c:pt>
                <c:pt idx="1006">
                  <c:v>4.8600000000000003</c:v>
                </c:pt>
                <c:pt idx="1007">
                  <c:v>1.1399999999999999</c:v>
                </c:pt>
                <c:pt idx="1008">
                  <c:v>1.357</c:v>
                </c:pt>
                <c:pt idx="1009">
                  <c:v>1.093</c:v>
                </c:pt>
                <c:pt idx="1010">
                  <c:v>1.579</c:v>
                </c:pt>
                <c:pt idx="1011">
                  <c:v>1.52</c:v>
                </c:pt>
                <c:pt idx="1012">
                  <c:v>3.95</c:v>
                </c:pt>
                <c:pt idx="1013">
                  <c:v>3.6419999999999999</c:v>
                </c:pt>
                <c:pt idx="1014">
                  <c:v>3.13</c:v>
                </c:pt>
                <c:pt idx="1015">
                  <c:v>2.5760000000000001</c:v>
                </c:pt>
                <c:pt idx="1016">
                  <c:v>3.6</c:v>
                </c:pt>
                <c:pt idx="1017">
                  <c:v>2.56</c:v>
                </c:pt>
                <c:pt idx="1018">
                  <c:v>4.1189999999999998</c:v>
                </c:pt>
                <c:pt idx="1019">
                  <c:v>1.87</c:v>
                </c:pt>
                <c:pt idx="1020">
                  <c:v>2.78</c:v>
                </c:pt>
                <c:pt idx="1021">
                  <c:v>1.3640000000000001</c:v>
                </c:pt>
                <c:pt idx="1022">
                  <c:v>1.4</c:v>
                </c:pt>
                <c:pt idx="1023">
                  <c:v>3.286</c:v>
                </c:pt>
                <c:pt idx="1024">
                  <c:v>2.302</c:v>
                </c:pt>
                <c:pt idx="1025">
                  <c:v>1.371</c:v>
                </c:pt>
                <c:pt idx="1026">
                  <c:v>3.0459999999999998</c:v>
                </c:pt>
                <c:pt idx="1027">
                  <c:v>1.996</c:v>
                </c:pt>
                <c:pt idx="1028">
                  <c:v>2.7949999999999999</c:v>
                </c:pt>
                <c:pt idx="1029">
                  <c:v>2.6059999999999999</c:v>
                </c:pt>
                <c:pt idx="1030">
                  <c:v>1.679</c:v>
                </c:pt>
                <c:pt idx="1031">
                  <c:v>0.86899999999999999</c:v>
                </c:pt>
                <c:pt idx="1032">
                  <c:v>1.84</c:v>
                </c:pt>
                <c:pt idx="1033">
                  <c:v>2.4900000000000002</c:v>
                </c:pt>
                <c:pt idx="1034">
                  <c:v>0.81899999999999995</c:v>
                </c:pt>
                <c:pt idx="1035">
                  <c:v>1.375</c:v>
                </c:pt>
                <c:pt idx="1036">
                  <c:v>2.52</c:v>
                </c:pt>
                <c:pt idx="1037">
                  <c:v>1.514</c:v>
                </c:pt>
                <c:pt idx="1038">
                  <c:v>2.4300000000000002</c:v>
                </c:pt>
                <c:pt idx="1039">
                  <c:v>2.1240000000000001</c:v>
                </c:pt>
                <c:pt idx="1040">
                  <c:v>1.75</c:v>
                </c:pt>
                <c:pt idx="1041">
                  <c:v>3.5790000000000002</c:v>
                </c:pt>
                <c:pt idx="1042">
                  <c:v>2.569</c:v>
                </c:pt>
                <c:pt idx="1043">
                  <c:v>1.3480000000000001</c:v>
                </c:pt>
                <c:pt idx="1044">
                  <c:v>1.4379999999999999</c:v>
                </c:pt>
                <c:pt idx="1045">
                  <c:v>2.5760000000000001</c:v>
                </c:pt>
                <c:pt idx="1046">
                  <c:v>2.5</c:v>
                </c:pt>
                <c:pt idx="1047">
                  <c:v>2.39</c:v>
                </c:pt>
                <c:pt idx="1048">
                  <c:v>1.679</c:v>
                </c:pt>
                <c:pt idx="1049">
                  <c:v>2.39</c:v>
                </c:pt>
                <c:pt idx="1050">
                  <c:v>0.89</c:v>
                </c:pt>
                <c:pt idx="1051">
                  <c:v>1.57</c:v>
                </c:pt>
                <c:pt idx="1052">
                  <c:v>1.56</c:v>
                </c:pt>
                <c:pt idx="1053">
                  <c:v>2.41</c:v>
                </c:pt>
                <c:pt idx="1054">
                  <c:v>3.49</c:v>
                </c:pt>
                <c:pt idx="1055">
                  <c:v>1.54</c:v>
                </c:pt>
                <c:pt idx="1056">
                  <c:v>1.6659999999999999</c:v>
                </c:pt>
                <c:pt idx="1057">
                  <c:v>1.21</c:v>
                </c:pt>
                <c:pt idx="1058">
                  <c:v>1.1399999999999999</c:v>
                </c:pt>
                <c:pt idx="1059">
                  <c:v>2.0299999999999998</c:v>
                </c:pt>
                <c:pt idx="1060">
                  <c:v>1.96</c:v>
                </c:pt>
                <c:pt idx="1061">
                  <c:v>2.5</c:v>
                </c:pt>
                <c:pt idx="1062">
                  <c:v>11.209</c:v>
                </c:pt>
                <c:pt idx="1063">
                  <c:v>1.3979999999999999</c:v>
                </c:pt>
                <c:pt idx="1064">
                  <c:v>1.335</c:v>
                </c:pt>
                <c:pt idx="1065">
                  <c:v>2.64</c:v>
                </c:pt>
                <c:pt idx="1066">
                  <c:v>18.405000000000001</c:v>
                </c:pt>
                <c:pt idx="1067">
                  <c:v>14.571999999999999</c:v>
                </c:pt>
                <c:pt idx="1068">
                  <c:v>1.1000000000000001</c:v>
                </c:pt>
                <c:pt idx="1069">
                  <c:v>1</c:v>
                </c:pt>
                <c:pt idx="1070">
                  <c:v>1.1000000000000001</c:v>
                </c:pt>
                <c:pt idx="1071">
                  <c:v>5.4</c:v>
                </c:pt>
                <c:pt idx="1072">
                  <c:v>7.5</c:v>
                </c:pt>
                <c:pt idx="1073">
                  <c:v>2</c:v>
                </c:pt>
                <c:pt idx="1074">
                  <c:v>1.8</c:v>
                </c:pt>
                <c:pt idx="1075">
                  <c:v>2.5499999999999998</c:v>
                </c:pt>
                <c:pt idx="1076">
                  <c:v>2.54</c:v>
                </c:pt>
                <c:pt idx="1077">
                  <c:v>2.17</c:v>
                </c:pt>
                <c:pt idx="1078">
                  <c:v>2.0099999999999998</c:v>
                </c:pt>
                <c:pt idx="1079">
                  <c:v>1.75</c:v>
                </c:pt>
                <c:pt idx="1080">
                  <c:v>4.34</c:v>
                </c:pt>
                <c:pt idx="1081">
                  <c:v>3.49</c:v>
                </c:pt>
                <c:pt idx="1082">
                  <c:v>2.12</c:v>
                </c:pt>
                <c:pt idx="1083">
                  <c:v>2.19</c:v>
                </c:pt>
                <c:pt idx="1084">
                  <c:v>2.57</c:v>
                </c:pt>
                <c:pt idx="1085">
                  <c:v>2.79</c:v>
                </c:pt>
                <c:pt idx="1086">
                  <c:v>3.43</c:v>
                </c:pt>
                <c:pt idx="1087">
                  <c:v>2.44</c:v>
                </c:pt>
                <c:pt idx="1088">
                  <c:v>2.35</c:v>
                </c:pt>
                <c:pt idx="1089">
                  <c:v>1.74</c:v>
                </c:pt>
                <c:pt idx="1090">
                  <c:v>12.67</c:v>
                </c:pt>
                <c:pt idx="1091">
                  <c:v>1.63</c:v>
                </c:pt>
                <c:pt idx="1092">
                  <c:v>2.19</c:v>
                </c:pt>
                <c:pt idx="1093">
                  <c:v>2.9</c:v>
                </c:pt>
                <c:pt idx="1094">
                  <c:v>2.63</c:v>
                </c:pt>
                <c:pt idx="1095">
                  <c:v>0.83</c:v>
                </c:pt>
                <c:pt idx="1096">
                  <c:v>3</c:v>
                </c:pt>
                <c:pt idx="1097">
                  <c:v>2.3199999999999998</c:v>
                </c:pt>
                <c:pt idx="1098">
                  <c:v>2.67</c:v>
                </c:pt>
                <c:pt idx="1099">
                  <c:v>17.396000000000001</c:v>
                </c:pt>
                <c:pt idx="1100">
                  <c:v>9.5280000000000005</c:v>
                </c:pt>
                <c:pt idx="1101">
                  <c:v>2.41</c:v>
                </c:pt>
                <c:pt idx="1102">
                  <c:v>2.2309999999999999</c:v>
                </c:pt>
                <c:pt idx="1103">
                  <c:v>2.6680000000000001</c:v>
                </c:pt>
                <c:pt idx="1104">
                  <c:v>1.71</c:v>
                </c:pt>
                <c:pt idx="1105">
                  <c:v>3.3</c:v>
                </c:pt>
                <c:pt idx="1106">
                  <c:v>0.70499999999999996</c:v>
                </c:pt>
                <c:pt idx="1107">
                  <c:v>2.93</c:v>
                </c:pt>
                <c:pt idx="1108">
                  <c:v>2.73</c:v>
                </c:pt>
                <c:pt idx="1109">
                  <c:v>1.41</c:v>
                </c:pt>
                <c:pt idx="1110">
                  <c:v>2.69</c:v>
                </c:pt>
                <c:pt idx="1111">
                  <c:v>1.57</c:v>
                </c:pt>
                <c:pt idx="1112">
                  <c:v>4.4800000000000004</c:v>
                </c:pt>
                <c:pt idx="1113">
                  <c:v>1.38</c:v>
                </c:pt>
                <c:pt idx="1114">
                  <c:v>2.95</c:v>
                </c:pt>
                <c:pt idx="1115">
                  <c:v>7.28</c:v>
                </c:pt>
                <c:pt idx="1116">
                  <c:v>2.91</c:v>
                </c:pt>
                <c:pt idx="1117">
                  <c:v>4.42</c:v>
                </c:pt>
                <c:pt idx="1118">
                  <c:v>2.2000000000000002</c:v>
                </c:pt>
                <c:pt idx="1119">
                  <c:v>2.2400000000000002</c:v>
                </c:pt>
                <c:pt idx="1120">
                  <c:v>2.34</c:v>
                </c:pt>
                <c:pt idx="1121">
                  <c:v>3.77</c:v>
                </c:pt>
                <c:pt idx="1122">
                  <c:v>2.0699999999999998</c:v>
                </c:pt>
                <c:pt idx="1123">
                  <c:v>2.98</c:v>
                </c:pt>
                <c:pt idx="1124">
                  <c:v>1.21</c:v>
                </c:pt>
                <c:pt idx="1125">
                  <c:v>2.3199999999999998</c:v>
                </c:pt>
                <c:pt idx="1126">
                  <c:v>7.67</c:v>
                </c:pt>
                <c:pt idx="1127">
                  <c:v>8.18</c:v>
                </c:pt>
                <c:pt idx="1128">
                  <c:v>2.82</c:v>
                </c:pt>
                <c:pt idx="1129">
                  <c:v>3.52</c:v>
                </c:pt>
                <c:pt idx="1130">
                  <c:v>2.78</c:v>
                </c:pt>
                <c:pt idx="1131">
                  <c:v>2.59</c:v>
                </c:pt>
                <c:pt idx="1132">
                  <c:v>3.53</c:v>
                </c:pt>
                <c:pt idx="1133">
                  <c:v>2.48</c:v>
                </c:pt>
                <c:pt idx="1134">
                  <c:v>1.95</c:v>
                </c:pt>
                <c:pt idx="1135">
                  <c:v>2.1</c:v>
                </c:pt>
                <c:pt idx="1136">
                  <c:v>9.4939999999999998</c:v>
                </c:pt>
                <c:pt idx="1137">
                  <c:v>1.9</c:v>
                </c:pt>
                <c:pt idx="1138">
                  <c:v>9.1</c:v>
                </c:pt>
                <c:pt idx="1139">
                  <c:v>13.339</c:v>
                </c:pt>
                <c:pt idx="1140">
                  <c:v>3.06</c:v>
                </c:pt>
                <c:pt idx="1141">
                  <c:v>11.276</c:v>
                </c:pt>
                <c:pt idx="1142">
                  <c:v>1.589</c:v>
                </c:pt>
                <c:pt idx="1143">
                  <c:v>2.4500000000000002</c:v>
                </c:pt>
                <c:pt idx="1144">
                  <c:v>1.66</c:v>
                </c:pt>
                <c:pt idx="1145">
                  <c:v>10.054</c:v>
                </c:pt>
                <c:pt idx="1146">
                  <c:v>2.1800000000000002</c:v>
                </c:pt>
                <c:pt idx="1147">
                  <c:v>1.85</c:v>
                </c:pt>
                <c:pt idx="1148">
                  <c:v>1.51</c:v>
                </c:pt>
                <c:pt idx="1149">
                  <c:v>11.646000000000001</c:v>
                </c:pt>
                <c:pt idx="1150">
                  <c:v>11.882</c:v>
                </c:pt>
                <c:pt idx="1151">
                  <c:v>5.13</c:v>
                </c:pt>
                <c:pt idx="1152">
                  <c:v>3.01</c:v>
                </c:pt>
                <c:pt idx="1153">
                  <c:v>3.43</c:v>
                </c:pt>
                <c:pt idx="1154">
                  <c:v>5.04</c:v>
                </c:pt>
                <c:pt idx="1155">
                  <c:v>13.96</c:v>
                </c:pt>
                <c:pt idx="1156">
                  <c:v>1.93</c:v>
                </c:pt>
                <c:pt idx="1157">
                  <c:v>1.32</c:v>
                </c:pt>
                <c:pt idx="1158">
                  <c:v>1.32</c:v>
                </c:pt>
                <c:pt idx="1159">
                  <c:v>2.8</c:v>
                </c:pt>
                <c:pt idx="1160">
                  <c:v>1.61</c:v>
                </c:pt>
                <c:pt idx="1161">
                  <c:v>2.75</c:v>
                </c:pt>
                <c:pt idx="1162">
                  <c:v>2.73</c:v>
                </c:pt>
                <c:pt idx="1163">
                  <c:v>1.9059999999999999</c:v>
                </c:pt>
                <c:pt idx="1164">
                  <c:v>2.42</c:v>
                </c:pt>
                <c:pt idx="1165">
                  <c:v>6.2770000000000001</c:v>
                </c:pt>
                <c:pt idx="1166">
                  <c:v>2.1</c:v>
                </c:pt>
                <c:pt idx="1167">
                  <c:v>2.15</c:v>
                </c:pt>
                <c:pt idx="1168">
                  <c:v>4.75</c:v>
                </c:pt>
                <c:pt idx="1169">
                  <c:v>2.72</c:v>
                </c:pt>
                <c:pt idx="1170">
                  <c:v>6.71</c:v>
                </c:pt>
                <c:pt idx="1171">
                  <c:v>2.0499999999999998</c:v>
                </c:pt>
                <c:pt idx="1172">
                  <c:v>1.89</c:v>
                </c:pt>
                <c:pt idx="1173">
                  <c:v>2.2400000000000002</c:v>
                </c:pt>
                <c:pt idx="1174">
                  <c:v>1.93</c:v>
                </c:pt>
                <c:pt idx="1175">
                  <c:v>1.91</c:v>
                </c:pt>
                <c:pt idx="1176">
                  <c:v>2.2599999999999998</c:v>
                </c:pt>
                <c:pt idx="1177">
                  <c:v>1.59</c:v>
                </c:pt>
                <c:pt idx="1178">
                  <c:v>18</c:v>
                </c:pt>
                <c:pt idx="1179">
                  <c:v>2.6</c:v>
                </c:pt>
                <c:pt idx="1180">
                  <c:v>1.1499999999999999</c:v>
                </c:pt>
                <c:pt idx="1181">
                  <c:v>3.82</c:v>
                </c:pt>
                <c:pt idx="1182">
                  <c:v>2.1</c:v>
                </c:pt>
                <c:pt idx="1183">
                  <c:v>2.68</c:v>
                </c:pt>
                <c:pt idx="1184">
                  <c:v>1.62</c:v>
                </c:pt>
                <c:pt idx="1185">
                  <c:v>1.71</c:v>
                </c:pt>
                <c:pt idx="1186">
                  <c:v>2.41</c:v>
                </c:pt>
                <c:pt idx="1187">
                  <c:v>2.2999999999999998</c:v>
                </c:pt>
                <c:pt idx="1188">
                  <c:v>2.5</c:v>
                </c:pt>
                <c:pt idx="1189">
                  <c:v>7.6559999999999997</c:v>
                </c:pt>
                <c:pt idx="1190">
                  <c:v>2.48</c:v>
                </c:pt>
                <c:pt idx="1191">
                  <c:v>2.14</c:v>
                </c:pt>
                <c:pt idx="1192">
                  <c:v>2.14</c:v>
                </c:pt>
                <c:pt idx="1193">
                  <c:v>3.22</c:v>
                </c:pt>
                <c:pt idx="1194">
                  <c:v>3.9</c:v>
                </c:pt>
                <c:pt idx="1195">
                  <c:v>2.0699999999999998</c:v>
                </c:pt>
                <c:pt idx="1196">
                  <c:v>1.58</c:v>
                </c:pt>
                <c:pt idx="1197">
                  <c:v>2.4900000000000002</c:v>
                </c:pt>
                <c:pt idx="1198">
                  <c:v>1.58</c:v>
                </c:pt>
                <c:pt idx="1199">
                  <c:v>2.3199999999999998</c:v>
                </c:pt>
                <c:pt idx="1200">
                  <c:v>2.67</c:v>
                </c:pt>
                <c:pt idx="1201">
                  <c:v>2.89</c:v>
                </c:pt>
                <c:pt idx="1202">
                  <c:v>2.15</c:v>
                </c:pt>
                <c:pt idx="1203">
                  <c:v>1.08</c:v>
                </c:pt>
                <c:pt idx="1204">
                  <c:v>1.1599999999999999</c:v>
                </c:pt>
                <c:pt idx="1205">
                  <c:v>1.01</c:v>
                </c:pt>
                <c:pt idx="1206">
                  <c:v>1.29</c:v>
                </c:pt>
                <c:pt idx="1207">
                  <c:v>2.4500000000000002</c:v>
                </c:pt>
                <c:pt idx="1208">
                  <c:v>2.31</c:v>
                </c:pt>
                <c:pt idx="1209">
                  <c:v>2.67</c:v>
                </c:pt>
                <c:pt idx="1210">
                  <c:v>2.77</c:v>
                </c:pt>
                <c:pt idx="1211">
                  <c:v>2.2999999999999998</c:v>
                </c:pt>
                <c:pt idx="1212">
                  <c:v>3.69</c:v>
                </c:pt>
                <c:pt idx="1213">
                  <c:v>3.58</c:v>
                </c:pt>
                <c:pt idx="1214">
                  <c:v>2.41</c:v>
                </c:pt>
                <c:pt idx="1215">
                  <c:v>2.0099999999999998</c:v>
                </c:pt>
                <c:pt idx="1216">
                  <c:v>1.47</c:v>
                </c:pt>
                <c:pt idx="1217">
                  <c:v>2.552</c:v>
                </c:pt>
                <c:pt idx="1218">
                  <c:v>1.97</c:v>
                </c:pt>
                <c:pt idx="1219">
                  <c:v>1.244</c:v>
                </c:pt>
                <c:pt idx="1220">
                  <c:v>1.4830000000000001</c:v>
                </c:pt>
                <c:pt idx="1221">
                  <c:v>2.41</c:v>
                </c:pt>
                <c:pt idx="1222">
                  <c:v>2.0299999999999998</c:v>
                </c:pt>
                <c:pt idx="1223">
                  <c:v>1.01</c:v>
                </c:pt>
                <c:pt idx="1224">
                  <c:v>1.96</c:v>
                </c:pt>
                <c:pt idx="1225">
                  <c:v>7.6</c:v>
                </c:pt>
                <c:pt idx="1226">
                  <c:v>1.23</c:v>
                </c:pt>
                <c:pt idx="1227">
                  <c:v>0.61499999999999999</c:v>
                </c:pt>
                <c:pt idx="1228">
                  <c:v>2.25</c:v>
                </c:pt>
                <c:pt idx="1229">
                  <c:v>2.6</c:v>
                </c:pt>
                <c:pt idx="1230">
                  <c:v>1.3</c:v>
                </c:pt>
                <c:pt idx="1231">
                  <c:v>1.1000000000000001</c:v>
                </c:pt>
                <c:pt idx="1232">
                  <c:v>3.88</c:v>
                </c:pt>
                <c:pt idx="1233">
                  <c:v>10.61</c:v>
                </c:pt>
                <c:pt idx="1234">
                  <c:v>5.2</c:v>
                </c:pt>
                <c:pt idx="1235">
                  <c:v>11.73</c:v>
                </c:pt>
                <c:pt idx="1236">
                  <c:v>12.442</c:v>
                </c:pt>
                <c:pt idx="1237">
                  <c:v>15.680999999999999</c:v>
                </c:pt>
                <c:pt idx="1238">
                  <c:v>15.132</c:v>
                </c:pt>
                <c:pt idx="1239">
                  <c:v>19.952000000000002</c:v>
                </c:pt>
                <c:pt idx="1240">
                  <c:v>19.536999999999999</c:v>
                </c:pt>
                <c:pt idx="1241">
                  <c:v>19.504000000000001</c:v>
                </c:pt>
                <c:pt idx="1242">
                  <c:v>15.861000000000001</c:v>
                </c:pt>
                <c:pt idx="1243">
                  <c:v>17.094000000000001</c:v>
                </c:pt>
                <c:pt idx="1244">
                  <c:v>17.597999999999999</c:v>
                </c:pt>
                <c:pt idx="1245">
                  <c:v>21.408999999999999</c:v>
                </c:pt>
                <c:pt idx="1246">
                  <c:v>15.132</c:v>
                </c:pt>
                <c:pt idx="1247">
                  <c:v>19.515000000000001</c:v>
                </c:pt>
                <c:pt idx="1248">
                  <c:v>17.777000000000001</c:v>
                </c:pt>
                <c:pt idx="1249">
                  <c:v>17.486000000000001</c:v>
                </c:pt>
                <c:pt idx="1250">
                  <c:v>19.044</c:v>
                </c:pt>
                <c:pt idx="1251">
                  <c:v>14.571999999999999</c:v>
                </c:pt>
                <c:pt idx="1253">
                  <c:v>17.934000000000001</c:v>
                </c:pt>
                <c:pt idx="1254">
                  <c:v>18.158999999999999</c:v>
                </c:pt>
                <c:pt idx="1255">
                  <c:v>21.196000000000002</c:v>
                </c:pt>
                <c:pt idx="1259">
                  <c:v>5.5</c:v>
                </c:pt>
                <c:pt idx="1260">
                  <c:v>6.9</c:v>
                </c:pt>
                <c:pt idx="1261">
                  <c:v>6.4</c:v>
                </c:pt>
                <c:pt idx="1262">
                  <c:v>6.6</c:v>
                </c:pt>
                <c:pt idx="1264">
                  <c:v>4.0999999999999996</c:v>
                </c:pt>
                <c:pt idx="1265">
                  <c:v>2.4</c:v>
                </c:pt>
                <c:pt idx="1266">
                  <c:v>4.5999999999999996</c:v>
                </c:pt>
                <c:pt idx="1273">
                  <c:v>17.262</c:v>
                </c:pt>
                <c:pt idx="1274">
                  <c:v>10.54</c:v>
                </c:pt>
                <c:pt idx="1275">
                  <c:v>16.948</c:v>
                </c:pt>
                <c:pt idx="1276">
                  <c:v>3.78</c:v>
                </c:pt>
                <c:pt idx="1278">
                  <c:v>1.9</c:v>
                </c:pt>
                <c:pt idx="1279">
                  <c:v>1.9</c:v>
                </c:pt>
                <c:pt idx="1280">
                  <c:v>12.442</c:v>
                </c:pt>
                <c:pt idx="1281">
                  <c:v>1.31</c:v>
                </c:pt>
                <c:pt idx="1282">
                  <c:v>1.19</c:v>
                </c:pt>
                <c:pt idx="1283">
                  <c:v>2.87</c:v>
                </c:pt>
                <c:pt idx="1284">
                  <c:v>2.66</c:v>
                </c:pt>
                <c:pt idx="1285">
                  <c:v>2.88</c:v>
                </c:pt>
                <c:pt idx="1286">
                  <c:v>8.1</c:v>
                </c:pt>
                <c:pt idx="1287">
                  <c:v>11.3</c:v>
                </c:pt>
                <c:pt idx="1288">
                  <c:v>1.32</c:v>
                </c:pt>
                <c:pt idx="1289">
                  <c:v>11.097</c:v>
                </c:pt>
                <c:pt idx="1290">
                  <c:v>0.75900000000000001</c:v>
                </c:pt>
                <c:pt idx="1291">
                  <c:v>0.86699999999999999</c:v>
                </c:pt>
                <c:pt idx="1292">
                  <c:v>1.71</c:v>
                </c:pt>
                <c:pt idx="1293">
                  <c:v>4.32</c:v>
                </c:pt>
                <c:pt idx="1294">
                  <c:v>11.27</c:v>
                </c:pt>
                <c:pt idx="1295">
                  <c:v>6.56</c:v>
                </c:pt>
                <c:pt idx="1296">
                  <c:v>11.545</c:v>
                </c:pt>
                <c:pt idx="1298">
                  <c:v>1.4810000000000001</c:v>
                </c:pt>
                <c:pt idx="1299">
                  <c:v>2.35</c:v>
                </c:pt>
                <c:pt idx="1300">
                  <c:v>1.32</c:v>
                </c:pt>
                <c:pt idx="1301">
                  <c:v>2.2000000000000002</c:v>
                </c:pt>
                <c:pt idx="1302">
                  <c:v>1.61</c:v>
                </c:pt>
                <c:pt idx="1303">
                  <c:v>4.76</c:v>
                </c:pt>
                <c:pt idx="1304">
                  <c:v>3.15</c:v>
                </c:pt>
                <c:pt idx="1305">
                  <c:v>1.71</c:v>
                </c:pt>
                <c:pt idx="1306">
                  <c:v>1.78</c:v>
                </c:pt>
                <c:pt idx="1307">
                  <c:v>6.28</c:v>
                </c:pt>
                <c:pt idx="1308">
                  <c:v>1.5</c:v>
                </c:pt>
                <c:pt idx="1309">
                  <c:v>1.54</c:v>
                </c:pt>
                <c:pt idx="1310">
                  <c:v>1.44</c:v>
                </c:pt>
                <c:pt idx="1311">
                  <c:v>1.28</c:v>
                </c:pt>
                <c:pt idx="1312">
                  <c:v>2.17</c:v>
                </c:pt>
                <c:pt idx="1313">
                  <c:v>5.77</c:v>
                </c:pt>
                <c:pt idx="1314">
                  <c:v>1.25</c:v>
                </c:pt>
                <c:pt idx="1315">
                  <c:v>2.3199999999999998</c:v>
                </c:pt>
                <c:pt idx="1316">
                  <c:v>2.87</c:v>
                </c:pt>
                <c:pt idx="1317">
                  <c:v>1.29</c:v>
                </c:pt>
                <c:pt idx="1318">
                  <c:v>2.15</c:v>
                </c:pt>
                <c:pt idx="1319">
                  <c:v>2.39</c:v>
                </c:pt>
                <c:pt idx="1320">
                  <c:v>3.55</c:v>
                </c:pt>
                <c:pt idx="1321">
                  <c:v>2.1800000000000002</c:v>
                </c:pt>
                <c:pt idx="1322">
                  <c:v>3.68</c:v>
                </c:pt>
                <c:pt idx="1323">
                  <c:v>1.99</c:v>
                </c:pt>
                <c:pt idx="1324">
                  <c:v>2.58</c:v>
                </c:pt>
                <c:pt idx="1325">
                  <c:v>1.46</c:v>
                </c:pt>
                <c:pt idx="1326">
                  <c:v>0.47</c:v>
                </c:pt>
                <c:pt idx="1327">
                  <c:v>0.57999999999999996</c:v>
                </c:pt>
                <c:pt idx="1328">
                  <c:v>1.18</c:v>
                </c:pt>
                <c:pt idx="1329">
                  <c:v>2.2200000000000002</c:v>
                </c:pt>
                <c:pt idx="1330">
                  <c:v>0.88</c:v>
                </c:pt>
                <c:pt idx="1331">
                  <c:v>2.2799999999999998</c:v>
                </c:pt>
                <c:pt idx="1332">
                  <c:v>2.33</c:v>
                </c:pt>
                <c:pt idx="1333">
                  <c:v>2.36</c:v>
                </c:pt>
                <c:pt idx="1334">
                  <c:v>2.63</c:v>
                </c:pt>
                <c:pt idx="1335">
                  <c:v>3.91</c:v>
                </c:pt>
                <c:pt idx="1336">
                  <c:v>1.98</c:v>
                </c:pt>
                <c:pt idx="1337">
                  <c:v>2.21</c:v>
                </c:pt>
                <c:pt idx="1338">
                  <c:v>0.89</c:v>
                </c:pt>
                <c:pt idx="1339">
                  <c:v>1.33</c:v>
                </c:pt>
                <c:pt idx="1340">
                  <c:v>1.26</c:v>
                </c:pt>
                <c:pt idx="1341">
                  <c:v>3.37</c:v>
                </c:pt>
                <c:pt idx="1342">
                  <c:v>5.14</c:v>
                </c:pt>
                <c:pt idx="1343">
                  <c:v>2.48</c:v>
                </c:pt>
                <c:pt idx="1344">
                  <c:v>0.87</c:v>
                </c:pt>
                <c:pt idx="1345">
                  <c:v>1.87</c:v>
                </c:pt>
                <c:pt idx="1346">
                  <c:v>2.5099999999999998</c:v>
                </c:pt>
                <c:pt idx="1347">
                  <c:v>2.2599999999999998</c:v>
                </c:pt>
                <c:pt idx="1348">
                  <c:v>1.17</c:v>
                </c:pt>
                <c:pt idx="1349">
                  <c:v>3.01</c:v>
                </c:pt>
                <c:pt idx="1350">
                  <c:v>1.28</c:v>
                </c:pt>
                <c:pt idx="1351">
                  <c:v>3.53</c:v>
                </c:pt>
                <c:pt idx="1352">
                  <c:v>1.46</c:v>
                </c:pt>
                <c:pt idx="1353">
                  <c:v>3.1</c:v>
                </c:pt>
                <c:pt idx="1354">
                  <c:v>3.13</c:v>
                </c:pt>
                <c:pt idx="1355">
                  <c:v>3.58</c:v>
                </c:pt>
                <c:pt idx="1356">
                  <c:v>2.08</c:v>
                </c:pt>
                <c:pt idx="1357">
                  <c:v>2.94</c:v>
                </c:pt>
                <c:pt idx="1358">
                  <c:v>2.19</c:v>
                </c:pt>
                <c:pt idx="1359">
                  <c:v>2.5499999999999998</c:v>
                </c:pt>
                <c:pt idx="1360">
                  <c:v>2.67</c:v>
                </c:pt>
                <c:pt idx="1361">
                  <c:v>2.69</c:v>
                </c:pt>
                <c:pt idx="1362">
                  <c:v>1.71</c:v>
                </c:pt>
                <c:pt idx="1363">
                  <c:v>2.09</c:v>
                </c:pt>
                <c:pt idx="1364">
                  <c:v>0.99</c:v>
                </c:pt>
                <c:pt idx="1365">
                  <c:v>1.61</c:v>
                </c:pt>
                <c:pt idx="1366">
                  <c:v>0.95</c:v>
                </c:pt>
                <c:pt idx="1367">
                  <c:v>4.8099999999999996</c:v>
                </c:pt>
                <c:pt idx="1368">
                  <c:v>1.31</c:v>
                </c:pt>
                <c:pt idx="1369">
                  <c:v>1.6</c:v>
                </c:pt>
                <c:pt idx="1370">
                  <c:v>1.48</c:v>
                </c:pt>
                <c:pt idx="1371">
                  <c:v>3.4</c:v>
                </c:pt>
                <c:pt idx="1372">
                  <c:v>2.93</c:v>
                </c:pt>
                <c:pt idx="1373">
                  <c:v>0.98</c:v>
                </c:pt>
                <c:pt idx="1374">
                  <c:v>2.63</c:v>
                </c:pt>
                <c:pt idx="1375">
                  <c:v>1.23</c:v>
                </c:pt>
                <c:pt idx="1376">
                  <c:v>3.01</c:v>
                </c:pt>
                <c:pt idx="1377">
                  <c:v>3.36</c:v>
                </c:pt>
                <c:pt idx="1378">
                  <c:v>2.72</c:v>
                </c:pt>
                <c:pt idx="1379">
                  <c:v>1.73</c:v>
                </c:pt>
                <c:pt idx="1380">
                  <c:v>0.82</c:v>
                </c:pt>
                <c:pt idx="1381">
                  <c:v>2.5</c:v>
                </c:pt>
                <c:pt idx="1382">
                  <c:v>0.95</c:v>
                </c:pt>
                <c:pt idx="1383">
                  <c:v>2.56</c:v>
                </c:pt>
                <c:pt idx="1384">
                  <c:v>2.38</c:v>
                </c:pt>
                <c:pt idx="1385">
                  <c:v>1.98</c:v>
                </c:pt>
                <c:pt idx="1386">
                  <c:v>1.76</c:v>
                </c:pt>
                <c:pt idx="1387">
                  <c:v>1.49</c:v>
                </c:pt>
                <c:pt idx="1388">
                  <c:v>1.55</c:v>
                </c:pt>
                <c:pt idx="1389">
                  <c:v>3.73</c:v>
                </c:pt>
                <c:pt idx="1390">
                  <c:v>1.6</c:v>
                </c:pt>
                <c:pt idx="1391">
                  <c:v>2.36</c:v>
                </c:pt>
                <c:pt idx="1392">
                  <c:v>0.8</c:v>
                </c:pt>
                <c:pt idx="1393">
                  <c:v>3.63</c:v>
                </c:pt>
                <c:pt idx="1394">
                  <c:v>1.6</c:v>
                </c:pt>
                <c:pt idx="1395">
                  <c:v>1.56</c:v>
                </c:pt>
                <c:pt idx="1396">
                  <c:v>1.81</c:v>
                </c:pt>
                <c:pt idx="1397">
                  <c:v>1.07</c:v>
                </c:pt>
                <c:pt idx="1398">
                  <c:v>3.45</c:v>
                </c:pt>
                <c:pt idx="1399">
                  <c:v>1.73</c:v>
                </c:pt>
                <c:pt idx="1400">
                  <c:v>2.38</c:v>
                </c:pt>
                <c:pt idx="1401">
                  <c:v>1.58</c:v>
                </c:pt>
                <c:pt idx="1402">
                  <c:v>2.2999999999999998</c:v>
                </c:pt>
                <c:pt idx="1403">
                  <c:v>1.64</c:v>
                </c:pt>
                <c:pt idx="1404">
                  <c:v>1.25</c:v>
                </c:pt>
                <c:pt idx="1405">
                  <c:v>1.42</c:v>
                </c:pt>
                <c:pt idx="1406">
                  <c:v>0.8</c:v>
                </c:pt>
                <c:pt idx="1407">
                  <c:v>2.77</c:v>
                </c:pt>
                <c:pt idx="1408">
                  <c:v>1.9</c:v>
                </c:pt>
                <c:pt idx="1409">
                  <c:v>1.63</c:v>
                </c:pt>
                <c:pt idx="1410">
                  <c:v>8.65</c:v>
                </c:pt>
                <c:pt idx="1411">
                  <c:v>8.18</c:v>
                </c:pt>
                <c:pt idx="1412">
                  <c:v>3.28</c:v>
                </c:pt>
                <c:pt idx="1413">
                  <c:v>1.01</c:v>
                </c:pt>
                <c:pt idx="1414">
                  <c:v>1.1200000000000001</c:v>
                </c:pt>
                <c:pt idx="1415">
                  <c:v>3.36</c:v>
                </c:pt>
                <c:pt idx="1416">
                  <c:v>1.1100000000000001</c:v>
                </c:pt>
                <c:pt idx="1417">
                  <c:v>7.22</c:v>
                </c:pt>
                <c:pt idx="1418">
                  <c:v>2.44</c:v>
                </c:pt>
                <c:pt idx="1419">
                  <c:v>2.94</c:v>
                </c:pt>
                <c:pt idx="1420">
                  <c:v>0.61</c:v>
                </c:pt>
                <c:pt idx="1421">
                  <c:v>1.42</c:v>
                </c:pt>
                <c:pt idx="1422">
                  <c:v>1.83</c:v>
                </c:pt>
                <c:pt idx="1423">
                  <c:v>2.37</c:v>
                </c:pt>
                <c:pt idx="1424">
                  <c:v>2.52</c:v>
                </c:pt>
                <c:pt idx="1425">
                  <c:v>2.25</c:v>
                </c:pt>
                <c:pt idx="1426">
                  <c:v>1.46</c:v>
                </c:pt>
                <c:pt idx="1427">
                  <c:v>2.0699999999999998</c:v>
                </c:pt>
                <c:pt idx="1428">
                  <c:v>1.95</c:v>
                </c:pt>
                <c:pt idx="1429">
                  <c:v>1.96</c:v>
                </c:pt>
                <c:pt idx="1430">
                  <c:v>3.18</c:v>
                </c:pt>
                <c:pt idx="1431">
                  <c:v>1.21</c:v>
                </c:pt>
                <c:pt idx="1432">
                  <c:v>1.24</c:v>
                </c:pt>
                <c:pt idx="1433">
                  <c:v>3.26</c:v>
                </c:pt>
                <c:pt idx="1434">
                  <c:v>1.3</c:v>
                </c:pt>
                <c:pt idx="1435">
                  <c:v>2.83</c:v>
                </c:pt>
                <c:pt idx="1436">
                  <c:v>1.8</c:v>
                </c:pt>
                <c:pt idx="1437">
                  <c:v>2.87</c:v>
                </c:pt>
                <c:pt idx="1438">
                  <c:v>3.12</c:v>
                </c:pt>
                <c:pt idx="1439">
                  <c:v>4.1900000000000004</c:v>
                </c:pt>
                <c:pt idx="1440">
                  <c:v>2.4900000000000002</c:v>
                </c:pt>
                <c:pt idx="1441">
                  <c:v>3.33</c:v>
                </c:pt>
                <c:pt idx="1442">
                  <c:v>1.83</c:v>
                </c:pt>
                <c:pt idx="1443">
                  <c:v>2.21</c:v>
                </c:pt>
                <c:pt idx="1444">
                  <c:v>1.75</c:v>
                </c:pt>
                <c:pt idx="1445">
                  <c:v>2.4700000000000002</c:v>
                </c:pt>
                <c:pt idx="1446">
                  <c:v>2.66</c:v>
                </c:pt>
                <c:pt idx="1447">
                  <c:v>2.27</c:v>
                </c:pt>
                <c:pt idx="1448">
                  <c:v>1.23</c:v>
                </c:pt>
                <c:pt idx="1449">
                  <c:v>2.0099999999999998</c:v>
                </c:pt>
                <c:pt idx="1450">
                  <c:v>1.65</c:v>
                </c:pt>
                <c:pt idx="1451">
                  <c:v>1.34</c:v>
                </c:pt>
                <c:pt idx="1452">
                  <c:v>1.46</c:v>
                </c:pt>
                <c:pt idx="1453">
                  <c:v>2.19</c:v>
                </c:pt>
                <c:pt idx="1454">
                  <c:v>1.58</c:v>
                </c:pt>
                <c:pt idx="1455">
                  <c:v>7.3</c:v>
                </c:pt>
                <c:pt idx="1456">
                  <c:v>2.66</c:v>
                </c:pt>
                <c:pt idx="1457">
                  <c:v>2</c:v>
                </c:pt>
                <c:pt idx="1458">
                  <c:v>3.02</c:v>
                </c:pt>
                <c:pt idx="1459">
                  <c:v>2.81</c:v>
                </c:pt>
                <c:pt idx="1460">
                  <c:v>1.35</c:v>
                </c:pt>
                <c:pt idx="1461">
                  <c:v>1.7</c:v>
                </c:pt>
                <c:pt idx="1462">
                  <c:v>2.54</c:v>
                </c:pt>
                <c:pt idx="1463">
                  <c:v>1.1100000000000001</c:v>
                </c:pt>
                <c:pt idx="1464">
                  <c:v>2.74</c:v>
                </c:pt>
                <c:pt idx="1465">
                  <c:v>1.92</c:v>
                </c:pt>
                <c:pt idx="1466">
                  <c:v>2.36</c:v>
                </c:pt>
                <c:pt idx="1467">
                  <c:v>2.4</c:v>
                </c:pt>
                <c:pt idx="1468">
                  <c:v>1.38</c:v>
                </c:pt>
                <c:pt idx="1469">
                  <c:v>1.91</c:v>
                </c:pt>
                <c:pt idx="1470">
                  <c:v>2.04</c:v>
                </c:pt>
                <c:pt idx="1471">
                  <c:v>1.67</c:v>
                </c:pt>
                <c:pt idx="1472">
                  <c:v>1.28</c:v>
                </c:pt>
                <c:pt idx="1473">
                  <c:v>1.84</c:v>
                </c:pt>
                <c:pt idx="1474">
                  <c:v>1.73</c:v>
                </c:pt>
                <c:pt idx="1475">
                  <c:v>1.96</c:v>
                </c:pt>
                <c:pt idx="1476">
                  <c:v>3.65</c:v>
                </c:pt>
                <c:pt idx="1477">
                  <c:v>2.96</c:v>
                </c:pt>
                <c:pt idx="1478">
                  <c:v>2.73</c:v>
                </c:pt>
                <c:pt idx="1479">
                  <c:v>1.82</c:v>
                </c:pt>
                <c:pt idx="1480">
                  <c:v>2.1800000000000002</c:v>
                </c:pt>
                <c:pt idx="1481">
                  <c:v>0.8</c:v>
                </c:pt>
                <c:pt idx="1482">
                  <c:v>1.59</c:v>
                </c:pt>
                <c:pt idx="1483">
                  <c:v>2.35</c:v>
                </c:pt>
                <c:pt idx="1484">
                  <c:v>1.97</c:v>
                </c:pt>
                <c:pt idx="1485">
                  <c:v>2.64</c:v>
                </c:pt>
                <c:pt idx="1486">
                  <c:v>1.85</c:v>
                </c:pt>
                <c:pt idx="1487">
                  <c:v>1.64</c:v>
                </c:pt>
                <c:pt idx="1488">
                  <c:v>2.2000000000000002</c:v>
                </c:pt>
                <c:pt idx="1489">
                  <c:v>1.7</c:v>
                </c:pt>
                <c:pt idx="1490">
                  <c:v>1.19</c:v>
                </c:pt>
                <c:pt idx="1491">
                  <c:v>1.26</c:v>
                </c:pt>
                <c:pt idx="1492">
                  <c:v>1.6</c:v>
                </c:pt>
                <c:pt idx="1493">
                  <c:v>2.5299999999999998</c:v>
                </c:pt>
                <c:pt idx="1494">
                  <c:v>2.77</c:v>
                </c:pt>
                <c:pt idx="1495">
                  <c:v>0.82</c:v>
                </c:pt>
                <c:pt idx="1496">
                  <c:v>1.47</c:v>
                </c:pt>
                <c:pt idx="1497">
                  <c:v>1.67</c:v>
                </c:pt>
                <c:pt idx="1498">
                  <c:v>3.6</c:v>
                </c:pt>
                <c:pt idx="1499">
                  <c:v>1.99</c:v>
                </c:pt>
                <c:pt idx="1500">
                  <c:v>1.4</c:v>
                </c:pt>
                <c:pt idx="1501">
                  <c:v>1.23</c:v>
                </c:pt>
                <c:pt idx="1502">
                  <c:v>2.61</c:v>
                </c:pt>
                <c:pt idx="1503">
                  <c:v>1.69</c:v>
                </c:pt>
                <c:pt idx="1504">
                  <c:v>1.44</c:v>
                </c:pt>
                <c:pt idx="1505">
                  <c:v>1.0900000000000001</c:v>
                </c:pt>
                <c:pt idx="1506">
                  <c:v>2.6</c:v>
                </c:pt>
                <c:pt idx="1507">
                  <c:v>1.02</c:v>
                </c:pt>
                <c:pt idx="1508">
                  <c:v>2.2200000000000002</c:v>
                </c:pt>
                <c:pt idx="1509">
                  <c:v>0.87</c:v>
                </c:pt>
                <c:pt idx="1510">
                  <c:v>1.73</c:v>
                </c:pt>
                <c:pt idx="1511">
                  <c:v>2.34</c:v>
                </c:pt>
                <c:pt idx="1512">
                  <c:v>2.36</c:v>
                </c:pt>
                <c:pt idx="1513">
                  <c:v>2.0299999999999998</c:v>
                </c:pt>
                <c:pt idx="1514">
                  <c:v>1.32</c:v>
                </c:pt>
                <c:pt idx="1515">
                  <c:v>1.0900000000000001</c:v>
                </c:pt>
                <c:pt idx="1516">
                  <c:v>2.34</c:v>
                </c:pt>
                <c:pt idx="1517">
                  <c:v>2.37</c:v>
                </c:pt>
                <c:pt idx="1518">
                  <c:v>3.42</c:v>
                </c:pt>
                <c:pt idx="1519">
                  <c:v>2.2999999999999998</c:v>
                </c:pt>
                <c:pt idx="1520">
                  <c:v>2.14</c:v>
                </c:pt>
                <c:pt idx="1521">
                  <c:v>2.13</c:v>
                </c:pt>
                <c:pt idx="1522">
                  <c:v>2.21</c:v>
                </c:pt>
                <c:pt idx="1523">
                  <c:v>1.03</c:v>
                </c:pt>
                <c:pt idx="1524">
                  <c:v>1.1200000000000001</c:v>
                </c:pt>
                <c:pt idx="1525">
                  <c:v>1.55</c:v>
                </c:pt>
                <c:pt idx="1526">
                  <c:v>1.69</c:v>
                </c:pt>
                <c:pt idx="1527">
                  <c:v>1.71</c:v>
                </c:pt>
                <c:pt idx="1528">
                  <c:v>2.5</c:v>
                </c:pt>
                <c:pt idx="1529">
                  <c:v>0.94</c:v>
                </c:pt>
                <c:pt idx="1530">
                  <c:v>8.0589999999999993</c:v>
                </c:pt>
                <c:pt idx="1531">
                  <c:v>12.340999999999999</c:v>
                </c:pt>
                <c:pt idx="1532">
                  <c:v>2.41</c:v>
                </c:pt>
                <c:pt idx="1533">
                  <c:v>2.56</c:v>
                </c:pt>
                <c:pt idx="1534">
                  <c:v>3.2</c:v>
                </c:pt>
                <c:pt idx="1535">
                  <c:v>0.89</c:v>
                </c:pt>
                <c:pt idx="1536">
                  <c:v>1.59</c:v>
                </c:pt>
                <c:pt idx="1537">
                  <c:v>2.99</c:v>
                </c:pt>
                <c:pt idx="1538">
                  <c:v>2.4500000000000002</c:v>
                </c:pt>
                <c:pt idx="1539">
                  <c:v>1.9</c:v>
                </c:pt>
                <c:pt idx="1540">
                  <c:v>1.07</c:v>
                </c:pt>
                <c:pt idx="1541">
                  <c:v>1.32</c:v>
                </c:pt>
                <c:pt idx="1542">
                  <c:v>1.96</c:v>
                </c:pt>
                <c:pt idx="1543">
                  <c:v>7.68</c:v>
                </c:pt>
                <c:pt idx="1544">
                  <c:v>1.99</c:v>
                </c:pt>
                <c:pt idx="1545">
                  <c:v>1.57</c:v>
                </c:pt>
                <c:pt idx="1546">
                  <c:v>2.41</c:v>
                </c:pt>
                <c:pt idx="1547">
                  <c:v>2.82</c:v>
                </c:pt>
                <c:pt idx="1548">
                  <c:v>2.68</c:v>
                </c:pt>
                <c:pt idx="1549">
                  <c:v>1.33</c:v>
                </c:pt>
                <c:pt idx="1550">
                  <c:v>2.23</c:v>
                </c:pt>
                <c:pt idx="1551">
                  <c:v>2.61</c:v>
                </c:pt>
                <c:pt idx="1552">
                  <c:v>2.08</c:v>
                </c:pt>
                <c:pt idx="1553">
                  <c:v>1.77</c:v>
                </c:pt>
                <c:pt idx="1554">
                  <c:v>3.6</c:v>
                </c:pt>
                <c:pt idx="1555">
                  <c:v>0.92</c:v>
                </c:pt>
                <c:pt idx="1556">
                  <c:v>1.33</c:v>
                </c:pt>
                <c:pt idx="1557">
                  <c:v>1.51</c:v>
                </c:pt>
                <c:pt idx="1558">
                  <c:v>2.36</c:v>
                </c:pt>
                <c:pt idx="1559">
                  <c:v>1.32</c:v>
                </c:pt>
                <c:pt idx="1560">
                  <c:v>1.51</c:v>
                </c:pt>
                <c:pt idx="1561">
                  <c:v>2.08</c:v>
                </c:pt>
                <c:pt idx="1562">
                  <c:v>2.23</c:v>
                </c:pt>
                <c:pt idx="1563">
                  <c:v>1.25</c:v>
                </c:pt>
                <c:pt idx="1564">
                  <c:v>1.47</c:v>
                </c:pt>
                <c:pt idx="1565">
                  <c:v>1.1499999999999999</c:v>
                </c:pt>
                <c:pt idx="1566">
                  <c:v>19.661000000000001</c:v>
                </c:pt>
                <c:pt idx="1567">
                  <c:v>2.15</c:v>
                </c:pt>
                <c:pt idx="1568">
                  <c:v>1.53</c:v>
                </c:pt>
                <c:pt idx="1569">
                  <c:v>1.06</c:v>
                </c:pt>
                <c:pt idx="1570">
                  <c:v>2.29</c:v>
                </c:pt>
                <c:pt idx="1571">
                  <c:v>2.94</c:v>
                </c:pt>
                <c:pt idx="1572">
                  <c:v>1.06</c:v>
                </c:pt>
                <c:pt idx="1573">
                  <c:v>3.05</c:v>
                </c:pt>
                <c:pt idx="1574">
                  <c:v>1.41</c:v>
                </c:pt>
                <c:pt idx="1575">
                  <c:v>1.64</c:v>
                </c:pt>
                <c:pt idx="1576">
                  <c:v>1.62</c:v>
                </c:pt>
                <c:pt idx="1577">
                  <c:v>2.3199999999999998</c:v>
                </c:pt>
                <c:pt idx="1578">
                  <c:v>1.51</c:v>
                </c:pt>
                <c:pt idx="1579">
                  <c:v>2.34</c:v>
                </c:pt>
                <c:pt idx="1580">
                  <c:v>2.27</c:v>
                </c:pt>
                <c:pt idx="1581">
                  <c:v>1.7</c:v>
                </c:pt>
                <c:pt idx="1582">
                  <c:v>2.5499999999999998</c:v>
                </c:pt>
                <c:pt idx="1583">
                  <c:v>2.14</c:v>
                </c:pt>
                <c:pt idx="1584">
                  <c:v>1.19</c:v>
                </c:pt>
                <c:pt idx="1585">
                  <c:v>2.36</c:v>
                </c:pt>
                <c:pt idx="1586">
                  <c:v>1.22</c:v>
                </c:pt>
                <c:pt idx="1587">
                  <c:v>1.39</c:v>
                </c:pt>
                <c:pt idx="1588">
                  <c:v>1.99</c:v>
                </c:pt>
                <c:pt idx="1589">
                  <c:v>1.44</c:v>
                </c:pt>
                <c:pt idx="1590">
                  <c:v>2.12</c:v>
                </c:pt>
                <c:pt idx="1591">
                  <c:v>2.34</c:v>
                </c:pt>
                <c:pt idx="1592">
                  <c:v>5.87</c:v>
                </c:pt>
                <c:pt idx="1593">
                  <c:v>2.2000000000000002</c:v>
                </c:pt>
                <c:pt idx="1594">
                  <c:v>2.6</c:v>
                </c:pt>
                <c:pt idx="1595">
                  <c:v>1.75</c:v>
                </c:pt>
                <c:pt idx="1596">
                  <c:v>1.52</c:v>
                </c:pt>
                <c:pt idx="1597">
                  <c:v>1.88</c:v>
                </c:pt>
                <c:pt idx="1598">
                  <c:v>0.79</c:v>
                </c:pt>
                <c:pt idx="1599">
                  <c:v>1.22</c:v>
                </c:pt>
                <c:pt idx="1600">
                  <c:v>1.33</c:v>
                </c:pt>
                <c:pt idx="1601">
                  <c:v>1.82</c:v>
                </c:pt>
                <c:pt idx="1602">
                  <c:v>1.45</c:v>
                </c:pt>
                <c:pt idx="1603">
                  <c:v>2.29</c:v>
                </c:pt>
                <c:pt idx="1604">
                  <c:v>1.54</c:v>
                </c:pt>
                <c:pt idx="1605">
                  <c:v>1.4</c:v>
                </c:pt>
                <c:pt idx="1606">
                  <c:v>2.94</c:v>
                </c:pt>
                <c:pt idx="1607">
                  <c:v>1.48</c:v>
                </c:pt>
                <c:pt idx="1608">
                  <c:v>2.71</c:v>
                </c:pt>
                <c:pt idx="1609">
                  <c:v>1.42</c:v>
                </c:pt>
                <c:pt idx="1610">
                  <c:v>1.93</c:v>
                </c:pt>
                <c:pt idx="1611">
                  <c:v>2.6</c:v>
                </c:pt>
                <c:pt idx="1612">
                  <c:v>2.81</c:v>
                </c:pt>
                <c:pt idx="1613">
                  <c:v>0.79</c:v>
                </c:pt>
                <c:pt idx="1614">
                  <c:v>2.14</c:v>
                </c:pt>
                <c:pt idx="1615">
                  <c:v>2.86</c:v>
                </c:pt>
                <c:pt idx="1616">
                  <c:v>1.93</c:v>
                </c:pt>
                <c:pt idx="1617">
                  <c:v>2.9</c:v>
                </c:pt>
                <c:pt idx="1618">
                  <c:v>0.73</c:v>
                </c:pt>
                <c:pt idx="1619">
                  <c:v>1.75</c:v>
                </c:pt>
                <c:pt idx="1620">
                  <c:v>1.1100000000000001</c:v>
                </c:pt>
                <c:pt idx="1621">
                  <c:v>1.1499999999999999</c:v>
                </c:pt>
                <c:pt idx="1622">
                  <c:v>2.63</c:v>
                </c:pt>
                <c:pt idx="1623">
                  <c:v>2.2599999999999998</c:v>
                </c:pt>
                <c:pt idx="1624">
                  <c:v>1.75</c:v>
                </c:pt>
                <c:pt idx="1625">
                  <c:v>1.35</c:v>
                </c:pt>
                <c:pt idx="1626">
                  <c:v>1.44</c:v>
                </c:pt>
                <c:pt idx="1627">
                  <c:v>1.44</c:v>
                </c:pt>
                <c:pt idx="1628">
                  <c:v>1.36</c:v>
                </c:pt>
                <c:pt idx="1629">
                  <c:v>2.33</c:v>
                </c:pt>
                <c:pt idx="1630">
                  <c:v>1.18</c:v>
                </c:pt>
                <c:pt idx="1631">
                  <c:v>2.38</c:v>
                </c:pt>
                <c:pt idx="1632">
                  <c:v>2.37</c:v>
                </c:pt>
                <c:pt idx="1633">
                  <c:v>0.74</c:v>
                </c:pt>
                <c:pt idx="1634">
                  <c:v>1.92</c:v>
                </c:pt>
                <c:pt idx="1635">
                  <c:v>1.84</c:v>
                </c:pt>
                <c:pt idx="1636">
                  <c:v>1.67</c:v>
                </c:pt>
                <c:pt idx="1637">
                  <c:v>1.33</c:v>
                </c:pt>
                <c:pt idx="1638">
                  <c:v>1.55</c:v>
                </c:pt>
                <c:pt idx="1639">
                  <c:v>1.3</c:v>
                </c:pt>
                <c:pt idx="1640">
                  <c:v>1.31</c:v>
                </c:pt>
                <c:pt idx="1641">
                  <c:v>2.3199999999999998</c:v>
                </c:pt>
                <c:pt idx="1642">
                  <c:v>1.49</c:v>
                </c:pt>
                <c:pt idx="1643">
                  <c:v>1.52</c:v>
                </c:pt>
                <c:pt idx="1644">
                  <c:v>0.86</c:v>
                </c:pt>
                <c:pt idx="1645">
                  <c:v>1.43</c:v>
                </c:pt>
                <c:pt idx="1646">
                  <c:v>1.52</c:v>
                </c:pt>
                <c:pt idx="1647">
                  <c:v>1.58</c:v>
                </c:pt>
                <c:pt idx="1648">
                  <c:v>2.5</c:v>
                </c:pt>
                <c:pt idx="1649">
                  <c:v>1.77</c:v>
                </c:pt>
                <c:pt idx="1650">
                  <c:v>2.2599999999999998</c:v>
                </c:pt>
                <c:pt idx="1651">
                  <c:v>1.82</c:v>
                </c:pt>
                <c:pt idx="1652">
                  <c:v>1.1399999999999999</c:v>
                </c:pt>
                <c:pt idx="1653">
                  <c:v>1.18</c:v>
                </c:pt>
                <c:pt idx="1654">
                  <c:v>1.35</c:v>
                </c:pt>
                <c:pt idx="1655">
                  <c:v>2.58</c:v>
                </c:pt>
                <c:pt idx="1656">
                  <c:v>3.01</c:v>
                </c:pt>
                <c:pt idx="1657">
                  <c:v>2.0299999999999998</c:v>
                </c:pt>
                <c:pt idx="1658">
                  <c:v>1.63</c:v>
                </c:pt>
                <c:pt idx="1659">
                  <c:v>1.4</c:v>
                </c:pt>
                <c:pt idx="1660">
                  <c:v>2.66</c:v>
                </c:pt>
                <c:pt idx="1661">
                  <c:v>2.64</c:v>
                </c:pt>
                <c:pt idx="1662">
                  <c:v>3.32</c:v>
                </c:pt>
                <c:pt idx="1663">
                  <c:v>1.48</c:v>
                </c:pt>
                <c:pt idx="1664">
                  <c:v>2.37</c:v>
                </c:pt>
                <c:pt idx="1665">
                  <c:v>2.4900000000000002</c:v>
                </c:pt>
                <c:pt idx="1666">
                  <c:v>1.42</c:v>
                </c:pt>
                <c:pt idx="1667">
                  <c:v>1.48</c:v>
                </c:pt>
                <c:pt idx="1668">
                  <c:v>1.19</c:v>
                </c:pt>
                <c:pt idx="1669">
                  <c:v>1.6</c:v>
                </c:pt>
                <c:pt idx="1670">
                  <c:v>1.01</c:v>
                </c:pt>
                <c:pt idx="1671">
                  <c:v>1.75</c:v>
                </c:pt>
                <c:pt idx="1672">
                  <c:v>1.1299999999999999</c:v>
                </c:pt>
                <c:pt idx="1673">
                  <c:v>1.1299999999999999</c:v>
                </c:pt>
                <c:pt idx="1674">
                  <c:v>1.87</c:v>
                </c:pt>
                <c:pt idx="1675">
                  <c:v>1.64</c:v>
                </c:pt>
                <c:pt idx="1676">
                  <c:v>1.55</c:v>
                </c:pt>
                <c:pt idx="1677">
                  <c:v>1.91</c:v>
                </c:pt>
                <c:pt idx="1678">
                  <c:v>1.21</c:v>
                </c:pt>
                <c:pt idx="1679">
                  <c:v>0.97</c:v>
                </c:pt>
                <c:pt idx="1680">
                  <c:v>2.15</c:v>
                </c:pt>
                <c:pt idx="1681">
                  <c:v>1.54</c:v>
                </c:pt>
                <c:pt idx="1682">
                  <c:v>1.1200000000000001</c:v>
                </c:pt>
                <c:pt idx="1683">
                  <c:v>1.52</c:v>
                </c:pt>
                <c:pt idx="1684">
                  <c:v>2.37</c:v>
                </c:pt>
                <c:pt idx="1685">
                  <c:v>2.5499999999999998</c:v>
                </c:pt>
                <c:pt idx="1686">
                  <c:v>1.42</c:v>
                </c:pt>
                <c:pt idx="1687">
                  <c:v>1.66</c:v>
                </c:pt>
                <c:pt idx="1688">
                  <c:v>1.82</c:v>
                </c:pt>
                <c:pt idx="1689">
                  <c:v>0.97</c:v>
                </c:pt>
                <c:pt idx="1690">
                  <c:v>3.19</c:v>
                </c:pt>
                <c:pt idx="1691">
                  <c:v>1.55</c:v>
                </c:pt>
                <c:pt idx="1692">
                  <c:v>0.91</c:v>
                </c:pt>
                <c:pt idx="1693">
                  <c:v>0.97</c:v>
                </c:pt>
                <c:pt idx="1694">
                  <c:v>1.31</c:v>
                </c:pt>
                <c:pt idx="1695">
                  <c:v>2.98</c:v>
                </c:pt>
                <c:pt idx="1696">
                  <c:v>1.02</c:v>
                </c:pt>
                <c:pt idx="1697">
                  <c:v>2.9</c:v>
                </c:pt>
                <c:pt idx="1698">
                  <c:v>1.64</c:v>
                </c:pt>
                <c:pt idx="1699">
                  <c:v>1.37</c:v>
                </c:pt>
                <c:pt idx="1700">
                  <c:v>1.4</c:v>
                </c:pt>
                <c:pt idx="1701">
                  <c:v>1.43</c:v>
                </c:pt>
                <c:pt idx="1702">
                  <c:v>1.42</c:v>
                </c:pt>
                <c:pt idx="1703">
                  <c:v>2.29</c:v>
                </c:pt>
                <c:pt idx="1704">
                  <c:v>1.88</c:v>
                </c:pt>
                <c:pt idx="1705">
                  <c:v>1.91</c:v>
                </c:pt>
                <c:pt idx="1706">
                  <c:v>2.4700000000000002</c:v>
                </c:pt>
                <c:pt idx="1707">
                  <c:v>0.52</c:v>
                </c:pt>
                <c:pt idx="1708">
                  <c:v>2.37</c:v>
                </c:pt>
                <c:pt idx="1709">
                  <c:v>2.41</c:v>
                </c:pt>
                <c:pt idx="1710">
                  <c:v>0.84</c:v>
                </c:pt>
                <c:pt idx="1711">
                  <c:v>1.44</c:v>
                </c:pt>
                <c:pt idx="1712">
                  <c:v>1.24</c:v>
                </c:pt>
                <c:pt idx="1713">
                  <c:v>1.22</c:v>
                </c:pt>
                <c:pt idx="1714">
                  <c:v>2.1</c:v>
                </c:pt>
                <c:pt idx="1715">
                  <c:v>1.76</c:v>
                </c:pt>
                <c:pt idx="1716">
                  <c:v>5.1100000000000003</c:v>
                </c:pt>
                <c:pt idx="1717">
                  <c:v>1.38</c:v>
                </c:pt>
                <c:pt idx="1718">
                  <c:v>3.54</c:v>
                </c:pt>
                <c:pt idx="1719">
                  <c:v>1.56</c:v>
                </c:pt>
                <c:pt idx="1720">
                  <c:v>3.11</c:v>
                </c:pt>
                <c:pt idx="1721">
                  <c:v>1.34</c:v>
                </c:pt>
                <c:pt idx="1722">
                  <c:v>1.21</c:v>
                </c:pt>
                <c:pt idx="1723">
                  <c:v>1.28</c:v>
                </c:pt>
                <c:pt idx="1724">
                  <c:v>1.55</c:v>
                </c:pt>
                <c:pt idx="1725">
                  <c:v>1.18</c:v>
                </c:pt>
                <c:pt idx="1726">
                  <c:v>1.7</c:v>
                </c:pt>
                <c:pt idx="1727">
                  <c:v>4.92</c:v>
                </c:pt>
                <c:pt idx="1728">
                  <c:v>2.4</c:v>
                </c:pt>
                <c:pt idx="1729">
                  <c:v>1.61</c:v>
                </c:pt>
                <c:pt idx="1730">
                  <c:v>1.52</c:v>
                </c:pt>
                <c:pt idx="1731">
                  <c:v>1.51</c:v>
                </c:pt>
                <c:pt idx="1732">
                  <c:v>2.86</c:v>
                </c:pt>
                <c:pt idx="1733">
                  <c:v>4.18</c:v>
                </c:pt>
                <c:pt idx="1734">
                  <c:v>1.8</c:v>
                </c:pt>
                <c:pt idx="1735">
                  <c:v>0.98</c:v>
                </c:pt>
                <c:pt idx="1736">
                  <c:v>2.17</c:v>
                </c:pt>
                <c:pt idx="1737">
                  <c:v>1.76</c:v>
                </c:pt>
                <c:pt idx="1738">
                  <c:v>2.84</c:v>
                </c:pt>
                <c:pt idx="1739">
                  <c:v>1.65</c:v>
                </c:pt>
                <c:pt idx="1740">
                  <c:v>1.05</c:v>
                </c:pt>
                <c:pt idx="1741">
                  <c:v>1.37</c:v>
                </c:pt>
                <c:pt idx="1742">
                  <c:v>2.81</c:v>
                </c:pt>
                <c:pt idx="1743">
                  <c:v>2.29</c:v>
                </c:pt>
                <c:pt idx="1744">
                  <c:v>1.45</c:v>
                </c:pt>
                <c:pt idx="1745">
                  <c:v>1.98</c:v>
                </c:pt>
                <c:pt idx="1746">
                  <c:v>1.71</c:v>
                </c:pt>
                <c:pt idx="1747">
                  <c:v>2.41</c:v>
                </c:pt>
                <c:pt idx="1748">
                  <c:v>0.92</c:v>
                </c:pt>
                <c:pt idx="1749">
                  <c:v>0.71</c:v>
                </c:pt>
                <c:pt idx="1750">
                  <c:v>2</c:v>
                </c:pt>
                <c:pt idx="1751">
                  <c:v>1.26</c:v>
                </c:pt>
                <c:pt idx="1752">
                  <c:v>1.55</c:v>
                </c:pt>
                <c:pt idx="1753">
                  <c:v>2.99</c:v>
                </c:pt>
                <c:pt idx="1754">
                  <c:v>1.66</c:v>
                </c:pt>
                <c:pt idx="1755">
                  <c:v>1.93</c:v>
                </c:pt>
                <c:pt idx="1756">
                  <c:v>1.84</c:v>
                </c:pt>
                <c:pt idx="1757">
                  <c:v>2.36</c:v>
                </c:pt>
                <c:pt idx="1758">
                  <c:v>1.58</c:v>
                </c:pt>
                <c:pt idx="1759">
                  <c:v>1.03</c:v>
                </c:pt>
                <c:pt idx="1760">
                  <c:v>1.94</c:v>
                </c:pt>
                <c:pt idx="1761">
                  <c:v>0.7</c:v>
                </c:pt>
                <c:pt idx="1762">
                  <c:v>1.81</c:v>
                </c:pt>
                <c:pt idx="1763">
                  <c:v>1.1599999999999999</c:v>
                </c:pt>
                <c:pt idx="1764">
                  <c:v>2.52</c:v>
                </c:pt>
                <c:pt idx="1765">
                  <c:v>1.73</c:v>
                </c:pt>
                <c:pt idx="1766">
                  <c:v>0.65</c:v>
                </c:pt>
                <c:pt idx="1767">
                  <c:v>0.89</c:v>
                </c:pt>
                <c:pt idx="1768">
                  <c:v>1.8</c:v>
                </c:pt>
                <c:pt idx="1769">
                  <c:v>2.97</c:v>
                </c:pt>
                <c:pt idx="1770">
                  <c:v>1.46</c:v>
                </c:pt>
                <c:pt idx="1771">
                  <c:v>1.53</c:v>
                </c:pt>
                <c:pt idx="1772">
                  <c:v>1.28</c:v>
                </c:pt>
                <c:pt idx="1773">
                  <c:v>1.1200000000000001</c:v>
                </c:pt>
                <c:pt idx="1774">
                  <c:v>2.83</c:v>
                </c:pt>
                <c:pt idx="1775">
                  <c:v>2.0499999999999998</c:v>
                </c:pt>
                <c:pt idx="1776">
                  <c:v>1.99</c:v>
                </c:pt>
                <c:pt idx="1777">
                  <c:v>3.4</c:v>
                </c:pt>
                <c:pt idx="1778">
                  <c:v>0.86</c:v>
                </c:pt>
                <c:pt idx="1779">
                  <c:v>2.6</c:v>
                </c:pt>
                <c:pt idx="1780">
                  <c:v>1.25</c:v>
                </c:pt>
                <c:pt idx="1781">
                  <c:v>2.15</c:v>
                </c:pt>
                <c:pt idx="1782">
                  <c:v>0.92</c:v>
                </c:pt>
                <c:pt idx="1783">
                  <c:v>0.8</c:v>
                </c:pt>
                <c:pt idx="1784">
                  <c:v>1.43</c:v>
                </c:pt>
                <c:pt idx="1785">
                  <c:v>0.92</c:v>
                </c:pt>
                <c:pt idx="1786">
                  <c:v>1.65</c:v>
                </c:pt>
                <c:pt idx="1787">
                  <c:v>2.69</c:v>
                </c:pt>
                <c:pt idx="1788">
                  <c:v>1.47</c:v>
                </c:pt>
                <c:pt idx="1789">
                  <c:v>1.88</c:v>
                </c:pt>
                <c:pt idx="1790">
                  <c:v>1.84</c:v>
                </c:pt>
                <c:pt idx="1791">
                  <c:v>1.27</c:v>
                </c:pt>
                <c:pt idx="1792">
                  <c:v>0.73</c:v>
                </c:pt>
                <c:pt idx="1793">
                  <c:v>0.64</c:v>
                </c:pt>
                <c:pt idx="1794">
                  <c:v>1.27</c:v>
                </c:pt>
                <c:pt idx="1795">
                  <c:v>1.1599999999999999</c:v>
                </c:pt>
                <c:pt idx="1796">
                  <c:v>2.29</c:v>
                </c:pt>
                <c:pt idx="1797">
                  <c:v>1.74</c:v>
                </c:pt>
                <c:pt idx="1798">
                  <c:v>1.05</c:v>
                </c:pt>
                <c:pt idx="1799">
                  <c:v>1.25</c:v>
                </c:pt>
                <c:pt idx="1800">
                  <c:v>2.2000000000000002</c:v>
                </c:pt>
                <c:pt idx="1801">
                  <c:v>1.3</c:v>
                </c:pt>
                <c:pt idx="1802">
                  <c:v>0.52200000000000002</c:v>
                </c:pt>
                <c:pt idx="1803">
                  <c:v>1.1970000000000001</c:v>
                </c:pt>
                <c:pt idx="1804">
                  <c:v>1.212</c:v>
                </c:pt>
                <c:pt idx="1805">
                  <c:v>1.43</c:v>
                </c:pt>
                <c:pt idx="1806">
                  <c:v>2.25</c:v>
                </c:pt>
                <c:pt idx="1807">
                  <c:v>1.88</c:v>
                </c:pt>
                <c:pt idx="1808">
                  <c:v>1.41</c:v>
                </c:pt>
                <c:pt idx="1809">
                  <c:v>1.94</c:v>
                </c:pt>
                <c:pt idx="1810">
                  <c:v>0.85</c:v>
                </c:pt>
                <c:pt idx="1811">
                  <c:v>1.24</c:v>
                </c:pt>
                <c:pt idx="1812">
                  <c:v>0.93</c:v>
                </c:pt>
                <c:pt idx="1813">
                  <c:v>2.59</c:v>
                </c:pt>
                <c:pt idx="1814">
                  <c:v>2.2599999999999998</c:v>
                </c:pt>
                <c:pt idx="1815">
                  <c:v>2.86</c:v>
                </c:pt>
                <c:pt idx="1816">
                  <c:v>2.46</c:v>
                </c:pt>
                <c:pt idx="1817">
                  <c:v>1.77</c:v>
                </c:pt>
                <c:pt idx="1818">
                  <c:v>2.94</c:v>
                </c:pt>
                <c:pt idx="1819">
                  <c:v>3.38</c:v>
                </c:pt>
                <c:pt idx="1820">
                  <c:v>1.18</c:v>
                </c:pt>
                <c:pt idx="1821">
                  <c:v>1.68</c:v>
                </c:pt>
                <c:pt idx="1822">
                  <c:v>1.96</c:v>
                </c:pt>
                <c:pt idx="1823">
                  <c:v>0.8</c:v>
                </c:pt>
                <c:pt idx="1824">
                  <c:v>1.39</c:v>
                </c:pt>
                <c:pt idx="1825">
                  <c:v>0.8</c:v>
                </c:pt>
                <c:pt idx="1826">
                  <c:v>2.0699999999999998</c:v>
                </c:pt>
                <c:pt idx="1827">
                  <c:v>1.72</c:v>
                </c:pt>
                <c:pt idx="1828">
                  <c:v>0.9</c:v>
                </c:pt>
                <c:pt idx="1829">
                  <c:v>1.03</c:v>
                </c:pt>
                <c:pt idx="1830">
                  <c:v>1.25</c:v>
                </c:pt>
                <c:pt idx="1831">
                  <c:v>12.733000000000001</c:v>
                </c:pt>
                <c:pt idx="1832">
                  <c:v>1.61</c:v>
                </c:pt>
                <c:pt idx="1833">
                  <c:v>1.8</c:v>
                </c:pt>
                <c:pt idx="1834">
                  <c:v>1.62</c:v>
                </c:pt>
                <c:pt idx="1835">
                  <c:v>1.68</c:v>
                </c:pt>
                <c:pt idx="1836">
                  <c:v>0.76</c:v>
                </c:pt>
                <c:pt idx="1837">
                  <c:v>2.14</c:v>
                </c:pt>
                <c:pt idx="1838">
                  <c:v>2.0099999999999998</c:v>
                </c:pt>
                <c:pt idx="1839">
                  <c:v>3.96</c:v>
                </c:pt>
                <c:pt idx="1840">
                  <c:v>1.1000000000000001</c:v>
                </c:pt>
                <c:pt idx="1841">
                  <c:v>2.25</c:v>
                </c:pt>
                <c:pt idx="1842">
                  <c:v>0.89</c:v>
                </c:pt>
                <c:pt idx="1843">
                  <c:v>1.04</c:v>
                </c:pt>
                <c:pt idx="1844">
                  <c:v>0.69</c:v>
                </c:pt>
                <c:pt idx="1845">
                  <c:v>1.41</c:v>
                </c:pt>
                <c:pt idx="1846">
                  <c:v>1.78</c:v>
                </c:pt>
                <c:pt idx="1847">
                  <c:v>2.82</c:v>
                </c:pt>
                <c:pt idx="1848">
                  <c:v>0.83</c:v>
                </c:pt>
                <c:pt idx="1849">
                  <c:v>1.82</c:v>
                </c:pt>
                <c:pt idx="1850">
                  <c:v>1.23</c:v>
                </c:pt>
                <c:pt idx="1851">
                  <c:v>1.29</c:v>
                </c:pt>
                <c:pt idx="1852">
                  <c:v>0.88</c:v>
                </c:pt>
                <c:pt idx="1853">
                  <c:v>1</c:v>
                </c:pt>
                <c:pt idx="1854">
                  <c:v>1.66</c:v>
                </c:pt>
                <c:pt idx="1855">
                  <c:v>2.86</c:v>
                </c:pt>
                <c:pt idx="1856">
                  <c:v>1.99</c:v>
                </c:pt>
                <c:pt idx="1857">
                  <c:v>2.86</c:v>
                </c:pt>
                <c:pt idx="1858">
                  <c:v>2.16</c:v>
                </c:pt>
                <c:pt idx="1859">
                  <c:v>1.28</c:v>
                </c:pt>
                <c:pt idx="1860">
                  <c:v>0.93</c:v>
                </c:pt>
                <c:pt idx="1861">
                  <c:v>2.02</c:v>
                </c:pt>
                <c:pt idx="1862">
                  <c:v>1.06</c:v>
                </c:pt>
                <c:pt idx="1863">
                  <c:v>1.1599999999999999</c:v>
                </c:pt>
                <c:pt idx="1864">
                  <c:v>0.94</c:v>
                </c:pt>
                <c:pt idx="1865">
                  <c:v>1.56</c:v>
                </c:pt>
                <c:pt idx="1866">
                  <c:v>1.1000000000000001</c:v>
                </c:pt>
                <c:pt idx="1867">
                  <c:v>1.64</c:v>
                </c:pt>
                <c:pt idx="1868">
                  <c:v>1.29</c:v>
                </c:pt>
                <c:pt idx="1869">
                  <c:v>2.41</c:v>
                </c:pt>
                <c:pt idx="1870">
                  <c:v>3.37</c:v>
                </c:pt>
                <c:pt idx="1871">
                  <c:v>1.18</c:v>
                </c:pt>
                <c:pt idx="1872">
                  <c:v>1.47</c:v>
                </c:pt>
                <c:pt idx="1873">
                  <c:v>2.2200000000000002</c:v>
                </c:pt>
                <c:pt idx="1874">
                  <c:v>1.56</c:v>
                </c:pt>
                <c:pt idx="1875">
                  <c:v>1.1100000000000001</c:v>
                </c:pt>
                <c:pt idx="1876">
                  <c:v>0.86</c:v>
                </c:pt>
                <c:pt idx="1877">
                  <c:v>1.31</c:v>
                </c:pt>
                <c:pt idx="1878">
                  <c:v>1.37</c:v>
                </c:pt>
                <c:pt idx="1879">
                  <c:v>0.94</c:v>
                </c:pt>
                <c:pt idx="1880">
                  <c:v>1.46</c:v>
                </c:pt>
                <c:pt idx="1881">
                  <c:v>1.33</c:v>
                </c:pt>
                <c:pt idx="1882">
                  <c:v>1.35</c:v>
                </c:pt>
                <c:pt idx="1883">
                  <c:v>1.26</c:v>
                </c:pt>
                <c:pt idx="1884">
                  <c:v>1.31</c:v>
                </c:pt>
                <c:pt idx="1885">
                  <c:v>3.93</c:v>
                </c:pt>
                <c:pt idx="1886">
                  <c:v>0.97</c:v>
                </c:pt>
                <c:pt idx="1887">
                  <c:v>2.1800000000000002</c:v>
                </c:pt>
                <c:pt idx="1888">
                  <c:v>0.96</c:v>
                </c:pt>
                <c:pt idx="1889">
                  <c:v>0.82</c:v>
                </c:pt>
                <c:pt idx="1890">
                  <c:v>2.9</c:v>
                </c:pt>
                <c:pt idx="1891">
                  <c:v>1.61</c:v>
                </c:pt>
                <c:pt idx="1892">
                  <c:v>1.68</c:v>
                </c:pt>
                <c:pt idx="1893">
                  <c:v>2.65</c:v>
                </c:pt>
                <c:pt idx="1894">
                  <c:v>4.32</c:v>
                </c:pt>
                <c:pt idx="1895">
                  <c:v>1.71</c:v>
                </c:pt>
                <c:pt idx="1896">
                  <c:v>3.35</c:v>
                </c:pt>
                <c:pt idx="1897">
                  <c:v>2.7</c:v>
                </c:pt>
                <c:pt idx="1898">
                  <c:v>2.67</c:v>
                </c:pt>
                <c:pt idx="1899">
                  <c:v>1.88</c:v>
                </c:pt>
                <c:pt idx="1900">
                  <c:v>2.16</c:v>
                </c:pt>
                <c:pt idx="1901">
                  <c:v>1.1399999999999999</c:v>
                </c:pt>
                <c:pt idx="1902">
                  <c:v>1.99</c:v>
                </c:pt>
                <c:pt idx="1903">
                  <c:v>2.76</c:v>
                </c:pt>
                <c:pt idx="1904">
                  <c:v>1.36</c:v>
                </c:pt>
                <c:pt idx="1905">
                  <c:v>3.71</c:v>
                </c:pt>
                <c:pt idx="1906">
                  <c:v>3.13</c:v>
                </c:pt>
                <c:pt idx="1907">
                  <c:v>1.96</c:v>
                </c:pt>
                <c:pt idx="1908">
                  <c:v>2.0299999999999998</c:v>
                </c:pt>
                <c:pt idx="1909">
                  <c:v>3.82</c:v>
                </c:pt>
                <c:pt idx="1910">
                  <c:v>1.86</c:v>
                </c:pt>
                <c:pt idx="1911">
                  <c:v>1.66</c:v>
                </c:pt>
                <c:pt idx="1912">
                  <c:v>1</c:v>
                </c:pt>
                <c:pt idx="1913">
                  <c:v>1.77</c:v>
                </c:pt>
                <c:pt idx="1914">
                  <c:v>1.55</c:v>
                </c:pt>
                <c:pt idx="1915">
                  <c:v>3.3</c:v>
                </c:pt>
                <c:pt idx="1916">
                  <c:v>1.73</c:v>
                </c:pt>
                <c:pt idx="1917">
                  <c:v>1.1499999999999999</c:v>
                </c:pt>
                <c:pt idx="1918">
                  <c:v>2.8</c:v>
                </c:pt>
                <c:pt idx="1919">
                  <c:v>1.53</c:v>
                </c:pt>
                <c:pt idx="1920">
                  <c:v>2.4300000000000002</c:v>
                </c:pt>
                <c:pt idx="1921">
                  <c:v>1.07</c:v>
                </c:pt>
                <c:pt idx="1922">
                  <c:v>1.41</c:v>
                </c:pt>
                <c:pt idx="1923">
                  <c:v>1.9</c:v>
                </c:pt>
                <c:pt idx="1924">
                  <c:v>1.19</c:v>
                </c:pt>
                <c:pt idx="1925">
                  <c:v>2.16</c:v>
                </c:pt>
                <c:pt idx="1926">
                  <c:v>2.92</c:v>
                </c:pt>
                <c:pt idx="1927">
                  <c:v>1.67</c:v>
                </c:pt>
                <c:pt idx="1928">
                  <c:v>1.18</c:v>
                </c:pt>
                <c:pt idx="1929">
                  <c:v>1.73</c:v>
                </c:pt>
                <c:pt idx="1930">
                  <c:v>1.83</c:v>
                </c:pt>
                <c:pt idx="1931">
                  <c:v>1.8</c:v>
                </c:pt>
                <c:pt idx="1932">
                  <c:v>3.6</c:v>
                </c:pt>
                <c:pt idx="1933">
                  <c:v>8.68</c:v>
                </c:pt>
                <c:pt idx="1934">
                  <c:v>1.67</c:v>
                </c:pt>
                <c:pt idx="1935">
                  <c:v>1.23</c:v>
                </c:pt>
                <c:pt idx="1936">
                  <c:v>1.01</c:v>
                </c:pt>
                <c:pt idx="1937">
                  <c:v>1.52</c:v>
                </c:pt>
                <c:pt idx="1938">
                  <c:v>2.11</c:v>
                </c:pt>
                <c:pt idx="1939">
                  <c:v>1.47</c:v>
                </c:pt>
                <c:pt idx="1940">
                  <c:v>2.3199999999999998</c:v>
                </c:pt>
                <c:pt idx="1941">
                  <c:v>2.13</c:v>
                </c:pt>
                <c:pt idx="1942">
                  <c:v>1.86</c:v>
                </c:pt>
                <c:pt idx="1943">
                  <c:v>1.77</c:v>
                </c:pt>
                <c:pt idx="1944">
                  <c:v>4.21</c:v>
                </c:pt>
                <c:pt idx="1945">
                  <c:v>1.61</c:v>
                </c:pt>
                <c:pt idx="1946">
                  <c:v>3.96</c:v>
                </c:pt>
                <c:pt idx="1947">
                  <c:v>3.04</c:v>
                </c:pt>
                <c:pt idx="1948">
                  <c:v>1.51</c:v>
                </c:pt>
                <c:pt idx="1949">
                  <c:v>1.49</c:v>
                </c:pt>
                <c:pt idx="1950">
                  <c:v>1.41</c:v>
                </c:pt>
                <c:pt idx="1951">
                  <c:v>3.07</c:v>
                </c:pt>
                <c:pt idx="1952">
                  <c:v>2.94</c:v>
                </c:pt>
                <c:pt idx="1953">
                  <c:v>2.2200000000000002</c:v>
                </c:pt>
                <c:pt idx="1954">
                  <c:v>1.66</c:v>
                </c:pt>
                <c:pt idx="1955">
                  <c:v>1.33</c:v>
                </c:pt>
                <c:pt idx="1956">
                  <c:v>1.19</c:v>
                </c:pt>
                <c:pt idx="1957">
                  <c:v>10.76</c:v>
                </c:pt>
                <c:pt idx="1958">
                  <c:v>1.25</c:v>
                </c:pt>
                <c:pt idx="1959">
                  <c:v>3.69</c:v>
                </c:pt>
                <c:pt idx="1960">
                  <c:v>2.79</c:v>
                </c:pt>
                <c:pt idx="1961">
                  <c:v>3.12</c:v>
                </c:pt>
                <c:pt idx="1962">
                  <c:v>3.64</c:v>
                </c:pt>
                <c:pt idx="1963">
                  <c:v>1.2</c:v>
                </c:pt>
                <c:pt idx="1964">
                  <c:v>1.56</c:v>
                </c:pt>
                <c:pt idx="1965">
                  <c:v>3.18</c:v>
                </c:pt>
                <c:pt idx="1966">
                  <c:v>2.27</c:v>
                </c:pt>
                <c:pt idx="1967">
                  <c:v>2.13</c:v>
                </c:pt>
                <c:pt idx="1968">
                  <c:v>0.93</c:v>
                </c:pt>
                <c:pt idx="1969">
                  <c:v>1.32</c:v>
                </c:pt>
                <c:pt idx="1970">
                  <c:v>0.84</c:v>
                </c:pt>
                <c:pt idx="1971">
                  <c:v>1.33</c:v>
                </c:pt>
                <c:pt idx="1972">
                  <c:v>1.85</c:v>
                </c:pt>
                <c:pt idx="1973">
                  <c:v>3.06</c:v>
                </c:pt>
                <c:pt idx="1974">
                  <c:v>2.09</c:v>
                </c:pt>
                <c:pt idx="1975">
                  <c:v>3.36</c:v>
                </c:pt>
                <c:pt idx="1976">
                  <c:v>1.68</c:v>
                </c:pt>
                <c:pt idx="1977">
                  <c:v>1.18</c:v>
                </c:pt>
                <c:pt idx="1978">
                  <c:v>8.4600000000000009</c:v>
                </c:pt>
                <c:pt idx="1979">
                  <c:v>11.82</c:v>
                </c:pt>
                <c:pt idx="1980">
                  <c:v>9.5500000000000007</c:v>
                </c:pt>
                <c:pt idx="1981">
                  <c:v>1.75</c:v>
                </c:pt>
                <c:pt idx="1982">
                  <c:v>9.76</c:v>
                </c:pt>
                <c:pt idx="1983">
                  <c:v>3.05</c:v>
                </c:pt>
                <c:pt idx="1984">
                  <c:v>7.06</c:v>
                </c:pt>
                <c:pt idx="1985">
                  <c:v>2.79</c:v>
                </c:pt>
                <c:pt idx="1986">
                  <c:v>2.39</c:v>
                </c:pt>
                <c:pt idx="1987">
                  <c:v>5.77</c:v>
                </c:pt>
                <c:pt idx="1988">
                  <c:v>2.5</c:v>
                </c:pt>
                <c:pt idx="1989">
                  <c:v>1.73</c:v>
                </c:pt>
                <c:pt idx="1990">
                  <c:v>1.58</c:v>
                </c:pt>
                <c:pt idx="1991">
                  <c:v>3.54</c:v>
                </c:pt>
                <c:pt idx="1992">
                  <c:v>0.91</c:v>
                </c:pt>
                <c:pt idx="1993">
                  <c:v>2.4300000000000002</c:v>
                </c:pt>
                <c:pt idx="1994">
                  <c:v>4.7699999999999996</c:v>
                </c:pt>
                <c:pt idx="1995">
                  <c:v>1.46</c:v>
                </c:pt>
                <c:pt idx="1996">
                  <c:v>2.1</c:v>
                </c:pt>
                <c:pt idx="1997">
                  <c:v>2.92</c:v>
                </c:pt>
                <c:pt idx="1998">
                  <c:v>2.5299999999999998</c:v>
                </c:pt>
                <c:pt idx="1999">
                  <c:v>1.64</c:v>
                </c:pt>
                <c:pt idx="2000">
                  <c:v>1.65</c:v>
                </c:pt>
                <c:pt idx="2001">
                  <c:v>1.1100000000000001</c:v>
                </c:pt>
                <c:pt idx="2002">
                  <c:v>1.35</c:v>
                </c:pt>
                <c:pt idx="2003">
                  <c:v>3.46</c:v>
                </c:pt>
                <c:pt idx="2004">
                  <c:v>1.89</c:v>
                </c:pt>
                <c:pt idx="2005">
                  <c:v>2.5499999999999998</c:v>
                </c:pt>
                <c:pt idx="2006">
                  <c:v>3.14</c:v>
                </c:pt>
                <c:pt idx="2007">
                  <c:v>1.18</c:v>
                </c:pt>
                <c:pt idx="2008">
                  <c:v>2.82</c:v>
                </c:pt>
                <c:pt idx="2009">
                  <c:v>2.7</c:v>
                </c:pt>
                <c:pt idx="2010">
                  <c:v>2.2599999999999998</c:v>
                </c:pt>
                <c:pt idx="2011">
                  <c:v>2.95</c:v>
                </c:pt>
                <c:pt idx="2012">
                  <c:v>3.84</c:v>
                </c:pt>
                <c:pt idx="2013">
                  <c:v>1.5</c:v>
                </c:pt>
                <c:pt idx="2014">
                  <c:v>1.5</c:v>
                </c:pt>
                <c:pt idx="2015">
                  <c:v>2.4900000000000002</c:v>
                </c:pt>
                <c:pt idx="2016">
                  <c:v>1.1599999999999999</c:v>
                </c:pt>
                <c:pt idx="2017">
                  <c:v>0.76</c:v>
                </c:pt>
                <c:pt idx="2018">
                  <c:v>0.65</c:v>
                </c:pt>
                <c:pt idx="2019">
                  <c:v>0.87</c:v>
                </c:pt>
                <c:pt idx="2020">
                  <c:v>0.76</c:v>
                </c:pt>
                <c:pt idx="2021">
                  <c:v>2.71</c:v>
                </c:pt>
                <c:pt idx="2022">
                  <c:v>1.78</c:v>
                </c:pt>
                <c:pt idx="2023">
                  <c:v>2.7</c:v>
                </c:pt>
                <c:pt idx="2024">
                  <c:v>3.13</c:v>
                </c:pt>
                <c:pt idx="2025">
                  <c:v>0.9</c:v>
                </c:pt>
                <c:pt idx="2026">
                  <c:v>2.64</c:v>
                </c:pt>
                <c:pt idx="2027">
                  <c:v>2.57</c:v>
                </c:pt>
                <c:pt idx="2028">
                  <c:v>2.09</c:v>
                </c:pt>
                <c:pt idx="2029">
                  <c:v>2.2400000000000002</c:v>
                </c:pt>
                <c:pt idx="2030">
                  <c:v>3.02</c:v>
                </c:pt>
                <c:pt idx="2031">
                  <c:v>2.66</c:v>
                </c:pt>
                <c:pt idx="2032">
                  <c:v>2.4700000000000002</c:v>
                </c:pt>
                <c:pt idx="2033">
                  <c:v>1.1499999999999999</c:v>
                </c:pt>
                <c:pt idx="2034">
                  <c:v>2.9</c:v>
                </c:pt>
                <c:pt idx="2035">
                  <c:v>1.61</c:v>
                </c:pt>
                <c:pt idx="2036">
                  <c:v>1.96</c:v>
                </c:pt>
                <c:pt idx="2037">
                  <c:v>1.53</c:v>
                </c:pt>
                <c:pt idx="2038">
                  <c:v>0.68</c:v>
                </c:pt>
                <c:pt idx="2039">
                  <c:v>0.72</c:v>
                </c:pt>
                <c:pt idx="2040">
                  <c:v>2.2999999999999998</c:v>
                </c:pt>
                <c:pt idx="2041">
                  <c:v>2.5499999999999998</c:v>
                </c:pt>
                <c:pt idx="2042">
                  <c:v>0.89</c:v>
                </c:pt>
                <c:pt idx="2043">
                  <c:v>1.0900000000000001</c:v>
                </c:pt>
                <c:pt idx="2044">
                  <c:v>3.55</c:v>
                </c:pt>
                <c:pt idx="2045">
                  <c:v>0.75</c:v>
                </c:pt>
                <c:pt idx="2046">
                  <c:v>1.47</c:v>
                </c:pt>
                <c:pt idx="2047">
                  <c:v>1.19</c:v>
                </c:pt>
                <c:pt idx="2048">
                  <c:v>0.79</c:v>
                </c:pt>
                <c:pt idx="2049">
                  <c:v>2.73</c:v>
                </c:pt>
                <c:pt idx="2050">
                  <c:v>1.3</c:v>
                </c:pt>
                <c:pt idx="2051">
                  <c:v>1.68</c:v>
                </c:pt>
                <c:pt idx="2052">
                  <c:v>1.32</c:v>
                </c:pt>
                <c:pt idx="2053">
                  <c:v>2.2400000000000002</c:v>
                </c:pt>
                <c:pt idx="2054">
                  <c:v>1.46</c:v>
                </c:pt>
                <c:pt idx="2055">
                  <c:v>1.07</c:v>
                </c:pt>
                <c:pt idx="2056">
                  <c:v>1.52</c:v>
                </c:pt>
                <c:pt idx="2057">
                  <c:v>0.94</c:v>
                </c:pt>
                <c:pt idx="2058">
                  <c:v>1.2</c:v>
                </c:pt>
                <c:pt idx="2059">
                  <c:v>1.29</c:v>
                </c:pt>
                <c:pt idx="2060">
                  <c:v>1.31</c:v>
                </c:pt>
                <c:pt idx="2061">
                  <c:v>1.04</c:v>
                </c:pt>
                <c:pt idx="2062">
                  <c:v>1.1299999999999999</c:v>
                </c:pt>
                <c:pt idx="2063">
                  <c:v>1.04</c:v>
                </c:pt>
                <c:pt idx="2064">
                  <c:v>0.84</c:v>
                </c:pt>
                <c:pt idx="2065">
                  <c:v>2.12</c:v>
                </c:pt>
                <c:pt idx="2066">
                  <c:v>1.9</c:v>
                </c:pt>
                <c:pt idx="2067">
                  <c:v>2.11</c:v>
                </c:pt>
                <c:pt idx="2068">
                  <c:v>0.8</c:v>
                </c:pt>
                <c:pt idx="2069">
                  <c:v>1.49</c:v>
                </c:pt>
                <c:pt idx="2070">
                  <c:v>0.6</c:v>
                </c:pt>
                <c:pt idx="2071">
                  <c:v>1.61</c:v>
                </c:pt>
                <c:pt idx="2072">
                  <c:v>1.79</c:v>
                </c:pt>
                <c:pt idx="2073">
                  <c:v>1.52</c:v>
                </c:pt>
                <c:pt idx="2074">
                  <c:v>1.33</c:v>
                </c:pt>
                <c:pt idx="2075">
                  <c:v>0.76</c:v>
                </c:pt>
                <c:pt idx="2076">
                  <c:v>1.0900000000000001</c:v>
                </c:pt>
                <c:pt idx="2077">
                  <c:v>2.38</c:v>
                </c:pt>
                <c:pt idx="2078">
                  <c:v>3.41</c:v>
                </c:pt>
                <c:pt idx="2079">
                  <c:v>1.1399999999999999</c:v>
                </c:pt>
                <c:pt idx="2080">
                  <c:v>1.27</c:v>
                </c:pt>
                <c:pt idx="2081">
                  <c:v>1.54</c:v>
                </c:pt>
                <c:pt idx="2082">
                  <c:v>3.17</c:v>
                </c:pt>
                <c:pt idx="2083">
                  <c:v>1.06</c:v>
                </c:pt>
                <c:pt idx="2084">
                  <c:v>1.23</c:v>
                </c:pt>
                <c:pt idx="2085">
                  <c:v>1.9</c:v>
                </c:pt>
                <c:pt idx="2086">
                  <c:v>1.06</c:v>
                </c:pt>
                <c:pt idx="2087">
                  <c:v>0.95</c:v>
                </c:pt>
                <c:pt idx="2088">
                  <c:v>1.62</c:v>
                </c:pt>
                <c:pt idx="2089">
                  <c:v>8.4489999999999998</c:v>
                </c:pt>
                <c:pt idx="2090">
                  <c:v>1.54</c:v>
                </c:pt>
                <c:pt idx="2091">
                  <c:v>3.61</c:v>
                </c:pt>
                <c:pt idx="2092">
                  <c:v>3.13</c:v>
                </c:pt>
                <c:pt idx="2093">
                  <c:v>0.82</c:v>
                </c:pt>
                <c:pt idx="2094">
                  <c:v>1.34</c:v>
                </c:pt>
                <c:pt idx="2095">
                  <c:v>1.29</c:v>
                </c:pt>
                <c:pt idx="2096">
                  <c:v>1.41</c:v>
                </c:pt>
                <c:pt idx="2097">
                  <c:v>1.08</c:v>
                </c:pt>
                <c:pt idx="2098">
                  <c:v>2.0699999999999998</c:v>
                </c:pt>
                <c:pt idx="2099">
                  <c:v>0.92</c:v>
                </c:pt>
                <c:pt idx="2100">
                  <c:v>1.73</c:v>
                </c:pt>
                <c:pt idx="2101">
                  <c:v>2.2200000000000002</c:v>
                </c:pt>
                <c:pt idx="2102">
                  <c:v>2.12</c:v>
                </c:pt>
                <c:pt idx="2103">
                  <c:v>2.0499999999999998</c:v>
                </c:pt>
                <c:pt idx="2104">
                  <c:v>1.61</c:v>
                </c:pt>
                <c:pt idx="2105">
                  <c:v>0.81</c:v>
                </c:pt>
                <c:pt idx="2106">
                  <c:v>1.03</c:v>
                </c:pt>
                <c:pt idx="2107">
                  <c:v>2.08</c:v>
                </c:pt>
                <c:pt idx="2108">
                  <c:v>1.49</c:v>
                </c:pt>
                <c:pt idx="2109">
                  <c:v>2.06</c:v>
                </c:pt>
                <c:pt idx="2110">
                  <c:v>1.02</c:v>
                </c:pt>
                <c:pt idx="2111">
                  <c:v>1.2</c:v>
                </c:pt>
                <c:pt idx="2112">
                  <c:v>1.26</c:v>
                </c:pt>
                <c:pt idx="2113">
                  <c:v>0.76</c:v>
                </c:pt>
                <c:pt idx="2114">
                  <c:v>1.26</c:v>
                </c:pt>
                <c:pt idx="2115">
                  <c:v>3.03</c:v>
                </c:pt>
                <c:pt idx="2116">
                  <c:v>1.61</c:v>
                </c:pt>
                <c:pt idx="2117">
                  <c:v>2.16</c:v>
                </c:pt>
                <c:pt idx="2118">
                  <c:v>1.47</c:v>
                </c:pt>
                <c:pt idx="2119">
                  <c:v>1.31</c:v>
                </c:pt>
                <c:pt idx="2120">
                  <c:v>5.7</c:v>
                </c:pt>
                <c:pt idx="2121">
                  <c:v>6.06</c:v>
                </c:pt>
                <c:pt idx="2122">
                  <c:v>2.02</c:v>
                </c:pt>
                <c:pt idx="2123">
                  <c:v>3.69</c:v>
                </c:pt>
                <c:pt idx="2124">
                  <c:v>6.43</c:v>
                </c:pt>
                <c:pt idx="2125">
                  <c:v>0.77</c:v>
                </c:pt>
                <c:pt idx="2126">
                  <c:v>1.05</c:v>
                </c:pt>
                <c:pt idx="2127">
                  <c:v>2.2599999999999998</c:v>
                </c:pt>
                <c:pt idx="2128">
                  <c:v>2.19</c:v>
                </c:pt>
                <c:pt idx="2129">
                  <c:v>1.35</c:v>
                </c:pt>
                <c:pt idx="2130">
                  <c:v>2.4700000000000002</c:v>
                </c:pt>
                <c:pt idx="2131">
                  <c:v>1.58</c:v>
                </c:pt>
                <c:pt idx="2132">
                  <c:v>3.19</c:v>
                </c:pt>
                <c:pt idx="2133">
                  <c:v>3.64</c:v>
                </c:pt>
                <c:pt idx="2134">
                  <c:v>3.23</c:v>
                </c:pt>
                <c:pt idx="2135">
                  <c:v>0.89</c:v>
                </c:pt>
                <c:pt idx="2136">
                  <c:v>1.87</c:v>
                </c:pt>
                <c:pt idx="2137">
                  <c:v>2.58</c:v>
                </c:pt>
                <c:pt idx="2138">
                  <c:v>1.41</c:v>
                </c:pt>
                <c:pt idx="2139">
                  <c:v>2.73</c:v>
                </c:pt>
                <c:pt idx="2140">
                  <c:v>2.4500000000000002</c:v>
                </c:pt>
                <c:pt idx="2141">
                  <c:v>4.82</c:v>
                </c:pt>
                <c:pt idx="2142">
                  <c:v>3.11</c:v>
                </c:pt>
                <c:pt idx="2143">
                  <c:v>2.95</c:v>
                </c:pt>
                <c:pt idx="2144">
                  <c:v>3.2</c:v>
                </c:pt>
                <c:pt idx="2145">
                  <c:v>2.66</c:v>
                </c:pt>
                <c:pt idx="2146">
                  <c:v>2.2999999999999998</c:v>
                </c:pt>
                <c:pt idx="2147">
                  <c:v>1.88</c:v>
                </c:pt>
                <c:pt idx="2148">
                  <c:v>1.78</c:v>
                </c:pt>
                <c:pt idx="2149">
                  <c:v>1.23</c:v>
                </c:pt>
                <c:pt idx="2150">
                  <c:v>11.874000000000001</c:v>
                </c:pt>
                <c:pt idx="2151">
                  <c:v>1.08</c:v>
                </c:pt>
                <c:pt idx="2152">
                  <c:v>2.3199999999999998</c:v>
                </c:pt>
                <c:pt idx="2153">
                  <c:v>2.23</c:v>
                </c:pt>
                <c:pt idx="2154">
                  <c:v>0.96</c:v>
                </c:pt>
                <c:pt idx="2155">
                  <c:v>1.84</c:v>
                </c:pt>
                <c:pt idx="2156">
                  <c:v>1.6</c:v>
                </c:pt>
                <c:pt idx="2157">
                  <c:v>2.17</c:v>
                </c:pt>
                <c:pt idx="2158">
                  <c:v>9.18</c:v>
                </c:pt>
                <c:pt idx="2159">
                  <c:v>2.2130000000000001</c:v>
                </c:pt>
                <c:pt idx="2160">
                  <c:v>5.0199999999999996</c:v>
                </c:pt>
                <c:pt idx="2161">
                  <c:v>11.994</c:v>
                </c:pt>
                <c:pt idx="2162">
                  <c:v>2.27</c:v>
                </c:pt>
                <c:pt idx="2163">
                  <c:v>2.38</c:v>
                </c:pt>
                <c:pt idx="2164">
                  <c:v>1.73</c:v>
                </c:pt>
                <c:pt idx="2165">
                  <c:v>1.615</c:v>
                </c:pt>
                <c:pt idx="2166">
                  <c:v>1.548</c:v>
                </c:pt>
                <c:pt idx="2167">
                  <c:v>1.194</c:v>
                </c:pt>
                <c:pt idx="2168">
                  <c:v>10.15</c:v>
                </c:pt>
                <c:pt idx="2169">
                  <c:v>1.46</c:v>
                </c:pt>
                <c:pt idx="2170">
                  <c:v>2.69</c:v>
                </c:pt>
                <c:pt idx="2171">
                  <c:v>1.1299999999999999</c:v>
                </c:pt>
                <c:pt idx="2172">
                  <c:v>1.21</c:v>
                </c:pt>
                <c:pt idx="2173">
                  <c:v>1.25</c:v>
                </c:pt>
                <c:pt idx="2174">
                  <c:v>2.2000000000000002</c:v>
                </c:pt>
                <c:pt idx="2175">
                  <c:v>2.58</c:v>
                </c:pt>
                <c:pt idx="2176">
                  <c:v>14.68</c:v>
                </c:pt>
                <c:pt idx="2177">
                  <c:v>3.2</c:v>
                </c:pt>
                <c:pt idx="2178">
                  <c:v>2.86</c:v>
                </c:pt>
                <c:pt idx="2179">
                  <c:v>2.34</c:v>
                </c:pt>
                <c:pt idx="2180">
                  <c:v>2.56</c:v>
                </c:pt>
                <c:pt idx="2181">
                  <c:v>1.89</c:v>
                </c:pt>
                <c:pt idx="2182">
                  <c:v>2.35</c:v>
                </c:pt>
                <c:pt idx="2183">
                  <c:v>2.86</c:v>
                </c:pt>
                <c:pt idx="2184">
                  <c:v>2.25</c:v>
                </c:pt>
                <c:pt idx="2185">
                  <c:v>2.76</c:v>
                </c:pt>
                <c:pt idx="2186">
                  <c:v>1.29</c:v>
                </c:pt>
                <c:pt idx="2187">
                  <c:v>2.4300000000000002</c:v>
                </c:pt>
                <c:pt idx="2188">
                  <c:v>1.96</c:v>
                </c:pt>
                <c:pt idx="2189">
                  <c:v>1.49</c:v>
                </c:pt>
                <c:pt idx="2190">
                  <c:v>2.19</c:v>
                </c:pt>
                <c:pt idx="2191">
                  <c:v>2.56</c:v>
                </c:pt>
                <c:pt idx="2192">
                  <c:v>3.1</c:v>
                </c:pt>
                <c:pt idx="2193">
                  <c:v>1.43</c:v>
                </c:pt>
                <c:pt idx="2194">
                  <c:v>2.6</c:v>
                </c:pt>
                <c:pt idx="2195">
                  <c:v>2.5099999999999998</c:v>
                </c:pt>
                <c:pt idx="2196">
                  <c:v>1.45</c:v>
                </c:pt>
                <c:pt idx="2197">
                  <c:v>2.9</c:v>
                </c:pt>
                <c:pt idx="2198">
                  <c:v>7.1</c:v>
                </c:pt>
                <c:pt idx="2199">
                  <c:v>2.9</c:v>
                </c:pt>
                <c:pt idx="2200">
                  <c:v>2.88</c:v>
                </c:pt>
                <c:pt idx="2201">
                  <c:v>3.95</c:v>
                </c:pt>
                <c:pt idx="2202">
                  <c:v>1.64</c:v>
                </c:pt>
                <c:pt idx="2203">
                  <c:v>2</c:v>
                </c:pt>
                <c:pt idx="2204">
                  <c:v>2</c:v>
                </c:pt>
                <c:pt idx="2205">
                  <c:v>5.49</c:v>
                </c:pt>
                <c:pt idx="2206">
                  <c:v>6.98</c:v>
                </c:pt>
                <c:pt idx="2207">
                  <c:v>1.5</c:v>
                </c:pt>
                <c:pt idx="2208">
                  <c:v>3.01</c:v>
                </c:pt>
                <c:pt idx="2209">
                  <c:v>1.27</c:v>
                </c:pt>
                <c:pt idx="2210">
                  <c:v>1.99</c:v>
                </c:pt>
                <c:pt idx="2211">
                  <c:v>2.58</c:v>
                </c:pt>
                <c:pt idx="2212">
                  <c:v>3.43</c:v>
                </c:pt>
                <c:pt idx="2213">
                  <c:v>2.06</c:v>
                </c:pt>
                <c:pt idx="2214">
                  <c:v>2.27</c:v>
                </c:pt>
                <c:pt idx="2215">
                  <c:v>2.36</c:v>
                </c:pt>
                <c:pt idx="2216">
                  <c:v>1.97</c:v>
                </c:pt>
                <c:pt idx="2217">
                  <c:v>2.4900000000000002</c:v>
                </c:pt>
                <c:pt idx="2218">
                  <c:v>1.17</c:v>
                </c:pt>
                <c:pt idx="2219">
                  <c:v>2.02</c:v>
                </c:pt>
                <c:pt idx="2220">
                  <c:v>1.07</c:v>
                </c:pt>
                <c:pt idx="2221">
                  <c:v>1.25</c:v>
                </c:pt>
                <c:pt idx="2222">
                  <c:v>1.4</c:v>
                </c:pt>
                <c:pt idx="2223">
                  <c:v>1.27</c:v>
                </c:pt>
                <c:pt idx="2224">
                  <c:v>1.17</c:v>
                </c:pt>
                <c:pt idx="2225">
                  <c:v>1.41</c:v>
                </c:pt>
                <c:pt idx="2226">
                  <c:v>2.67</c:v>
                </c:pt>
                <c:pt idx="2227">
                  <c:v>1.68</c:v>
                </c:pt>
                <c:pt idx="2228">
                  <c:v>3.19</c:v>
                </c:pt>
                <c:pt idx="2229">
                  <c:v>1.21</c:v>
                </c:pt>
                <c:pt idx="2230">
                  <c:v>2.38</c:v>
                </c:pt>
                <c:pt idx="2234">
                  <c:v>1.56</c:v>
                </c:pt>
                <c:pt idx="2235">
                  <c:v>1.46</c:v>
                </c:pt>
                <c:pt idx="2236">
                  <c:v>1.34</c:v>
                </c:pt>
                <c:pt idx="2237">
                  <c:v>1.86</c:v>
                </c:pt>
                <c:pt idx="2238">
                  <c:v>2.2799999999999998</c:v>
                </c:pt>
                <c:pt idx="2239">
                  <c:v>2.74</c:v>
                </c:pt>
                <c:pt idx="2240">
                  <c:v>2.79</c:v>
                </c:pt>
                <c:pt idx="2241">
                  <c:v>1.02</c:v>
                </c:pt>
                <c:pt idx="2242">
                  <c:v>2.39</c:v>
                </c:pt>
                <c:pt idx="2243">
                  <c:v>2.75</c:v>
                </c:pt>
                <c:pt idx="2244">
                  <c:v>1.51</c:v>
                </c:pt>
                <c:pt idx="2245">
                  <c:v>2.59</c:v>
                </c:pt>
                <c:pt idx="2246">
                  <c:v>2.4</c:v>
                </c:pt>
                <c:pt idx="2247">
                  <c:v>2.0299999999999998</c:v>
                </c:pt>
                <c:pt idx="2248">
                  <c:v>1.55</c:v>
                </c:pt>
                <c:pt idx="2249">
                  <c:v>1.9</c:v>
                </c:pt>
                <c:pt idx="2250">
                  <c:v>2.2400000000000002</c:v>
                </c:pt>
                <c:pt idx="2251">
                  <c:v>1.02</c:v>
                </c:pt>
                <c:pt idx="2252">
                  <c:v>1.23</c:v>
                </c:pt>
                <c:pt idx="2253">
                  <c:v>1.22</c:v>
                </c:pt>
                <c:pt idx="2254">
                  <c:v>0.91</c:v>
                </c:pt>
                <c:pt idx="2255">
                  <c:v>2.82</c:v>
                </c:pt>
                <c:pt idx="2256">
                  <c:v>2.4700000000000002</c:v>
                </c:pt>
                <c:pt idx="2257">
                  <c:v>1.53</c:v>
                </c:pt>
                <c:pt idx="2258">
                  <c:v>3.11</c:v>
                </c:pt>
                <c:pt idx="2259">
                  <c:v>3.25</c:v>
                </c:pt>
                <c:pt idx="2260">
                  <c:v>1.8680000000000001</c:v>
                </c:pt>
                <c:pt idx="2261">
                  <c:v>3.0470000000000002</c:v>
                </c:pt>
                <c:pt idx="2262">
                  <c:v>2.7440000000000002</c:v>
                </c:pt>
                <c:pt idx="2263">
                  <c:v>0.86499999999999999</c:v>
                </c:pt>
                <c:pt idx="2264">
                  <c:v>1.0029999999999999</c:v>
                </c:pt>
                <c:pt idx="2266">
                  <c:v>2.13</c:v>
                </c:pt>
                <c:pt idx="2267">
                  <c:v>1.59</c:v>
                </c:pt>
                <c:pt idx="2268">
                  <c:v>2.46</c:v>
                </c:pt>
                <c:pt idx="2269">
                  <c:v>2.85</c:v>
                </c:pt>
                <c:pt idx="2270">
                  <c:v>1.63</c:v>
                </c:pt>
                <c:pt idx="2271">
                  <c:v>1.85</c:v>
                </c:pt>
                <c:pt idx="2272">
                  <c:v>2.57</c:v>
                </c:pt>
                <c:pt idx="2273">
                  <c:v>2.4700000000000002</c:v>
                </c:pt>
                <c:pt idx="2274">
                  <c:v>1.44</c:v>
                </c:pt>
                <c:pt idx="2275">
                  <c:v>2.5299999999999998</c:v>
                </c:pt>
                <c:pt idx="2276">
                  <c:v>1.79</c:v>
                </c:pt>
                <c:pt idx="2277">
                  <c:v>1.51</c:v>
                </c:pt>
                <c:pt idx="2278">
                  <c:v>1.64</c:v>
                </c:pt>
                <c:pt idx="2279">
                  <c:v>1.2</c:v>
                </c:pt>
                <c:pt idx="2280">
                  <c:v>1.77</c:v>
                </c:pt>
                <c:pt idx="2281">
                  <c:v>1.19</c:v>
                </c:pt>
                <c:pt idx="2282">
                  <c:v>1.57</c:v>
                </c:pt>
                <c:pt idx="2283">
                  <c:v>1.5</c:v>
                </c:pt>
                <c:pt idx="2284">
                  <c:v>3.31</c:v>
                </c:pt>
                <c:pt idx="2285">
                  <c:v>1.63</c:v>
                </c:pt>
                <c:pt idx="2286">
                  <c:v>1.39</c:v>
                </c:pt>
                <c:pt idx="2287">
                  <c:v>1.2</c:v>
                </c:pt>
                <c:pt idx="2288">
                  <c:v>1.48</c:v>
                </c:pt>
                <c:pt idx="2289">
                  <c:v>2.2599999999999998</c:v>
                </c:pt>
                <c:pt idx="2290">
                  <c:v>3.1</c:v>
                </c:pt>
                <c:pt idx="2291">
                  <c:v>1.639</c:v>
                </c:pt>
                <c:pt idx="2292">
                  <c:v>2.94</c:v>
                </c:pt>
                <c:pt idx="2293">
                  <c:v>3.62</c:v>
                </c:pt>
                <c:pt idx="2294">
                  <c:v>1.26</c:v>
                </c:pt>
                <c:pt idx="2295">
                  <c:v>1.29</c:v>
                </c:pt>
                <c:pt idx="2296">
                  <c:v>1.0900000000000001</c:v>
                </c:pt>
                <c:pt idx="2297">
                  <c:v>2.74</c:v>
                </c:pt>
                <c:pt idx="2298">
                  <c:v>1.62</c:v>
                </c:pt>
                <c:pt idx="2299">
                  <c:v>2.34</c:v>
                </c:pt>
                <c:pt idx="2300">
                  <c:v>2.61</c:v>
                </c:pt>
                <c:pt idx="2301">
                  <c:v>2.13</c:v>
                </c:pt>
                <c:pt idx="2302">
                  <c:v>1.62</c:v>
                </c:pt>
                <c:pt idx="2303">
                  <c:v>1.77</c:v>
                </c:pt>
                <c:pt idx="2304">
                  <c:v>2.39</c:v>
                </c:pt>
                <c:pt idx="2305">
                  <c:v>1.75</c:v>
                </c:pt>
                <c:pt idx="2306">
                  <c:v>2.35</c:v>
                </c:pt>
                <c:pt idx="2307">
                  <c:v>3.04</c:v>
                </c:pt>
                <c:pt idx="2308">
                  <c:v>2.23</c:v>
                </c:pt>
                <c:pt idx="2309">
                  <c:v>1.85</c:v>
                </c:pt>
                <c:pt idx="2310">
                  <c:v>1.32</c:v>
                </c:pt>
                <c:pt idx="2311">
                  <c:v>1.48</c:v>
                </c:pt>
                <c:pt idx="2312">
                  <c:v>3.14</c:v>
                </c:pt>
                <c:pt idx="2313">
                  <c:v>2.66</c:v>
                </c:pt>
                <c:pt idx="2314">
                  <c:v>2.95</c:v>
                </c:pt>
                <c:pt idx="2315">
                  <c:v>3.58</c:v>
                </c:pt>
                <c:pt idx="2316">
                  <c:v>2.81</c:v>
                </c:pt>
                <c:pt idx="2317">
                  <c:v>2.38</c:v>
                </c:pt>
                <c:pt idx="2318">
                  <c:v>0.81</c:v>
                </c:pt>
                <c:pt idx="2319">
                  <c:v>1.57</c:v>
                </c:pt>
                <c:pt idx="2320">
                  <c:v>0.98</c:v>
                </c:pt>
                <c:pt idx="2321">
                  <c:v>1.33</c:v>
                </c:pt>
                <c:pt idx="2322">
                  <c:v>1.71</c:v>
                </c:pt>
                <c:pt idx="2323">
                  <c:v>2.93</c:v>
                </c:pt>
                <c:pt idx="2324">
                  <c:v>2.73</c:v>
                </c:pt>
                <c:pt idx="2325">
                  <c:v>2.63</c:v>
                </c:pt>
                <c:pt idx="2326">
                  <c:v>3.16</c:v>
                </c:pt>
                <c:pt idx="2327">
                  <c:v>4.6399999999999997</c:v>
                </c:pt>
                <c:pt idx="2328">
                  <c:v>3.69</c:v>
                </c:pt>
                <c:pt idx="2329">
                  <c:v>2.99</c:v>
                </c:pt>
                <c:pt idx="2330">
                  <c:v>3.44</c:v>
                </c:pt>
                <c:pt idx="2331">
                  <c:v>5.24</c:v>
                </c:pt>
                <c:pt idx="2332">
                  <c:v>4.5999999999999996</c:v>
                </c:pt>
                <c:pt idx="2333">
                  <c:v>1.39</c:v>
                </c:pt>
                <c:pt idx="2334">
                  <c:v>3.12</c:v>
                </c:pt>
                <c:pt idx="2335">
                  <c:v>2.2999999999999998</c:v>
                </c:pt>
                <c:pt idx="2336">
                  <c:v>1.97</c:v>
                </c:pt>
                <c:pt idx="2337">
                  <c:v>1.2</c:v>
                </c:pt>
                <c:pt idx="2338">
                  <c:v>1.84</c:v>
                </c:pt>
                <c:pt idx="2339">
                  <c:v>1.55</c:v>
                </c:pt>
                <c:pt idx="2340">
                  <c:v>2.27</c:v>
                </c:pt>
                <c:pt idx="2341">
                  <c:v>1.22</c:v>
                </c:pt>
                <c:pt idx="2342">
                  <c:v>3.11</c:v>
                </c:pt>
                <c:pt idx="2343">
                  <c:v>3.04</c:v>
                </c:pt>
                <c:pt idx="2344">
                  <c:v>1.53</c:v>
                </c:pt>
                <c:pt idx="2345">
                  <c:v>2.7</c:v>
                </c:pt>
                <c:pt idx="2346">
                  <c:v>4.04</c:v>
                </c:pt>
                <c:pt idx="2347">
                  <c:v>2.2000000000000002</c:v>
                </c:pt>
                <c:pt idx="2348">
                  <c:v>4.92</c:v>
                </c:pt>
                <c:pt idx="2349">
                  <c:v>3.85</c:v>
                </c:pt>
                <c:pt idx="2350">
                  <c:v>1.9</c:v>
                </c:pt>
                <c:pt idx="2351">
                  <c:v>3.2</c:v>
                </c:pt>
                <c:pt idx="2352">
                  <c:v>2.2000000000000002</c:v>
                </c:pt>
                <c:pt idx="2353">
                  <c:v>4.26</c:v>
                </c:pt>
                <c:pt idx="2354">
                  <c:v>2.04</c:v>
                </c:pt>
                <c:pt idx="2355">
                  <c:v>1.73</c:v>
                </c:pt>
                <c:pt idx="2356">
                  <c:v>1.93</c:v>
                </c:pt>
                <c:pt idx="2357">
                  <c:v>3.08</c:v>
                </c:pt>
                <c:pt idx="2358">
                  <c:v>3.83</c:v>
                </c:pt>
                <c:pt idx="2359">
                  <c:v>2.4300000000000002</c:v>
                </c:pt>
                <c:pt idx="2360">
                  <c:v>2.71</c:v>
                </c:pt>
                <c:pt idx="2361">
                  <c:v>3.7</c:v>
                </c:pt>
                <c:pt idx="2362">
                  <c:v>3.51</c:v>
                </c:pt>
                <c:pt idx="2363">
                  <c:v>2.23</c:v>
                </c:pt>
                <c:pt idx="2364">
                  <c:v>1.28</c:v>
                </c:pt>
                <c:pt idx="2365">
                  <c:v>2.0499999999999998</c:v>
                </c:pt>
                <c:pt idx="2366">
                  <c:v>2.2200000000000002</c:v>
                </c:pt>
                <c:pt idx="2367">
                  <c:v>1.57</c:v>
                </c:pt>
                <c:pt idx="2368">
                  <c:v>2</c:v>
                </c:pt>
                <c:pt idx="2369">
                  <c:v>1.41</c:v>
                </c:pt>
                <c:pt idx="2370">
                  <c:v>2.08</c:v>
                </c:pt>
                <c:pt idx="2371">
                  <c:v>1.73</c:v>
                </c:pt>
                <c:pt idx="2372">
                  <c:v>2.39</c:v>
                </c:pt>
                <c:pt idx="2373">
                  <c:v>3.07</c:v>
                </c:pt>
                <c:pt idx="2374">
                  <c:v>5.6</c:v>
                </c:pt>
                <c:pt idx="2375">
                  <c:v>2</c:v>
                </c:pt>
                <c:pt idx="2376">
                  <c:v>2.33</c:v>
                </c:pt>
                <c:pt idx="2377">
                  <c:v>2.5099999999999998</c:v>
                </c:pt>
                <c:pt idx="2378">
                  <c:v>2.4</c:v>
                </c:pt>
                <c:pt idx="2379">
                  <c:v>2.8</c:v>
                </c:pt>
                <c:pt idx="2380">
                  <c:v>1.67</c:v>
                </c:pt>
                <c:pt idx="2381">
                  <c:v>2.78</c:v>
                </c:pt>
                <c:pt idx="2382">
                  <c:v>1.37</c:v>
                </c:pt>
                <c:pt idx="2383">
                  <c:v>2.2000000000000002</c:v>
                </c:pt>
                <c:pt idx="2384">
                  <c:v>2.33</c:v>
                </c:pt>
                <c:pt idx="2385">
                  <c:v>2.57</c:v>
                </c:pt>
                <c:pt idx="2386">
                  <c:v>2.61</c:v>
                </c:pt>
                <c:pt idx="2387">
                  <c:v>2</c:v>
                </c:pt>
                <c:pt idx="2388">
                  <c:v>2.4500000000000002</c:v>
                </c:pt>
                <c:pt idx="2389">
                  <c:v>1.99</c:v>
                </c:pt>
                <c:pt idx="2390">
                  <c:v>2.76</c:v>
                </c:pt>
                <c:pt idx="2391">
                  <c:v>2.0499999999999998</c:v>
                </c:pt>
                <c:pt idx="2392">
                  <c:v>2.31</c:v>
                </c:pt>
                <c:pt idx="2393">
                  <c:v>2.57</c:v>
                </c:pt>
                <c:pt idx="2394">
                  <c:v>2.1800000000000002</c:v>
                </c:pt>
                <c:pt idx="2395">
                  <c:v>3.03</c:v>
                </c:pt>
                <c:pt idx="2396">
                  <c:v>1.75</c:v>
                </c:pt>
                <c:pt idx="2397">
                  <c:v>2.34</c:v>
                </c:pt>
                <c:pt idx="2398">
                  <c:v>1.5</c:v>
                </c:pt>
                <c:pt idx="2399">
                  <c:v>1.64</c:v>
                </c:pt>
                <c:pt idx="2400">
                  <c:v>4.09</c:v>
                </c:pt>
                <c:pt idx="2401">
                  <c:v>3.94</c:v>
                </c:pt>
                <c:pt idx="2402">
                  <c:v>3.02</c:v>
                </c:pt>
                <c:pt idx="2403">
                  <c:v>4.07</c:v>
                </c:pt>
                <c:pt idx="2404">
                  <c:v>1.0900000000000001</c:v>
                </c:pt>
                <c:pt idx="2405">
                  <c:v>1.51</c:v>
                </c:pt>
                <c:pt idx="2406">
                  <c:v>1.57</c:v>
                </c:pt>
                <c:pt idx="2407">
                  <c:v>2.71</c:v>
                </c:pt>
                <c:pt idx="2408">
                  <c:v>5.2</c:v>
                </c:pt>
                <c:pt idx="2410">
                  <c:v>1.1299999999999999</c:v>
                </c:pt>
                <c:pt idx="2411">
                  <c:v>2.2799999999999998</c:v>
                </c:pt>
                <c:pt idx="2412">
                  <c:v>2.1800000000000002</c:v>
                </c:pt>
                <c:pt idx="2413">
                  <c:v>1.33</c:v>
                </c:pt>
                <c:pt idx="2414">
                  <c:v>2.77</c:v>
                </c:pt>
                <c:pt idx="2415">
                  <c:v>2.77</c:v>
                </c:pt>
                <c:pt idx="2416">
                  <c:v>2.77</c:v>
                </c:pt>
                <c:pt idx="2417">
                  <c:v>1.23</c:v>
                </c:pt>
                <c:pt idx="2418">
                  <c:v>2.15</c:v>
                </c:pt>
                <c:pt idx="2419">
                  <c:v>1.63</c:v>
                </c:pt>
                <c:pt idx="2420">
                  <c:v>2.65</c:v>
                </c:pt>
                <c:pt idx="2421">
                  <c:v>3.17</c:v>
                </c:pt>
                <c:pt idx="2422">
                  <c:v>3.87</c:v>
                </c:pt>
                <c:pt idx="2423">
                  <c:v>2.15</c:v>
                </c:pt>
                <c:pt idx="2424">
                  <c:v>2.5</c:v>
                </c:pt>
                <c:pt idx="2425">
                  <c:v>1.55</c:v>
                </c:pt>
                <c:pt idx="2426">
                  <c:v>2.99</c:v>
                </c:pt>
                <c:pt idx="2427">
                  <c:v>1.32</c:v>
                </c:pt>
                <c:pt idx="2428">
                  <c:v>1.59</c:v>
                </c:pt>
                <c:pt idx="2429">
                  <c:v>2.15</c:v>
                </c:pt>
                <c:pt idx="2430">
                  <c:v>2.48</c:v>
                </c:pt>
                <c:pt idx="2431">
                  <c:v>2.35</c:v>
                </c:pt>
                <c:pt idx="2432">
                  <c:v>2.61</c:v>
                </c:pt>
                <c:pt idx="2433">
                  <c:v>5.41</c:v>
                </c:pt>
                <c:pt idx="2434">
                  <c:v>4.95</c:v>
                </c:pt>
                <c:pt idx="2435">
                  <c:v>4.0599999999999996</c:v>
                </c:pt>
                <c:pt idx="2436">
                  <c:v>3.61</c:v>
                </c:pt>
                <c:pt idx="2437">
                  <c:v>2.8</c:v>
                </c:pt>
                <c:pt idx="2438">
                  <c:v>2.7</c:v>
                </c:pt>
                <c:pt idx="2439">
                  <c:v>2.78</c:v>
                </c:pt>
                <c:pt idx="2440">
                  <c:v>2.72</c:v>
                </c:pt>
                <c:pt idx="2441">
                  <c:v>1.07</c:v>
                </c:pt>
                <c:pt idx="2442">
                  <c:v>2.41</c:v>
                </c:pt>
                <c:pt idx="2443">
                  <c:v>2.0099999999999998</c:v>
                </c:pt>
                <c:pt idx="2444">
                  <c:v>1.74</c:v>
                </c:pt>
                <c:pt idx="2445">
                  <c:v>2.1800000000000002</c:v>
                </c:pt>
                <c:pt idx="2446">
                  <c:v>2</c:v>
                </c:pt>
                <c:pt idx="2447">
                  <c:v>1.36</c:v>
                </c:pt>
                <c:pt idx="2448">
                  <c:v>1.64</c:v>
                </c:pt>
                <c:pt idx="2449">
                  <c:v>2.67</c:v>
                </c:pt>
                <c:pt idx="2450">
                  <c:v>2.4700000000000002</c:v>
                </c:pt>
                <c:pt idx="2451">
                  <c:v>3.33</c:v>
                </c:pt>
                <c:pt idx="2452">
                  <c:v>2.83</c:v>
                </c:pt>
                <c:pt idx="2453">
                  <c:v>1.86</c:v>
                </c:pt>
                <c:pt idx="2454">
                  <c:v>2.63</c:v>
                </c:pt>
                <c:pt idx="2455">
                  <c:v>2.4900000000000002</c:v>
                </c:pt>
                <c:pt idx="2456">
                  <c:v>2.59</c:v>
                </c:pt>
                <c:pt idx="2457">
                  <c:v>2.48</c:v>
                </c:pt>
                <c:pt idx="2458">
                  <c:v>3.89</c:v>
                </c:pt>
                <c:pt idx="2459">
                  <c:v>1.98</c:v>
                </c:pt>
                <c:pt idx="2460">
                  <c:v>2.13</c:v>
                </c:pt>
                <c:pt idx="2461">
                  <c:v>2.27</c:v>
                </c:pt>
                <c:pt idx="2462">
                  <c:v>2.5499999999999998</c:v>
                </c:pt>
                <c:pt idx="2463">
                  <c:v>3.38</c:v>
                </c:pt>
                <c:pt idx="2464">
                  <c:v>2.4700000000000002</c:v>
                </c:pt>
                <c:pt idx="2465">
                  <c:v>1.69</c:v>
                </c:pt>
                <c:pt idx="2466">
                  <c:v>4</c:v>
                </c:pt>
                <c:pt idx="2467">
                  <c:v>4.9000000000000004</c:v>
                </c:pt>
                <c:pt idx="2468">
                  <c:v>2.0099999999999998</c:v>
                </c:pt>
                <c:pt idx="2469">
                  <c:v>1.77</c:v>
                </c:pt>
                <c:pt idx="2470">
                  <c:v>1.23</c:v>
                </c:pt>
                <c:pt idx="2471">
                  <c:v>0.95</c:v>
                </c:pt>
                <c:pt idx="2472">
                  <c:v>0.66</c:v>
                </c:pt>
                <c:pt idx="2473">
                  <c:v>1.43</c:v>
                </c:pt>
                <c:pt idx="2474">
                  <c:v>1.79</c:v>
                </c:pt>
                <c:pt idx="2475">
                  <c:v>2.25</c:v>
                </c:pt>
                <c:pt idx="2476">
                  <c:v>1.5</c:v>
                </c:pt>
                <c:pt idx="2477">
                  <c:v>1.98</c:v>
                </c:pt>
                <c:pt idx="2478">
                  <c:v>1.54</c:v>
                </c:pt>
                <c:pt idx="2479">
                  <c:v>1.84</c:v>
                </c:pt>
                <c:pt idx="2480">
                  <c:v>2.34</c:v>
                </c:pt>
                <c:pt idx="2481">
                  <c:v>3.38</c:v>
                </c:pt>
                <c:pt idx="2482">
                  <c:v>3.33</c:v>
                </c:pt>
                <c:pt idx="2483">
                  <c:v>2.87</c:v>
                </c:pt>
                <c:pt idx="2484">
                  <c:v>2.9</c:v>
                </c:pt>
                <c:pt idx="2485">
                  <c:v>2.8</c:v>
                </c:pt>
                <c:pt idx="2486">
                  <c:v>2.92</c:v>
                </c:pt>
                <c:pt idx="2487">
                  <c:v>3.36</c:v>
                </c:pt>
                <c:pt idx="2488">
                  <c:v>4.07</c:v>
                </c:pt>
                <c:pt idx="2489">
                  <c:v>3.59</c:v>
                </c:pt>
                <c:pt idx="2490">
                  <c:v>3.62</c:v>
                </c:pt>
                <c:pt idx="2491">
                  <c:v>4.3</c:v>
                </c:pt>
                <c:pt idx="2492">
                  <c:v>3.1</c:v>
                </c:pt>
                <c:pt idx="2493">
                  <c:v>3.6</c:v>
                </c:pt>
                <c:pt idx="2494">
                  <c:v>3.4</c:v>
                </c:pt>
                <c:pt idx="2495">
                  <c:v>1.45</c:v>
                </c:pt>
                <c:pt idx="2496">
                  <c:v>2.0099999999999998</c:v>
                </c:pt>
                <c:pt idx="2497">
                  <c:v>2.82</c:v>
                </c:pt>
                <c:pt idx="2498">
                  <c:v>5.31</c:v>
                </c:pt>
                <c:pt idx="2499">
                  <c:v>1.01</c:v>
                </c:pt>
                <c:pt idx="2500">
                  <c:v>1.2</c:v>
                </c:pt>
                <c:pt idx="2501">
                  <c:v>2.46</c:v>
                </c:pt>
                <c:pt idx="2502">
                  <c:v>3.1</c:v>
                </c:pt>
                <c:pt idx="2503">
                  <c:v>2.13</c:v>
                </c:pt>
                <c:pt idx="2504">
                  <c:v>1.82</c:v>
                </c:pt>
                <c:pt idx="2505">
                  <c:v>2.2400000000000002</c:v>
                </c:pt>
                <c:pt idx="2506">
                  <c:v>2.61</c:v>
                </c:pt>
                <c:pt idx="2507">
                  <c:v>1.34</c:v>
                </c:pt>
                <c:pt idx="2508">
                  <c:v>1.1200000000000001</c:v>
                </c:pt>
                <c:pt idx="2509">
                  <c:v>1.24</c:v>
                </c:pt>
                <c:pt idx="2510">
                  <c:v>1.37</c:v>
                </c:pt>
                <c:pt idx="2511">
                  <c:v>1.33</c:v>
                </c:pt>
                <c:pt idx="2512">
                  <c:v>1.77</c:v>
                </c:pt>
                <c:pt idx="2513">
                  <c:v>2.33</c:v>
                </c:pt>
                <c:pt idx="2514">
                  <c:v>3.26</c:v>
                </c:pt>
                <c:pt idx="2515">
                  <c:v>1.67</c:v>
                </c:pt>
                <c:pt idx="2516">
                  <c:v>2.85</c:v>
                </c:pt>
                <c:pt idx="2517">
                  <c:v>2.67</c:v>
                </c:pt>
                <c:pt idx="2518">
                  <c:v>2.15</c:v>
                </c:pt>
                <c:pt idx="2519">
                  <c:v>11.59</c:v>
                </c:pt>
                <c:pt idx="2520">
                  <c:v>2.68</c:v>
                </c:pt>
                <c:pt idx="2521">
                  <c:v>3.35</c:v>
                </c:pt>
                <c:pt idx="2522">
                  <c:v>3.14</c:v>
                </c:pt>
                <c:pt idx="2523">
                  <c:v>2.25</c:v>
                </c:pt>
                <c:pt idx="2524">
                  <c:v>2.7</c:v>
                </c:pt>
                <c:pt idx="2525">
                  <c:v>2.16</c:v>
                </c:pt>
                <c:pt idx="2526">
                  <c:v>1.88</c:v>
                </c:pt>
                <c:pt idx="2527">
                  <c:v>1.32</c:v>
                </c:pt>
                <c:pt idx="2528">
                  <c:v>1.47</c:v>
                </c:pt>
                <c:pt idx="2529">
                  <c:v>2.23</c:v>
                </c:pt>
                <c:pt idx="2530">
                  <c:v>2.67</c:v>
                </c:pt>
                <c:pt idx="2531">
                  <c:v>2.35</c:v>
                </c:pt>
                <c:pt idx="2532">
                  <c:v>3.07</c:v>
                </c:pt>
                <c:pt idx="2533">
                  <c:v>3.83</c:v>
                </c:pt>
                <c:pt idx="2534">
                  <c:v>1.77</c:v>
                </c:pt>
                <c:pt idx="2535">
                  <c:v>2.71</c:v>
                </c:pt>
                <c:pt idx="2536">
                  <c:v>1.22</c:v>
                </c:pt>
                <c:pt idx="2537">
                  <c:v>1.17</c:v>
                </c:pt>
                <c:pt idx="2538">
                  <c:v>1.36</c:v>
                </c:pt>
                <c:pt idx="2539">
                  <c:v>1.61</c:v>
                </c:pt>
                <c:pt idx="2540">
                  <c:v>2</c:v>
                </c:pt>
                <c:pt idx="2541">
                  <c:v>2.09</c:v>
                </c:pt>
                <c:pt idx="2542">
                  <c:v>1.53</c:v>
                </c:pt>
                <c:pt idx="2543">
                  <c:v>1.8</c:v>
                </c:pt>
                <c:pt idx="2544">
                  <c:v>2.87</c:v>
                </c:pt>
                <c:pt idx="2545">
                  <c:v>6.54</c:v>
                </c:pt>
                <c:pt idx="2546">
                  <c:v>1.96</c:v>
                </c:pt>
                <c:pt idx="2547">
                  <c:v>1.93</c:v>
                </c:pt>
                <c:pt idx="2548">
                  <c:v>2.5</c:v>
                </c:pt>
                <c:pt idx="2549">
                  <c:v>1.32</c:v>
                </c:pt>
                <c:pt idx="2550">
                  <c:v>2.65</c:v>
                </c:pt>
                <c:pt idx="2551">
                  <c:v>1.86</c:v>
                </c:pt>
                <c:pt idx="2552">
                  <c:v>1.87</c:v>
                </c:pt>
                <c:pt idx="2553">
                  <c:v>3.9</c:v>
                </c:pt>
                <c:pt idx="2554">
                  <c:v>12.3</c:v>
                </c:pt>
                <c:pt idx="2555">
                  <c:v>8.8000000000000007</c:v>
                </c:pt>
                <c:pt idx="2556">
                  <c:v>1.67</c:v>
                </c:pt>
                <c:pt idx="2557">
                  <c:v>2.25</c:v>
                </c:pt>
                <c:pt idx="2558">
                  <c:v>1.35</c:v>
                </c:pt>
                <c:pt idx="2559">
                  <c:v>1.35</c:v>
                </c:pt>
                <c:pt idx="2560">
                  <c:v>1.75</c:v>
                </c:pt>
                <c:pt idx="2561">
                  <c:v>4.0599999999999996</c:v>
                </c:pt>
                <c:pt idx="2562">
                  <c:v>12.45</c:v>
                </c:pt>
                <c:pt idx="2563">
                  <c:v>0.89</c:v>
                </c:pt>
                <c:pt idx="2564">
                  <c:v>1.1399999999999999</c:v>
                </c:pt>
                <c:pt idx="2565">
                  <c:v>2.86</c:v>
                </c:pt>
                <c:pt idx="2566">
                  <c:v>2.17</c:v>
                </c:pt>
                <c:pt idx="2567">
                  <c:v>2.75</c:v>
                </c:pt>
                <c:pt idx="2568">
                  <c:v>1.2</c:v>
                </c:pt>
                <c:pt idx="2569">
                  <c:v>3.6</c:v>
                </c:pt>
                <c:pt idx="2570">
                  <c:v>3.3</c:v>
                </c:pt>
                <c:pt idx="2571">
                  <c:v>2.71</c:v>
                </c:pt>
                <c:pt idx="2572">
                  <c:v>1.52</c:v>
                </c:pt>
                <c:pt idx="2573">
                  <c:v>2.35</c:v>
                </c:pt>
                <c:pt idx="2574">
                  <c:v>2.4700000000000002</c:v>
                </c:pt>
                <c:pt idx="2575">
                  <c:v>2.27</c:v>
                </c:pt>
                <c:pt idx="2576">
                  <c:v>2.4300000000000002</c:v>
                </c:pt>
                <c:pt idx="2577">
                  <c:v>2.2000000000000002</c:v>
                </c:pt>
                <c:pt idx="2578">
                  <c:v>2.12</c:v>
                </c:pt>
                <c:pt idx="2579">
                  <c:v>2.16</c:v>
                </c:pt>
                <c:pt idx="2580">
                  <c:v>1.56</c:v>
                </c:pt>
                <c:pt idx="2581">
                  <c:v>2.5099999999999998</c:v>
                </c:pt>
                <c:pt idx="2582">
                  <c:v>5.5</c:v>
                </c:pt>
                <c:pt idx="2583">
                  <c:v>5.3</c:v>
                </c:pt>
                <c:pt idx="2584">
                  <c:v>3.9</c:v>
                </c:pt>
                <c:pt idx="2585">
                  <c:v>1.19</c:v>
                </c:pt>
                <c:pt idx="2586">
                  <c:v>3.38</c:v>
                </c:pt>
                <c:pt idx="2587">
                  <c:v>2.4700000000000002</c:v>
                </c:pt>
                <c:pt idx="2588">
                  <c:v>1.7</c:v>
                </c:pt>
                <c:pt idx="2589">
                  <c:v>1.43</c:v>
                </c:pt>
                <c:pt idx="2590">
                  <c:v>1.29</c:v>
                </c:pt>
                <c:pt idx="2591">
                  <c:v>3.15</c:v>
                </c:pt>
                <c:pt idx="2592">
                  <c:v>2.5299999999999998</c:v>
                </c:pt>
                <c:pt idx="2593">
                  <c:v>2.57</c:v>
                </c:pt>
                <c:pt idx="2594">
                  <c:v>0.83</c:v>
                </c:pt>
                <c:pt idx="2595">
                  <c:v>2.9</c:v>
                </c:pt>
                <c:pt idx="2596">
                  <c:v>3.77</c:v>
                </c:pt>
                <c:pt idx="2597">
                  <c:v>4.1500000000000004</c:v>
                </c:pt>
                <c:pt idx="2598">
                  <c:v>1.06</c:v>
                </c:pt>
                <c:pt idx="2599">
                  <c:v>1.1599999999999999</c:v>
                </c:pt>
                <c:pt idx="2600">
                  <c:v>2.09</c:v>
                </c:pt>
                <c:pt idx="2601">
                  <c:v>1.72</c:v>
                </c:pt>
                <c:pt idx="2602">
                  <c:v>4.71</c:v>
                </c:pt>
                <c:pt idx="2603">
                  <c:v>3.68</c:v>
                </c:pt>
                <c:pt idx="2604">
                  <c:v>1.63</c:v>
                </c:pt>
                <c:pt idx="2605">
                  <c:v>2.63</c:v>
                </c:pt>
                <c:pt idx="2606">
                  <c:v>2.29</c:v>
                </c:pt>
                <c:pt idx="2607">
                  <c:v>2.2000000000000002</c:v>
                </c:pt>
                <c:pt idx="2608">
                  <c:v>2</c:v>
                </c:pt>
                <c:pt idx="2609">
                  <c:v>2.7</c:v>
                </c:pt>
                <c:pt idx="2610">
                  <c:v>1.5</c:v>
                </c:pt>
                <c:pt idx="2611">
                  <c:v>0.82</c:v>
                </c:pt>
                <c:pt idx="2612">
                  <c:v>1.1399999999999999</c:v>
                </c:pt>
                <c:pt idx="2613">
                  <c:v>1.37</c:v>
                </c:pt>
                <c:pt idx="2614">
                  <c:v>1.77</c:v>
                </c:pt>
                <c:pt idx="2615">
                  <c:v>2.3199999999999998</c:v>
                </c:pt>
                <c:pt idx="2616">
                  <c:v>1.01</c:v>
                </c:pt>
                <c:pt idx="2617">
                  <c:v>1.67</c:v>
                </c:pt>
                <c:pt idx="2618">
                  <c:v>1.43</c:v>
                </c:pt>
                <c:pt idx="2619">
                  <c:v>1.63</c:v>
                </c:pt>
                <c:pt idx="2620">
                  <c:v>1.1399999999999999</c:v>
                </c:pt>
                <c:pt idx="2621">
                  <c:v>3.15</c:v>
                </c:pt>
                <c:pt idx="2622">
                  <c:v>2.91</c:v>
                </c:pt>
                <c:pt idx="2623">
                  <c:v>2.54</c:v>
                </c:pt>
                <c:pt idx="2624">
                  <c:v>2.79</c:v>
                </c:pt>
                <c:pt idx="2625">
                  <c:v>1.52</c:v>
                </c:pt>
                <c:pt idx="2626">
                  <c:v>1.4</c:v>
                </c:pt>
                <c:pt idx="2627">
                  <c:v>1.21</c:v>
                </c:pt>
                <c:pt idx="2628">
                  <c:v>1.1100000000000001</c:v>
                </c:pt>
                <c:pt idx="2629">
                  <c:v>1.03</c:v>
                </c:pt>
                <c:pt idx="2630">
                  <c:v>1.73</c:v>
                </c:pt>
                <c:pt idx="2631">
                  <c:v>2.2999999999999998</c:v>
                </c:pt>
                <c:pt idx="2632">
                  <c:v>5.4</c:v>
                </c:pt>
                <c:pt idx="2633">
                  <c:v>1.4</c:v>
                </c:pt>
                <c:pt idx="2634">
                  <c:v>1.93</c:v>
                </c:pt>
                <c:pt idx="2635">
                  <c:v>1.74</c:v>
                </c:pt>
                <c:pt idx="2636">
                  <c:v>3.2</c:v>
                </c:pt>
                <c:pt idx="2637">
                  <c:v>5.35</c:v>
                </c:pt>
                <c:pt idx="2638">
                  <c:v>4.0199999999999996</c:v>
                </c:pt>
                <c:pt idx="2639">
                  <c:v>4.46</c:v>
                </c:pt>
                <c:pt idx="2640">
                  <c:v>1.35</c:v>
                </c:pt>
                <c:pt idx="2641">
                  <c:v>1.95</c:v>
                </c:pt>
                <c:pt idx="2642">
                  <c:v>1.82</c:v>
                </c:pt>
                <c:pt idx="2643">
                  <c:v>1.84</c:v>
                </c:pt>
                <c:pt idx="2644">
                  <c:v>1.64</c:v>
                </c:pt>
                <c:pt idx="2645">
                  <c:v>1.17</c:v>
                </c:pt>
                <c:pt idx="2646">
                  <c:v>1.0900000000000001</c:v>
                </c:pt>
                <c:pt idx="2647">
                  <c:v>1.18</c:v>
                </c:pt>
                <c:pt idx="2648">
                  <c:v>1.32</c:v>
                </c:pt>
                <c:pt idx="2649">
                  <c:v>1.1100000000000001</c:v>
                </c:pt>
                <c:pt idx="2650">
                  <c:v>1.1200000000000001</c:v>
                </c:pt>
                <c:pt idx="2651">
                  <c:v>1.43</c:v>
                </c:pt>
                <c:pt idx="2652">
                  <c:v>1.41</c:v>
                </c:pt>
                <c:pt idx="2653">
                  <c:v>3.39</c:v>
                </c:pt>
                <c:pt idx="2654">
                  <c:v>3.07</c:v>
                </c:pt>
                <c:pt idx="2655">
                  <c:v>1.02</c:v>
                </c:pt>
                <c:pt idx="2656">
                  <c:v>2.1</c:v>
                </c:pt>
                <c:pt idx="2657">
                  <c:v>2.37</c:v>
                </c:pt>
                <c:pt idx="2658">
                  <c:v>1.54</c:v>
                </c:pt>
                <c:pt idx="2659">
                  <c:v>2.0499999999999998</c:v>
                </c:pt>
                <c:pt idx="2660">
                  <c:v>2.44</c:v>
                </c:pt>
                <c:pt idx="2661">
                  <c:v>2.34</c:v>
                </c:pt>
                <c:pt idx="2662">
                  <c:v>3</c:v>
                </c:pt>
                <c:pt idx="2663">
                  <c:v>1.56</c:v>
                </c:pt>
                <c:pt idx="2664">
                  <c:v>1.42</c:v>
                </c:pt>
                <c:pt idx="2665">
                  <c:v>1.1499999999999999</c:v>
                </c:pt>
                <c:pt idx="2666">
                  <c:v>1.17</c:v>
                </c:pt>
                <c:pt idx="2667">
                  <c:v>8.5640000000000001</c:v>
                </c:pt>
                <c:pt idx="2668">
                  <c:v>2.5299999999999998</c:v>
                </c:pt>
                <c:pt idx="2669">
                  <c:v>3.37</c:v>
                </c:pt>
                <c:pt idx="2670">
                  <c:v>1.18</c:v>
                </c:pt>
                <c:pt idx="2671">
                  <c:v>1.7</c:v>
                </c:pt>
                <c:pt idx="2672">
                  <c:v>1.85</c:v>
                </c:pt>
                <c:pt idx="2673">
                  <c:v>1.99</c:v>
                </c:pt>
                <c:pt idx="2674">
                  <c:v>2.25</c:v>
                </c:pt>
                <c:pt idx="2675">
                  <c:v>1.96</c:v>
                </c:pt>
                <c:pt idx="2676">
                  <c:v>2.4900000000000002</c:v>
                </c:pt>
                <c:pt idx="2677">
                  <c:v>0.88</c:v>
                </c:pt>
                <c:pt idx="2678">
                  <c:v>2.41</c:v>
                </c:pt>
                <c:pt idx="2679">
                  <c:v>2.02</c:v>
                </c:pt>
                <c:pt idx="2680">
                  <c:v>2.61</c:v>
                </c:pt>
                <c:pt idx="2681">
                  <c:v>2.95</c:v>
                </c:pt>
                <c:pt idx="2682">
                  <c:v>0.74</c:v>
                </c:pt>
                <c:pt idx="2683">
                  <c:v>1.2</c:v>
                </c:pt>
                <c:pt idx="2684">
                  <c:v>2.66</c:v>
                </c:pt>
                <c:pt idx="2685">
                  <c:v>3.07</c:v>
                </c:pt>
                <c:pt idx="2686">
                  <c:v>1.97</c:v>
                </c:pt>
                <c:pt idx="2687">
                  <c:v>1.75</c:v>
                </c:pt>
                <c:pt idx="2688">
                  <c:v>1.52</c:v>
                </c:pt>
                <c:pt idx="2689">
                  <c:v>1.33</c:v>
                </c:pt>
                <c:pt idx="2690">
                  <c:v>1.9</c:v>
                </c:pt>
                <c:pt idx="2691">
                  <c:v>1.96</c:v>
                </c:pt>
                <c:pt idx="2692">
                  <c:v>8.16</c:v>
                </c:pt>
                <c:pt idx="2693">
                  <c:v>1.85</c:v>
                </c:pt>
                <c:pt idx="2694">
                  <c:v>3.1</c:v>
                </c:pt>
                <c:pt idx="2695">
                  <c:v>2.8</c:v>
                </c:pt>
                <c:pt idx="2696">
                  <c:v>3.06</c:v>
                </c:pt>
                <c:pt idx="2697">
                  <c:v>3.19</c:v>
                </c:pt>
                <c:pt idx="2698">
                  <c:v>2.72</c:v>
                </c:pt>
                <c:pt idx="2699">
                  <c:v>0.86</c:v>
                </c:pt>
                <c:pt idx="2700">
                  <c:v>1.24</c:v>
                </c:pt>
                <c:pt idx="2701">
                  <c:v>0.89</c:v>
                </c:pt>
                <c:pt idx="2702">
                  <c:v>1.38</c:v>
                </c:pt>
                <c:pt idx="2703">
                  <c:v>1.84</c:v>
                </c:pt>
                <c:pt idx="2704">
                  <c:v>1.31</c:v>
                </c:pt>
                <c:pt idx="2705">
                  <c:v>1.24</c:v>
                </c:pt>
                <c:pt idx="2706">
                  <c:v>1.46</c:v>
                </c:pt>
                <c:pt idx="2707">
                  <c:v>2.71</c:v>
                </c:pt>
                <c:pt idx="2708">
                  <c:v>1.57</c:v>
                </c:pt>
                <c:pt idx="2709">
                  <c:v>1.81</c:v>
                </c:pt>
                <c:pt idx="2710">
                  <c:v>1.84</c:v>
                </c:pt>
                <c:pt idx="2711">
                  <c:v>2.67</c:v>
                </c:pt>
                <c:pt idx="2712">
                  <c:v>3.43</c:v>
                </c:pt>
                <c:pt idx="2713">
                  <c:v>2.72</c:v>
                </c:pt>
                <c:pt idx="2714">
                  <c:v>2.85</c:v>
                </c:pt>
                <c:pt idx="2715">
                  <c:v>3.53</c:v>
                </c:pt>
                <c:pt idx="2716">
                  <c:v>4.3</c:v>
                </c:pt>
                <c:pt idx="2717">
                  <c:v>4.01</c:v>
                </c:pt>
                <c:pt idx="2718">
                  <c:v>1.486</c:v>
                </c:pt>
                <c:pt idx="2719">
                  <c:v>3.6789999999999998</c:v>
                </c:pt>
                <c:pt idx="2720">
                  <c:v>1.65</c:v>
                </c:pt>
                <c:pt idx="2721">
                  <c:v>2.1</c:v>
                </c:pt>
                <c:pt idx="2722">
                  <c:v>1.45</c:v>
                </c:pt>
                <c:pt idx="2723">
                  <c:v>2.52</c:v>
                </c:pt>
                <c:pt idx="2724">
                  <c:v>0.88</c:v>
                </c:pt>
                <c:pt idx="2725">
                  <c:v>1.45</c:v>
                </c:pt>
                <c:pt idx="2726">
                  <c:v>1.1599999999999999</c:v>
                </c:pt>
                <c:pt idx="2727">
                  <c:v>1.69</c:v>
                </c:pt>
                <c:pt idx="2728">
                  <c:v>2.0499999999999998</c:v>
                </c:pt>
                <c:pt idx="2729">
                  <c:v>1.55</c:v>
                </c:pt>
                <c:pt idx="2730">
                  <c:v>2.15</c:v>
                </c:pt>
                <c:pt idx="2731">
                  <c:v>2.04</c:v>
                </c:pt>
                <c:pt idx="2732">
                  <c:v>1.64</c:v>
                </c:pt>
                <c:pt idx="2733">
                  <c:v>1.46</c:v>
                </c:pt>
                <c:pt idx="2734">
                  <c:v>1.79</c:v>
                </c:pt>
                <c:pt idx="2735">
                  <c:v>1.3</c:v>
                </c:pt>
                <c:pt idx="2736">
                  <c:v>1.2</c:v>
                </c:pt>
                <c:pt idx="2737">
                  <c:v>3.26</c:v>
                </c:pt>
                <c:pt idx="2738">
                  <c:v>3.88</c:v>
                </c:pt>
                <c:pt idx="2739">
                  <c:v>1.1299999999999999</c:v>
                </c:pt>
                <c:pt idx="2740">
                  <c:v>1.41</c:v>
                </c:pt>
                <c:pt idx="2741">
                  <c:v>0.33600000000000002</c:v>
                </c:pt>
                <c:pt idx="2742">
                  <c:v>0.75</c:v>
                </c:pt>
                <c:pt idx="2743">
                  <c:v>1.94</c:v>
                </c:pt>
                <c:pt idx="2745">
                  <c:v>1.59</c:v>
                </c:pt>
                <c:pt idx="2746">
                  <c:v>1.91</c:v>
                </c:pt>
                <c:pt idx="2747">
                  <c:v>1.89</c:v>
                </c:pt>
                <c:pt idx="2748">
                  <c:v>1.78</c:v>
                </c:pt>
                <c:pt idx="2749">
                  <c:v>1.36</c:v>
                </c:pt>
                <c:pt idx="2750">
                  <c:v>2.09</c:v>
                </c:pt>
                <c:pt idx="2751">
                  <c:v>1.69</c:v>
                </c:pt>
                <c:pt idx="2752">
                  <c:v>1.36</c:v>
                </c:pt>
                <c:pt idx="2753">
                  <c:v>1.24</c:v>
                </c:pt>
                <c:pt idx="2754">
                  <c:v>1.03</c:v>
                </c:pt>
                <c:pt idx="2755">
                  <c:v>1.1000000000000001</c:v>
                </c:pt>
                <c:pt idx="2756">
                  <c:v>1.31</c:v>
                </c:pt>
                <c:pt idx="2757">
                  <c:v>1.45</c:v>
                </c:pt>
                <c:pt idx="2758">
                  <c:v>2.65</c:v>
                </c:pt>
                <c:pt idx="2759">
                  <c:v>1.07</c:v>
                </c:pt>
                <c:pt idx="2760">
                  <c:v>1.79</c:v>
                </c:pt>
                <c:pt idx="2761">
                  <c:v>1.39</c:v>
                </c:pt>
                <c:pt idx="2762">
                  <c:v>2.06</c:v>
                </c:pt>
                <c:pt idx="2763">
                  <c:v>0.75</c:v>
                </c:pt>
                <c:pt idx="2764">
                  <c:v>0.7</c:v>
                </c:pt>
                <c:pt idx="2765">
                  <c:v>1.66</c:v>
                </c:pt>
                <c:pt idx="2766">
                  <c:v>2.29</c:v>
                </c:pt>
                <c:pt idx="2767">
                  <c:v>4.3</c:v>
                </c:pt>
                <c:pt idx="2768">
                  <c:v>1.19</c:v>
                </c:pt>
                <c:pt idx="2769">
                  <c:v>1.27</c:v>
                </c:pt>
                <c:pt idx="2770">
                  <c:v>0.99</c:v>
                </c:pt>
                <c:pt idx="2771">
                  <c:v>1.1200000000000001</c:v>
                </c:pt>
                <c:pt idx="2772">
                  <c:v>1.32</c:v>
                </c:pt>
                <c:pt idx="2773">
                  <c:v>1.59</c:v>
                </c:pt>
                <c:pt idx="2774">
                  <c:v>1.32</c:v>
                </c:pt>
                <c:pt idx="2775">
                  <c:v>1.24</c:v>
                </c:pt>
                <c:pt idx="2776">
                  <c:v>1.1200000000000001</c:v>
                </c:pt>
                <c:pt idx="2777">
                  <c:v>1.1299999999999999</c:v>
                </c:pt>
                <c:pt idx="2778">
                  <c:v>2.73</c:v>
                </c:pt>
                <c:pt idx="2779">
                  <c:v>3.04</c:v>
                </c:pt>
                <c:pt idx="2780">
                  <c:v>1.39</c:v>
                </c:pt>
                <c:pt idx="2781">
                  <c:v>1.58</c:v>
                </c:pt>
                <c:pt idx="2782">
                  <c:v>1.03</c:v>
                </c:pt>
                <c:pt idx="2783">
                  <c:v>0.89</c:v>
                </c:pt>
                <c:pt idx="2784">
                  <c:v>0.81</c:v>
                </c:pt>
                <c:pt idx="2785">
                  <c:v>0.86</c:v>
                </c:pt>
                <c:pt idx="2786">
                  <c:v>1.51</c:v>
                </c:pt>
                <c:pt idx="2787">
                  <c:v>1.46</c:v>
                </c:pt>
                <c:pt idx="2788">
                  <c:v>13.9</c:v>
                </c:pt>
                <c:pt idx="2789">
                  <c:v>0.82</c:v>
                </c:pt>
                <c:pt idx="2790">
                  <c:v>0.79</c:v>
                </c:pt>
                <c:pt idx="2791">
                  <c:v>3.2</c:v>
                </c:pt>
                <c:pt idx="2792">
                  <c:v>3.54</c:v>
                </c:pt>
                <c:pt idx="2793">
                  <c:v>1</c:v>
                </c:pt>
                <c:pt idx="2794">
                  <c:v>1.1000000000000001</c:v>
                </c:pt>
                <c:pt idx="2795">
                  <c:v>1.29</c:v>
                </c:pt>
                <c:pt idx="2796">
                  <c:v>1.33</c:v>
                </c:pt>
                <c:pt idx="2797">
                  <c:v>1.6</c:v>
                </c:pt>
                <c:pt idx="2798">
                  <c:v>1.66</c:v>
                </c:pt>
                <c:pt idx="2799">
                  <c:v>1.03</c:v>
                </c:pt>
                <c:pt idx="2800">
                  <c:v>1.32</c:v>
                </c:pt>
                <c:pt idx="2801">
                  <c:v>3.5</c:v>
                </c:pt>
                <c:pt idx="2802">
                  <c:v>5.3</c:v>
                </c:pt>
                <c:pt idx="2803">
                  <c:v>2.46</c:v>
                </c:pt>
                <c:pt idx="2804">
                  <c:v>6.18</c:v>
                </c:pt>
                <c:pt idx="2805">
                  <c:v>0.93</c:v>
                </c:pt>
                <c:pt idx="2806">
                  <c:v>1.01</c:v>
                </c:pt>
                <c:pt idx="2807">
                  <c:v>0.88</c:v>
                </c:pt>
                <c:pt idx="2808">
                  <c:v>0.96</c:v>
                </c:pt>
                <c:pt idx="2809">
                  <c:v>1.43</c:v>
                </c:pt>
                <c:pt idx="2810">
                  <c:v>1.89</c:v>
                </c:pt>
                <c:pt idx="2811">
                  <c:v>4.0019999999999998</c:v>
                </c:pt>
                <c:pt idx="2812">
                  <c:v>13.11</c:v>
                </c:pt>
                <c:pt idx="2813">
                  <c:v>1.65</c:v>
                </c:pt>
                <c:pt idx="2814">
                  <c:v>1.49</c:v>
                </c:pt>
                <c:pt idx="2815">
                  <c:v>1.71</c:v>
                </c:pt>
                <c:pt idx="2816">
                  <c:v>2.15</c:v>
                </c:pt>
                <c:pt idx="2817">
                  <c:v>2.27</c:v>
                </c:pt>
                <c:pt idx="2818">
                  <c:v>1.22</c:v>
                </c:pt>
                <c:pt idx="2819">
                  <c:v>1.56</c:v>
                </c:pt>
                <c:pt idx="2820">
                  <c:v>1.38</c:v>
                </c:pt>
                <c:pt idx="2821">
                  <c:v>1.46</c:v>
                </c:pt>
                <c:pt idx="2822">
                  <c:v>1.25</c:v>
                </c:pt>
                <c:pt idx="2823">
                  <c:v>1.75</c:v>
                </c:pt>
                <c:pt idx="2824">
                  <c:v>1.42</c:v>
                </c:pt>
                <c:pt idx="2825">
                  <c:v>1.27</c:v>
                </c:pt>
                <c:pt idx="2826">
                  <c:v>1.72</c:v>
                </c:pt>
                <c:pt idx="2827">
                  <c:v>2.08</c:v>
                </c:pt>
                <c:pt idx="2828">
                  <c:v>4.66</c:v>
                </c:pt>
                <c:pt idx="2829">
                  <c:v>1.43</c:v>
                </c:pt>
                <c:pt idx="2830">
                  <c:v>0.85</c:v>
                </c:pt>
                <c:pt idx="2831">
                  <c:v>1.07</c:v>
                </c:pt>
                <c:pt idx="2833">
                  <c:v>0.82</c:v>
                </c:pt>
                <c:pt idx="2834">
                  <c:v>1.19</c:v>
                </c:pt>
                <c:pt idx="2835">
                  <c:v>14.46</c:v>
                </c:pt>
                <c:pt idx="2836">
                  <c:v>2.8380000000000001</c:v>
                </c:pt>
                <c:pt idx="2837">
                  <c:v>1.88</c:v>
                </c:pt>
                <c:pt idx="2838">
                  <c:v>3.27</c:v>
                </c:pt>
                <c:pt idx="2839">
                  <c:v>15.031000000000001</c:v>
                </c:pt>
                <c:pt idx="2840">
                  <c:v>4.3470000000000004</c:v>
                </c:pt>
                <c:pt idx="2841">
                  <c:v>1.71</c:v>
                </c:pt>
                <c:pt idx="2842">
                  <c:v>3.01</c:v>
                </c:pt>
                <c:pt idx="2843">
                  <c:v>1.21</c:v>
                </c:pt>
                <c:pt idx="2845">
                  <c:v>2.48</c:v>
                </c:pt>
                <c:pt idx="2847">
                  <c:v>2.31</c:v>
                </c:pt>
                <c:pt idx="2849">
                  <c:v>13.45</c:v>
                </c:pt>
                <c:pt idx="2850">
                  <c:v>10.8</c:v>
                </c:pt>
                <c:pt idx="2852">
                  <c:v>0.78</c:v>
                </c:pt>
                <c:pt idx="2853">
                  <c:v>0.73</c:v>
                </c:pt>
                <c:pt idx="2854">
                  <c:v>0.56999999999999995</c:v>
                </c:pt>
                <c:pt idx="2855">
                  <c:v>4.16</c:v>
                </c:pt>
                <c:pt idx="2856">
                  <c:v>12.89</c:v>
                </c:pt>
                <c:pt idx="2857">
                  <c:v>13.361000000000001</c:v>
                </c:pt>
                <c:pt idx="2858">
                  <c:v>9.98</c:v>
                </c:pt>
                <c:pt idx="2860">
                  <c:v>10.962</c:v>
                </c:pt>
                <c:pt idx="2861">
                  <c:v>12.22</c:v>
                </c:pt>
                <c:pt idx="2862">
                  <c:v>13.79</c:v>
                </c:pt>
                <c:pt idx="2863">
                  <c:v>12.11</c:v>
                </c:pt>
                <c:pt idx="2864">
                  <c:v>13.664</c:v>
                </c:pt>
                <c:pt idx="2865">
                  <c:v>3.25</c:v>
                </c:pt>
                <c:pt idx="2866">
                  <c:v>1.75</c:v>
                </c:pt>
                <c:pt idx="2867">
                  <c:v>0.76400000000000001</c:v>
                </c:pt>
                <c:pt idx="2868">
                  <c:v>0.66800000000000004</c:v>
                </c:pt>
                <c:pt idx="2869">
                  <c:v>1.1100000000000001</c:v>
                </c:pt>
                <c:pt idx="2870">
                  <c:v>12.834</c:v>
                </c:pt>
                <c:pt idx="2872">
                  <c:v>16.25</c:v>
                </c:pt>
                <c:pt idx="2873">
                  <c:v>12.67</c:v>
                </c:pt>
                <c:pt idx="2874">
                  <c:v>22.31</c:v>
                </c:pt>
                <c:pt idx="2875">
                  <c:v>2.73</c:v>
                </c:pt>
                <c:pt idx="2876">
                  <c:v>2.33</c:v>
                </c:pt>
                <c:pt idx="2877">
                  <c:v>2.14</c:v>
                </c:pt>
                <c:pt idx="2878">
                  <c:v>1.1200000000000001</c:v>
                </c:pt>
                <c:pt idx="2879">
                  <c:v>2.2400000000000002</c:v>
                </c:pt>
                <c:pt idx="2880">
                  <c:v>12.22</c:v>
                </c:pt>
                <c:pt idx="2881">
                  <c:v>1.86</c:v>
                </c:pt>
                <c:pt idx="2882">
                  <c:v>1.64</c:v>
                </c:pt>
                <c:pt idx="2883">
                  <c:v>1.34</c:v>
                </c:pt>
                <c:pt idx="2884">
                  <c:v>2.33</c:v>
                </c:pt>
                <c:pt idx="2885">
                  <c:v>0.40300000000000002</c:v>
                </c:pt>
                <c:pt idx="2886">
                  <c:v>0.497</c:v>
                </c:pt>
                <c:pt idx="2887">
                  <c:v>0.53</c:v>
                </c:pt>
                <c:pt idx="2888">
                  <c:v>0.54600000000000004</c:v>
                </c:pt>
                <c:pt idx="2889">
                  <c:v>0.74099999999999999</c:v>
                </c:pt>
                <c:pt idx="2890">
                  <c:v>1.58</c:v>
                </c:pt>
                <c:pt idx="2891">
                  <c:v>2.5099999999999998</c:v>
                </c:pt>
                <c:pt idx="2892">
                  <c:v>1.25</c:v>
                </c:pt>
                <c:pt idx="2893">
                  <c:v>1.5</c:v>
                </c:pt>
                <c:pt idx="2894">
                  <c:v>1.1100000000000001</c:v>
                </c:pt>
                <c:pt idx="2895">
                  <c:v>1.35</c:v>
                </c:pt>
                <c:pt idx="2896">
                  <c:v>18.489999999999998</c:v>
                </c:pt>
                <c:pt idx="2897">
                  <c:v>2.056</c:v>
                </c:pt>
                <c:pt idx="2898">
                  <c:v>2.7639999999999998</c:v>
                </c:pt>
                <c:pt idx="2899">
                  <c:v>10.76</c:v>
                </c:pt>
                <c:pt idx="2900">
                  <c:v>6.14</c:v>
                </c:pt>
                <c:pt idx="2901">
                  <c:v>2.62</c:v>
                </c:pt>
                <c:pt idx="2902">
                  <c:v>0.83699999999999997</c:v>
                </c:pt>
                <c:pt idx="2903">
                  <c:v>1.63</c:v>
                </c:pt>
                <c:pt idx="2904">
                  <c:v>6.2039999999999997</c:v>
                </c:pt>
                <c:pt idx="2905">
                  <c:v>2.3540000000000001</c:v>
                </c:pt>
                <c:pt idx="2907">
                  <c:v>4.2</c:v>
                </c:pt>
                <c:pt idx="2908">
                  <c:v>9.0570000000000004</c:v>
                </c:pt>
                <c:pt idx="2910">
                  <c:v>1.64</c:v>
                </c:pt>
                <c:pt idx="2911">
                  <c:v>5.52</c:v>
                </c:pt>
                <c:pt idx="2912">
                  <c:v>2.58</c:v>
                </c:pt>
                <c:pt idx="2913">
                  <c:v>3.77</c:v>
                </c:pt>
                <c:pt idx="2914">
                  <c:v>3.05</c:v>
                </c:pt>
                <c:pt idx="2915">
                  <c:v>3.3</c:v>
                </c:pt>
                <c:pt idx="2916">
                  <c:v>2.95</c:v>
                </c:pt>
                <c:pt idx="2917">
                  <c:v>2.85</c:v>
                </c:pt>
                <c:pt idx="2918">
                  <c:v>1.25</c:v>
                </c:pt>
                <c:pt idx="2919">
                  <c:v>2.25</c:v>
                </c:pt>
                <c:pt idx="2920">
                  <c:v>13.34</c:v>
                </c:pt>
                <c:pt idx="2921">
                  <c:v>3.05</c:v>
                </c:pt>
                <c:pt idx="2922">
                  <c:v>4.6500000000000004</c:v>
                </c:pt>
                <c:pt idx="2923">
                  <c:v>7.04</c:v>
                </c:pt>
                <c:pt idx="2924">
                  <c:v>14.44</c:v>
                </c:pt>
                <c:pt idx="2925">
                  <c:v>14.96</c:v>
                </c:pt>
                <c:pt idx="2926">
                  <c:v>3.22</c:v>
                </c:pt>
                <c:pt idx="2927">
                  <c:v>4.08</c:v>
                </c:pt>
                <c:pt idx="2928">
                  <c:v>3.06</c:v>
                </c:pt>
                <c:pt idx="2929">
                  <c:v>2.4900000000000002</c:v>
                </c:pt>
                <c:pt idx="2930">
                  <c:v>3.08</c:v>
                </c:pt>
                <c:pt idx="2931">
                  <c:v>2.0699999999999998</c:v>
                </c:pt>
                <c:pt idx="2932">
                  <c:v>2.71</c:v>
                </c:pt>
                <c:pt idx="2933">
                  <c:v>2.12</c:v>
                </c:pt>
                <c:pt idx="2934">
                  <c:v>1.88</c:v>
                </c:pt>
                <c:pt idx="2935">
                  <c:v>2.71</c:v>
                </c:pt>
                <c:pt idx="2936">
                  <c:v>2.04</c:v>
                </c:pt>
                <c:pt idx="2938">
                  <c:v>2.78</c:v>
                </c:pt>
                <c:pt idx="2939">
                  <c:v>2.5</c:v>
                </c:pt>
                <c:pt idx="2940">
                  <c:v>2.36</c:v>
                </c:pt>
                <c:pt idx="2941">
                  <c:v>3.21</c:v>
                </c:pt>
                <c:pt idx="2942">
                  <c:v>2.2799999999999998</c:v>
                </c:pt>
                <c:pt idx="2943">
                  <c:v>14.41</c:v>
                </c:pt>
                <c:pt idx="2944">
                  <c:v>11</c:v>
                </c:pt>
                <c:pt idx="2945">
                  <c:v>11.42</c:v>
                </c:pt>
                <c:pt idx="2946">
                  <c:v>2.68</c:v>
                </c:pt>
                <c:pt idx="2947">
                  <c:v>15.79</c:v>
                </c:pt>
                <c:pt idx="2948">
                  <c:v>7.72</c:v>
                </c:pt>
                <c:pt idx="2949">
                  <c:v>2.72</c:v>
                </c:pt>
                <c:pt idx="2950">
                  <c:v>2.5499999999999998</c:v>
                </c:pt>
                <c:pt idx="2951">
                  <c:v>1.6</c:v>
                </c:pt>
                <c:pt idx="2952">
                  <c:v>1.56</c:v>
                </c:pt>
                <c:pt idx="2953">
                  <c:v>11.65</c:v>
                </c:pt>
                <c:pt idx="2954">
                  <c:v>8.92</c:v>
                </c:pt>
                <c:pt idx="2955">
                  <c:v>9.59</c:v>
                </c:pt>
                <c:pt idx="2956">
                  <c:v>15.13</c:v>
                </c:pt>
                <c:pt idx="2957">
                  <c:v>7.14</c:v>
                </c:pt>
                <c:pt idx="2958">
                  <c:v>5.23</c:v>
                </c:pt>
                <c:pt idx="2959">
                  <c:v>2.3199999999999998</c:v>
                </c:pt>
                <c:pt idx="2960">
                  <c:v>6.04</c:v>
                </c:pt>
                <c:pt idx="2961">
                  <c:v>3.03</c:v>
                </c:pt>
                <c:pt idx="2962">
                  <c:v>2.17</c:v>
                </c:pt>
                <c:pt idx="2963">
                  <c:v>15.984</c:v>
                </c:pt>
                <c:pt idx="2964">
                  <c:v>1.71</c:v>
                </c:pt>
                <c:pt idx="2965">
                  <c:v>2.17</c:v>
                </c:pt>
                <c:pt idx="2966">
                  <c:v>2.58</c:v>
                </c:pt>
                <c:pt idx="2967">
                  <c:v>4.3</c:v>
                </c:pt>
                <c:pt idx="2968">
                  <c:v>4.7699999999999996</c:v>
                </c:pt>
                <c:pt idx="2969">
                  <c:v>1.59</c:v>
                </c:pt>
                <c:pt idx="2970">
                  <c:v>2.6</c:v>
                </c:pt>
                <c:pt idx="2971">
                  <c:v>2.73</c:v>
                </c:pt>
                <c:pt idx="2972">
                  <c:v>1.3</c:v>
                </c:pt>
                <c:pt idx="2973">
                  <c:v>1.64</c:v>
                </c:pt>
                <c:pt idx="2974">
                  <c:v>2.4900000000000002</c:v>
                </c:pt>
                <c:pt idx="2975">
                  <c:v>7.1</c:v>
                </c:pt>
                <c:pt idx="2976">
                  <c:v>9</c:v>
                </c:pt>
                <c:pt idx="2977">
                  <c:v>9.6999999999999993</c:v>
                </c:pt>
                <c:pt idx="2978">
                  <c:v>2.4700000000000002</c:v>
                </c:pt>
                <c:pt idx="2979">
                  <c:v>6.35</c:v>
                </c:pt>
                <c:pt idx="2980">
                  <c:v>2.69</c:v>
                </c:pt>
                <c:pt idx="2981">
                  <c:v>2.2000000000000002</c:v>
                </c:pt>
                <c:pt idx="2982">
                  <c:v>1.72</c:v>
                </c:pt>
                <c:pt idx="2983">
                  <c:v>1.46</c:v>
                </c:pt>
                <c:pt idx="2984">
                  <c:v>5.74</c:v>
                </c:pt>
                <c:pt idx="2985">
                  <c:v>2.67</c:v>
                </c:pt>
                <c:pt idx="2986">
                  <c:v>2.11</c:v>
                </c:pt>
                <c:pt idx="2987">
                  <c:v>2.1</c:v>
                </c:pt>
                <c:pt idx="2988">
                  <c:v>2.1</c:v>
                </c:pt>
                <c:pt idx="2989">
                  <c:v>1.84</c:v>
                </c:pt>
                <c:pt idx="2990">
                  <c:v>1.95</c:v>
                </c:pt>
                <c:pt idx="2991">
                  <c:v>1.66</c:v>
                </c:pt>
                <c:pt idx="2992">
                  <c:v>1.07</c:v>
                </c:pt>
                <c:pt idx="2993">
                  <c:v>3.18</c:v>
                </c:pt>
                <c:pt idx="2994">
                  <c:v>6.91</c:v>
                </c:pt>
                <c:pt idx="2995">
                  <c:v>1.96</c:v>
                </c:pt>
                <c:pt idx="2996">
                  <c:v>1.91</c:v>
                </c:pt>
                <c:pt idx="2997">
                  <c:v>0.96</c:v>
                </c:pt>
                <c:pt idx="2998">
                  <c:v>2.63</c:v>
                </c:pt>
                <c:pt idx="2999">
                  <c:v>1.99</c:v>
                </c:pt>
                <c:pt idx="3000">
                  <c:v>2.84</c:v>
                </c:pt>
                <c:pt idx="3001">
                  <c:v>2.08</c:v>
                </c:pt>
                <c:pt idx="3002">
                  <c:v>1.86</c:v>
                </c:pt>
                <c:pt idx="3003">
                  <c:v>2</c:v>
                </c:pt>
                <c:pt idx="3004">
                  <c:v>2.89</c:v>
                </c:pt>
                <c:pt idx="3005">
                  <c:v>3.17</c:v>
                </c:pt>
                <c:pt idx="3006">
                  <c:v>2.12</c:v>
                </c:pt>
                <c:pt idx="3007">
                  <c:v>3.01</c:v>
                </c:pt>
                <c:pt idx="3008">
                  <c:v>2.78</c:v>
                </c:pt>
                <c:pt idx="3009">
                  <c:v>2.57</c:v>
                </c:pt>
                <c:pt idx="3010">
                  <c:v>3.38</c:v>
                </c:pt>
                <c:pt idx="3011">
                  <c:v>2.2400000000000002</c:v>
                </c:pt>
                <c:pt idx="3012">
                  <c:v>2.36</c:v>
                </c:pt>
                <c:pt idx="3013">
                  <c:v>3.1</c:v>
                </c:pt>
                <c:pt idx="3014">
                  <c:v>1.41</c:v>
                </c:pt>
                <c:pt idx="3015">
                  <c:v>2.2599999999999998</c:v>
                </c:pt>
                <c:pt idx="3016">
                  <c:v>8.3729999999999993</c:v>
                </c:pt>
                <c:pt idx="3018">
                  <c:v>2.1</c:v>
                </c:pt>
                <c:pt idx="3019">
                  <c:v>1.23</c:v>
                </c:pt>
                <c:pt idx="3020">
                  <c:v>1.53</c:v>
                </c:pt>
                <c:pt idx="3021">
                  <c:v>2.71</c:v>
                </c:pt>
                <c:pt idx="3022">
                  <c:v>3.36</c:v>
                </c:pt>
                <c:pt idx="3023">
                  <c:v>1.57</c:v>
                </c:pt>
                <c:pt idx="3024">
                  <c:v>2.5</c:v>
                </c:pt>
                <c:pt idx="3025">
                  <c:v>2.12</c:v>
                </c:pt>
                <c:pt idx="3026">
                  <c:v>2.69</c:v>
                </c:pt>
                <c:pt idx="3027">
                  <c:v>7</c:v>
                </c:pt>
                <c:pt idx="3028">
                  <c:v>4</c:v>
                </c:pt>
                <c:pt idx="3029">
                  <c:v>11.99</c:v>
                </c:pt>
                <c:pt idx="3030">
                  <c:v>2.57</c:v>
                </c:pt>
                <c:pt idx="3031">
                  <c:v>2.93</c:v>
                </c:pt>
                <c:pt idx="3032">
                  <c:v>2.4300000000000002</c:v>
                </c:pt>
                <c:pt idx="3033">
                  <c:v>2.21</c:v>
                </c:pt>
                <c:pt idx="3034">
                  <c:v>1.59</c:v>
                </c:pt>
                <c:pt idx="3035">
                  <c:v>1.55</c:v>
                </c:pt>
                <c:pt idx="3036">
                  <c:v>1.59</c:v>
                </c:pt>
                <c:pt idx="3037">
                  <c:v>4.42</c:v>
                </c:pt>
                <c:pt idx="3038">
                  <c:v>2.73</c:v>
                </c:pt>
                <c:pt idx="3039">
                  <c:v>3.95</c:v>
                </c:pt>
                <c:pt idx="3040">
                  <c:v>4.63</c:v>
                </c:pt>
                <c:pt idx="3041">
                  <c:v>11.2</c:v>
                </c:pt>
                <c:pt idx="3042">
                  <c:v>4.29</c:v>
                </c:pt>
                <c:pt idx="3043">
                  <c:v>2.83</c:v>
                </c:pt>
                <c:pt idx="3044">
                  <c:v>2.2400000000000002</c:v>
                </c:pt>
                <c:pt idx="3045">
                  <c:v>2.67</c:v>
                </c:pt>
                <c:pt idx="3046">
                  <c:v>2.37</c:v>
                </c:pt>
                <c:pt idx="3047">
                  <c:v>3.61</c:v>
                </c:pt>
                <c:pt idx="3048">
                  <c:v>6.51</c:v>
                </c:pt>
                <c:pt idx="3049">
                  <c:v>9.8000000000000007</c:v>
                </c:pt>
                <c:pt idx="3051">
                  <c:v>1.72</c:v>
                </c:pt>
                <c:pt idx="3052">
                  <c:v>6.96</c:v>
                </c:pt>
                <c:pt idx="3053">
                  <c:v>2.68</c:v>
                </c:pt>
                <c:pt idx="3054">
                  <c:v>5.21</c:v>
                </c:pt>
                <c:pt idx="3055">
                  <c:v>3.09</c:v>
                </c:pt>
                <c:pt idx="3056">
                  <c:v>4.63</c:v>
                </c:pt>
                <c:pt idx="3057">
                  <c:v>3.64</c:v>
                </c:pt>
                <c:pt idx="3058">
                  <c:v>2.15</c:v>
                </c:pt>
                <c:pt idx="3059">
                  <c:v>2.25</c:v>
                </c:pt>
                <c:pt idx="3060">
                  <c:v>2.2599999999999998</c:v>
                </c:pt>
                <c:pt idx="3061">
                  <c:v>3.16</c:v>
                </c:pt>
                <c:pt idx="3062">
                  <c:v>2.19</c:v>
                </c:pt>
                <c:pt idx="3063">
                  <c:v>1.55</c:v>
                </c:pt>
                <c:pt idx="3064">
                  <c:v>2.4500000000000002</c:v>
                </c:pt>
                <c:pt idx="3065">
                  <c:v>2.64</c:v>
                </c:pt>
                <c:pt idx="3066">
                  <c:v>2.58</c:v>
                </c:pt>
                <c:pt idx="3067">
                  <c:v>2.79</c:v>
                </c:pt>
                <c:pt idx="3068">
                  <c:v>2.39</c:v>
                </c:pt>
                <c:pt idx="3069">
                  <c:v>2.39</c:v>
                </c:pt>
                <c:pt idx="3070">
                  <c:v>3.27</c:v>
                </c:pt>
                <c:pt idx="3071">
                  <c:v>2.5499999999999998</c:v>
                </c:pt>
                <c:pt idx="3072">
                  <c:v>2</c:v>
                </c:pt>
                <c:pt idx="3073">
                  <c:v>2</c:v>
                </c:pt>
                <c:pt idx="3074">
                  <c:v>2.78</c:v>
                </c:pt>
                <c:pt idx="3075">
                  <c:v>2.86</c:v>
                </c:pt>
                <c:pt idx="3076">
                  <c:v>2.94</c:v>
                </c:pt>
                <c:pt idx="3077">
                  <c:v>2.57</c:v>
                </c:pt>
                <c:pt idx="3078">
                  <c:v>2.63</c:v>
                </c:pt>
                <c:pt idx="3079">
                  <c:v>3.68</c:v>
                </c:pt>
                <c:pt idx="3080">
                  <c:v>2.2799999999999998</c:v>
                </c:pt>
                <c:pt idx="3081">
                  <c:v>4.21</c:v>
                </c:pt>
                <c:pt idx="3082">
                  <c:v>2.83</c:v>
                </c:pt>
                <c:pt idx="3083">
                  <c:v>2.79</c:v>
                </c:pt>
                <c:pt idx="3084">
                  <c:v>2.23</c:v>
                </c:pt>
                <c:pt idx="3085">
                  <c:v>2.63</c:v>
                </c:pt>
                <c:pt idx="3086">
                  <c:v>2.27</c:v>
                </c:pt>
                <c:pt idx="3087">
                  <c:v>1.1000000000000001</c:v>
                </c:pt>
                <c:pt idx="3088">
                  <c:v>1.98</c:v>
                </c:pt>
                <c:pt idx="3089">
                  <c:v>4.0199999999999996</c:v>
                </c:pt>
                <c:pt idx="3090">
                  <c:v>3.39</c:v>
                </c:pt>
                <c:pt idx="3091">
                  <c:v>2.39</c:v>
                </c:pt>
                <c:pt idx="3092">
                  <c:v>2.87</c:v>
                </c:pt>
                <c:pt idx="3093">
                  <c:v>2.1800000000000002</c:v>
                </c:pt>
                <c:pt idx="3094">
                  <c:v>3.81</c:v>
                </c:pt>
                <c:pt idx="3095">
                  <c:v>3.46</c:v>
                </c:pt>
                <c:pt idx="3096">
                  <c:v>2.37</c:v>
                </c:pt>
                <c:pt idx="3097">
                  <c:v>1.5</c:v>
                </c:pt>
                <c:pt idx="3098">
                  <c:v>2.84</c:v>
                </c:pt>
                <c:pt idx="3099">
                  <c:v>14.617000000000001</c:v>
                </c:pt>
                <c:pt idx="3100">
                  <c:v>1.71</c:v>
                </c:pt>
                <c:pt idx="3101">
                  <c:v>1.9</c:v>
                </c:pt>
                <c:pt idx="3102">
                  <c:v>1.99</c:v>
                </c:pt>
                <c:pt idx="3103">
                  <c:v>2.9</c:v>
                </c:pt>
                <c:pt idx="3104">
                  <c:v>1.9</c:v>
                </c:pt>
                <c:pt idx="3105">
                  <c:v>2.09</c:v>
                </c:pt>
                <c:pt idx="3106">
                  <c:v>2.65</c:v>
                </c:pt>
                <c:pt idx="3107">
                  <c:v>6.5</c:v>
                </c:pt>
                <c:pt idx="3108">
                  <c:v>1.32</c:v>
                </c:pt>
                <c:pt idx="3109">
                  <c:v>2.59</c:v>
                </c:pt>
                <c:pt idx="3110">
                  <c:v>1.44</c:v>
                </c:pt>
                <c:pt idx="3111">
                  <c:v>0.86</c:v>
                </c:pt>
                <c:pt idx="3112">
                  <c:v>3.31</c:v>
                </c:pt>
                <c:pt idx="3113">
                  <c:v>0.87</c:v>
                </c:pt>
                <c:pt idx="3114">
                  <c:v>3.64</c:v>
                </c:pt>
                <c:pt idx="3115">
                  <c:v>3.35</c:v>
                </c:pt>
                <c:pt idx="3116">
                  <c:v>2.15</c:v>
                </c:pt>
                <c:pt idx="3117">
                  <c:v>4.1900000000000004</c:v>
                </c:pt>
                <c:pt idx="3118">
                  <c:v>3.3</c:v>
                </c:pt>
                <c:pt idx="3119">
                  <c:v>1.65</c:v>
                </c:pt>
                <c:pt idx="3120">
                  <c:v>2.84</c:v>
                </c:pt>
                <c:pt idx="3121">
                  <c:v>2.29</c:v>
                </c:pt>
                <c:pt idx="3122">
                  <c:v>2.39</c:v>
                </c:pt>
                <c:pt idx="3123">
                  <c:v>1.74</c:v>
                </c:pt>
                <c:pt idx="3124">
                  <c:v>2.4300000000000002</c:v>
                </c:pt>
                <c:pt idx="3125">
                  <c:v>3.41</c:v>
                </c:pt>
                <c:pt idx="3126">
                  <c:v>1.32</c:v>
                </c:pt>
                <c:pt idx="3127">
                  <c:v>2.6</c:v>
                </c:pt>
                <c:pt idx="3128">
                  <c:v>3.16</c:v>
                </c:pt>
                <c:pt idx="3129">
                  <c:v>1.69</c:v>
                </c:pt>
                <c:pt idx="3130">
                  <c:v>1.31</c:v>
                </c:pt>
                <c:pt idx="3131">
                  <c:v>0.54</c:v>
                </c:pt>
                <c:pt idx="3132">
                  <c:v>1.95</c:v>
                </c:pt>
                <c:pt idx="3133">
                  <c:v>1.61</c:v>
                </c:pt>
                <c:pt idx="3134">
                  <c:v>1.41</c:v>
                </c:pt>
                <c:pt idx="3135">
                  <c:v>3.32</c:v>
                </c:pt>
                <c:pt idx="3136">
                  <c:v>2.2999999999999998</c:v>
                </c:pt>
                <c:pt idx="3137">
                  <c:v>2.13</c:v>
                </c:pt>
                <c:pt idx="3138">
                  <c:v>3.01</c:v>
                </c:pt>
                <c:pt idx="3139">
                  <c:v>2.31</c:v>
                </c:pt>
                <c:pt idx="3140">
                  <c:v>1.99</c:v>
                </c:pt>
                <c:pt idx="3141">
                  <c:v>1.05</c:v>
                </c:pt>
                <c:pt idx="3142">
                  <c:v>2.29</c:v>
                </c:pt>
                <c:pt idx="3143">
                  <c:v>3.73</c:v>
                </c:pt>
                <c:pt idx="3144">
                  <c:v>8.4</c:v>
                </c:pt>
                <c:pt idx="3145">
                  <c:v>1.38</c:v>
                </c:pt>
                <c:pt idx="3146">
                  <c:v>6.11</c:v>
                </c:pt>
                <c:pt idx="3147">
                  <c:v>3.18</c:v>
                </c:pt>
                <c:pt idx="3148">
                  <c:v>2.9</c:v>
                </c:pt>
                <c:pt idx="3149">
                  <c:v>2.21</c:v>
                </c:pt>
                <c:pt idx="3150">
                  <c:v>1.63</c:v>
                </c:pt>
                <c:pt idx="3151">
                  <c:v>1.89</c:v>
                </c:pt>
                <c:pt idx="3152">
                  <c:v>2.64</c:v>
                </c:pt>
                <c:pt idx="3153">
                  <c:v>4.45</c:v>
                </c:pt>
                <c:pt idx="3154">
                  <c:v>4.75</c:v>
                </c:pt>
                <c:pt idx="3155">
                  <c:v>1.83</c:v>
                </c:pt>
                <c:pt idx="3156">
                  <c:v>2.38</c:v>
                </c:pt>
                <c:pt idx="3157">
                  <c:v>2.56</c:v>
                </c:pt>
                <c:pt idx="3158">
                  <c:v>1.85</c:v>
                </c:pt>
                <c:pt idx="3159">
                  <c:v>2.9</c:v>
                </c:pt>
                <c:pt idx="3160">
                  <c:v>10.16</c:v>
                </c:pt>
                <c:pt idx="3161">
                  <c:v>3.15</c:v>
                </c:pt>
                <c:pt idx="3162">
                  <c:v>2.1</c:v>
                </c:pt>
                <c:pt idx="3163">
                  <c:v>1.99</c:v>
                </c:pt>
                <c:pt idx="3164">
                  <c:v>1.17</c:v>
                </c:pt>
                <c:pt idx="3165">
                  <c:v>3.22</c:v>
                </c:pt>
                <c:pt idx="3166">
                  <c:v>2.2599999999999998</c:v>
                </c:pt>
                <c:pt idx="3167">
                  <c:v>1.42</c:v>
                </c:pt>
                <c:pt idx="3168">
                  <c:v>2.58</c:v>
                </c:pt>
                <c:pt idx="3169">
                  <c:v>1.52</c:v>
                </c:pt>
                <c:pt idx="3170">
                  <c:v>2.96</c:v>
                </c:pt>
                <c:pt idx="3171">
                  <c:v>2.37</c:v>
                </c:pt>
                <c:pt idx="3172">
                  <c:v>2.4900000000000002</c:v>
                </c:pt>
                <c:pt idx="3173">
                  <c:v>1.95</c:v>
                </c:pt>
                <c:pt idx="3174">
                  <c:v>0.78</c:v>
                </c:pt>
                <c:pt idx="3175">
                  <c:v>2.0699999999999998</c:v>
                </c:pt>
                <c:pt idx="3176">
                  <c:v>2.71</c:v>
                </c:pt>
                <c:pt idx="3177">
                  <c:v>3.12</c:v>
                </c:pt>
                <c:pt idx="3178">
                  <c:v>3.52</c:v>
                </c:pt>
                <c:pt idx="3179">
                  <c:v>1.63</c:v>
                </c:pt>
                <c:pt idx="3180">
                  <c:v>2.5</c:v>
                </c:pt>
                <c:pt idx="3181">
                  <c:v>2.8</c:v>
                </c:pt>
                <c:pt idx="3182">
                  <c:v>2.57</c:v>
                </c:pt>
                <c:pt idx="3183">
                  <c:v>3.07</c:v>
                </c:pt>
                <c:pt idx="3184">
                  <c:v>2.1800000000000002</c:v>
                </c:pt>
                <c:pt idx="3185">
                  <c:v>2.6</c:v>
                </c:pt>
                <c:pt idx="3186">
                  <c:v>2.66</c:v>
                </c:pt>
                <c:pt idx="3187">
                  <c:v>2.6</c:v>
                </c:pt>
                <c:pt idx="3188">
                  <c:v>2.4</c:v>
                </c:pt>
                <c:pt idx="3189">
                  <c:v>4.7300000000000004</c:v>
                </c:pt>
                <c:pt idx="3190">
                  <c:v>2.7</c:v>
                </c:pt>
                <c:pt idx="3191">
                  <c:v>4.83</c:v>
                </c:pt>
                <c:pt idx="3192">
                  <c:v>2.94</c:v>
                </c:pt>
                <c:pt idx="3193">
                  <c:v>13.18</c:v>
                </c:pt>
                <c:pt idx="3194">
                  <c:v>2.69</c:v>
                </c:pt>
                <c:pt idx="3195">
                  <c:v>2.5</c:v>
                </c:pt>
                <c:pt idx="3196">
                  <c:v>6.54</c:v>
                </c:pt>
                <c:pt idx="3197">
                  <c:v>1.69</c:v>
                </c:pt>
                <c:pt idx="3198">
                  <c:v>2.44</c:v>
                </c:pt>
                <c:pt idx="3199">
                  <c:v>3.04</c:v>
                </c:pt>
                <c:pt idx="3200">
                  <c:v>5.38</c:v>
                </c:pt>
                <c:pt idx="3201">
                  <c:v>5.14</c:v>
                </c:pt>
                <c:pt idx="3202">
                  <c:v>3.01</c:v>
                </c:pt>
                <c:pt idx="3203">
                  <c:v>2.3540000000000001</c:v>
                </c:pt>
                <c:pt idx="3204">
                  <c:v>1</c:v>
                </c:pt>
                <c:pt idx="3206">
                  <c:v>2.42</c:v>
                </c:pt>
                <c:pt idx="3207">
                  <c:v>3.08</c:v>
                </c:pt>
                <c:pt idx="3208">
                  <c:v>7.37</c:v>
                </c:pt>
                <c:pt idx="3209">
                  <c:v>1.97</c:v>
                </c:pt>
                <c:pt idx="3210">
                  <c:v>3.36</c:v>
                </c:pt>
                <c:pt idx="3211">
                  <c:v>10.58</c:v>
                </c:pt>
                <c:pt idx="3212">
                  <c:v>12.15</c:v>
                </c:pt>
                <c:pt idx="3213">
                  <c:v>3.52</c:v>
                </c:pt>
                <c:pt idx="3214">
                  <c:v>9.76</c:v>
                </c:pt>
                <c:pt idx="3215">
                  <c:v>2.89</c:v>
                </c:pt>
                <c:pt idx="3216">
                  <c:v>2.2400000000000002</c:v>
                </c:pt>
                <c:pt idx="3217">
                  <c:v>1.71</c:v>
                </c:pt>
                <c:pt idx="3218">
                  <c:v>5.95</c:v>
                </c:pt>
                <c:pt idx="3219">
                  <c:v>2.09</c:v>
                </c:pt>
                <c:pt idx="3220">
                  <c:v>3.11</c:v>
                </c:pt>
                <c:pt idx="3221">
                  <c:v>10.18</c:v>
                </c:pt>
                <c:pt idx="3222">
                  <c:v>2.8</c:v>
                </c:pt>
                <c:pt idx="3223">
                  <c:v>9.2100000000000009</c:v>
                </c:pt>
                <c:pt idx="3224">
                  <c:v>6.14</c:v>
                </c:pt>
                <c:pt idx="3225">
                  <c:v>4.13</c:v>
                </c:pt>
                <c:pt idx="3226">
                  <c:v>3.68</c:v>
                </c:pt>
                <c:pt idx="3227">
                  <c:v>14.11</c:v>
                </c:pt>
                <c:pt idx="3228">
                  <c:v>18.181000000000001</c:v>
                </c:pt>
                <c:pt idx="3229">
                  <c:v>5.99</c:v>
                </c:pt>
                <c:pt idx="3230">
                  <c:v>2.84</c:v>
                </c:pt>
                <c:pt idx="3231">
                  <c:v>9.17</c:v>
                </c:pt>
                <c:pt idx="3232">
                  <c:v>8.1999999999999993</c:v>
                </c:pt>
                <c:pt idx="3233">
                  <c:v>2.61</c:v>
                </c:pt>
                <c:pt idx="3234">
                  <c:v>2.11</c:v>
                </c:pt>
                <c:pt idx="3235">
                  <c:v>13.17</c:v>
                </c:pt>
                <c:pt idx="3236">
                  <c:v>1.33</c:v>
                </c:pt>
                <c:pt idx="3237">
                  <c:v>2.93</c:v>
                </c:pt>
                <c:pt idx="3238">
                  <c:v>2.92</c:v>
                </c:pt>
                <c:pt idx="3239">
                  <c:v>1.88</c:v>
                </c:pt>
                <c:pt idx="3240">
                  <c:v>3.41</c:v>
                </c:pt>
                <c:pt idx="3241">
                  <c:v>3.41</c:v>
                </c:pt>
                <c:pt idx="3242">
                  <c:v>4.8499999999999996</c:v>
                </c:pt>
                <c:pt idx="3243">
                  <c:v>2.48</c:v>
                </c:pt>
                <c:pt idx="3244">
                  <c:v>9.67</c:v>
                </c:pt>
                <c:pt idx="3245">
                  <c:v>3.75</c:v>
                </c:pt>
                <c:pt idx="3246">
                  <c:v>2.9</c:v>
                </c:pt>
                <c:pt idx="3247">
                  <c:v>2.42</c:v>
                </c:pt>
                <c:pt idx="3248">
                  <c:v>16.559999999999999</c:v>
                </c:pt>
                <c:pt idx="3249">
                  <c:v>8.52</c:v>
                </c:pt>
                <c:pt idx="3250">
                  <c:v>8.41</c:v>
                </c:pt>
                <c:pt idx="3251">
                  <c:v>2.64</c:v>
                </c:pt>
                <c:pt idx="3252">
                  <c:v>2.63</c:v>
                </c:pt>
                <c:pt idx="3253">
                  <c:v>2.82</c:v>
                </c:pt>
                <c:pt idx="3254">
                  <c:v>12.19</c:v>
                </c:pt>
                <c:pt idx="3255">
                  <c:v>3.29</c:v>
                </c:pt>
                <c:pt idx="3256">
                  <c:v>10.63</c:v>
                </c:pt>
                <c:pt idx="3257">
                  <c:v>3.26</c:v>
                </c:pt>
                <c:pt idx="3258">
                  <c:v>2.5299999999999998</c:v>
                </c:pt>
                <c:pt idx="3259">
                  <c:v>3.34</c:v>
                </c:pt>
                <c:pt idx="3260">
                  <c:v>3.58</c:v>
                </c:pt>
                <c:pt idx="3261">
                  <c:v>12.33</c:v>
                </c:pt>
                <c:pt idx="3262">
                  <c:v>1.569</c:v>
                </c:pt>
                <c:pt idx="3263">
                  <c:v>13.88</c:v>
                </c:pt>
                <c:pt idx="3264">
                  <c:v>2.1800000000000002</c:v>
                </c:pt>
                <c:pt idx="3265">
                  <c:v>1.27</c:v>
                </c:pt>
                <c:pt idx="3266">
                  <c:v>2.82</c:v>
                </c:pt>
                <c:pt idx="3267">
                  <c:v>3.56</c:v>
                </c:pt>
                <c:pt idx="3268">
                  <c:v>2.95</c:v>
                </c:pt>
                <c:pt idx="3269">
                  <c:v>2.93</c:v>
                </c:pt>
                <c:pt idx="3270">
                  <c:v>1.96</c:v>
                </c:pt>
                <c:pt idx="3271">
                  <c:v>2.5</c:v>
                </c:pt>
                <c:pt idx="3272">
                  <c:v>3.32</c:v>
                </c:pt>
                <c:pt idx="3273">
                  <c:v>10.76</c:v>
                </c:pt>
                <c:pt idx="3274">
                  <c:v>4.57</c:v>
                </c:pt>
                <c:pt idx="3275">
                  <c:v>2.97</c:v>
                </c:pt>
                <c:pt idx="3276">
                  <c:v>3.24</c:v>
                </c:pt>
                <c:pt idx="3277">
                  <c:v>1.21</c:v>
                </c:pt>
                <c:pt idx="3278">
                  <c:v>1.62</c:v>
                </c:pt>
                <c:pt idx="3279">
                  <c:v>2.16</c:v>
                </c:pt>
                <c:pt idx="3280">
                  <c:v>1.1100000000000001</c:v>
                </c:pt>
                <c:pt idx="3281">
                  <c:v>5.27</c:v>
                </c:pt>
                <c:pt idx="3282">
                  <c:v>2.52</c:v>
                </c:pt>
                <c:pt idx="3283">
                  <c:v>3.1</c:v>
                </c:pt>
                <c:pt idx="3284">
                  <c:v>11.77</c:v>
                </c:pt>
                <c:pt idx="3285">
                  <c:v>3.07</c:v>
                </c:pt>
                <c:pt idx="3286">
                  <c:v>1.62</c:v>
                </c:pt>
                <c:pt idx="3287">
                  <c:v>2.46</c:v>
                </c:pt>
                <c:pt idx="3288">
                  <c:v>2.81</c:v>
                </c:pt>
                <c:pt idx="3289">
                  <c:v>1.91</c:v>
                </c:pt>
                <c:pt idx="3290">
                  <c:v>2.0099999999999998</c:v>
                </c:pt>
                <c:pt idx="3291">
                  <c:v>1.76</c:v>
                </c:pt>
                <c:pt idx="3292">
                  <c:v>1.26</c:v>
                </c:pt>
                <c:pt idx="3293">
                  <c:v>1.1200000000000001</c:v>
                </c:pt>
                <c:pt idx="3294">
                  <c:v>1.36</c:v>
                </c:pt>
                <c:pt idx="3295">
                  <c:v>2.48</c:v>
                </c:pt>
                <c:pt idx="3296">
                  <c:v>1.69</c:v>
                </c:pt>
                <c:pt idx="3297">
                  <c:v>2.12</c:v>
                </c:pt>
                <c:pt idx="3298">
                  <c:v>1.53</c:v>
                </c:pt>
                <c:pt idx="3299">
                  <c:v>2.27</c:v>
                </c:pt>
                <c:pt idx="3300">
                  <c:v>15.244</c:v>
                </c:pt>
                <c:pt idx="3301">
                  <c:v>3.06</c:v>
                </c:pt>
                <c:pt idx="3302">
                  <c:v>1.48</c:v>
                </c:pt>
                <c:pt idx="3303">
                  <c:v>2.0299999999999998</c:v>
                </c:pt>
                <c:pt idx="3304">
                  <c:v>12.68</c:v>
                </c:pt>
                <c:pt idx="3305">
                  <c:v>1.22</c:v>
                </c:pt>
                <c:pt idx="3306">
                  <c:v>1.64</c:v>
                </c:pt>
                <c:pt idx="3307">
                  <c:v>2.4300000000000002</c:v>
                </c:pt>
                <c:pt idx="3308">
                  <c:v>3.39</c:v>
                </c:pt>
                <c:pt idx="3309">
                  <c:v>6.64</c:v>
                </c:pt>
                <c:pt idx="3310">
                  <c:v>1.79</c:v>
                </c:pt>
                <c:pt idx="3311">
                  <c:v>2.92</c:v>
                </c:pt>
                <c:pt idx="3312">
                  <c:v>1.79</c:v>
                </c:pt>
                <c:pt idx="3313">
                  <c:v>10.760999999999999</c:v>
                </c:pt>
                <c:pt idx="3314">
                  <c:v>2.2999999999999998</c:v>
                </c:pt>
                <c:pt idx="3315">
                  <c:v>1.2</c:v>
                </c:pt>
                <c:pt idx="3316">
                  <c:v>1.4</c:v>
                </c:pt>
                <c:pt idx="3317">
                  <c:v>1.82</c:v>
                </c:pt>
                <c:pt idx="3318">
                  <c:v>1.82</c:v>
                </c:pt>
                <c:pt idx="3319">
                  <c:v>1.43</c:v>
                </c:pt>
                <c:pt idx="3320">
                  <c:v>3.17</c:v>
                </c:pt>
                <c:pt idx="3321">
                  <c:v>1.19</c:v>
                </c:pt>
                <c:pt idx="3322">
                  <c:v>1.28</c:v>
                </c:pt>
                <c:pt idx="3323">
                  <c:v>1.47</c:v>
                </c:pt>
                <c:pt idx="3324">
                  <c:v>1.68</c:v>
                </c:pt>
                <c:pt idx="3325">
                  <c:v>0.92</c:v>
                </c:pt>
                <c:pt idx="3326">
                  <c:v>1.121</c:v>
                </c:pt>
                <c:pt idx="3327">
                  <c:v>0.89</c:v>
                </c:pt>
                <c:pt idx="3328">
                  <c:v>2.89</c:v>
                </c:pt>
                <c:pt idx="3329">
                  <c:v>3.21</c:v>
                </c:pt>
                <c:pt idx="3330">
                  <c:v>0.78</c:v>
                </c:pt>
                <c:pt idx="3331">
                  <c:v>1.58</c:v>
                </c:pt>
                <c:pt idx="3332">
                  <c:v>13.02</c:v>
                </c:pt>
                <c:pt idx="3333">
                  <c:v>2.4300000000000002</c:v>
                </c:pt>
                <c:pt idx="3334">
                  <c:v>1.28</c:v>
                </c:pt>
                <c:pt idx="3335">
                  <c:v>2.5499999999999998</c:v>
                </c:pt>
                <c:pt idx="3336">
                  <c:v>2.12</c:v>
                </c:pt>
                <c:pt idx="3337">
                  <c:v>3.47</c:v>
                </c:pt>
                <c:pt idx="3338">
                  <c:v>3.72</c:v>
                </c:pt>
                <c:pt idx="3339">
                  <c:v>7.16</c:v>
                </c:pt>
                <c:pt idx="3340">
                  <c:v>3.49</c:v>
                </c:pt>
                <c:pt idx="3341">
                  <c:v>2.1800000000000002</c:v>
                </c:pt>
                <c:pt idx="3342">
                  <c:v>3.05</c:v>
                </c:pt>
                <c:pt idx="3343">
                  <c:v>1.96</c:v>
                </c:pt>
                <c:pt idx="3344">
                  <c:v>1.37</c:v>
                </c:pt>
                <c:pt idx="3345">
                  <c:v>2.11</c:v>
                </c:pt>
                <c:pt idx="3346">
                  <c:v>1.68</c:v>
                </c:pt>
                <c:pt idx="3347">
                  <c:v>1.3</c:v>
                </c:pt>
                <c:pt idx="3348">
                  <c:v>2.17</c:v>
                </c:pt>
                <c:pt idx="3349">
                  <c:v>2.39</c:v>
                </c:pt>
                <c:pt idx="3350">
                  <c:v>6.88</c:v>
                </c:pt>
                <c:pt idx="3351">
                  <c:v>15.872</c:v>
                </c:pt>
                <c:pt idx="3352">
                  <c:v>2.67</c:v>
                </c:pt>
                <c:pt idx="3353">
                  <c:v>2.74</c:v>
                </c:pt>
                <c:pt idx="3354">
                  <c:v>1.53</c:v>
                </c:pt>
                <c:pt idx="3355">
                  <c:v>1.6</c:v>
                </c:pt>
                <c:pt idx="3356">
                  <c:v>1.21</c:v>
                </c:pt>
                <c:pt idx="3357">
                  <c:v>1.1299999999999999</c:v>
                </c:pt>
                <c:pt idx="3358">
                  <c:v>2.85</c:v>
                </c:pt>
                <c:pt idx="3359">
                  <c:v>2</c:v>
                </c:pt>
                <c:pt idx="3360">
                  <c:v>3.54</c:v>
                </c:pt>
                <c:pt idx="3361">
                  <c:v>3.79</c:v>
                </c:pt>
                <c:pt idx="3362">
                  <c:v>1.94</c:v>
                </c:pt>
                <c:pt idx="3363">
                  <c:v>1.1399999999999999</c:v>
                </c:pt>
                <c:pt idx="3364">
                  <c:v>2.89</c:v>
                </c:pt>
                <c:pt idx="3365">
                  <c:v>1.1399999999999999</c:v>
                </c:pt>
                <c:pt idx="3366">
                  <c:v>10.42</c:v>
                </c:pt>
                <c:pt idx="3367">
                  <c:v>1.46</c:v>
                </c:pt>
                <c:pt idx="3368">
                  <c:v>3.01</c:v>
                </c:pt>
                <c:pt idx="3369">
                  <c:v>2.42</c:v>
                </c:pt>
                <c:pt idx="3370">
                  <c:v>2.37</c:v>
                </c:pt>
                <c:pt idx="3371">
                  <c:v>1.21</c:v>
                </c:pt>
                <c:pt idx="3372">
                  <c:v>1.93</c:v>
                </c:pt>
                <c:pt idx="3373">
                  <c:v>2.7</c:v>
                </c:pt>
                <c:pt idx="3374">
                  <c:v>3.55</c:v>
                </c:pt>
                <c:pt idx="3375">
                  <c:v>2.14</c:v>
                </c:pt>
                <c:pt idx="3376">
                  <c:v>2.12</c:v>
                </c:pt>
                <c:pt idx="3377">
                  <c:v>4.1100000000000003</c:v>
                </c:pt>
                <c:pt idx="3378">
                  <c:v>10.24</c:v>
                </c:pt>
                <c:pt idx="3379">
                  <c:v>9.0299999999999994</c:v>
                </c:pt>
                <c:pt idx="3380">
                  <c:v>5.1100000000000003</c:v>
                </c:pt>
                <c:pt idx="3381">
                  <c:v>2.76</c:v>
                </c:pt>
                <c:pt idx="3382">
                  <c:v>4</c:v>
                </c:pt>
                <c:pt idx="3383">
                  <c:v>5.35</c:v>
                </c:pt>
                <c:pt idx="3384">
                  <c:v>1.77</c:v>
                </c:pt>
                <c:pt idx="3385">
                  <c:v>2.4700000000000002</c:v>
                </c:pt>
                <c:pt idx="3386">
                  <c:v>6.09</c:v>
                </c:pt>
                <c:pt idx="3387">
                  <c:v>1.31</c:v>
                </c:pt>
                <c:pt idx="3388">
                  <c:v>1.77</c:v>
                </c:pt>
                <c:pt idx="3389">
                  <c:v>1.57</c:v>
                </c:pt>
                <c:pt idx="3390">
                  <c:v>1.87</c:v>
                </c:pt>
                <c:pt idx="3391">
                  <c:v>1.53</c:v>
                </c:pt>
                <c:pt idx="3392">
                  <c:v>1.84</c:v>
                </c:pt>
                <c:pt idx="3393">
                  <c:v>1.25</c:v>
                </c:pt>
                <c:pt idx="3394">
                  <c:v>5.63</c:v>
                </c:pt>
                <c:pt idx="3395">
                  <c:v>1.51</c:v>
                </c:pt>
                <c:pt idx="3396">
                  <c:v>2.11</c:v>
                </c:pt>
                <c:pt idx="3397">
                  <c:v>2.83</c:v>
                </c:pt>
                <c:pt idx="3398">
                  <c:v>2.36</c:v>
                </c:pt>
                <c:pt idx="3399">
                  <c:v>1.94</c:v>
                </c:pt>
                <c:pt idx="3400">
                  <c:v>1.7</c:v>
                </c:pt>
                <c:pt idx="3401">
                  <c:v>1.27</c:v>
                </c:pt>
                <c:pt idx="3402">
                  <c:v>2.06</c:v>
                </c:pt>
                <c:pt idx="3403">
                  <c:v>2.02</c:v>
                </c:pt>
                <c:pt idx="3404">
                  <c:v>2.02</c:v>
                </c:pt>
                <c:pt idx="3405">
                  <c:v>2.79</c:v>
                </c:pt>
                <c:pt idx="3406">
                  <c:v>2.73</c:v>
                </c:pt>
                <c:pt idx="3407">
                  <c:v>2.56</c:v>
                </c:pt>
                <c:pt idx="3408">
                  <c:v>2.73</c:v>
                </c:pt>
                <c:pt idx="3409">
                  <c:v>2.57</c:v>
                </c:pt>
                <c:pt idx="3410">
                  <c:v>2.23</c:v>
                </c:pt>
                <c:pt idx="3411">
                  <c:v>2.36</c:v>
                </c:pt>
                <c:pt idx="3412">
                  <c:v>1.38</c:v>
                </c:pt>
                <c:pt idx="3413">
                  <c:v>2.6</c:v>
                </c:pt>
                <c:pt idx="3414">
                  <c:v>2.2000000000000002</c:v>
                </c:pt>
                <c:pt idx="3415">
                  <c:v>17.07</c:v>
                </c:pt>
                <c:pt idx="3416">
                  <c:v>5.23</c:v>
                </c:pt>
                <c:pt idx="3417">
                  <c:v>1.6</c:v>
                </c:pt>
                <c:pt idx="3418">
                  <c:v>2.59</c:v>
                </c:pt>
                <c:pt idx="3419">
                  <c:v>1.68</c:v>
                </c:pt>
                <c:pt idx="3420">
                  <c:v>2.04</c:v>
                </c:pt>
                <c:pt idx="3421">
                  <c:v>2.48</c:v>
                </c:pt>
                <c:pt idx="3422">
                  <c:v>1.18</c:v>
                </c:pt>
                <c:pt idx="3423">
                  <c:v>1.7</c:v>
                </c:pt>
                <c:pt idx="3424">
                  <c:v>7.14</c:v>
                </c:pt>
                <c:pt idx="3425">
                  <c:v>1.97</c:v>
                </c:pt>
                <c:pt idx="3426">
                  <c:v>2.1800000000000002</c:v>
                </c:pt>
                <c:pt idx="3427">
                  <c:v>1.2</c:v>
                </c:pt>
                <c:pt idx="3428">
                  <c:v>1.27</c:v>
                </c:pt>
                <c:pt idx="3429">
                  <c:v>1.78</c:v>
                </c:pt>
                <c:pt idx="3430">
                  <c:v>1.68</c:v>
                </c:pt>
                <c:pt idx="3431">
                  <c:v>2.54</c:v>
                </c:pt>
                <c:pt idx="3432">
                  <c:v>1.69</c:v>
                </c:pt>
                <c:pt idx="3433">
                  <c:v>16.72</c:v>
                </c:pt>
                <c:pt idx="3434">
                  <c:v>8.35</c:v>
                </c:pt>
                <c:pt idx="3435">
                  <c:v>9.3000000000000007</c:v>
                </c:pt>
                <c:pt idx="3436">
                  <c:v>6.8</c:v>
                </c:pt>
                <c:pt idx="3437">
                  <c:v>4.87</c:v>
                </c:pt>
                <c:pt idx="3438">
                  <c:v>3.09</c:v>
                </c:pt>
                <c:pt idx="3439">
                  <c:v>3.24</c:v>
                </c:pt>
                <c:pt idx="3440">
                  <c:v>2.2799999999999998</c:v>
                </c:pt>
                <c:pt idx="3441">
                  <c:v>2.21</c:v>
                </c:pt>
                <c:pt idx="3442">
                  <c:v>2.9</c:v>
                </c:pt>
                <c:pt idx="3443">
                  <c:v>2.4</c:v>
                </c:pt>
                <c:pt idx="3444">
                  <c:v>2.4900000000000002</c:v>
                </c:pt>
                <c:pt idx="3445">
                  <c:v>1.63</c:v>
                </c:pt>
                <c:pt idx="3446">
                  <c:v>4.6399999999999997</c:v>
                </c:pt>
                <c:pt idx="3447">
                  <c:v>2.0499999999999998</c:v>
                </c:pt>
                <c:pt idx="3448">
                  <c:v>3.61</c:v>
                </c:pt>
                <c:pt idx="3449">
                  <c:v>13.49</c:v>
                </c:pt>
                <c:pt idx="3450">
                  <c:v>6.14</c:v>
                </c:pt>
                <c:pt idx="3451">
                  <c:v>2.78</c:v>
                </c:pt>
                <c:pt idx="3452">
                  <c:v>3.74</c:v>
                </c:pt>
                <c:pt idx="3453">
                  <c:v>1.99</c:v>
                </c:pt>
                <c:pt idx="3454">
                  <c:v>3.75</c:v>
                </c:pt>
                <c:pt idx="3455">
                  <c:v>3.94</c:v>
                </c:pt>
                <c:pt idx="3456">
                  <c:v>2.9</c:v>
                </c:pt>
                <c:pt idx="3457">
                  <c:v>1.43</c:v>
                </c:pt>
                <c:pt idx="3458">
                  <c:v>2.12</c:v>
                </c:pt>
                <c:pt idx="3459">
                  <c:v>1.93</c:v>
                </c:pt>
                <c:pt idx="3460">
                  <c:v>2.57</c:v>
                </c:pt>
                <c:pt idx="3461">
                  <c:v>2.66</c:v>
                </c:pt>
                <c:pt idx="3462">
                  <c:v>1.78</c:v>
                </c:pt>
                <c:pt idx="3463">
                  <c:v>1.23</c:v>
                </c:pt>
                <c:pt idx="3464">
                  <c:v>1.78</c:v>
                </c:pt>
                <c:pt idx="3465">
                  <c:v>1.23</c:v>
                </c:pt>
                <c:pt idx="3466">
                  <c:v>2.5</c:v>
                </c:pt>
                <c:pt idx="3467">
                  <c:v>1.52</c:v>
                </c:pt>
                <c:pt idx="3468">
                  <c:v>1.84</c:v>
                </c:pt>
                <c:pt idx="3469">
                  <c:v>1.1299999999999999</c:v>
                </c:pt>
                <c:pt idx="3470">
                  <c:v>1.76</c:v>
                </c:pt>
                <c:pt idx="3471">
                  <c:v>1.0900000000000001</c:v>
                </c:pt>
                <c:pt idx="3472">
                  <c:v>8.89</c:v>
                </c:pt>
                <c:pt idx="3473">
                  <c:v>6.41</c:v>
                </c:pt>
                <c:pt idx="3474">
                  <c:v>2.81</c:v>
                </c:pt>
                <c:pt idx="3475">
                  <c:v>3.03</c:v>
                </c:pt>
                <c:pt idx="3476">
                  <c:v>2.78</c:v>
                </c:pt>
                <c:pt idx="3477">
                  <c:v>1.54</c:v>
                </c:pt>
                <c:pt idx="3478">
                  <c:v>2.5299999999999998</c:v>
                </c:pt>
                <c:pt idx="3479">
                  <c:v>2.39</c:v>
                </c:pt>
                <c:pt idx="3480">
                  <c:v>1.49</c:v>
                </c:pt>
                <c:pt idx="3481">
                  <c:v>2.68</c:v>
                </c:pt>
                <c:pt idx="3482">
                  <c:v>9.4380000000000006</c:v>
                </c:pt>
                <c:pt idx="3483">
                  <c:v>9.2249999999999996</c:v>
                </c:pt>
                <c:pt idx="3484">
                  <c:v>1.64</c:v>
                </c:pt>
                <c:pt idx="3485">
                  <c:v>2.08</c:v>
                </c:pt>
                <c:pt idx="3486">
                  <c:v>1.37</c:v>
                </c:pt>
                <c:pt idx="3487">
                  <c:v>2.54</c:v>
                </c:pt>
                <c:pt idx="3488">
                  <c:v>2.0099999999999998</c:v>
                </c:pt>
                <c:pt idx="3489">
                  <c:v>2.5299999999999998</c:v>
                </c:pt>
                <c:pt idx="3490">
                  <c:v>1.77</c:v>
                </c:pt>
                <c:pt idx="3491">
                  <c:v>1.41</c:v>
                </c:pt>
                <c:pt idx="3492">
                  <c:v>2.11</c:v>
                </c:pt>
                <c:pt idx="3493">
                  <c:v>1.2</c:v>
                </c:pt>
                <c:pt idx="3494">
                  <c:v>1.22</c:v>
                </c:pt>
                <c:pt idx="3495">
                  <c:v>1.47</c:v>
                </c:pt>
                <c:pt idx="3496">
                  <c:v>15.323</c:v>
                </c:pt>
                <c:pt idx="3497">
                  <c:v>0.82</c:v>
                </c:pt>
                <c:pt idx="3498">
                  <c:v>2.6</c:v>
                </c:pt>
                <c:pt idx="3499">
                  <c:v>2.8</c:v>
                </c:pt>
                <c:pt idx="3500">
                  <c:v>2.06</c:v>
                </c:pt>
                <c:pt idx="3501">
                  <c:v>1.38</c:v>
                </c:pt>
                <c:pt idx="3502">
                  <c:v>1.5</c:v>
                </c:pt>
                <c:pt idx="3503">
                  <c:v>1.76</c:v>
                </c:pt>
                <c:pt idx="3504">
                  <c:v>1.91</c:v>
                </c:pt>
                <c:pt idx="3505">
                  <c:v>1.74</c:v>
                </c:pt>
                <c:pt idx="3506">
                  <c:v>2.25</c:v>
                </c:pt>
                <c:pt idx="3507">
                  <c:v>3.51</c:v>
                </c:pt>
                <c:pt idx="3508">
                  <c:v>2.6</c:v>
                </c:pt>
                <c:pt idx="3509">
                  <c:v>2.0670000000000002</c:v>
                </c:pt>
                <c:pt idx="3510">
                  <c:v>2.42</c:v>
                </c:pt>
                <c:pt idx="3511">
                  <c:v>3.8</c:v>
                </c:pt>
                <c:pt idx="3512">
                  <c:v>2.87</c:v>
                </c:pt>
                <c:pt idx="3513">
                  <c:v>1.42</c:v>
                </c:pt>
                <c:pt idx="3514">
                  <c:v>1.38</c:v>
                </c:pt>
                <c:pt idx="3515">
                  <c:v>3.07</c:v>
                </c:pt>
                <c:pt idx="3516">
                  <c:v>2.34</c:v>
                </c:pt>
                <c:pt idx="3517">
                  <c:v>2.31</c:v>
                </c:pt>
                <c:pt idx="3518">
                  <c:v>1.72</c:v>
                </c:pt>
                <c:pt idx="3519">
                  <c:v>1.59</c:v>
                </c:pt>
                <c:pt idx="3520">
                  <c:v>1.1100000000000001</c:v>
                </c:pt>
                <c:pt idx="3521">
                  <c:v>1.569</c:v>
                </c:pt>
                <c:pt idx="3523">
                  <c:v>2.13</c:v>
                </c:pt>
                <c:pt idx="3524">
                  <c:v>1.33</c:v>
                </c:pt>
                <c:pt idx="3525">
                  <c:v>1.37</c:v>
                </c:pt>
                <c:pt idx="3526">
                  <c:v>2.46</c:v>
                </c:pt>
                <c:pt idx="3527">
                  <c:v>2.09</c:v>
                </c:pt>
                <c:pt idx="3528">
                  <c:v>1.35</c:v>
                </c:pt>
                <c:pt idx="3529">
                  <c:v>1.45</c:v>
                </c:pt>
                <c:pt idx="3530">
                  <c:v>3.72</c:v>
                </c:pt>
                <c:pt idx="3531">
                  <c:v>2.67</c:v>
                </c:pt>
                <c:pt idx="3532">
                  <c:v>2.2200000000000002</c:v>
                </c:pt>
                <c:pt idx="3533">
                  <c:v>1.75</c:v>
                </c:pt>
                <c:pt idx="3534">
                  <c:v>3.51</c:v>
                </c:pt>
                <c:pt idx="3536">
                  <c:v>3.34</c:v>
                </c:pt>
                <c:pt idx="3537">
                  <c:v>3.08</c:v>
                </c:pt>
                <c:pt idx="3538">
                  <c:v>2.13</c:v>
                </c:pt>
                <c:pt idx="3539">
                  <c:v>5.93</c:v>
                </c:pt>
                <c:pt idx="3540">
                  <c:v>2.63</c:v>
                </c:pt>
                <c:pt idx="3541">
                  <c:v>2.63</c:v>
                </c:pt>
                <c:pt idx="3542">
                  <c:v>1.93</c:v>
                </c:pt>
                <c:pt idx="3543">
                  <c:v>2.2799999999999998</c:v>
                </c:pt>
                <c:pt idx="3544">
                  <c:v>1.85</c:v>
                </c:pt>
                <c:pt idx="3545">
                  <c:v>2.91</c:v>
                </c:pt>
                <c:pt idx="3546">
                  <c:v>3.42</c:v>
                </c:pt>
                <c:pt idx="3547">
                  <c:v>8.98</c:v>
                </c:pt>
                <c:pt idx="3548">
                  <c:v>5.59</c:v>
                </c:pt>
                <c:pt idx="3549">
                  <c:v>7.65</c:v>
                </c:pt>
                <c:pt idx="3550">
                  <c:v>4.21</c:v>
                </c:pt>
                <c:pt idx="3551">
                  <c:v>1.19</c:v>
                </c:pt>
                <c:pt idx="3552">
                  <c:v>2.3199999999999998</c:v>
                </c:pt>
                <c:pt idx="3553">
                  <c:v>3.13</c:v>
                </c:pt>
                <c:pt idx="3554">
                  <c:v>3</c:v>
                </c:pt>
                <c:pt idx="3555">
                  <c:v>5.5</c:v>
                </c:pt>
                <c:pt idx="3556">
                  <c:v>2.06</c:v>
                </c:pt>
                <c:pt idx="3557">
                  <c:v>4.38</c:v>
                </c:pt>
                <c:pt idx="3558">
                  <c:v>2.67</c:v>
                </c:pt>
                <c:pt idx="3559">
                  <c:v>2.29</c:v>
                </c:pt>
                <c:pt idx="3560">
                  <c:v>2.5499999999999998</c:v>
                </c:pt>
                <c:pt idx="3561">
                  <c:v>1.97</c:v>
                </c:pt>
                <c:pt idx="3562">
                  <c:v>2.66</c:v>
                </c:pt>
                <c:pt idx="3563">
                  <c:v>2.12</c:v>
                </c:pt>
                <c:pt idx="3564">
                  <c:v>3.38</c:v>
                </c:pt>
                <c:pt idx="3565">
                  <c:v>4.13</c:v>
                </c:pt>
                <c:pt idx="3566">
                  <c:v>2.35</c:v>
                </c:pt>
                <c:pt idx="3567">
                  <c:v>3.65</c:v>
                </c:pt>
                <c:pt idx="3568">
                  <c:v>2</c:v>
                </c:pt>
                <c:pt idx="3569">
                  <c:v>1.69</c:v>
                </c:pt>
                <c:pt idx="3570">
                  <c:v>2.0699999999999998</c:v>
                </c:pt>
                <c:pt idx="3571">
                  <c:v>0.99</c:v>
                </c:pt>
                <c:pt idx="3572">
                  <c:v>1.48</c:v>
                </c:pt>
                <c:pt idx="3574">
                  <c:v>2.77</c:v>
                </c:pt>
                <c:pt idx="3575">
                  <c:v>2.13</c:v>
                </c:pt>
                <c:pt idx="3576">
                  <c:v>4.6500000000000004</c:v>
                </c:pt>
                <c:pt idx="3577">
                  <c:v>1.96</c:v>
                </c:pt>
                <c:pt idx="3578">
                  <c:v>1.57</c:v>
                </c:pt>
                <c:pt idx="3579">
                  <c:v>1.48</c:v>
                </c:pt>
                <c:pt idx="3580">
                  <c:v>3.96</c:v>
                </c:pt>
                <c:pt idx="3581">
                  <c:v>2.62</c:v>
                </c:pt>
                <c:pt idx="3582">
                  <c:v>2.99</c:v>
                </c:pt>
                <c:pt idx="3583">
                  <c:v>2.72</c:v>
                </c:pt>
                <c:pt idx="3584">
                  <c:v>1.99</c:v>
                </c:pt>
                <c:pt idx="3585">
                  <c:v>2.67</c:v>
                </c:pt>
                <c:pt idx="3586">
                  <c:v>2.31</c:v>
                </c:pt>
                <c:pt idx="3587">
                  <c:v>2.25</c:v>
                </c:pt>
                <c:pt idx="3588">
                  <c:v>2.36</c:v>
                </c:pt>
                <c:pt idx="3589">
                  <c:v>2.12</c:v>
                </c:pt>
                <c:pt idx="3590">
                  <c:v>2.98</c:v>
                </c:pt>
                <c:pt idx="3591">
                  <c:v>2.36</c:v>
                </c:pt>
                <c:pt idx="3592">
                  <c:v>3.26</c:v>
                </c:pt>
                <c:pt idx="3593">
                  <c:v>2.0699999999999998</c:v>
                </c:pt>
                <c:pt idx="3594">
                  <c:v>2.21</c:v>
                </c:pt>
                <c:pt idx="3595">
                  <c:v>1.48</c:v>
                </c:pt>
                <c:pt idx="3596">
                  <c:v>2.6</c:v>
                </c:pt>
                <c:pt idx="3597">
                  <c:v>1.53</c:v>
                </c:pt>
                <c:pt idx="3598">
                  <c:v>2.54</c:v>
                </c:pt>
                <c:pt idx="3599">
                  <c:v>1.62</c:v>
                </c:pt>
                <c:pt idx="3600">
                  <c:v>2.97</c:v>
                </c:pt>
                <c:pt idx="3601">
                  <c:v>1.6</c:v>
                </c:pt>
                <c:pt idx="3602">
                  <c:v>2.7</c:v>
                </c:pt>
                <c:pt idx="3603">
                  <c:v>1.98</c:v>
                </c:pt>
                <c:pt idx="3604">
                  <c:v>1.36</c:v>
                </c:pt>
                <c:pt idx="3605">
                  <c:v>2.3199999999999998</c:v>
                </c:pt>
                <c:pt idx="3606">
                  <c:v>2.34</c:v>
                </c:pt>
                <c:pt idx="3607">
                  <c:v>1.7270000000000001</c:v>
                </c:pt>
                <c:pt idx="3608">
                  <c:v>1.282</c:v>
                </c:pt>
                <c:pt idx="3609">
                  <c:v>1.3029999999999999</c:v>
                </c:pt>
                <c:pt idx="3612">
                  <c:v>9.9760000000000009</c:v>
                </c:pt>
                <c:pt idx="3613">
                  <c:v>16.814</c:v>
                </c:pt>
                <c:pt idx="3644">
                  <c:v>14.907999999999999</c:v>
                </c:pt>
                <c:pt idx="3645">
                  <c:v>17.878</c:v>
                </c:pt>
                <c:pt idx="3646">
                  <c:v>16.588999999999999</c:v>
                </c:pt>
                <c:pt idx="3647">
                  <c:v>3.18</c:v>
                </c:pt>
                <c:pt idx="3648">
                  <c:v>12.733000000000001</c:v>
                </c:pt>
                <c:pt idx="3695">
                  <c:v>15.278</c:v>
                </c:pt>
                <c:pt idx="3696">
                  <c:v>14.010999999999999</c:v>
                </c:pt>
                <c:pt idx="3697">
                  <c:v>11.422000000000001</c:v>
                </c:pt>
                <c:pt idx="3698">
                  <c:v>12.250999999999999</c:v>
                </c:pt>
                <c:pt idx="3699">
                  <c:v>13.45</c:v>
                </c:pt>
                <c:pt idx="3700">
                  <c:v>12.666</c:v>
                </c:pt>
                <c:pt idx="3701">
                  <c:v>15.244</c:v>
                </c:pt>
                <c:pt idx="3702">
                  <c:v>18.045999999999999</c:v>
                </c:pt>
                <c:pt idx="3704">
                  <c:v>14.571999999999999</c:v>
                </c:pt>
                <c:pt idx="3705">
                  <c:v>6.18</c:v>
                </c:pt>
                <c:pt idx="3706">
                  <c:v>10.119999999999999</c:v>
                </c:pt>
                <c:pt idx="3707">
                  <c:v>10.548</c:v>
                </c:pt>
                <c:pt idx="3718">
                  <c:v>12.811999999999999</c:v>
                </c:pt>
                <c:pt idx="3719">
                  <c:v>17.295000000000002</c:v>
                </c:pt>
                <c:pt idx="3720">
                  <c:v>14.055999999999999</c:v>
                </c:pt>
                <c:pt idx="3721">
                  <c:v>12.285</c:v>
                </c:pt>
                <c:pt idx="3722">
                  <c:v>12.722</c:v>
                </c:pt>
                <c:pt idx="3723">
                  <c:v>12.407999999999999</c:v>
                </c:pt>
                <c:pt idx="3724">
                  <c:v>19.055</c:v>
                </c:pt>
                <c:pt idx="3725">
                  <c:v>14.404</c:v>
                </c:pt>
                <c:pt idx="3726">
                  <c:v>11.31</c:v>
                </c:pt>
                <c:pt idx="3731">
                  <c:v>13.675000000000001</c:v>
                </c:pt>
                <c:pt idx="3733">
                  <c:v>12.666</c:v>
                </c:pt>
                <c:pt idx="3734">
                  <c:v>9.0790000000000006</c:v>
                </c:pt>
                <c:pt idx="3737">
                  <c:v>10.817</c:v>
                </c:pt>
                <c:pt idx="3738">
                  <c:v>7.69</c:v>
                </c:pt>
                <c:pt idx="3739">
                  <c:v>11.29</c:v>
                </c:pt>
                <c:pt idx="3740">
                  <c:v>1.0860000000000001</c:v>
                </c:pt>
                <c:pt idx="3741">
                  <c:v>1.056</c:v>
                </c:pt>
                <c:pt idx="3742">
                  <c:v>0.77200000000000002</c:v>
                </c:pt>
                <c:pt idx="3743">
                  <c:v>0.91800000000000004</c:v>
                </c:pt>
                <c:pt idx="3744">
                  <c:v>1.0449999999999999</c:v>
                </c:pt>
                <c:pt idx="3745">
                  <c:v>1.127</c:v>
                </c:pt>
                <c:pt idx="3746">
                  <c:v>0.752</c:v>
                </c:pt>
                <c:pt idx="3752">
                  <c:v>12.666</c:v>
                </c:pt>
                <c:pt idx="3753">
                  <c:v>15.244</c:v>
                </c:pt>
                <c:pt idx="3754">
                  <c:v>14.975</c:v>
                </c:pt>
                <c:pt idx="3755">
                  <c:v>18.045999999999999</c:v>
                </c:pt>
                <c:pt idx="3756">
                  <c:v>13.384</c:v>
                </c:pt>
                <c:pt idx="3764">
                  <c:v>16.623000000000001</c:v>
                </c:pt>
                <c:pt idx="3765">
                  <c:v>12.106</c:v>
                </c:pt>
                <c:pt idx="3766">
                  <c:v>14.907999999999999</c:v>
                </c:pt>
                <c:pt idx="3767">
                  <c:v>16.029</c:v>
                </c:pt>
                <c:pt idx="3768">
                  <c:v>17.126999999999999</c:v>
                </c:pt>
                <c:pt idx="3769">
                  <c:v>12.744999999999999</c:v>
                </c:pt>
                <c:pt idx="3770">
                  <c:v>10.760999999999999</c:v>
                </c:pt>
                <c:pt idx="3771">
                  <c:v>11.433</c:v>
                </c:pt>
                <c:pt idx="3772">
                  <c:v>10.536</c:v>
                </c:pt>
                <c:pt idx="3773">
                  <c:v>12.442</c:v>
                </c:pt>
                <c:pt idx="3774">
                  <c:v>15.792999999999999</c:v>
                </c:pt>
                <c:pt idx="3775">
                  <c:v>15.009</c:v>
                </c:pt>
                <c:pt idx="3776">
                  <c:v>11.882</c:v>
                </c:pt>
                <c:pt idx="3777">
                  <c:v>16.140999999999998</c:v>
                </c:pt>
                <c:pt idx="3778">
                  <c:v>15.693</c:v>
                </c:pt>
                <c:pt idx="3779">
                  <c:v>20.399999999999999</c:v>
                </c:pt>
                <c:pt idx="3780">
                  <c:v>16.510999999999999</c:v>
                </c:pt>
                <c:pt idx="3781">
                  <c:v>20.905000000000001</c:v>
                </c:pt>
                <c:pt idx="3782">
                  <c:v>14.773</c:v>
                </c:pt>
                <c:pt idx="3783">
                  <c:v>13.898999999999999</c:v>
                </c:pt>
                <c:pt idx="3784">
                  <c:v>10.760999999999999</c:v>
                </c:pt>
                <c:pt idx="3785">
                  <c:v>15.356</c:v>
                </c:pt>
                <c:pt idx="3786">
                  <c:v>10.423999999999999</c:v>
                </c:pt>
                <c:pt idx="3787">
                  <c:v>13.675000000000001</c:v>
                </c:pt>
                <c:pt idx="3788">
                  <c:v>9.9760000000000009</c:v>
                </c:pt>
                <c:pt idx="3789">
                  <c:v>13.675000000000001</c:v>
                </c:pt>
                <c:pt idx="3790">
                  <c:v>9.7520000000000007</c:v>
                </c:pt>
                <c:pt idx="3791">
                  <c:v>13.563000000000001</c:v>
                </c:pt>
                <c:pt idx="3792">
                  <c:v>14.571999999999999</c:v>
                </c:pt>
                <c:pt idx="3793">
                  <c:v>15.468</c:v>
                </c:pt>
                <c:pt idx="3794">
                  <c:v>12.218</c:v>
                </c:pt>
                <c:pt idx="3795">
                  <c:v>8.9670000000000005</c:v>
                </c:pt>
                <c:pt idx="3796">
                  <c:v>15.468</c:v>
                </c:pt>
                <c:pt idx="3797">
                  <c:v>16.140999999999998</c:v>
                </c:pt>
                <c:pt idx="3798">
                  <c:v>13.563000000000001</c:v>
                </c:pt>
                <c:pt idx="3799">
                  <c:v>17.149999999999999</c:v>
                </c:pt>
                <c:pt idx="3800">
                  <c:v>9.5280000000000005</c:v>
                </c:pt>
                <c:pt idx="3801">
                  <c:v>10.087999999999999</c:v>
                </c:pt>
                <c:pt idx="3802">
                  <c:v>12.497999999999999</c:v>
                </c:pt>
                <c:pt idx="3803">
                  <c:v>15.805</c:v>
                </c:pt>
                <c:pt idx="3804">
                  <c:v>12.666</c:v>
                </c:pt>
                <c:pt idx="3805">
                  <c:v>17.373999999999999</c:v>
                </c:pt>
                <c:pt idx="3806">
                  <c:v>5.7169999999999996</c:v>
                </c:pt>
                <c:pt idx="3807">
                  <c:v>11.19</c:v>
                </c:pt>
                <c:pt idx="3808">
                  <c:v>11.994</c:v>
                </c:pt>
                <c:pt idx="3809">
                  <c:v>15.468</c:v>
                </c:pt>
                <c:pt idx="3810">
                  <c:v>13.675000000000001</c:v>
                </c:pt>
                <c:pt idx="3811">
                  <c:v>12.218</c:v>
                </c:pt>
                <c:pt idx="3812">
                  <c:v>12.811999999999999</c:v>
                </c:pt>
                <c:pt idx="3813">
                  <c:v>11.209</c:v>
                </c:pt>
                <c:pt idx="3814">
                  <c:v>13.473000000000001</c:v>
                </c:pt>
                <c:pt idx="3815">
                  <c:v>12.644</c:v>
                </c:pt>
                <c:pt idx="3816">
                  <c:v>14.122999999999999</c:v>
                </c:pt>
                <c:pt idx="3817">
                  <c:v>17.71</c:v>
                </c:pt>
                <c:pt idx="3818">
                  <c:v>16.814</c:v>
                </c:pt>
                <c:pt idx="3819">
                  <c:v>20.960999999999999</c:v>
                </c:pt>
                <c:pt idx="3820">
                  <c:v>12.285</c:v>
                </c:pt>
                <c:pt idx="3821">
                  <c:v>17.597999999999999</c:v>
                </c:pt>
                <c:pt idx="3822">
                  <c:v>13.451000000000001</c:v>
                </c:pt>
                <c:pt idx="3823">
                  <c:v>14.571999999999999</c:v>
                </c:pt>
                <c:pt idx="3824">
                  <c:v>17.71</c:v>
                </c:pt>
                <c:pt idx="3825">
                  <c:v>13.451000000000001</c:v>
                </c:pt>
                <c:pt idx="3826">
                  <c:v>13.271000000000001</c:v>
                </c:pt>
                <c:pt idx="3827">
                  <c:v>16.477</c:v>
                </c:pt>
                <c:pt idx="3828">
                  <c:v>15.603</c:v>
                </c:pt>
                <c:pt idx="3829">
                  <c:v>12.89</c:v>
                </c:pt>
                <c:pt idx="3830">
                  <c:v>12.005000000000001</c:v>
                </c:pt>
                <c:pt idx="3831">
                  <c:v>16.388000000000002</c:v>
                </c:pt>
                <c:pt idx="3832">
                  <c:v>11.99</c:v>
                </c:pt>
                <c:pt idx="3833">
                  <c:v>13.787000000000001</c:v>
                </c:pt>
                <c:pt idx="3834">
                  <c:v>10.782999999999999</c:v>
                </c:pt>
                <c:pt idx="3835">
                  <c:v>15.468</c:v>
                </c:pt>
                <c:pt idx="3836">
                  <c:v>11.994</c:v>
                </c:pt>
                <c:pt idx="3837">
                  <c:v>13.563000000000001</c:v>
                </c:pt>
                <c:pt idx="3838">
                  <c:v>13.597</c:v>
                </c:pt>
                <c:pt idx="3839">
                  <c:v>8.6310000000000002</c:v>
                </c:pt>
                <c:pt idx="3840">
                  <c:v>15.917</c:v>
                </c:pt>
                <c:pt idx="3841">
                  <c:v>17.363</c:v>
                </c:pt>
                <c:pt idx="3842">
                  <c:v>10.760999999999999</c:v>
                </c:pt>
                <c:pt idx="3843">
                  <c:v>17.934000000000001</c:v>
                </c:pt>
                <c:pt idx="3844">
                  <c:v>11.209</c:v>
                </c:pt>
                <c:pt idx="3845">
                  <c:v>14.571999999999999</c:v>
                </c:pt>
                <c:pt idx="3846">
                  <c:v>14.874000000000001</c:v>
                </c:pt>
                <c:pt idx="3847">
                  <c:v>13.002000000000001</c:v>
                </c:pt>
                <c:pt idx="3848">
                  <c:v>13.787000000000001</c:v>
                </c:pt>
                <c:pt idx="3849">
                  <c:v>14.234999999999999</c:v>
                </c:pt>
                <c:pt idx="3850">
                  <c:v>14.907999999999999</c:v>
                </c:pt>
                <c:pt idx="3851">
                  <c:v>12.33</c:v>
                </c:pt>
                <c:pt idx="3853">
                  <c:v>12.576000000000001</c:v>
                </c:pt>
                <c:pt idx="3854">
                  <c:v>10.423999999999999</c:v>
                </c:pt>
                <c:pt idx="3855">
                  <c:v>12.778</c:v>
                </c:pt>
                <c:pt idx="3856">
                  <c:v>12.778</c:v>
                </c:pt>
                <c:pt idx="3857">
                  <c:v>13.159000000000001</c:v>
                </c:pt>
                <c:pt idx="3858">
                  <c:v>12.63</c:v>
                </c:pt>
                <c:pt idx="3860">
                  <c:v>3.5760000000000001</c:v>
                </c:pt>
                <c:pt idx="3861">
                  <c:v>1.81</c:v>
                </c:pt>
                <c:pt idx="3862">
                  <c:v>16.814</c:v>
                </c:pt>
                <c:pt idx="3863">
                  <c:v>12.442</c:v>
                </c:pt>
                <c:pt idx="3864">
                  <c:v>12.183999999999999</c:v>
                </c:pt>
                <c:pt idx="3865">
                  <c:v>13.675000000000001</c:v>
                </c:pt>
                <c:pt idx="3866">
                  <c:v>14.24</c:v>
                </c:pt>
                <c:pt idx="3867">
                  <c:v>12.038</c:v>
                </c:pt>
                <c:pt idx="3869">
                  <c:v>17.71</c:v>
                </c:pt>
                <c:pt idx="3870">
                  <c:v>14.907999999999999</c:v>
                </c:pt>
                <c:pt idx="3871">
                  <c:v>10.536</c:v>
                </c:pt>
                <c:pt idx="3872">
                  <c:v>11.769</c:v>
                </c:pt>
                <c:pt idx="3873">
                  <c:v>16.029</c:v>
                </c:pt>
                <c:pt idx="3874">
                  <c:v>8.6869999999999994</c:v>
                </c:pt>
                <c:pt idx="3875">
                  <c:v>11.545</c:v>
                </c:pt>
                <c:pt idx="3876">
                  <c:v>9.8640000000000008</c:v>
                </c:pt>
                <c:pt idx="3877">
                  <c:v>15.805</c:v>
                </c:pt>
                <c:pt idx="3878">
                  <c:v>14.795999999999999</c:v>
                </c:pt>
                <c:pt idx="3879">
                  <c:v>15.805</c:v>
                </c:pt>
                <c:pt idx="3880">
                  <c:v>14.247</c:v>
                </c:pt>
                <c:pt idx="3881">
                  <c:v>12.464</c:v>
                </c:pt>
                <c:pt idx="3882">
                  <c:v>15.693</c:v>
                </c:pt>
                <c:pt idx="3883">
                  <c:v>12.89</c:v>
                </c:pt>
                <c:pt idx="3884">
                  <c:v>14.795999999999999</c:v>
                </c:pt>
                <c:pt idx="3885">
                  <c:v>12.442</c:v>
                </c:pt>
                <c:pt idx="3886">
                  <c:v>14.907999999999999</c:v>
                </c:pt>
                <c:pt idx="3887">
                  <c:v>13.047000000000001</c:v>
                </c:pt>
                <c:pt idx="3888">
                  <c:v>13.227</c:v>
                </c:pt>
                <c:pt idx="3889">
                  <c:v>14.46</c:v>
                </c:pt>
                <c:pt idx="3890">
                  <c:v>15.917</c:v>
                </c:pt>
                <c:pt idx="3891">
                  <c:v>15.244</c:v>
                </c:pt>
                <c:pt idx="3892">
                  <c:v>14.234999999999999</c:v>
                </c:pt>
                <c:pt idx="3893">
                  <c:v>20.512</c:v>
                </c:pt>
                <c:pt idx="3894">
                  <c:v>15.468</c:v>
                </c:pt>
                <c:pt idx="3895">
                  <c:v>21.632999999999999</c:v>
                </c:pt>
                <c:pt idx="3896">
                  <c:v>18.719000000000001</c:v>
                </c:pt>
                <c:pt idx="3897">
                  <c:v>12.666</c:v>
                </c:pt>
                <c:pt idx="3899">
                  <c:v>11.198</c:v>
                </c:pt>
                <c:pt idx="3900">
                  <c:v>16.018000000000001</c:v>
                </c:pt>
                <c:pt idx="3901">
                  <c:v>18.158999999999999</c:v>
                </c:pt>
                <c:pt idx="3902">
                  <c:v>11.657</c:v>
                </c:pt>
                <c:pt idx="3903">
                  <c:v>10.558999999999999</c:v>
                </c:pt>
                <c:pt idx="3904">
                  <c:v>13.898999999999999</c:v>
                </c:pt>
                <c:pt idx="3905">
                  <c:v>16.364999999999998</c:v>
                </c:pt>
                <c:pt idx="3906">
                  <c:v>11.657</c:v>
                </c:pt>
                <c:pt idx="3907">
                  <c:v>18.271000000000001</c:v>
                </c:pt>
                <c:pt idx="3908">
                  <c:v>11.545</c:v>
                </c:pt>
                <c:pt idx="3909">
                  <c:v>16.376000000000001</c:v>
                </c:pt>
                <c:pt idx="3910">
                  <c:v>17.901</c:v>
                </c:pt>
                <c:pt idx="3911">
                  <c:v>17.71</c:v>
                </c:pt>
                <c:pt idx="3913">
                  <c:v>13.787000000000001</c:v>
                </c:pt>
                <c:pt idx="3914">
                  <c:v>13.45</c:v>
                </c:pt>
                <c:pt idx="3915">
                  <c:v>12.778</c:v>
                </c:pt>
                <c:pt idx="3916">
                  <c:v>12.823</c:v>
                </c:pt>
                <c:pt idx="3917">
                  <c:v>11.433</c:v>
                </c:pt>
                <c:pt idx="3919">
                  <c:v>10.468</c:v>
                </c:pt>
                <c:pt idx="3920">
                  <c:v>16.7</c:v>
                </c:pt>
                <c:pt idx="3921">
                  <c:v>15.278</c:v>
                </c:pt>
                <c:pt idx="3925">
                  <c:v>2.0299999999999998</c:v>
                </c:pt>
                <c:pt idx="3926">
                  <c:v>12.778</c:v>
                </c:pt>
                <c:pt idx="3927">
                  <c:v>11.131</c:v>
                </c:pt>
                <c:pt idx="3930">
                  <c:v>15.805</c:v>
                </c:pt>
                <c:pt idx="3931">
                  <c:v>14.010999999999999</c:v>
                </c:pt>
                <c:pt idx="3932">
                  <c:v>12.78</c:v>
                </c:pt>
                <c:pt idx="3933">
                  <c:v>23.202999999999999</c:v>
                </c:pt>
                <c:pt idx="3958">
                  <c:v>2.0419999999999998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1-814E-AB3F-D71829FBD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031424"/>
        <c:axId val="2002033104"/>
      </c:scatterChart>
      <c:valAx>
        <c:axId val="200203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033104"/>
        <c:crosses val="autoZero"/>
        <c:crossBetween val="midCat"/>
      </c:valAx>
      <c:valAx>
        <c:axId val="200203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03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Planet</a:t>
            </a:r>
            <a:r>
              <a:rPr lang="en-US" baseline="0"/>
              <a:t> Mass vs Stellar Mass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'static-exo'!$Q$1</c:f>
              <c:strCache>
                <c:ptCount val="1"/>
                <c:pt idx="0">
                  <c:v>st_mass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0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DFD8-124D-BA29-D04DD23AFB74}"/>
              </c:ext>
            </c:extLst>
          </c:dPt>
          <c:xVal>
            <c:numRef>
              <c:f>'static-exo'!$L$2:$L$3973</c:f>
              <c:numCache>
                <c:formatCode>General</c:formatCode>
                <c:ptCount val="3972"/>
                <c:pt idx="6">
                  <c:v>3000</c:v>
                </c:pt>
                <c:pt idx="10">
                  <c:v>7786.5</c:v>
                </c:pt>
                <c:pt idx="11">
                  <c:v>4417.8370000000004</c:v>
                </c:pt>
                <c:pt idx="12">
                  <c:v>2383.6</c:v>
                </c:pt>
                <c:pt idx="13">
                  <c:v>1271</c:v>
                </c:pt>
                <c:pt idx="14">
                  <c:v>603.87699999999995</c:v>
                </c:pt>
                <c:pt idx="15">
                  <c:v>6657.48</c:v>
                </c:pt>
                <c:pt idx="16">
                  <c:v>3972.875</c:v>
                </c:pt>
                <c:pt idx="23">
                  <c:v>635.66</c:v>
                </c:pt>
                <c:pt idx="25">
                  <c:v>263.9785</c:v>
                </c:pt>
                <c:pt idx="26">
                  <c:v>54.473799999999997</c:v>
                </c:pt>
                <c:pt idx="27">
                  <c:v>1232.4929999999999</c:v>
                </c:pt>
                <c:pt idx="28">
                  <c:v>8.08</c:v>
                </c:pt>
                <c:pt idx="29">
                  <c:v>44.811999999999998</c:v>
                </c:pt>
                <c:pt idx="40">
                  <c:v>4290.5</c:v>
                </c:pt>
                <c:pt idx="48">
                  <c:v>22.248100000000001</c:v>
                </c:pt>
                <c:pt idx="60">
                  <c:v>3337.1</c:v>
                </c:pt>
                <c:pt idx="61">
                  <c:v>3994.4859999999999</c:v>
                </c:pt>
                <c:pt idx="62">
                  <c:v>5403</c:v>
                </c:pt>
                <c:pt idx="63">
                  <c:v>327.35000000000002</c:v>
                </c:pt>
                <c:pt idx="64">
                  <c:v>874</c:v>
                </c:pt>
                <c:pt idx="65">
                  <c:v>740.51</c:v>
                </c:pt>
                <c:pt idx="66">
                  <c:v>291.43799999999999</c:v>
                </c:pt>
                <c:pt idx="67">
                  <c:v>415.70400000000001</c:v>
                </c:pt>
                <c:pt idx="68">
                  <c:v>2415.4</c:v>
                </c:pt>
                <c:pt idx="69">
                  <c:v>170.03200000000001</c:v>
                </c:pt>
                <c:pt idx="70">
                  <c:v>772.29</c:v>
                </c:pt>
                <c:pt idx="71">
                  <c:v>1102.82</c:v>
                </c:pt>
                <c:pt idx="72">
                  <c:v>352.78</c:v>
                </c:pt>
                <c:pt idx="73">
                  <c:v>1102.82</c:v>
                </c:pt>
                <c:pt idx="74">
                  <c:v>1366.6690000000001</c:v>
                </c:pt>
                <c:pt idx="76">
                  <c:v>718.29579999999999</c:v>
                </c:pt>
                <c:pt idx="77">
                  <c:v>12.2</c:v>
                </c:pt>
                <c:pt idx="78">
                  <c:v>889.9</c:v>
                </c:pt>
                <c:pt idx="79">
                  <c:v>5.7</c:v>
                </c:pt>
                <c:pt idx="80">
                  <c:v>28</c:v>
                </c:pt>
                <c:pt idx="81">
                  <c:v>85.81</c:v>
                </c:pt>
                <c:pt idx="82">
                  <c:v>165.26</c:v>
                </c:pt>
                <c:pt idx="83">
                  <c:v>3302.11</c:v>
                </c:pt>
                <c:pt idx="84">
                  <c:v>153.82972000000001</c:v>
                </c:pt>
                <c:pt idx="85">
                  <c:v>270.15550000000002</c:v>
                </c:pt>
                <c:pt idx="86">
                  <c:v>6883.91</c:v>
                </c:pt>
                <c:pt idx="87">
                  <c:v>228.83</c:v>
                </c:pt>
                <c:pt idx="88">
                  <c:v>148.41999999999999</c:v>
                </c:pt>
                <c:pt idx="89">
                  <c:v>940.74</c:v>
                </c:pt>
                <c:pt idx="90">
                  <c:v>3.1783000000000001</c:v>
                </c:pt>
                <c:pt idx="91">
                  <c:v>8.4</c:v>
                </c:pt>
                <c:pt idx="92">
                  <c:v>69.92</c:v>
                </c:pt>
                <c:pt idx="93">
                  <c:v>266.97719999999998</c:v>
                </c:pt>
                <c:pt idx="94">
                  <c:v>47.674500000000002</c:v>
                </c:pt>
                <c:pt idx="95">
                  <c:v>9057.77</c:v>
                </c:pt>
                <c:pt idx="96">
                  <c:v>3496</c:v>
                </c:pt>
                <c:pt idx="102">
                  <c:v>953.49</c:v>
                </c:pt>
                <c:pt idx="103">
                  <c:v>5085.28</c:v>
                </c:pt>
                <c:pt idx="105">
                  <c:v>1.66</c:v>
                </c:pt>
                <c:pt idx="109">
                  <c:v>6.2612500000000004</c:v>
                </c:pt>
                <c:pt idx="111">
                  <c:v>22.7</c:v>
                </c:pt>
                <c:pt idx="122">
                  <c:v>794.5</c:v>
                </c:pt>
                <c:pt idx="132">
                  <c:v>13.9</c:v>
                </c:pt>
                <c:pt idx="133">
                  <c:v>8.4</c:v>
                </c:pt>
                <c:pt idx="141">
                  <c:v>22.1</c:v>
                </c:pt>
                <c:pt idx="142">
                  <c:v>1271.3</c:v>
                </c:pt>
                <c:pt idx="165">
                  <c:v>723.22349999999994</c:v>
                </c:pt>
                <c:pt idx="166">
                  <c:v>226.9846</c:v>
                </c:pt>
                <c:pt idx="167">
                  <c:v>6.83</c:v>
                </c:pt>
                <c:pt idx="168">
                  <c:v>14.6</c:v>
                </c:pt>
                <c:pt idx="170">
                  <c:v>3.42</c:v>
                </c:pt>
                <c:pt idx="171">
                  <c:v>2.42</c:v>
                </c:pt>
                <c:pt idx="172">
                  <c:v>5.2</c:v>
                </c:pt>
                <c:pt idx="173">
                  <c:v>6356</c:v>
                </c:pt>
                <c:pt idx="174">
                  <c:v>5000</c:v>
                </c:pt>
                <c:pt idx="175">
                  <c:v>3591.3</c:v>
                </c:pt>
                <c:pt idx="178">
                  <c:v>166.86075</c:v>
                </c:pt>
                <c:pt idx="181">
                  <c:v>67.058999999999997</c:v>
                </c:pt>
                <c:pt idx="182">
                  <c:v>270.46199999999999</c:v>
                </c:pt>
                <c:pt idx="184">
                  <c:v>1093.3352</c:v>
                </c:pt>
                <c:pt idx="185">
                  <c:v>616.59019999999998</c:v>
                </c:pt>
                <c:pt idx="186">
                  <c:v>1332.605</c:v>
                </c:pt>
                <c:pt idx="187">
                  <c:v>184.34139999999999</c:v>
                </c:pt>
                <c:pt idx="189">
                  <c:v>62.61</c:v>
                </c:pt>
                <c:pt idx="190">
                  <c:v>92.802000000000007</c:v>
                </c:pt>
                <c:pt idx="192">
                  <c:v>2302.8989999999999</c:v>
                </c:pt>
                <c:pt idx="193">
                  <c:v>1547.8321000000001</c:v>
                </c:pt>
                <c:pt idx="194">
                  <c:v>785.04010000000005</c:v>
                </c:pt>
                <c:pt idx="195">
                  <c:v>425.8922</c:v>
                </c:pt>
                <c:pt idx="196">
                  <c:v>238.3725</c:v>
                </c:pt>
                <c:pt idx="197">
                  <c:v>180.84527</c:v>
                </c:pt>
                <c:pt idx="198">
                  <c:v>22.248100000000001</c:v>
                </c:pt>
                <c:pt idx="199">
                  <c:v>197.05</c:v>
                </c:pt>
                <c:pt idx="200">
                  <c:v>198.953</c:v>
                </c:pt>
                <c:pt idx="201">
                  <c:v>279.69040000000001</c:v>
                </c:pt>
                <c:pt idx="202">
                  <c:v>206.58949999999999</c:v>
                </c:pt>
                <c:pt idx="203">
                  <c:v>263.7989</c:v>
                </c:pt>
                <c:pt idx="204">
                  <c:v>721.47410000000002</c:v>
                </c:pt>
                <c:pt idx="205">
                  <c:v>263.7989</c:v>
                </c:pt>
                <c:pt idx="206">
                  <c:v>292.40359999999998</c:v>
                </c:pt>
                <c:pt idx="207">
                  <c:v>2227.9883</c:v>
                </c:pt>
                <c:pt idx="208">
                  <c:v>2390.0816</c:v>
                </c:pt>
                <c:pt idx="209">
                  <c:v>486.2799</c:v>
                </c:pt>
                <c:pt idx="210">
                  <c:v>371.52800000000002</c:v>
                </c:pt>
                <c:pt idx="211">
                  <c:v>84.856999999999999</c:v>
                </c:pt>
                <c:pt idx="212">
                  <c:v>190.37200000000001</c:v>
                </c:pt>
                <c:pt idx="213">
                  <c:v>213.255</c:v>
                </c:pt>
                <c:pt idx="214">
                  <c:v>152.55840000000001</c:v>
                </c:pt>
                <c:pt idx="215">
                  <c:v>378.21769999999998</c:v>
                </c:pt>
                <c:pt idx="216">
                  <c:v>331.80099999999999</c:v>
                </c:pt>
                <c:pt idx="217">
                  <c:v>210.39500000000001</c:v>
                </c:pt>
                <c:pt idx="218">
                  <c:v>111.871</c:v>
                </c:pt>
                <c:pt idx="220">
                  <c:v>283.49200000000002</c:v>
                </c:pt>
                <c:pt idx="221">
                  <c:v>156.684</c:v>
                </c:pt>
                <c:pt idx="222">
                  <c:v>699.226</c:v>
                </c:pt>
                <c:pt idx="223">
                  <c:v>311.47340000000003</c:v>
                </c:pt>
                <c:pt idx="224">
                  <c:v>429.07049999999998</c:v>
                </c:pt>
                <c:pt idx="225">
                  <c:v>98.209469999999996</c:v>
                </c:pt>
                <c:pt idx="226">
                  <c:v>259.98493999999999</c:v>
                </c:pt>
                <c:pt idx="227">
                  <c:v>471.65971999999999</c:v>
                </c:pt>
                <c:pt idx="228">
                  <c:v>241.55080000000001</c:v>
                </c:pt>
                <c:pt idx="229">
                  <c:v>184.97705999999999</c:v>
                </c:pt>
                <c:pt idx="230">
                  <c:v>734.18730000000005</c:v>
                </c:pt>
                <c:pt idx="231">
                  <c:v>448.14030000000002</c:v>
                </c:pt>
                <c:pt idx="232">
                  <c:v>419.53559999999999</c:v>
                </c:pt>
                <c:pt idx="233">
                  <c:v>167.49641</c:v>
                </c:pt>
                <c:pt idx="234">
                  <c:v>248.86089000000001</c:v>
                </c:pt>
                <c:pt idx="235">
                  <c:v>108.0622</c:v>
                </c:pt>
                <c:pt idx="236">
                  <c:v>584.80719999999997</c:v>
                </c:pt>
                <c:pt idx="237">
                  <c:v>406.82240000000002</c:v>
                </c:pt>
                <c:pt idx="238">
                  <c:v>247.9</c:v>
                </c:pt>
                <c:pt idx="239">
                  <c:v>589.54999999999995</c:v>
                </c:pt>
                <c:pt idx="240">
                  <c:v>167.17858000000001</c:v>
                </c:pt>
                <c:pt idx="243">
                  <c:v>172.58169000000001</c:v>
                </c:pt>
                <c:pt idx="244">
                  <c:v>340.39593000000002</c:v>
                </c:pt>
                <c:pt idx="245">
                  <c:v>689.69110000000001</c:v>
                </c:pt>
                <c:pt idx="246">
                  <c:v>1039.3041000000001</c:v>
                </c:pt>
                <c:pt idx="247">
                  <c:v>425.25653999999997</c:v>
                </c:pt>
                <c:pt idx="248">
                  <c:v>629.30340000000001</c:v>
                </c:pt>
                <c:pt idx="249">
                  <c:v>427.46300000000002</c:v>
                </c:pt>
                <c:pt idx="250">
                  <c:v>870.85419999999999</c:v>
                </c:pt>
                <c:pt idx="251">
                  <c:v>467.21010000000001</c:v>
                </c:pt>
                <c:pt idx="252">
                  <c:v>775.50519999999995</c:v>
                </c:pt>
                <c:pt idx="253">
                  <c:v>194.82979</c:v>
                </c:pt>
                <c:pt idx="254">
                  <c:v>206.58949999999999</c:v>
                </c:pt>
                <c:pt idx="255">
                  <c:v>168.44990000000001</c:v>
                </c:pt>
                <c:pt idx="256">
                  <c:v>213.58176</c:v>
                </c:pt>
                <c:pt idx="257">
                  <c:v>207.54299</c:v>
                </c:pt>
                <c:pt idx="258">
                  <c:v>340.38200000000001</c:v>
                </c:pt>
                <c:pt idx="259">
                  <c:v>224.38798</c:v>
                </c:pt>
                <c:pt idx="260">
                  <c:v>279.69040000000001</c:v>
                </c:pt>
                <c:pt idx="261">
                  <c:v>292.40359999999998</c:v>
                </c:pt>
                <c:pt idx="262">
                  <c:v>378.85336000000001</c:v>
                </c:pt>
                <c:pt idx="263">
                  <c:v>299.07803000000001</c:v>
                </c:pt>
                <c:pt idx="264">
                  <c:v>388.38826</c:v>
                </c:pt>
                <c:pt idx="266">
                  <c:v>200.2329</c:v>
                </c:pt>
                <c:pt idx="267">
                  <c:v>420.471</c:v>
                </c:pt>
                <c:pt idx="268">
                  <c:v>505.34969999999998</c:v>
                </c:pt>
                <c:pt idx="269">
                  <c:v>3082.951</c:v>
                </c:pt>
                <c:pt idx="270">
                  <c:v>597.5204</c:v>
                </c:pt>
                <c:pt idx="271">
                  <c:v>82.953630000000004</c:v>
                </c:pt>
                <c:pt idx="272">
                  <c:v>177.98480000000001</c:v>
                </c:pt>
                <c:pt idx="273">
                  <c:v>222.48099999999999</c:v>
                </c:pt>
                <c:pt idx="274">
                  <c:v>54.984589999999997</c:v>
                </c:pt>
                <c:pt idx="275">
                  <c:v>75.322999999999993</c:v>
                </c:pt>
                <c:pt idx="276">
                  <c:v>123.9537</c:v>
                </c:pt>
                <c:pt idx="277">
                  <c:v>244.09343999999999</c:v>
                </c:pt>
                <c:pt idx="278">
                  <c:v>711.93920000000003</c:v>
                </c:pt>
                <c:pt idx="279">
                  <c:v>189.10884999999999</c:v>
                </c:pt>
                <c:pt idx="280">
                  <c:v>256.17097999999999</c:v>
                </c:pt>
                <c:pt idx="282">
                  <c:v>101.38777</c:v>
                </c:pt>
                <c:pt idx="283">
                  <c:v>210.40346</c:v>
                </c:pt>
                <c:pt idx="284">
                  <c:v>1080.6220000000001</c:v>
                </c:pt>
                <c:pt idx="285">
                  <c:v>56.891570000000002</c:v>
                </c:pt>
                <c:pt idx="286">
                  <c:v>305.11680000000001</c:v>
                </c:pt>
                <c:pt idx="287">
                  <c:v>305.11680000000001</c:v>
                </c:pt>
                <c:pt idx="288">
                  <c:v>260.93842999999998</c:v>
                </c:pt>
                <c:pt idx="289">
                  <c:v>1694.0338999999999</c:v>
                </c:pt>
                <c:pt idx="290">
                  <c:v>460.8535</c:v>
                </c:pt>
                <c:pt idx="291">
                  <c:v>410.00069999999999</c:v>
                </c:pt>
                <c:pt idx="292">
                  <c:v>183.38791000000001</c:v>
                </c:pt>
                <c:pt idx="293">
                  <c:v>38.139600000000002</c:v>
                </c:pt>
                <c:pt idx="294">
                  <c:v>4100.0069999999996</c:v>
                </c:pt>
                <c:pt idx="295">
                  <c:v>43.86054</c:v>
                </c:pt>
                <c:pt idx="328">
                  <c:v>3496</c:v>
                </c:pt>
                <c:pt idx="362">
                  <c:v>24.5</c:v>
                </c:pt>
                <c:pt idx="378">
                  <c:v>1204.2578699999999</c:v>
                </c:pt>
                <c:pt idx="405">
                  <c:v>131.89945</c:v>
                </c:pt>
                <c:pt idx="436">
                  <c:v>120.7754</c:v>
                </c:pt>
                <c:pt idx="442">
                  <c:v>7.51</c:v>
                </c:pt>
                <c:pt idx="443">
                  <c:v>8.11</c:v>
                </c:pt>
                <c:pt idx="494">
                  <c:v>1115.5833</c:v>
                </c:pt>
                <c:pt idx="526">
                  <c:v>359.14789999999999</c:v>
                </c:pt>
                <c:pt idx="546">
                  <c:v>5689.1570000000002</c:v>
                </c:pt>
                <c:pt idx="547">
                  <c:v>634.38868000000002</c:v>
                </c:pt>
                <c:pt idx="548">
                  <c:v>592.43511999999998</c:v>
                </c:pt>
                <c:pt idx="549">
                  <c:v>323.23311000000001</c:v>
                </c:pt>
                <c:pt idx="550">
                  <c:v>7656.0969999999998</c:v>
                </c:pt>
                <c:pt idx="574">
                  <c:v>232.01589999999999</c:v>
                </c:pt>
                <c:pt idx="599">
                  <c:v>3.7</c:v>
                </c:pt>
                <c:pt idx="604">
                  <c:v>4.74</c:v>
                </c:pt>
                <c:pt idx="605">
                  <c:v>4.3600000000000003</c:v>
                </c:pt>
                <c:pt idx="606">
                  <c:v>16.170000000000002</c:v>
                </c:pt>
                <c:pt idx="607">
                  <c:v>7.3</c:v>
                </c:pt>
                <c:pt idx="611">
                  <c:v>16.600000000000001</c:v>
                </c:pt>
                <c:pt idx="619">
                  <c:v>60.5</c:v>
                </c:pt>
                <c:pt idx="632">
                  <c:v>17.920000000000002</c:v>
                </c:pt>
                <c:pt idx="633">
                  <c:v>17.18</c:v>
                </c:pt>
                <c:pt idx="792">
                  <c:v>1392.0953999999999</c:v>
                </c:pt>
                <c:pt idx="796">
                  <c:v>534.25</c:v>
                </c:pt>
                <c:pt idx="797">
                  <c:v>622.60299999999995</c:v>
                </c:pt>
                <c:pt idx="813">
                  <c:v>34.961300000000001</c:v>
                </c:pt>
                <c:pt idx="824">
                  <c:v>1589</c:v>
                </c:pt>
                <c:pt idx="832">
                  <c:v>9.5349000000000004</c:v>
                </c:pt>
                <c:pt idx="844">
                  <c:v>12.713200000000001</c:v>
                </c:pt>
                <c:pt idx="865">
                  <c:v>2860.47</c:v>
                </c:pt>
                <c:pt idx="873">
                  <c:v>7300</c:v>
                </c:pt>
                <c:pt idx="878">
                  <c:v>6991.57</c:v>
                </c:pt>
                <c:pt idx="879">
                  <c:v>9534.9</c:v>
                </c:pt>
                <c:pt idx="881">
                  <c:v>2000</c:v>
                </c:pt>
                <c:pt idx="882">
                  <c:v>3000</c:v>
                </c:pt>
                <c:pt idx="883">
                  <c:v>3000</c:v>
                </c:pt>
                <c:pt idx="886">
                  <c:v>27</c:v>
                </c:pt>
                <c:pt idx="896">
                  <c:v>8.6</c:v>
                </c:pt>
                <c:pt idx="919">
                  <c:v>155.73670000000001</c:v>
                </c:pt>
                <c:pt idx="927">
                  <c:v>158.91499999999999</c:v>
                </c:pt>
                <c:pt idx="936">
                  <c:v>5.08</c:v>
                </c:pt>
                <c:pt idx="937">
                  <c:v>7.4</c:v>
                </c:pt>
                <c:pt idx="986">
                  <c:v>8.92</c:v>
                </c:pt>
                <c:pt idx="1040">
                  <c:v>8</c:v>
                </c:pt>
                <c:pt idx="1046">
                  <c:v>444.96199999999999</c:v>
                </c:pt>
                <c:pt idx="1062">
                  <c:v>126.49634</c:v>
                </c:pt>
                <c:pt idx="1066">
                  <c:v>392.83787999999998</c:v>
                </c:pt>
                <c:pt idx="1067">
                  <c:v>273.3338</c:v>
                </c:pt>
                <c:pt idx="1071">
                  <c:v>19</c:v>
                </c:pt>
                <c:pt idx="1072">
                  <c:v>15.4</c:v>
                </c:pt>
                <c:pt idx="1099">
                  <c:v>451.3186</c:v>
                </c:pt>
                <c:pt idx="1100">
                  <c:v>70.876090000000005</c:v>
                </c:pt>
                <c:pt idx="1101">
                  <c:v>14.8</c:v>
                </c:pt>
                <c:pt idx="1104">
                  <c:v>6.54</c:v>
                </c:pt>
                <c:pt idx="1105">
                  <c:v>11.3</c:v>
                </c:pt>
                <c:pt idx="1106">
                  <c:v>0.28999999999999998</c:v>
                </c:pt>
                <c:pt idx="1107">
                  <c:v>9.4</c:v>
                </c:pt>
                <c:pt idx="1108">
                  <c:v>8.3000000000000007</c:v>
                </c:pt>
                <c:pt idx="1112">
                  <c:v>30.9</c:v>
                </c:pt>
                <c:pt idx="1131">
                  <c:v>9.68</c:v>
                </c:pt>
                <c:pt idx="1132">
                  <c:v>15.68</c:v>
                </c:pt>
                <c:pt idx="1133">
                  <c:v>6.5</c:v>
                </c:pt>
                <c:pt idx="1134">
                  <c:v>10.7</c:v>
                </c:pt>
                <c:pt idx="1136">
                  <c:v>100.11645</c:v>
                </c:pt>
                <c:pt idx="1139">
                  <c:v>232.01589999999999</c:v>
                </c:pt>
                <c:pt idx="1140">
                  <c:v>10.9</c:v>
                </c:pt>
                <c:pt idx="1141">
                  <c:v>246.00041999999999</c:v>
                </c:pt>
                <c:pt idx="1142">
                  <c:v>6.49</c:v>
                </c:pt>
                <c:pt idx="1145">
                  <c:v>106.47305</c:v>
                </c:pt>
                <c:pt idx="1149">
                  <c:v>184.02357000000001</c:v>
                </c:pt>
                <c:pt idx="1150">
                  <c:v>563.83042</c:v>
                </c:pt>
                <c:pt idx="1151">
                  <c:v>16.5</c:v>
                </c:pt>
                <c:pt idx="1152">
                  <c:v>12.1</c:v>
                </c:pt>
                <c:pt idx="1153">
                  <c:v>10.3</c:v>
                </c:pt>
                <c:pt idx="1154">
                  <c:v>1175.971</c:v>
                </c:pt>
                <c:pt idx="1163">
                  <c:v>19.069800000000001</c:v>
                </c:pt>
                <c:pt idx="1164">
                  <c:v>9.9</c:v>
                </c:pt>
                <c:pt idx="1165">
                  <c:v>28.604700000000001</c:v>
                </c:pt>
                <c:pt idx="1189">
                  <c:v>135.39558</c:v>
                </c:pt>
                <c:pt idx="1197">
                  <c:v>21.3</c:v>
                </c:pt>
                <c:pt idx="1211">
                  <c:v>603.87699999999995</c:v>
                </c:pt>
                <c:pt idx="1236">
                  <c:v>8654.15</c:v>
                </c:pt>
                <c:pt idx="1237">
                  <c:v>215.80656999999999</c:v>
                </c:pt>
                <c:pt idx="1238">
                  <c:v>54.348930000000003</c:v>
                </c:pt>
                <c:pt idx="1239">
                  <c:v>301.93849999999998</c:v>
                </c:pt>
                <c:pt idx="1240">
                  <c:v>408.09372000000002</c:v>
                </c:pt>
                <c:pt idx="1241">
                  <c:v>416.35730000000001</c:v>
                </c:pt>
                <c:pt idx="1242">
                  <c:v>874.03250000000003</c:v>
                </c:pt>
                <c:pt idx="1243">
                  <c:v>416.35730000000001</c:v>
                </c:pt>
                <c:pt idx="1244">
                  <c:v>375.0394</c:v>
                </c:pt>
                <c:pt idx="1245">
                  <c:v>1293.5681</c:v>
                </c:pt>
                <c:pt idx="1246">
                  <c:v>540.31100000000004</c:v>
                </c:pt>
                <c:pt idx="1247">
                  <c:v>1074.9010599999999</c:v>
                </c:pt>
                <c:pt idx="1248">
                  <c:v>1242.7153000000001</c:v>
                </c:pt>
                <c:pt idx="1249">
                  <c:v>616.59019999999998</c:v>
                </c:pt>
                <c:pt idx="1250">
                  <c:v>286.68266</c:v>
                </c:pt>
                <c:pt idx="1251">
                  <c:v>165.27160000000001</c:v>
                </c:pt>
                <c:pt idx="1253">
                  <c:v>441.78370000000001</c:v>
                </c:pt>
                <c:pt idx="1254">
                  <c:v>209.76779999999999</c:v>
                </c:pt>
                <c:pt idx="1255">
                  <c:v>915.35040000000004</c:v>
                </c:pt>
                <c:pt idx="1267">
                  <c:v>1043.43589</c:v>
                </c:pt>
                <c:pt idx="1268">
                  <c:v>2224.81</c:v>
                </c:pt>
                <c:pt idx="1269">
                  <c:v>1452.4830999999999</c:v>
                </c:pt>
                <c:pt idx="1270">
                  <c:v>4923.1867000000002</c:v>
                </c:pt>
                <c:pt idx="1271">
                  <c:v>635.66</c:v>
                </c:pt>
                <c:pt idx="1272">
                  <c:v>225.6593</c:v>
                </c:pt>
                <c:pt idx="1273">
                  <c:v>1690.8556000000001</c:v>
                </c:pt>
                <c:pt idx="1274">
                  <c:v>460.83</c:v>
                </c:pt>
                <c:pt idx="1275">
                  <c:v>2949.4623999999999</c:v>
                </c:pt>
                <c:pt idx="1276">
                  <c:v>8.6999999999999993</c:v>
                </c:pt>
                <c:pt idx="1277">
                  <c:v>198.8</c:v>
                </c:pt>
                <c:pt idx="1278">
                  <c:v>4.5999999999999996</c:v>
                </c:pt>
                <c:pt idx="1279">
                  <c:v>9</c:v>
                </c:pt>
                <c:pt idx="1289">
                  <c:v>613.41189999999995</c:v>
                </c:pt>
                <c:pt idx="1290">
                  <c:v>0.44</c:v>
                </c:pt>
                <c:pt idx="1291">
                  <c:v>0.65500000000000003</c:v>
                </c:pt>
                <c:pt idx="1292">
                  <c:v>10.5</c:v>
                </c:pt>
                <c:pt idx="1293">
                  <c:v>15.6</c:v>
                </c:pt>
                <c:pt idx="1294">
                  <c:v>106</c:v>
                </c:pt>
                <c:pt idx="1295">
                  <c:v>35</c:v>
                </c:pt>
                <c:pt idx="1296">
                  <c:v>346.43470000000002</c:v>
                </c:pt>
                <c:pt idx="1298">
                  <c:v>4.60853</c:v>
                </c:pt>
                <c:pt idx="1299">
                  <c:v>17.2</c:v>
                </c:pt>
                <c:pt idx="1300">
                  <c:v>7.34</c:v>
                </c:pt>
                <c:pt idx="1301">
                  <c:v>7.05</c:v>
                </c:pt>
                <c:pt idx="1302">
                  <c:v>3</c:v>
                </c:pt>
                <c:pt idx="1313">
                  <c:v>51.1</c:v>
                </c:pt>
                <c:pt idx="1314">
                  <c:v>3.78</c:v>
                </c:pt>
                <c:pt idx="1326">
                  <c:v>4.3</c:v>
                </c:pt>
                <c:pt idx="1327">
                  <c:v>3</c:v>
                </c:pt>
                <c:pt idx="1328">
                  <c:v>3.8</c:v>
                </c:pt>
                <c:pt idx="1329">
                  <c:v>8.93</c:v>
                </c:pt>
                <c:pt idx="1330">
                  <c:v>5.2</c:v>
                </c:pt>
                <c:pt idx="1341">
                  <c:v>9.6999999999999993</c:v>
                </c:pt>
                <c:pt idx="1342">
                  <c:v>36.1</c:v>
                </c:pt>
                <c:pt idx="1368">
                  <c:v>4.5999999999999996</c:v>
                </c:pt>
                <c:pt idx="1380">
                  <c:v>5.3</c:v>
                </c:pt>
                <c:pt idx="1381">
                  <c:v>10.44</c:v>
                </c:pt>
                <c:pt idx="1382">
                  <c:v>8.1</c:v>
                </c:pt>
                <c:pt idx="1383">
                  <c:v>11.17</c:v>
                </c:pt>
                <c:pt idx="1423">
                  <c:v>7.3</c:v>
                </c:pt>
                <c:pt idx="1424">
                  <c:v>21.8</c:v>
                </c:pt>
                <c:pt idx="1436">
                  <c:v>1.9</c:v>
                </c:pt>
                <c:pt idx="1437">
                  <c:v>2.9</c:v>
                </c:pt>
                <c:pt idx="1438">
                  <c:v>7.3</c:v>
                </c:pt>
                <c:pt idx="1439">
                  <c:v>8</c:v>
                </c:pt>
                <c:pt idx="1440">
                  <c:v>2</c:v>
                </c:pt>
                <c:pt idx="1441">
                  <c:v>25</c:v>
                </c:pt>
                <c:pt idx="1479">
                  <c:v>11.7</c:v>
                </c:pt>
                <c:pt idx="1480">
                  <c:v>8.6999999999999993</c:v>
                </c:pt>
                <c:pt idx="1492">
                  <c:v>2.8</c:v>
                </c:pt>
                <c:pt idx="1493">
                  <c:v>3.9</c:v>
                </c:pt>
                <c:pt idx="1530">
                  <c:v>29.875</c:v>
                </c:pt>
                <c:pt idx="1531">
                  <c:v>584.78</c:v>
                </c:pt>
                <c:pt idx="1566">
                  <c:v>137.30256</c:v>
                </c:pt>
                <c:pt idx="1595">
                  <c:v>36</c:v>
                </c:pt>
                <c:pt idx="1672">
                  <c:v>30.7</c:v>
                </c:pt>
                <c:pt idx="1673">
                  <c:v>33.299999999999997</c:v>
                </c:pt>
                <c:pt idx="1709">
                  <c:v>16.13</c:v>
                </c:pt>
                <c:pt idx="1710">
                  <c:v>8.25</c:v>
                </c:pt>
                <c:pt idx="1802">
                  <c:v>6.6000000000000003E-2</c:v>
                </c:pt>
                <c:pt idx="1803">
                  <c:v>1.97</c:v>
                </c:pt>
                <c:pt idx="1804">
                  <c:v>0.64</c:v>
                </c:pt>
                <c:pt idx="1831">
                  <c:v>2669.66</c:v>
                </c:pt>
                <c:pt idx="1893">
                  <c:v>37.1</c:v>
                </c:pt>
                <c:pt idx="1894">
                  <c:v>79.400000000000006</c:v>
                </c:pt>
                <c:pt idx="1957">
                  <c:v>209.76</c:v>
                </c:pt>
                <c:pt idx="2089">
                  <c:v>105.833</c:v>
                </c:pt>
                <c:pt idx="2150">
                  <c:v>483</c:v>
                </c:pt>
                <c:pt idx="2158">
                  <c:v>158.91499999999999</c:v>
                </c:pt>
                <c:pt idx="2159">
                  <c:v>5</c:v>
                </c:pt>
                <c:pt idx="2160">
                  <c:v>48.6</c:v>
                </c:pt>
                <c:pt idx="2161">
                  <c:v>1868.8404</c:v>
                </c:pt>
                <c:pt idx="2176">
                  <c:v>778.65</c:v>
                </c:pt>
                <c:pt idx="2197">
                  <c:v>2</c:v>
                </c:pt>
                <c:pt idx="2198">
                  <c:v>7.5</c:v>
                </c:pt>
                <c:pt idx="2204">
                  <c:v>6.9</c:v>
                </c:pt>
                <c:pt idx="2205">
                  <c:v>17.3</c:v>
                </c:pt>
                <c:pt idx="2206">
                  <c:v>16.399999999999999</c:v>
                </c:pt>
                <c:pt idx="2231">
                  <c:v>8.4</c:v>
                </c:pt>
                <c:pt idx="2232">
                  <c:v>13.1</c:v>
                </c:pt>
                <c:pt idx="2233">
                  <c:v>22.5</c:v>
                </c:pt>
                <c:pt idx="2260">
                  <c:v>9.6999999999999993</c:v>
                </c:pt>
                <c:pt idx="2261">
                  <c:v>12.75</c:v>
                </c:pt>
                <c:pt idx="2262">
                  <c:v>10.07</c:v>
                </c:pt>
                <c:pt idx="2291">
                  <c:v>5.08</c:v>
                </c:pt>
                <c:pt idx="2317">
                  <c:v>36</c:v>
                </c:pt>
                <c:pt idx="2329">
                  <c:v>7.4</c:v>
                </c:pt>
                <c:pt idx="2330">
                  <c:v>5.0999999999999996</c:v>
                </c:pt>
                <c:pt idx="2331">
                  <c:v>8</c:v>
                </c:pt>
                <c:pt idx="2332">
                  <c:v>4.8</c:v>
                </c:pt>
                <c:pt idx="2350">
                  <c:v>254.3</c:v>
                </c:pt>
                <c:pt idx="2351">
                  <c:v>858.1</c:v>
                </c:pt>
                <c:pt idx="2374">
                  <c:v>169.7</c:v>
                </c:pt>
                <c:pt idx="2375">
                  <c:v>13.5</c:v>
                </c:pt>
                <c:pt idx="2378">
                  <c:v>508.5</c:v>
                </c:pt>
                <c:pt idx="2379">
                  <c:v>508.5</c:v>
                </c:pt>
                <c:pt idx="2407">
                  <c:v>9.6</c:v>
                </c:pt>
                <c:pt idx="2408">
                  <c:v>24.6</c:v>
                </c:pt>
                <c:pt idx="2409">
                  <c:v>89.9</c:v>
                </c:pt>
                <c:pt idx="2439">
                  <c:v>5.12</c:v>
                </c:pt>
                <c:pt idx="2440">
                  <c:v>6.2</c:v>
                </c:pt>
                <c:pt idx="2466">
                  <c:v>2895.31</c:v>
                </c:pt>
                <c:pt idx="2467">
                  <c:v>4385.87</c:v>
                </c:pt>
                <c:pt idx="2484">
                  <c:v>16.600000000000001</c:v>
                </c:pt>
                <c:pt idx="2485">
                  <c:v>16.3</c:v>
                </c:pt>
                <c:pt idx="2486">
                  <c:v>87.3</c:v>
                </c:pt>
                <c:pt idx="2487">
                  <c:v>64.2</c:v>
                </c:pt>
                <c:pt idx="2491">
                  <c:v>49.4</c:v>
                </c:pt>
                <c:pt idx="2492">
                  <c:v>37.5</c:v>
                </c:pt>
                <c:pt idx="2493">
                  <c:v>479.9</c:v>
                </c:pt>
                <c:pt idx="2494">
                  <c:v>432.23</c:v>
                </c:pt>
                <c:pt idx="2501">
                  <c:v>61</c:v>
                </c:pt>
                <c:pt idx="2502">
                  <c:v>56.2</c:v>
                </c:pt>
                <c:pt idx="2518">
                  <c:v>7.3</c:v>
                </c:pt>
                <c:pt idx="2519">
                  <c:v>132</c:v>
                </c:pt>
                <c:pt idx="2520">
                  <c:v>4</c:v>
                </c:pt>
                <c:pt idx="2521">
                  <c:v>4.51</c:v>
                </c:pt>
                <c:pt idx="2522">
                  <c:v>4</c:v>
                </c:pt>
                <c:pt idx="2553">
                  <c:v>11.3</c:v>
                </c:pt>
                <c:pt idx="2554">
                  <c:v>640</c:v>
                </c:pt>
                <c:pt idx="2555">
                  <c:v>23.1</c:v>
                </c:pt>
                <c:pt idx="2569">
                  <c:v>10.5</c:v>
                </c:pt>
                <c:pt idx="2570">
                  <c:v>6</c:v>
                </c:pt>
                <c:pt idx="2576">
                  <c:v>7.44</c:v>
                </c:pt>
                <c:pt idx="2577">
                  <c:v>3.64</c:v>
                </c:pt>
                <c:pt idx="2583">
                  <c:v>1493.7</c:v>
                </c:pt>
                <c:pt idx="2584">
                  <c:v>2161.2440000000001</c:v>
                </c:pt>
                <c:pt idx="2607">
                  <c:v>1303</c:v>
                </c:pt>
                <c:pt idx="2608">
                  <c:v>158.9</c:v>
                </c:pt>
                <c:pt idx="2631">
                  <c:v>28.5</c:v>
                </c:pt>
                <c:pt idx="2632">
                  <c:v>39.4</c:v>
                </c:pt>
                <c:pt idx="2663">
                  <c:v>8.5</c:v>
                </c:pt>
                <c:pt idx="2667">
                  <c:v>69.92</c:v>
                </c:pt>
                <c:pt idx="2692">
                  <c:v>40.363</c:v>
                </c:pt>
                <c:pt idx="2694">
                  <c:v>6.1</c:v>
                </c:pt>
                <c:pt idx="2695">
                  <c:v>14.9</c:v>
                </c:pt>
                <c:pt idx="2718">
                  <c:v>4.45</c:v>
                </c:pt>
                <c:pt idx="2719">
                  <c:v>8.08</c:v>
                </c:pt>
                <c:pt idx="2741">
                  <c:v>3.1783000000000001</c:v>
                </c:pt>
                <c:pt idx="2742">
                  <c:v>12</c:v>
                </c:pt>
                <c:pt idx="2743">
                  <c:v>12.2</c:v>
                </c:pt>
                <c:pt idx="2767">
                  <c:v>122</c:v>
                </c:pt>
                <c:pt idx="2788">
                  <c:v>6388.1</c:v>
                </c:pt>
                <c:pt idx="2801">
                  <c:v>75.5</c:v>
                </c:pt>
                <c:pt idx="2802">
                  <c:v>17.899999999999999</c:v>
                </c:pt>
                <c:pt idx="2811">
                  <c:v>24.472000000000001</c:v>
                </c:pt>
                <c:pt idx="2812">
                  <c:v>699.2</c:v>
                </c:pt>
                <c:pt idx="2829">
                  <c:v>6.35</c:v>
                </c:pt>
                <c:pt idx="2830">
                  <c:v>2.71</c:v>
                </c:pt>
                <c:pt idx="2831">
                  <c:v>3.2</c:v>
                </c:pt>
                <c:pt idx="2832">
                  <c:v>4000</c:v>
                </c:pt>
                <c:pt idx="2833">
                  <c:v>5</c:v>
                </c:pt>
                <c:pt idx="2834">
                  <c:v>22</c:v>
                </c:pt>
                <c:pt idx="2835">
                  <c:v>177.98</c:v>
                </c:pt>
                <c:pt idx="2839">
                  <c:v>299.07803000000001</c:v>
                </c:pt>
                <c:pt idx="2840">
                  <c:v>67</c:v>
                </c:pt>
                <c:pt idx="2841">
                  <c:v>3.5</c:v>
                </c:pt>
                <c:pt idx="2842">
                  <c:v>29.9</c:v>
                </c:pt>
                <c:pt idx="2843">
                  <c:v>119.9</c:v>
                </c:pt>
                <c:pt idx="2845">
                  <c:v>58.2</c:v>
                </c:pt>
                <c:pt idx="2847">
                  <c:v>11</c:v>
                </c:pt>
                <c:pt idx="2849">
                  <c:v>349.6</c:v>
                </c:pt>
                <c:pt idx="2850">
                  <c:v>794.5</c:v>
                </c:pt>
                <c:pt idx="2851">
                  <c:v>2320.1</c:v>
                </c:pt>
                <c:pt idx="2856">
                  <c:v>136.66</c:v>
                </c:pt>
                <c:pt idx="2857">
                  <c:v>189.101</c:v>
                </c:pt>
                <c:pt idx="2858">
                  <c:v>327.35000000000002</c:v>
                </c:pt>
                <c:pt idx="2860">
                  <c:v>79.45</c:v>
                </c:pt>
                <c:pt idx="2861">
                  <c:v>108.06</c:v>
                </c:pt>
                <c:pt idx="2862">
                  <c:v>92.17</c:v>
                </c:pt>
                <c:pt idx="2863">
                  <c:v>403.63</c:v>
                </c:pt>
                <c:pt idx="2864">
                  <c:v>1026.5908999999999</c:v>
                </c:pt>
                <c:pt idx="2870">
                  <c:v>1719.4603</c:v>
                </c:pt>
                <c:pt idx="2872">
                  <c:v>896.24</c:v>
                </c:pt>
                <c:pt idx="2873">
                  <c:v>908.96</c:v>
                </c:pt>
                <c:pt idx="2874">
                  <c:v>266.97000000000003</c:v>
                </c:pt>
                <c:pt idx="2880">
                  <c:v>317.82</c:v>
                </c:pt>
                <c:pt idx="2896">
                  <c:v>435.41</c:v>
                </c:pt>
                <c:pt idx="2899">
                  <c:v>160.49700000000001</c:v>
                </c:pt>
                <c:pt idx="2904">
                  <c:v>16</c:v>
                </c:pt>
                <c:pt idx="2905">
                  <c:v>6.3566000000000003</c:v>
                </c:pt>
                <c:pt idx="2908">
                  <c:v>1907</c:v>
                </c:pt>
                <c:pt idx="2909">
                  <c:v>119.499</c:v>
                </c:pt>
                <c:pt idx="2921">
                  <c:v>2.0699999999999998</c:v>
                </c:pt>
                <c:pt idx="2922">
                  <c:v>3.17</c:v>
                </c:pt>
                <c:pt idx="2923">
                  <c:v>19.02</c:v>
                </c:pt>
                <c:pt idx="2934">
                  <c:v>3.94</c:v>
                </c:pt>
                <c:pt idx="2935">
                  <c:v>14.61</c:v>
                </c:pt>
                <c:pt idx="2936">
                  <c:v>7.93</c:v>
                </c:pt>
                <c:pt idx="2937">
                  <c:v>657</c:v>
                </c:pt>
                <c:pt idx="2949">
                  <c:v>311.45999999999998</c:v>
                </c:pt>
                <c:pt idx="2950">
                  <c:v>228.83</c:v>
                </c:pt>
                <c:pt idx="2963">
                  <c:v>670.93912999999998</c:v>
                </c:pt>
                <c:pt idx="2975">
                  <c:v>2.1</c:v>
                </c:pt>
                <c:pt idx="2976">
                  <c:v>4</c:v>
                </c:pt>
                <c:pt idx="2977">
                  <c:v>7.6</c:v>
                </c:pt>
                <c:pt idx="2988">
                  <c:v>2765</c:v>
                </c:pt>
                <c:pt idx="2989">
                  <c:v>3308.41</c:v>
                </c:pt>
                <c:pt idx="3004">
                  <c:v>5851</c:v>
                </c:pt>
                <c:pt idx="3005">
                  <c:v>5002.43</c:v>
                </c:pt>
                <c:pt idx="3016">
                  <c:v>308.29509999999999</c:v>
                </c:pt>
                <c:pt idx="3017">
                  <c:v>762.79200000000003</c:v>
                </c:pt>
                <c:pt idx="3018">
                  <c:v>292.39</c:v>
                </c:pt>
                <c:pt idx="3019">
                  <c:v>117.59</c:v>
                </c:pt>
                <c:pt idx="3032">
                  <c:v>473.55</c:v>
                </c:pt>
                <c:pt idx="3033">
                  <c:v>352.78</c:v>
                </c:pt>
                <c:pt idx="3048">
                  <c:v>22.1</c:v>
                </c:pt>
                <c:pt idx="3049">
                  <c:v>181</c:v>
                </c:pt>
                <c:pt idx="3062">
                  <c:v>5994.02</c:v>
                </c:pt>
                <c:pt idx="3063">
                  <c:v>2208.83</c:v>
                </c:pt>
                <c:pt idx="3074">
                  <c:v>441.77</c:v>
                </c:pt>
                <c:pt idx="3075">
                  <c:v>696.02</c:v>
                </c:pt>
                <c:pt idx="3087">
                  <c:v>651.52</c:v>
                </c:pt>
                <c:pt idx="3088">
                  <c:v>435.41</c:v>
                </c:pt>
                <c:pt idx="3099">
                  <c:v>212.31044</c:v>
                </c:pt>
                <c:pt idx="3100">
                  <c:v>4.1900000000000004</c:v>
                </c:pt>
                <c:pt idx="3101">
                  <c:v>3.85</c:v>
                </c:pt>
                <c:pt idx="3102">
                  <c:v>4.16</c:v>
                </c:pt>
                <c:pt idx="3130">
                  <c:v>9</c:v>
                </c:pt>
                <c:pt idx="3131">
                  <c:v>4</c:v>
                </c:pt>
                <c:pt idx="3132">
                  <c:v>14</c:v>
                </c:pt>
                <c:pt idx="3133">
                  <c:v>36</c:v>
                </c:pt>
                <c:pt idx="3134">
                  <c:v>35</c:v>
                </c:pt>
                <c:pt idx="3146">
                  <c:v>120</c:v>
                </c:pt>
                <c:pt idx="3203">
                  <c:v>6.3566000000000003</c:v>
                </c:pt>
                <c:pt idx="3204">
                  <c:v>7.2</c:v>
                </c:pt>
                <c:pt idx="3205">
                  <c:v>267</c:v>
                </c:pt>
                <c:pt idx="3228">
                  <c:v>140.16302999999999</c:v>
                </c:pt>
                <c:pt idx="3273">
                  <c:v>200.22</c:v>
                </c:pt>
                <c:pt idx="3284">
                  <c:v>3209.9</c:v>
                </c:pt>
                <c:pt idx="3300">
                  <c:v>638.8383</c:v>
                </c:pt>
                <c:pt idx="3313">
                  <c:v>136.661</c:v>
                </c:pt>
                <c:pt idx="3326">
                  <c:v>3.1783000000000001</c:v>
                </c:pt>
                <c:pt idx="3337">
                  <c:v>10.9</c:v>
                </c:pt>
                <c:pt idx="3338">
                  <c:v>5.9</c:v>
                </c:pt>
                <c:pt idx="3339">
                  <c:v>6</c:v>
                </c:pt>
                <c:pt idx="3340">
                  <c:v>4.0999999999999996</c:v>
                </c:pt>
                <c:pt idx="3351">
                  <c:v>187.5197</c:v>
                </c:pt>
                <c:pt idx="3352">
                  <c:v>6.93</c:v>
                </c:pt>
                <c:pt idx="3353">
                  <c:v>6.74</c:v>
                </c:pt>
                <c:pt idx="3354">
                  <c:v>6.75</c:v>
                </c:pt>
                <c:pt idx="3355">
                  <c:v>4.13</c:v>
                </c:pt>
                <c:pt idx="3449">
                  <c:v>324.2</c:v>
                </c:pt>
                <c:pt idx="3450">
                  <c:v>6.4</c:v>
                </c:pt>
                <c:pt idx="3482">
                  <c:v>80.09</c:v>
                </c:pt>
                <c:pt idx="3483">
                  <c:v>54.347000000000001</c:v>
                </c:pt>
                <c:pt idx="3496">
                  <c:v>257.44229999999999</c:v>
                </c:pt>
                <c:pt idx="3507">
                  <c:v>64.3</c:v>
                </c:pt>
                <c:pt idx="3508">
                  <c:v>6.1</c:v>
                </c:pt>
                <c:pt idx="3521">
                  <c:v>3.1783000000000001</c:v>
                </c:pt>
                <c:pt idx="3522">
                  <c:v>954</c:v>
                </c:pt>
                <c:pt idx="3534">
                  <c:v>10.84</c:v>
                </c:pt>
                <c:pt idx="3535">
                  <c:v>3126</c:v>
                </c:pt>
                <c:pt idx="3546">
                  <c:v>13</c:v>
                </c:pt>
                <c:pt idx="3558">
                  <c:v>8.4600000000000009</c:v>
                </c:pt>
                <c:pt idx="3572">
                  <c:v>3.51</c:v>
                </c:pt>
                <c:pt idx="3573">
                  <c:v>344</c:v>
                </c:pt>
                <c:pt idx="3584">
                  <c:v>3.55</c:v>
                </c:pt>
                <c:pt idx="3595">
                  <c:v>6.15</c:v>
                </c:pt>
                <c:pt idx="3607">
                  <c:v>6.98</c:v>
                </c:pt>
                <c:pt idx="3608">
                  <c:v>1.81</c:v>
                </c:pt>
                <c:pt idx="3612">
                  <c:v>257.43099999999998</c:v>
                </c:pt>
                <c:pt idx="3613">
                  <c:v>1175.971</c:v>
                </c:pt>
                <c:pt idx="3614">
                  <c:v>3.3</c:v>
                </c:pt>
                <c:pt idx="3615">
                  <c:v>263.79000000000002</c:v>
                </c:pt>
                <c:pt idx="3616">
                  <c:v>23.4</c:v>
                </c:pt>
                <c:pt idx="3617">
                  <c:v>1303</c:v>
                </c:pt>
                <c:pt idx="3618">
                  <c:v>10.4</c:v>
                </c:pt>
                <c:pt idx="3619">
                  <c:v>50</c:v>
                </c:pt>
                <c:pt idx="3620">
                  <c:v>813.64480000000003</c:v>
                </c:pt>
                <c:pt idx="3621">
                  <c:v>3496</c:v>
                </c:pt>
                <c:pt idx="3622">
                  <c:v>171.62819999999999</c:v>
                </c:pt>
                <c:pt idx="3623">
                  <c:v>9.1999999999999993</c:v>
                </c:pt>
                <c:pt idx="3624">
                  <c:v>85.814099999999996</c:v>
                </c:pt>
                <c:pt idx="3625">
                  <c:v>476.7</c:v>
                </c:pt>
                <c:pt idx="3626">
                  <c:v>30</c:v>
                </c:pt>
                <c:pt idx="3627">
                  <c:v>18</c:v>
                </c:pt>
                <c:pt idx="3628">
                  <c:v>18</c:v>
                </c:pt>
                <c:pt idx="3629">
                  <c:v>1525.5</c:v>
                </c:pt>
                <c:pt idx="3630">
                  <c:v>3686.7</c:v>
                </c:pt>
                <c:pt idx="3631">
                  <c:v>2669.7719999999999</c:v>
                </c:pt>
                <c:pt idx="3632">
                  <c:v>6.7</c:v>
                </c:pt>
                <c:pt idx="3633">
                  <c:v>3.2</c:v>
                </c:pt>
                <c:pt idx="3634">
                  <c:v>33.700000000000003</c:v>
                </c:pt>
                <c:pt idx="3635">
                  <c:v>889.92399999999998</c:v>
                </c:pt>
                <c:pt idx="3636">
                  <c:v>197.05459999999999</c:v>
                </c:pt>
                <c:pt idx="3637">
                  <c:v>1175.9000000000001</c:v>
                </c:pt>
                <c:pt idx="3638">
                  <c:v>7532.5709999999999</c:v>
                </c:pt>
                <c:pt idx="3644">
                  <c:v>258.07796000000002</c:v>
                </c:pt>
                <c:pt idx="3645">
                  <c:v>235.1942</c:v>
                </c:pt>
                <c:pt idx="3646">
                  <c:v>756.43539999999996</c:v>
                </c:pt>
                <c:pt idx="3647">
                  <c:v>20.6</c:v>
                </c:pt>
                <c:pt idx="3648">
                  <c:v>72.783069999999995</c:v>
                </c:pt>
                <c:pt idx="3649">
                  <c:v>2329.6</c:v>
                </c:pt>
                <c:pt idx="3650">
                  <c:v>731</c:v>
                </c:pt>
                <c:pt idx="3652">
                  <c:v>826.35799999999995</c:v>
                </c:pt>
                <c:pt idx="3653">
                  <c:v>1207.7</c:v>
                </c:pt>
                <c:pt idx="3654">
                  <c:v>14.1</c:v>
                </c:pt>
                <c:pt idx="3655">
                  <c:v>5.5</c:v>
                </c:pt>
                <c:pt idx="3656">
                  <c:v>231</c:v>
                </c:pt>
                <c:pt idx="3657">
                  <c:v>86</c:v>
                </c:pt>
                <c:pt idx="3658">
                  <c:v>80</c:v>
                </c:pt>
                <c:pt idx="3659">
                  <c:v>20</c:v>
                </c:pt>
                <c:pt idx="3660">
                  <c:v>56.6</c:v>
                </c:pt>
                <c:pt idx="3661">
                  <c:v>1462</c:v>
                </c:pt>
                <c:pt idx="3662">
                  <c:v>60.387700000000002</c:v>
                </c:pt>
                <c:pt idx="3663">
                  <c:v>168.44</c:v>
                </c:pt>
                <c:pt idx="3664">
                  <c:v>279.68</c:v>
                </c:pt>
                <c:pt idx="3665">
                  <c:v>46.085349999999998</c:v>
                </c:pt>
                <c:pt idx="3666">
                  <c:v>273.3338</c:v>
                </c:pt>
                <c:pt idx="3667">
                  <c:v>587.96</c:v>
                </c:pt>
                <c:pt idx="3668">
                  <c:v>867.64</c:v>
                </c:pt>
                <c:pt idx="3669">
                  <c:v>123</c:v>
                </c:pt>
                <c:pt idx="3670">
                  <c:v>149.3801</c:v>
                </c:pt>
                <c:pt idx="3671">
                  <c:v>35</c:v>
                </c:pt>
                <c:pt idx="3672">
                  <c:v>3994.4859999999999</c:v>
                </c:pt>
                <c:pt idx="3673">
                  <c:v>92.170699999999997</c:v>
                </c:pt>
                <c:pt idx="3674">
                  <c:v>2.3199999999999998</c:v>
                </c:pt>
                <c:pt idx="3675">
                  <c:v>203.41120000000001</c:v>
                </c:pt>
                <c:pt idx="3676">
                  <c:v>858.14099999999996</c:v>
                </c:pt>
                <c:pt idx="3677">
                  <c:v>162.09</c:v>
                </c:pt>
                <c:pt idx="3678">
                  <c:v>982.09469999999999</c:v>
                </c:pt>
                <c:pt idx="3679">
                  <c:v>55.3</c:v>
                </c:pt>
                <c:pt idx="3680">
                  <c:v>83.7</c:v>
                </c:pt>
                <c:pt idx="3681">
                  <c:v>177.98480000000001</c:v>
                </c:pt>
                <c:pt idx="3682">
                  <c:v>228.83760000000001</c:v>
                </c:pt>
                <c:pt idx="3683">
                  <c:v>1080.6220000000001</c:v>
                </c:pt>
                <c:pt idx="3684">
                  <c:v>21</c:v>
                </c:pt>
                <c:pt idx="3685">
                  <c:v>1303.1030000000001</c:v>
                </c:pt>
                <c:pt idx="3686">
                  <c:v>1328.5293999999999</c:v>
                </c:pt>
                <c:pt idx="3687">
                  <c:v>4252.5654000000004</c:v>
                </c:pt>
                <c:pt idx="3688">
                  <c:v>1.43</c:v>
                </c:pt>
                <c:pt idx="3689">
                  <c:v>3.2690000000000001</c:v>
                </c:pt>
                <c:pt idx="3690">
                  <c:v>127.44983000000001</c:v>
                </c:pt>
                <c:pt idx="3691">
                  <c:v>9</c:v>
                </c:pt>
                <c:pt idx="3692">
                  <c:v>505.34969999999998</c:v>
                </c:pt>
                <c:pt idx="3693">
                  <c:v>4.4496200000000004</c:v>
                </c:pt>
                <c:pt idx="3694">
                  <c:v>238.3725</c:v>
                </c:pt>
                <c:pt idx="3695">
                  <c:v>441.77</c:v>
                </c:pt>
                <c:pt idx="3696">
                  <c:v>197.04599999999999</c:v>
                </c:pt>
                <c:pt idx="3698">
                  <c:v>400.44900000000001</c:v>
                </c:pt>
                <c:pt idx="3699">
                  <c:v>375.02</c:v>
                </c:pt>
                <c:pt idx="3700">
                  <c:v>320.995</c:v>
                </c:pt>
                <c:pt idx="3701">
                  <c:v>327.351</c:v>
                </c:pt>
                <c:pt idx="3702">
                  <c:v>1430.175</c:v>
                </c:pt>
                <c:pt idx="3703">
                  <c:v>4449.62</c:v>
                </c:pt>
                <c:pt idx="3704">
                  <c:v>2542.64</c:v>
                </c:pt>
                <c:pt idx="3705">
                  <c:v>169</c:v>
                </c:pt>
                <c:pt idx="3707">
                  <c:v>734.16</c:v>
                </c:pt>
                <c:pt idx="3708">
                  <c:v>0.02</c:v>
                </c:pt>
                <c:pt idx="3709">
                  <c:v>4.3</c:v>
                </c:pt>
                <c:pt idx="3710">
                  <c:v>3.9</c:v>
                </c:pt>
                <c:pt idx="3711">
                  <c:v>794.57500000000005</c:v>
                </c:pt>
                <c:pt idx="3712">
                  <c:v>382.8</c:v>
                </c:pt>
                <c:pt idx="3718">
                  <c:v>411.27202</c:v>
                </c:pt>
                <c:pt idx="3719">
                  <c:v>233.92287999999999</c:v>
                </c:pt>
                <c:pt idx="3720">
                  <c:v>792.63499999999999</c:v>
                </c:pt>
                <c:pt idx="3721">
                  <c:v>1369.8472999999999</c:v>
                </c:pt>
                <c:pt idx="3722">
                  <c:v>1938.7629999999999</c:v>
                </c:pt>
                <c:pt idx="3723">
                  <c:v>1373.0255999999999</c:v>
                </c:pt>
                <c:pt idx="3724">
                  <c:v>597.5204</c:v>
                </c:pt>
                <c:pt idx="3725">
                  <c:v>117.91493</c:v>
                </c:pt>
                <c:pt idx="3726">
                  <c:v>378.21769999999998</c:v>
                </c:pt>
                <c:pt idx="3727">
                  <c:v>5085</c:v>
                </c:pt>
                <c:pt idx="3728">
                  <c:v>2860</c:v>
                </c:pt>
                <c:pt idx="3731">
                  <c:v>1997.59</c:v>
                </c:pt>
                <c:pt idx="3732">
                  <c:v>4131.62</c:v>
                </c:pt>
                <c:pt idx="3733">
                  <c:v>3082.82</c:v>
                </c:pt>
                <c:pt idx="3734">
                  <c:v>1207.7</c:v>
                </c:pt>
                <c:pt idx="3736">
                  <c:v>9.1999999999999993</c:v>
                </c:pt>
                <c:pt idx="3737">
                  <c:v>1722.6386</c:v>
                </c:pt>
                <c:pt idx="3738">
                  <c:v>30</c:v>
                </c:pt>
                <c:pt idx="3739">
                  <c:v>200</c:v>
                </c:pt>
                <c:pt idx="3740">
                  <c:v>0.85</c:v>
                </c:pt>
                <c:pt idx="3741">
                  <c:v>1.38</c:v>
                </c:pt>
                <c:pt idx="3742">
                  <c:v>0.41</c:v>
                </c:pt>
                <c:pt idx="3743">
                  <c:v>0.62</c:v>
                </c:pt>
                <c:pt idx="3744">
                  <c:v>0.68</c:v>
                </c:pt>
                <c:pt idx="3745">
                  <c:v>1.34</c:v>
                </c:pt>
                <c:pt idx="3752">
                  <c:v>266.97719999999998</c:v>
                </c:pt>
                <c:pt idx="3753">
                  <c:v>473.56670000000003</c:v>
                </c:pt>
                <c:pt idx="3754">
                  <c:v>607.03</c:v>
                </c:pt>
                <c:pt idx="3755">
                  <c:v>247.9074</c:v>
                </c:pt>
                <c:pt idx="3756">
                  <c:v>568.91570000000002</c:v>
                </c:pt>
                <c:pt idx="3757">
                  <c:v>406.82240000000002</c:v>
                </c:pt>
                <c:pt idx="3758">
                  <c:v>4449.62</c:v>
                </c:pt>
                <c:pt idx="3759">
                  <c:v>2002.2</c:v>
                </c:pt>
                <c:pt idx="3760">
                  <c:v>2447.1999999999998</c:v>
                </c:pt>
                <c:pt idx="3762">
                  <c:v>222.48099999999999</c:v>
                </c:pt>
                <c:pt idx="3763">
                  <c:v>3559.6959999999999</c:v>
                </c:pt>
                <c:pt idx="3764">
                  <c:v>271.41500000000002</c:v>
                </c:pt>
                <c:pt idx="3765">
                  <c:v>1001.12</c:v>
                </c:pt>
                <c:pt idx="3766">
                  <c:v>400.4658</c:v>
                </c:pt>
                <c:pt idx="3767">
                  <c:v>162.0933</c:v>
                </c:pt>
                <c:pt idx="3768">
                  <c:v>473.54700000000003</c:v>
                </c:pt>
                <c:pt idx="3769">
                  <c:v>404.26299999999998</c:v>
                </c:pt>
                <c:pt idx="3770">
                  <c:v>572.09400000000005</c:v>
                </c:pt>
                <c:pt idx="3771">
                  <c:v>514.88459999999998</c:v>
                </c:pt>
                <c:pt idx="3772">
                  <c:v>38.139600000000002</c:v>
                </c:pt>
                <c:pt idx="3773">
                  <c:v>251.0857</c:v>
                </c:pt>
                <c:pt idx="3774">
                  <c:v>150.96924999999999</c:v>
                </c:pt>
                <c:pt idx="3775">
                  <c:v>562.24126999999999</c:v>
                </c:pt>
                <c:pt idx="3776">
                  <c:v>95.349000000000004</c:v>
                </c:pt>
                <c:pt idx="3777">
                  <c:v>163.36462</c:v>
                </c:pt>
                <c:pt idx="3778">
                  <c:v>390.93090000000001</c:v>
                </c:pt>
                <c:pt idx="3779">
                  <c:v>416.35730000000001</c:v>
                </c:pt>
                <c:pt idx="3780">
                  <c:v>1541.4755</c:v>
                </c:pt>
                <c:pt idx="3781">
                  <c:v>375.99288999999999</c:v>
                </c:pt>
                <c:pt idx="3782">
                  <c:v>285.72917000000001</c:v>
                </c:pt>
                <c:pt idx="3783">
                  <c:v>190.69800000000001</c:v>
                </c:pt>
                <c:pt idx="3784">
                  <c:v>88.992400000000004</c:v>
                </c:pt>
                <c:pt idx="3785">
                  <c:v>57.209400000000002</c:v>
                </c:pt>
                <c:pt idx="3786">
                  <c:v>317.83</c:v>
                </c:pt>
                <c:pt idx="3787">
                  <c:v>114.4188</c:v>
                </c:pt>
                <c:pt idx="3788">
                  <c:v>390.93090000000001</c:v>
                </c:pt>
                <c:pt idx="3789">
                  <c:v>85.814099999999996</c:v>
                </c:pt>
                <c:pt idx="3790">
                  <c:v>130.31030000000001</c:v>
                </c:pt>
                <c:pt idx="3791">
                  <c:v>368.68279999999999</c:v>
                </c:pt>
                <c:pt idx="3792">
                  <c:v>603.87699999999995</c:v>
                </c:pt>
                <c:pt idx="3793">
                  <c:v>479.92329999999998</c:v>
                </c:pt>
                <c:pt idx="3794">
                  <c:v>387.75259999999997</c:v>
                </c:pt>
                <c:pt idx="3795">
                  <c:v>37.186109999999999</c:v>
                </c:pt>
                <c:pt idx="3796">
                  <c:v>2809.6172000000001</c:v>
                </c:pt>
                <c:pt idx="3797">
                  <c:v>775.50519999999995</c:v>
                </c:pt>
                <c:pt idx="3798">
                  <c:v>854.96270000000004</c:v>
                </c:pt>
                <c:pt idx="3799">
                  <c:v>266.97719999999998</c:v>
                </c:pt>
                <c:pt idx="3800">
                  <c:v>139.84520000000001</c:v>
                </c:pt>
                <c:pt idx="3801">
                  <c:v>282.86869999999999</c:v>
                </c:pt>
                <c:pt idx="3802">
                  <c:v>87.40325</c:v>
                </c:pt>
                <c:pt idx="3803">
                  <c:v>171.62819999999999</c:v>
                </c:pt>
                <c:pt idx="3804">
                  <c:v>98.527299999999997</c:v>
                </c:pt>
                <c:pt idx="3805">
                  <c:v>123.9537</c:v>
                </c:pt>
                <c:pt idx="3806">
                  <c:v>40.68224</c:v>
                </c:pt>
                <c:pt idx="3808">
                  <c:v>886.74570000000006</c:v>
                </c:pt>
                <c:pt idx="3809">
                  <c:v>174.8065</c:v>
                </c:pt>
                <c:pt idx="3810">
                  <c:v>394.10919999999999</c:v>
                </c:pt>
                <c:pt idx="3811">
                  <c:v>88.356740000000002</c:v>
                </c:pt>
                <c:pt idx="3812">
                  <c:v>791.39670000000001</c:v>
                </c:pt>
                <c:pt idx="3813">
                  <c:v>1652.7159999999999</c:v>
                </c:pt>
                <c:pt idx="3814">
                  <c:v>594.34209999999996</c:v>
                </c:pt>
                <c:pt idx="3815">
                  <c:v>676.97789999999998</c:v>
                </c:pt>
                <c:pt idx="3816">
                  <c:v>209.13213999999999</c:v>
                </c:pt>
                <c:pt idx="3817">
                  <c:v>2542.64</c:v>
                </c:pt>
                <c:pt idx="3818">
                  <c:v>133.48859999999999</c:v>
                </c:pt>
                <c:pt idx="3819">
                  <c:v>247.9074</c:v>
                </c:pt>
                <c:pt idx="3820">
                  <c:v>508.52800000000002</c:v>
                </c:pt>
                <c:pt idx="3821">
                  <c:v>149.3801</c:v>
                </c:pt>
                <c:pt idx="3822">
                  <c:v>1172.7927</c:v>
                </c:pt>
                <c:pt idx="3823">
                  <c:v>413.17899999999997</c:v>
                </c:pt>
                <c:pt idx="3824">
                  <c:v>161.45764</c:v>
                </c:pt>
                <c:pt idx="3825">
                  <c:v>3635.9751999999999</c:v>
                </c:pt>
                <c:pt idx="3826">
                  <c:v>95.031170000000003</c:v>
                </c:pt>
                <c:pt idx="3827">
                  <c:v>159.55065999999999</c:v>
                </c:pt>
                <c:pt idx="3828">
                  <c:v>339.76026999999999</c:v>
                </c:pt>
                <c:pt idx="3829">
                  <c:v>317.83</c:v>
                </c:pt>
                <c:pt idx="3830">
                  <c:v>290.80200000000002</c:v>
                </c:pt>
                <c:pt idx="3831">
                  <c:v>98.840999999999994</c:v>
                </c:pt>
                <c:pt idx="3832">
                  <c:v>95.344999999999999</c:v>
                </c:pt>
                <c:pt idx="3833">
                  <c:v>212.9461</c:v>
                </c:pt>
                <c:pt idx="3834">
                  <c:v>280.95</c:v>
                </c:pt>
                <c:pt idx="3835">
                  <c:v>394.10919999999999</c:v>
                </c:pt>
                <c:pt idx="3836">
                  <c:v>139.84520000000001</c:v>
                </c:pt>
                <c:pt idx="3837">
                  <c:v>270.15550000000002</c:v>
                </c:pt>
                <c:pt idx="3838">
                  <c:v>288.26</c:v>
                </c:pt>
                <c:pt idx="3839">
                  <c:v>73.100899999999996</c:v>
                </c:pt>
                <c:pt idx="3840">
                  <c:v>772.32690000000002</c:v>
                </c:pt>
                <c:pt idx="3841">
                  <c:v>151.916</c:v>
                </c:pt>
                <c:pt idx="3842">
                  <c:v>835.89290000000005</c:v>
                </c:pt>
                <c:pt idx="3843">
                  <c:v>371.86110000000002</c:v>
                </c:pt>
                <c:pt idx="3844">
                  <c:v>177.98480000000001</c:v>
                </c:pt>
                <c:pt idx="3845">
                  <c:v>225.6593</c:v>
                </c:pt>
                <c:pt idx="3846">
                  <c:v>750.39662999999996</c:v>
                </c:pt>
                <c:pt idx="3847">
                  <c:v>572.07000000000005</c:v>
                </c:pt>
                <c:pt idx="3848">
                  <c:v>1093.3352</c:v>
                </c:pt>
                <c:pt idx="3849">
                  <c:v>88.989000000000004</c:v>
                </c:pt>
                <c:pt idx="3850">
                  <c:v>375.0394</c:v>
                </c:pt>
                <c:pt idx="3851">
                  <c:v>270.15550000000002</c:v>
                </c:pt>
                <c:pt idx="3853">
                  <c:v>167.49641</c:v>
                </c:pt>
                <c:pt idx="3854">
                  <c:v>565.71400000000006</c:v>
                </c:pt>
                <c:pt idx="3855">
                  <c:v>282.53899999999999</c:v>
                </c:pt>
                <c:pt idx="3856">
                  <c:v>330.54320000000001</c:v>
                </c:pt>
                <c:pt idx="3857">
                  <c:v>607.05529999999999</c:v>
                </c:pt>
                <c:pt idx="3858">
                  <c:v>363.1</c:v>
                </c:pt>
                <c:pt idx="3860">
                  <c:v>13.1</c:v>
                </c:pt>
                <c:pt idx="3861">
                  <c:v>6.83</c:v>
                </c:pt>
                <c:pt idx="3862">
                  <c:v>254.26400000000001</c:v>
                </c:pt>
                <c:pt idx="3863">
                  <c:v>117.5971</c:v>
                </c:pt>
                <c:pt idx="3864">
                  <c:v>502.15</c:v>
                </c:pt>
                <c:pt idx="3865">
                  <c:v>524.41949999999997</c:v>
                </c:pt>
                <c:pt idx="3866">
                  <c:v>146.19999999999999</c:v>
                </c:pt>
                <c:pt idx="3867">
                  <c:v>677.61356000000001</c:v>
                </c:pt>
                <c:pt idx="3869">
                  <c:v>187.5197</c:v>
                </c:pt>
                <c:pt idx="3870">
                  <c:v>193.87629999999999</c:v>
                </c:pt>
                <c:pt idx="3871">
                  <c:v>143.02350000000001</c:v>
                </c:pt>
                <c:pt idx="3872">
                  <c:v>204.68252000000001</c:v>
                </c:pt>
                <c:pt idx="3873">
                  <c:v>308.29509999999999</c:v>
                </c:pt>
                <c:pt idx="3874">
                  <c:v>274.27600000000001</c:v>
                </c:pt>
                <c:pt idx="3875">
                  <c:v>117.5971</c:v>
                </c:pt>
                <c:pt idx="3876">
                  <c:v>174.8065</c:v>
                </c:pt>
                <c:pt idx="3877">
                  <c:v>851.78440000000001</c:v>
                </c:pt>
                <c:pt idx="3878">
                  <c:v>165.27160000000001</c:v>
                </c:pt>
                <c:pt idx="3879">
                  <c:v>117.5971</c:v>
                </c:pt>
                <c:pt idx="3880">
                  <c:v>403.94499999999999</c:v>
                </c:pt>
                <c:pt idx="3881">
                  <c:v>492.62</c:v>
                </c:pt>
                <c:pt idx="3882">
                  <c:v>746.90049999999997</c:v>
                </c:pt>
                <c:pt idx="3883">
                  <c:v>136.6669</c:v>
                </c:pt>
                <c:pt idx="3884">
                  <c:v>343.25639999999999</c:v>
                </c:pt>
                <c:pt idx="3885">
                  <c:v>92.170699999999997</c:v>
                </c:pt>
                <c:pt idx="3886">
                  <c:v>305.11680000000001</c:v>
                </c:pt>
                <c:pt idx="3887">
                  <c:v>187.512</c:v>
                </c:pt>
                <c:pt idx="3888">
                  <c:v>441.78370000000001</c:v>
                </c:pt>
                <c:pt idx="3889">
                  <c:v>731.00900000000001</c:v>
                </c:pt>
                <c:pt idx="3890">
                  <c:v>908.99379999999996</c:v>
                </c:pt>
                <c:pt idx="3891">
                  <c:v>228.83760000000001</c:v>
                </c:pt>
                <c:pt idx="3892">
                  <c:v>340.06</c:v>
                </c:pt>
                <c:pt idx="3893">
                  <c:v>292.40359999999998</c:v>
                </c:pt>
                <c:pt idx="3894">
                  <c:v>727.83069999999998</c:v>
                </c:pt>
                <c:pt idx="3895">
                  <c:v>352.79129999999998</c:v>
                </c:pt>
                <c:pt idx="3896">
                  <c:v>270.15550000000002</c:v>
                </c:pt>
                <c:pt idx="3897">
                  <c:v>807.28819999999996</c:v>
                </c:pt>
                <c:pt idx="3899">
                  <c:v>170.99253999999999</c:v>
                </c:pt>
                <c:pt idx="3900">
                  <c:v>231.69807</c:v>
                </c:pt>
                <c:pt idx="3901">
                  <c:v>371.86110000000002</c:v>
                </c:pt>
                <c:pt idx="3902">
                  <c:v>95.349000000000004</c:v>
                </c:pt>
                <c:pt idx="3903">
                  <c:v>220.565</c:v>
                </c:pt>
                <c:pt idx="3904">
                  <c:v>402.05495000000002</c:v>
                </c:pt>
                <c:pt idx="3905">
                  <c:v>133.48859999999999</c:v>
                </c:pt>
                <c:pt idx="3906">
                  <c:v>1875.1969999999999</c:v>
                </c:pt>
                <c:pt idx="3907">
                  <c:v>200.2329</c:v>
                </c:pt>
                <c:pt idx="3908">
                  <c:v>425.8922</c:v>
                </c:pt>
                <c:pt idx="3909">
                  <c:v>255.85315</c:v>
                </c:pt>
                <c:pt idx="3910">
                  <c:v>467.21010000000001</c:v>
                </c:pt>
                <c:pt idx="3911">
                  <c:v>158.91499999999999</c:v>
                </c:pt>
                <c:pt idx="3913">
                  <c:v>457.67520000000002</c:v>
                </c:pt>
                <c:pt idx="3914">
                  <c:v>152.55000000000001</c:v>
                </c:pt>
                <c:pt idx="3915">
                  <c:v>432.24880000000002</c:v>
                </c:pt>
                <c:pt idx="3916">
                  <c:v>293.03926000000001</c:v>
                </c:pt>
                <c:pt idx="3917">
                  <c:v>772.32690000000002</c:v>
                </c:pt>
                <c:pt idx="3918">
                  <c:v>2383.6</c:v>
                </c:pt>
                <c:pt idx="3919">
                  <c:v>6992</c:v>
                </c:pt>
                <c:pt idx="3920">
                  <c:v>1274.44</c:v>
                </c:pt>
                <c:pt idx="3921">
                  <c:v>355.96960000000001</c:v>
                </c:pt>
                <c:pt idx="3926">
                  <c:v>263.7989</c:v>
                </c:pt>
                <c:pt idx="3927">
                  <c:v>179.89178000000001</c:v>
                </c:pt>
                <c:pt idx="3930">
                  <c:v>2316.9807000000001</c:v>
                </c:pt>
                <c:pt idx="3931">
                  <c:v>451.3186</c:v>
                </c:pt>
                <c:pt idx="3932">
                  <c:v>378.2</c:v>
                </c:pt>
                <c:pt idx="3933">
                  <c:v>1398.452</c:v>
                </c:pt>
                <c:pt idx="3943">
                  <c:v>492.63650000000001</c:v>
                </c:pt>
                <c:pt idx="3950">
                  <c:v>4327.3599999999997</c:v>
                </c:pt>
                <c:pt idx="3958">
                  <c:v>4.82</c:v>
                </c:pt>
              </c:numCache>
            </c:numRef>
          </c:xVal>
          <c:yVal>
            <c:numRef>
              <c:f>'static-exo'!$Q$2:$Q$3973</c:f>
              <c:numCache>
                <c:formatCode>General</c:formatCode>
                <c:ptCount val="3972"/>
                <c:pt idx="0">
                  <c:v>2.7</c:v>
                </c:pt>
                <c:pt idx="1">
                  <c:v>2.78</c:v>
                </c:pt>
                <c:pt idx="2">
                  <c:v>2.2000000000000002</c:v>
                </c:pt>
                <c:pt idx="3">
                  <c:v>0.9</c:v>
                </c:pt>
                <c:pt idx="4">
                  <c:v>1.08</c:v>
                </c:pt>
                <c:pt idx="5">
                  <c:v>2.2999999999999998</c:v>
                </c:pt>
                <c:pt idx="6">
                  <c:v>0.85</c:v>
                </c:pt>
                <c:pt idx="7">
                  <c:v>0.99</c:v>
                </c:pt>
                <c:pt idx="8">
                  <c:v>1.54</c:v>
                </c:pt>
                <c:pt idx="9">
                  <c:v>1.54</c:v>
                </c:pt>
                <c:pt idx="10">
                  <c:v>0.4</c:v>
                </c:pt>
                <c:pt idx="11">
                  <c:v>0.11</c:v>
                </c:pt>
                <c:pt idx="12">
                  <c:v>0.02</c:v>
                </c:pt>
                <c:pt idx="13">
                  <c:v>0.02</c:v>
                </c:pt>
                <c:pt idx="14">
                  <c:v>0.48</c:v>
                </c:pt>
                <c:pt idx="15">
                  <c:v>0.08</c:v>
                </c:pt>
                <c:pt idx="16">
                  <c:v>0.6</c:v>
                </c:pt>
                <c:pt idx="17">
                  <c:v>1.93</c:v>
                </c:pt>
                <c:pt idx="18">
                  <c:v>1.23</c:v>
                </c:pt>
                <c:pt idx="19">
                  <c:v>0.98</c:v>
                </c:pt>
                <c:pt idx="20">
                  <c:v>1.03</c:v>
                </c:pt>
                <c:pt idx="21">
                  <c:v>1.03</c:v>
                </c:pt>
                <c:pt idx="22">
                  <c:v>1.03</c:v>
                </c:pt>
                <c:pt idx="23">
                  <c:v>1.75</c:v>
                </c:pt>
                <c:pt idx="24">
                  <c:v>1.1200000000000001</c:v>
                </c:pt>
                <c:pt idx="25">
                  <c:v>0.91</c:v>
                </c:pt>
                <c:pt idx="26">
                  <c:v>0.91</c:v>
                </c:pt>
                <c:pt idx="27">
                  <c:v>0.91</c:v>
                </c:pt>
                <c:pt idx="28">
                  <c:v>0.91</c:v>
                </c:pt>
                <c:pt idx="29">
                  <c:v>0.91</c:v>
                </c:pt>
                <c:pt idx="30">
                  <c:v>1.44</c:v>
                </c:pt>
                <c:pt idx="31">
                  <c:v>0.94</c:v>
                </c:pt>
                <c:pt idx="32">
                  <c:v>0.94</c:v>
                </c:pt>
                <c:pt idx="33">
                  <c:v>0.94</c:v>
                </c:pt>
                <c:pt idx="34">
                  <c:v>1.52</c:v>
                </c:pt>
                <c:pt idx="35">
                  <c:v>1.0900000000000001</c:v>
                </c:pt>
                <c:pt idx="36">
                  <c:v>2.4900000000000002</c:v>
                </c:pt>
                <c:pt idx="37">
                  <c:v>1.44</c:v>
                </c:pt>
                <c:pt idx="38">
                  <c:v>2.4</c:v>
                </c:pt>
                <c:pt idx="39">
                  <c:v>1.4</c:v>
                </c:pt>
                <c:pt idx="41">
                  <c:v>1.1399999999999999</c:v>
                </c:pt>
                <c:pt idx="42">
                  <c:v>0.49</c:v>
                </c:pt>
                <c:pt idx="43">
                  <c:v>1.08</c:v>
                </c:pt>
                <c:pt idx="44">
                  <c:v>1.1000000000000001</c:v>
                </c:pt>
                <c:pt idx="45">
                  <c:v>10.83</c:v>
                </c:pt>
                <c:pt idx="46">
                  <c:v>10.83</c:v>
                </c:pt>
                <c:pt idx="47">
                  <c:v>0.8</c:v>
                </c:pt>
                <c:pt idx="48">
                  <c:v>1.67</c:v>
                </c:pt>
                <c:pt idx="49">
                  <c:v>0.74</c:v>
                </c:pt>
                <c:pt idx="50">
                  <c:v>1.0900000000000001</c:v>
                </c:pt>
                <c:pt idx="51">
                  <c:v>1.52</c:v>
                </c:pt>
                <c:pt idx="52">
                  <c:v>0.7</c:v>
                </c:pt>
                <c:pt idx="53">
                  <c:v>0.7</c:v>
                </c:pt>
                <c:pt idx="54">
                  <c:v>0.5</c:v>
                </c:pt>
                <c:pt idx="55">
                  <c:v>0.5</c:v>
                </c:pt>
                <c:pt idx="56">
                  <c:v>1.47</c:v>
                </c:pt>
                <c:pt idx="57">
                  <c:v>0.56999999999999995</c:v>
                </c:pt>
                <c:pt idx="58">
                  <c:v>2.12</c:v>
                </c:pt>
                <c:pt idx="59">
                  <c:v>0.31</c:v>
                </c:pt>
                <c:pt idx="60">
                  <c:v>0.02</c:v>
                </c:pt>
                <c:pt idx="61">
                  <c:v>0.35</c:v>
                </c:pt>
                <c:pt idx="63">
                  <c:v>0.95</c:v>
                </c:pt>
                <c:pt idx="64">
                  <c:v>0.89</c:v>
                </c:pt>
                <c:pt idx="65">
                  <c:v>1.27</c:v>
                </c:pt>
                <c:pt idx="66">
                  <c:v>1.08</c:v>
                </c:pt>
                <c:pt idx="67">
                  <c:v>1.0900000000000001</c:v>
                </c:pt>
                <c:pt idx="68">
                  <c:v>1.1299999999999999</c:v>
                </c:pt>
                <c:pt idx="69">
                  <c:v>1.1000000000000001</c:v>
                </c:pt>
                <c:pt idx="70">
                  <c:v>1.04</c:v>
                </c:pt>
                <c:pt idx="71">
                  <c:v>0.95</c:v>
                </c:pt>
                <c:pt idx="72">
                  <c:v>1.21</c:v>
                </c:pt>
                <c:pt idx="73">
                  <c:v>0.96</c:v>
                </c:pt>
                <c:pt idx="74">
                  <c:v>1.1399999999999999</c:v>
                </c:pt>
                <c:pt idx="75">
                  <c:v>1.1399999999999999</c:v>
                </c:pt>
                <c:pt idx="76">
                  <c:v>1.29</c:v>
                </c:pt>
                <c:pt idx="77">
                  <c:v>1.1000000000000001</c:v>
                </c:pt>
                <c:pt idx="78">
                  <c:v>1.1399999999999999</c:v>
                </c:pt>
                <c:pt idx="79">
                  <c:v>0.91</c:v>
                </c:pt>
                <c:pt idx="80">
                  <c:v>0.91</c:v>
                </c:pt>
                <c:pt idx="81">
                  <c:v>1.0900000000000001</c:v>
                </c:pt>
                <c:pt idx="82">
                  <c:v>1.0900000000000001</c:v>
                </c:pt>
                <c:pt idx="83">
                  <c:v>1.05</c:v>
                </c:pt>
                <c:pt idx="84">
                  <c:v>1.01</c:v>
                </c:pt>
                <c:pt idx="85">
                  <c:v>0.97</c:v>
                </c:pt>
                <c:pt idx="86">
                  <c:v>1.37</c:v>
                </c:pt>
                <c:pt idx="87">
                  <c:v>1.1599999999999999</c:v>
                </c:pt>
                <c:pt idx="88">
                  <c:v>1</c:v>
                </c:pt>
                <c:pt idx="89">
                  <c:v>1.05</c:v>
                </c:pt>
                <c:pt idx="90">
                  <c:v>0.82</c:v>
                </c:pt>
                <c:pt idx="91">
                  <c:v>0.82</c:v>
                </c:pt>
                <c:pt idx="92">
                  <c:v>0.88</c:v>
                </c:pt>
                <c:pt idx="93">
                  <c:v>0.96</c:v>
                </c:pt>
                <c:pt idx="94">
                  <c:v>1.08</c:v>
                </c:pt>
                <c:pt idx="95">
                  <c:v>7.0000000000000007E-2</c:v>
                </c:pt>
                <c:pt idx="96">
                  <c:v>0.33</c:v>
                </c:pt>
                <c:pt idx="98">
                  <c:v>0.66</c:v>
                </c:pt>
                <c:pt idx="99">
                  <c:v>1.17</c:v>
                </c:pt>
                <c:pt idx="100">
                  <c:v>0.97</c:v>
                </c:pt>
                <c:pt idx="101">
                  <c:v>0.97</c:v>
                </c:pt>
                <c:pt idx="102">
                  <c:v>1.32</c:v>
                </c:pt>
                <c:pt idx="103">
                  <c:v>0.05</c:v>
                </c:pt>
                <c:pt idx="104">
                  <c:v>1.92</c:v>
                </c:pt>
                <c:pt idx="105">
                  <c:v>0.18</c:v>
                </c:pt>
                <c:pt idx="106">
                  <c:v>0.18</c:v>
                </c:pt>
                <c:pt idx="107">
                  <c:v>0.35</c:v>
                </c:pt>
                <c:pt idx="108">
                  <c:v>0.35</c:v>
                </c:pt>
                <c:pt idx="109">
                  <c:v>0.15</c:v>
                </c:pt>
                <c:pt idx="110">
                  <c:v>0.18</c:v>
                </c:pt>
                <c:pt idx="111">
                  <c:v>0.73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0.36</c:v>
                </c:pt>
                <c:pt idx="116">
                  <c:v>0.28999999999999998</c:v>
                </c:pt>
                <c:pt idx="117">
                  <c:v>0.28999999999999998</c:v>
                </c:pt>
                <c:pt idx="118">
                  <c:v>0.9</c:v>
                </c:pt>
                <c:pt idx="119">
                  <c:v>0.68</c:v>
                </c:pt>
                <c:pt idx="120">
                  <c:v>0.68</c:v>
                </c:pt>
                <c:pt idx="121">
                  <c:v>0.68</c:v>
                </c:pt>
                <c:pt idx="122">
                  <c:v>0.42</c:v>
                </c:pt>
                <c:pt idx="123">
                  <c:v>0.42</c:v>
                </c:pt>
                <c:pt idx="124">
                  <c:v>0.69</c:v>
                </c:pt>
                <c:pt idx="125">
                  <c:v>0.42</c:v>
                </c:pt>
                <c:pt idx="126">
                  <c:v>0.42</c:v>
                </c:pt>
                <c:pt idx="127">
                  <c:v>0.42</c:v>
                </c:pt>
                <c:pt idx="128">
                  <c:v>0.42</c:v>
                </c:pt>
                <c:pt idx="129">
                  <c:v>0.16</c:v>
                </c:pt>
                <c:pt idx="130">
                  <c:v>0.16</c:v>
                </c:pt>
                <c:pt idx="131">
                  <c:v>0.47</c:v>
                </c:pt>
                <c:pt idx="132">
                  <c:v>0.54</c:v>
                </c:pt>
                <c:pt idx="133">
                  <c:v>0.45</c:v>
                </c:pt>
                <c:pt idx="134">
                  <c:v>0.27</c:v>
                </c:pt>
                <c:pt idx="135">
                  <c:v>0.63</c:v>
                </c:pt>
                <c:pt idx="136">
                  <c:v>0.5</c:v>
                </c:pt>
                <c:pt idx="137">
                  <c:v>0.5</c:v>
                </c:pt>
                <c:pt idx="138">
                  <c:v>0.39</c:v>
                </c:pt>
                <c:pt idx="139">
                  <c:v>0.41</c:v>
                </c:pt>
                <c:pt idx="140">
                  <c:v>0.59</c:v>
                </c:pt>
                <c:pt idx="141">
                  <c:v>0.47</c:v>
                </c:pt>
                <c:pt idx="142">
                  <c:v>1.22</c:v>
                </c:pt>
                <c:pt idx="143">
                  <c:v>0.52</c:v>
                </c:pt>
                <c:pt idx="144">
                  <c:v>0.31</c:v>
                </c:pt>
                <c:pt idx="145">
                  <c:v>0.31</c:v>
                </c:pt>
                <c:pt idx="146">
                  <c:v>0.31</c:v>
                </c:pt>
                <c:pt idx="147">
                  <c:v>0.3</c:v>
                </c:pt>
                <c:pt idx="148">
                  <c:v>0.54</c:v>
                </c:pt>
                <c:pt idx="149">
                  <c:v>0.33</c:v>
                </c:pt>
                <c:pt idx="150">
                  <c:v>0.33</c:v>
                </c:pt>
                <c:pt idx="151">
                  <c:v>0.33</c:v>
                </c:pt>
                <c:pt idx="152">
                  <c:v>0.33</c:v>
                </c:pt>
                <c:pt idx="153">
                  <c:v>0.33</c:v>
                </c:pt>
                <c:pt idx="154">
                  <c:v>0.35</c:v>
                </c:pt>
                <c:pt idx="155">
                  <c:v>0.73</c:v>
                </c:pt>
                <c:pt idx="156">
                  <c:v>0.73</c:v>
                </c:pt>
                <c:pt idx="157">
                  <c:v>0.73</c:v>
                </c:pt>
                <c:pt idx="158">
                  <c:v>0.73</c:v>
                </c:pt>
                <c:pt idx="159">
                  <c:v>0.55000000000000004</c:v>
                </c:pt>
                <c:pt idx="160">
                  <c:v>0.45</c:v>
                </c:pt>
                <c:pt idx="161">
                  <c:v>0.45</c:v>
                </c:pt>
                <c:pt idx="162">
                  <c:v>0.45</c:v>
                </c:pt>
                <c:pt idx="163">
                  <c:v>0.65</c:v>
                </c:pt>
                <c:pt idx="164">
                  <c:v>0.93</c:v>
                </c:pt>
                <c:pt idx="165">
                  <c:v>0.32</c:v>
                </c:pt>
                <c:pt idx="166">
                  <c:v>0.32</c:v>
                </c:pt>
                <c:pt idx="167">
                  <c:v>0.32</c:v>
                </c:pt>
                <c:pt idx="168">
                  <c:v>0.32</c:v>
                </c:pt>
                <c:pt idx="169">
                  <c:v>0.6</c:v>
                </c:pt>
                <c:pt idx="170">
                  <c:v>0.61</c:v>
                </c:pt>
                <c:pt idx="171">
                  <c:v>0.61</c:v>
                </c:pt>
                <c:pt idx="172">
                  <c:v>0.61</c:v>
                </c:pt>
                <c:pt idx="173">
                  <c:v>0.7</c:v>
                </c:pt>
                <c:pt idx="174">
                  <c:v>0.9</c:v>
                </c:pt>
                <c:pt idx="175">
                  <c:v>0.33</c:v>
                </c:pt>
                <c:pt idx="176">
                  <c:v>0.56000000000000005</c:v>
                </c:pt>
                <c:pt idx="177">
                  <c:v>0.42</c:v>
                </c:pt>
                <c:pt idx="178">
                  <c:v>1.1499999999999999</c:v>
                </c:pt>
                <c:pt idx="179">
                  <c:v>0.81</c:v>
                </c:pt>
                <c:pt idx="180">
                  <c:v>0.81</c:v>
                </c:pt>
                <c:pt idx="181">
                  <c:v>0.73</c:v>
                </c:pt>
                <c:pt idx="182">
                  <c:v>1.22</c:v>
                </c:pt>
                <c:pt idx="183">
                  <c:v>1.22</c:v>
                </c:pt>
                <c:pt idx="184">
                  <c:v>2.65</c:v>
                </c:pt>
                <c:pt idx="185">
                  <c:v>1</c:v>
                </c:pt>
                <c:pt idx="186">
                  <c:v>1.22</c:v>
                </c:pt>
                <c:pt idx="187">
                  <c:v>0.99</c:v>
                </c:pt>
                <c:pt idx="188">
                  <c:v>0.99</c:v>
                </c:pt>
                <c:pt idx="189">
                  <c:v>0.77</c:v>
                </c:pt>
                <c:pt idx="190">
                  <c:v>0.84</c:v>
                </c:pt>
                <c:pt idx="191">
                  <c:v>1.33</c:v>
                </c:pt>
                <c:pt idx="192">
                  <c:v>0.76</c:v>
                </c:pt>
                <c:pt idx="193">
                  <c:v>1.24</c:v>
                </c:pt>
                <c:pt idx="194">
                  <c:v>1.1299999999999999</c:v>
                </c:pt>
                <c:pt idx="195">
                  <c:v>0.57999999999999996</c:v>
                </c:pt>
                <c:pt idx="196">
                  <c:v>1.37</c:v>
                </c:pt>
                <c:pt idx="197">
                  <c:v>1.01</c:v>
                </c:pt>
                <c:pt idx="198">
                  <c:v>1.1200000000000001</c:v>
                </c:pt>
                <c:pt idx="199">
                  <c:v>0.94</c:v>
                </c:pt>
                <c:pt idx="200">
                  <c:v>1.02</c:v>
                </c:pt>
                <c:pt idx="201">
                  <c:v>1.45</c:v>
                </c:pt>
                <c:pt idx="202">
                  <c:v>1.06</c:v>
                </c:pt>
                <c:pt idx="203">
                  <c:v>1.55</c:v>
                </c:pt>
                <c:pt idx="204">
                  <c:v>1.31</c:v>
                </c:pt>
                <c:pt idx="205">
                  <c:v>1.0900000000000001</c:v>
                </c:pt>
                <c:pt idx="206">
                  <c:v>1.82</c:v>
                </c:pt>
                <c:pt idx="207">
                  <c:v>4.26</c:v>
                </c:pt>
                <c:pt idx="208">
                  <c:v>23.56</c:v>
                </c:pt>
                <c:pt idx="209">
                  <c:v>0.78</c:v>
                </c:pt>
                <c:pt idx="210">
                  <c:v>0.93</c:v>
                </c:pt>
                <c:pt idx="211">
                  <c:v>0.89</c:v>
                </c:pt>
                <c:pt idx="212">
                  <c:v>1.4</c:v>
                </c:pt>
                <c:pt idx="214">
                  <c:v>1.03</c:v>
                </c:pt>
                <c:pt idx="215">
                  <c:v>2.56</c:v>
                </c:pt>
                <c:pt idx="216">
                  <c:v>1.18</c:v>
                </c:pt>
                <c:pt idx="217">
                  <c:v>1.05</c:v>
                </c:pt>
                <c:pt idx="218">
                  <c:v>0.94</c:v>
                </c:pt>
                <c:pt idx="219">
                  <c:v>0.94</c:v>
                </c:pt>
                <c:pt idx="220">
                  <c:v>1.26</c:v>
                </c:pt>
                <c:pt idx="221">
                  <c:v>1.28</c:v>
                </c:pt>
                <c:pt idx="222">
                  <c:v>2.2200000000000002</c:v>
                </c:pt>
                <c:pt idx="223">
                  <c:v>1.04</c:v>
                </c:pt>
                <c:pt idx="224">
                  <c:v>1.27</c:v>
                </c:pt>
                <c:pt idx="225">
                  <c:v>0.98</c:v>
                </c:pt>
                <c:pt idx="226">
                  <c:v>0.89</c:v>
                </c:pt>
                <c:pt idx="227">
                  <c:v>1.0900000000000001</c:v>
                </c:pt>
                <c:pt idx="228">
                  <c:v>0.65</c:v>
                </c:pt>
                <c:pt idx="229">
                  <c:v>1.01</c:v>
                </c:pt>
                <c:pt idx="230">
                  <c:v>1.42</c:v>
                </c:pt>
                <c:pt idx="231">
                  <c:v>2.77</c:v>
                </c:pt>
                <c:pt idx="232">
                  <c:v>1.79</c:v>
                </c:pt>
                <c:pt idx="233">
                  <c:v>1.21</c:v>
                </c:pt>
                <c:pt idx="234">
                  <c:v>1.25</c:v>
                </c:pt>
                <c:pt idx="235">
                  <c:v>1.64</c:v>
                </c:pt>
                <c:pt idx="236">
                  <c:v>1.56</c:v>
                </c:pt>
                <c:pt idx="237">
                  <c:v>1.27</c:v>
                </c:pt>
                <c:pt idx="238">
                  <c:v>1.28</c:v>
                </c:pt>
                <c:pt idx="239">
                  <c:v>0.99</c:v>
                </c:pt>
                <c:pt idx="240">
                  <c:v>1.1000000000000001</c:v>
                </c:pt>
                <c:pt idx="241">
                  <c:v>1.33</c:v>
                </c:pt>
                <c:pt idx="242">
                  <c:v>1.1599999999999999</c:v>
                </c:pt>
                <c:pt idx="243">
                  <c:v>0.96</c:v>
                </c:pt>
                <c:pt idx="244">
                  <c:v>0.97</c:v>
                </c:pt>
                <c:pt idx="245">
                  <c:v>0.87</c:v>
                </c:pt>
                <c:pt idx="246">
                  <c:v>0.97</c:v>
                </c:pt>
                <c:pt idx="247">
                  <c:v>1.1299999999999999</c:v>
                </c:pt>
                <c:pt idx="248">
                  <c:v>1.04</c:v>
                </c:pt>
                <c:pt idx="249">
                  <c:v>0.88</c:v>
                </c:pt>
                <c:pt idx="250">
                  <c:v>0.76</c:v>
                </c:pt>
                <c:pt idx="251">
                  <c:v>1.1200000000000001</c:v>
                </c:pt>
                <c:pt idx="252">
                  <c:v>1.21</c:v>
                </c:pt>
                <c:pt idx="253">
                  <c:v>0.99</c:v>
                </c:pt>
                <c:pt idx="254">
                  <c:v>1.3</c:v>
                </c:pt>
                <c:pt idx="255">
                  <c:v>1.42</c:v>
                </c:pt>
                <c:pt idx="256">
                  <c:v>0.93</c:v>
                </c:pt>
                <c:pt idx="257">
                  <c:v>1.03</c:v>
                </c:pt>
                <c:pt idx="258">
                  <c:v>1.21</c:v>
                </c:pt>
                <c:pt idx="259">
                  <c:v>1.0900000000000001</c:v>
                </c:pt>
                <c:pt idx="260">
                  <c:v>1.27</c:v>
                </c:pt>
                <c:pt idx="261">
                  <c:v>1.1000000000000001</c:v>
                </c:pt>
                <c:pt idx="262">
                  <c:v>1.06</c:v>
                </c:pt>
                <c:pt idx="263">
                  <c:v>0.95</c:v>
                </c:pt>
                <c:pt idx="264">
                  <c:v>1.32</c:v>
                </c:pt>
                <c:pt idx="265">
                  <c:v>1.1000000000000001</c:v>
                </c:pt>
                <c:pt idx="266">
                  <c:v>1.38</c:v>
                </c:pt>
                <c:pt idx="267">
                  <c:v>1</c:v>
                </c:pt>
                <c:pt idx="268">
                  <c:v>1.56</c:v>
                </c:pt>
                <c:pt idx="269">
                  <c:v>1.5</c:v>
                </c:pt>
                <c:pt idx="270">
                  <c:v>1.27</c:v>
                </c:pt>
                <c:pt idx="271">
                  <c:v>0.84</c:v>
                </c:pt>
                <c:pt idx="272">
                  <c:v>0.86</c:v>
                </c:pt>
                <c:pt idx="273">
                  <c:v>1.27</c:v>
                </c:pt>
                <c:pt idx="274">
                  <c:v>0.92</c:v>
                </c:pt>
                <c:pt idx="275">
                  <c:v>0.94</c:v>
                </c:pt>
                <c:pt idx="276">
                  <c:v>1.17</c:v>
                </c:pt>
                <c:pt idx="277">
                  <c:v>1.19</c:v>
                </c:pt>
                <c:pt idx="278">
                  <c:v>1.1100000000000001</c:v>
                </c:pt>
                <c:pt idx="279">
                  <c:v>0.96</c:v>
                </c:pt>
                <c:pt idx="280">
                  <c:v>1.04</c:v>
                </c:pt>
                <c:pt idx="281">
                  <c:v>1.04</c:v>
                </c:pt>
                <c:pt idx="282">
                  <c:v>0.56999999999999995</c:v>
                </c:pt>
                <c:pt idx="283">
                  <c:v>1.1000000000000001</c:v>
                </c:pt>
                <c:pt idx="284">
                  <c:v>1.08</c:v>
                </c:pt>
                <c:pt idx="285">
                  <c:v>0.9</c:v>
                </c:pt>
                <c:pt idx="286">
                  <c:v>0.93</c:v>
                </c:pt>
                <c:pt idx="287">
                  <c:v>1.56</c:v>
                </c:pt>
                <c:pt idx="288">
                  <c:v>1.26</c:v>
                </c:pt>
                <c:pt idx="289">
                  <c:v>1.41</c:v>
                </c:pt>
                <c:pt idx="290">
                  <c:v>1.44</c:v>
                </c:pt>
                <c:pt idx="291">
                  <c:v>1.35</c:v>
                </c:pt>
                <c:pt idx="292">
                  <c:v>0.89</c:v>
                </c:pt>
                <c:pt idx="293">
                  <c:v>0.85</c:v>
                </c:pt>
                <c:pt idx="294">
                  <c:v>1.78</c:v>
                </c:pt>
                <c:pt idx="295">
                  <c:v>1.06</c:v>
                </c:pt>
                <c:pt idx="296">
                  <c:v>1.1000000000000001</c:v>
                </c:pt>
                <c:pt idx="297">
                  <c:v>2.4</c:v>
                </c:pt>
                <c:pt idx="298">
                  <c:v>2.2799999999999998</c:v>
                </c:pt>
                <c:pt idx="299">
                  <c:v>0.83</c:v>
                </c:pt>
                <c:pt idx="300">
                  <c:v>1.06</c:v>
                </c:pt>
                <c:pt idx="301">
                  <c:v>1.06</c:v>
                </c:pt>
                <c:pt idx="302">
                  <c:v>1.06</c:v>
                </c:pt>
                <c:pt idx="303">
                  <c:v>1.06</c:v>
                </c:pt>
                <c:pt idx="304">
                  <c:v>1.06</c:v>
                </c:pt>
                <c:pt idx="305">
                  <c:v>1.06</c:v>
                </c:pt>
                <c:pt idx="306">
                  <c:v>0.56999999999999995</c:v>
                </c:pt>
                <c:pt idx="307">
                  <c:v>1.06</c:v>
                </c:pt>
                <c:pt idx="308">
                  <c:v>0.76</c:v>
                </c:pt>
                <c:pt idx="309">
                  <c:v>1.45</c:v>
                </c:pt>
                <c:pt idx="310">
                  <c:v>3.21</c:v>
                </c:pt>
                <c:pt idx="311">
                  <c:v>3.21</c:v>
                </c:pt>
                <c:pt idx="312">
                  <c:v>0.85</c:v>
                </c:pt>
                <c:pt idx="313">
                  <c:v>0.95</c:v>
                </c:pt>
                <c:pt idx="314">
                  <c:v>1.66</c:v>
                </c:pt>
                <c:pt idx="315">
                  <c:v>0.8</c:v>
                </c:pt>
                <c:pt idx="316">
                  <c:v>0.79</c:v>
                </c:pt>
                <c:pt idx="317">
                  <c:v>1.33</c:v>
                </c:pt>
                <c:pt idx="318">
                  <c:v>0.77</c:v>
                </c:pt>
                <c:pt idx="319">
                  <c:v>0.62</c:v>
                </c:pt>
                <c:pt idx="320">
                  <c:v>1.01</c:v>
                </c:pt>
                <c:pt idx="321">
                  <c:v>2.2999999999999998</c:v>
                </c:pt>
                <c:pt idx="322">
                  <c:v>1.01</c:v>
                </c:pt>
                <c:pt idx="323">
                  <c:v>1.39</c:v>
                </c:pt>
                <c:pt idx="324">
                  <c:v>1.08</c:v>
                </c:pt>
                <c:pt idx="325">
                  <c:v>1.08</c:v>
                </c:pt>
                <c:pt idx="326">
                  <c:v>1.1100000000000001</c:v>
                </c:pt>
                <c:pt idx="327">
                  <c:v>0.97</c:v>
                </c:pt>
                <c:pt idx="328">
                  <c:v>1.5</c:v>
                </c:pt>
                <c:pt idx="329">
                  <c:v>1.1299999999999999</c:v>
                </c:pt>
                <c:pt idx="330">
                  <c:v>1.1200000000000001</c:v>
                </c:pt>
                <c:pt idx="331">
                  <c:v>1.27</c:v>
                </c:pt>
                <c:pt idx="332">
                  <c:v>0.84</c:v>
                </c:pt>
                <c:pt idx="333">
                  <c:v>1.59</c:v>
                </c:pt>
                <c:pt idx="334">
                  <c:v>1.1000000000000001</c:v>
                </c:pt>
                <c:pt idx="335">
                  <c:v>1.1000000000000001</c:v>
                </c:pt>
                <c:pt idx="336">
                  <c:v>1.2</c:v>
                </c:pt>
                <c:pt idx="337">
                  <c:v>1.05</c:v>
                </c:pt>
                <c:pt idx="338">
                  <c:v>1.05</c:v>
                </c:pt>
                <c:pt idx="339">
                  <c:v>1.1299999999999999</c:v>
                </c:pt>
                <c:pt idx="340">
                  <c:v>2.17</c:v>
                </c:pt>
                <c:pt idx="341">
                  <c:v>0.84</c:v>
                </c:pt>
                <c:pt idx="342">
                  <c:v>1.94</c:v>
                </c:pt>
                <c:pt idx="343">
                  <c:v>1.18</c:v>
                </c:pt>
                <c:pt idx="344">
                  <c:v>1.4</c:v>
                </c:pt>
                <c:pt idx="345">
                  <c:v>0.57999999999999996</c:v>
                </c:pt>
                <c:pt idx="346">
                  <c:v>0.57999999999999996</c:v>
                </c:pt>
                <c:pt idx="347">
                  <c:v>1.49</c:v>
                </c:pt>
                <c:pt idx="348">
                  <c:v>0.6</c:v>
                </c:pt>
                <c:pt idx="349">
                  <c:v>1.27</c:v>
                </c:pt>
                <c:pt idx="350">
                  <c:v>1.24</c:v>
                </c:pt>
                <c:pt idx="351">
                  <c:v>0.8</c:v>
                </c:pt>
                <c:pt idx="352">
                  <c:v>0.85</c:v>
                </c:pt>
                <c:pt idx="353">
                  <c:v>0.85</c:v>
                </c:pt>
                <c:pt idx="354">
                  <c:v>1.24</c:v>
                </c:pt>
                <c:pt idx="355">
                  <c:v>1.24</c:v>
                </c:pt>
                <c:pt idx="356">
                  <c:v>0.83</c:v>
                </c:pt>
                <c:pt idx="357">
                  <c:v>0.83</c:v>
                </c:pt>
                <c:pt idx="358">
                  <c:v>0.96</c:v>
                </c:pt>
                <c:pt idx="359">
                  <c:v>0.72</c:v>
                </c:pt>
                <c:pt idx="360">
                  <c:v>1.08</c:v>
                </c:pt>
                <c:pt idx="361">
                  <c:v>1.84</c:v>
                </c:pt>
                <c:pt idx="362">
                  <c:v>1</c:v>
                </c:pt>
                <c:pt idx="363">
                  <c:v>1.1200000000000001</c:v>
                </c:pt>
                <c:pt idx="364">
                  <c:v>1.1200000000000001</c:v>
                </c:pt>
                <c:pt idx="365">
                  <c:v>1.91</c:v>
                </c:pt>
                <c:pt idx="366">
                  <c:v>2.39</c:v>
                </c:pt>
                <c:pt idx="367">
                  <c:v>1.62</c:v>
                </c:pt>
                <c:pt idx="368">
                  <c:v>1.01</c:v>
                </c:pt>
                <c:pt idx="369">
                  <c:v>0.28999999999999998</c:v>
                </c:pt>
                <c:pt idx="370">
                  <c:v>1.1100000000000001</c:v>
                </c:pt>
                <c:pt idx="371">
                  <c:v>1.1100000000000001</c:v>
                </c:pt>
                <c:pt idx="372">
                  <c:v>1.1100000000000001</c:v>
                </c:pt>
                <c:pt idx="373">
                  <c:v>0.67</c:v>
                </c:pt>
                <c:pt idx="374">
                  <c:v>1.2</c:v>
                </c:pt>
                <c:pt idx="375">
                  <c:v>1.2</c:v>
                </c:pt>
                <c:pt idx="376">
                  <c:v>1.26</c:v>
                </c:pt>
                <c:pt idx="377">
                  <c:v>0.83</c:v>
                </c:pt>
                <c:pt idx="378">
                  <c:v>0.83</c:v>
                </c:pt>
                <c:pt idx="379">
                  <c:v>0.65</c:v>
                </c:pt>
                <c:pt idx="380">
                  <c:v>0.99</c:v>
                </c:pt>
                <c:pt idx="381">
                  <c:v>0.92</c:v>
                </c:pt>
                <c:pt idx="382">
                  <c:v>1.34</c:v>
                </c:pt>
                <c:pt idx="383">
                  <c:v>1.19</c:v>
                </c:pt>
                <c:pt idx="384">
                  <c:v>1.35</c:v>
                </c:pt>
                <c:pt idx="385">
                  <c:v>2.2400000000000002</c:v>
                </c:pt>
                <c:pt idx="386">
                  <c:v>1.03</c:v>
                </c:pt>
                <c:pt idx="387">
                  <c:v>1.08</c:v>
                </c:pt>
                <c:pt idx="388">
                  <c:v>0.95</c:v>
                </c:pt>
                <c:pt idx="389">
                  <c:v>0.95</c:v>
                </c:pt>
                <c:pt idx="390">
                  <c:v>0.93</c:v>
                </c:pt>
                <c:pt idx="391">
                  <c:v>1.0900000000000001</c:v>
                </c:pt>
                <c:pt idx="392">
                  <c:v>1.0900000000000001</c:v>
                </c:pt>
                <c:pt idx="393">
                  <c:v>1.1000000000000001</c:v>
                </c:pt>
                <c:pt idx="394">
                  <c:v>1.1000000000000001</c:v>
                </c:pt>
                <c:pt idx="395">
                  <c:v>0.81</c:v>
                </c:pt>
                <c:pt idx="396">
                  <c:v>0.81</c:v>
                </c:pt>
                <c:pt idx="397">
                  <c:v>0.81</c:v>
                </c:pt>
                <c:pt idx="398">
                  <c:v>1.48</c:v>
                </c:pt>
                <c:pt idx="399">
                  <c:v>1.1399999999999999</c:v>
                </c:pt>
                <c:pt idx="400">
                  <c:v>0.68</c:v>
                </c:pt>
                <c:pt idx="401">
                  <c:v>1.29</c:v>
                </c:pt>
                <c:pt idx="402">
                  <c:v>1.29</c:v>
                </c:pt>
                <c:pt idx="403">
                  <c:v>1.3</c:v>
                </c:pt>
                <c:pt idx="404">
                  <c:v>1.35</c:v>
                </c:pt>
                <c:pt idx="405">
                  <c:v>1.32</c:v>
                </c:pt>
                <c:pt idx="406">
                  <c:v>2.4</c:v>
                </c:pt>
                <c:pt idx="407">
                  <c:v>1.07</c:v>
                </c:pt>
                <c:pt idx="408">
                  <c:v>1.07</c:v>
                </c:pt>
                <c:pt idx="409">
                  <c:v>1.07</c:v>
                </c:pt>
                <c:pt idx="410">
                  <c:v>1.07</c:v>
                </c:pt>
                <c:pt idx="411">
                  <c:v>1.0900000000000001</c:v>
                </c:pt>
                <c:pt idx="412">
                  <c:v>1.23</c:v>
                </c:pt>
                <c:pt idx="413">
                  <c:v>1.23</c:v>
                </c:pt>
                <c:pt idx="414">
                  <c:v>0.9</c:v>
                </c:pt>
                <c:pt idx="415">
                  <c:v>3.5</c:v>
                </c:pt>
                <c:pt idx="416">
                  <c:v>1.07</c:v>
                </c:pt>
                <c:pt idx="417">
                  <c:v>1.51</c:v>
                </c:pt>
                <c:pt idx="418">
                  <c:v>0.95</c:v>
                </c:pt>
                <c:pt idx="419">
                  <c:v>1.2</c:v>
                </c:pt>
                <c:pt idx="420">
                  <c:v>1.23</c:v>
                </c:pt>
                <c:pt idx="421">
                  <c:v>1.75</c:v>
                </c:pt>
                <c:pt idx="422">
                  <c:v>1.02</c:v>
                </c:pt>
                <c:pt idx="423">
                  <c:v>1.02</c:v>
                </c:pt>
                <c:pt idx="424">
                  <c:v>0.93</c:v>
                </c:pt>
                <c:pt idx="425">
                  <c:v>0.93</c:v>
                </c:pt>
                <c:pt idx="426">
                  <c:v>0.6</c:v>
                </c:pt>
                <c:pt idx="427">
                  <c:v>1.1100000000000001</c:v>
                </c:pt>
                <c:pt idx="428">
                  <c:v>1.43</c:v>
                </c:pt>
                <c:pt idx="429">
                  <c:v>1.38</c:v>
                </c:pt>
                <c:pt idx="430">
                  <c:v>1.38</c:v>
                </c:pt>
                <c:pt idx="431">
                  <c:v>1.22</c:v>
                </c:pt>
                <c:pt idx="432">
                  <c:v>1.21</c:v>
                </c:pt>
                <c:pt idx="433">
                  <c:v>1.21</c:v>
                </c:pt>
                <c:pt idx="434">
                  <c:v>1.07</c:v>
                </c:pt>
                <c:pt idx="435">
                  <c:v>1.64</c:v>
                </c:pt>
                <c:pt idx="436">
                  <c:v>1.42</c:v>
                </c:pt>
                <c:pt idx="437">
                  <c:v>1.2</c:v>
                </c:pt>
                <c:pt idx="438">
                  <c:v>1.46</c:v>
                </c:pt>
                <c:pt idx="439">
                  <c:v>1.17</c:v>
                </c:pt>
                <c:pt idx="440">
                  <c:v>1.1000000000000001</c:v>
                </c:pt>
                <c:pt idx="441">
                  <c:v>1.3</c:v>
                </c:pt>
                <c:pt idx="442">
                  <c:v>0.9</c:v>
                </c:pt>
                <c:pt idx="443">
                  <c:v>0.9</c:v>
                </c:pt>
                <c:pt idx="444">
                  <c:v>1.25</c:v>
                </c:pt>
                <c:pt idx="445">
                  <c:v>0.71</c:v>
                </c:pt>
                <c:pt idx="446">
                  <c:v>1.18</c:v>
                </c:pt>
                <c:pt idx="447">
                  <c:v>1.96</c:v>
                </c:pt>
                <c:pt idx="448">
                  <c:v>1.96</c:v>
                </c:pt>
                <c:pt idx="449">
                  <c:v>1.69</c:v>
                </c:pt>
                <c:pt idx="450">
                  <c:v>1.1499999999999999</c:v>
                </c:pt>
                <c:pt idx="451">
                  <c:v>1.1499999999999999</c:v>
                </c:pt>
                <c:pt idx="452">
                  <c:v>0.95</c:v>
                </c:pt>
                <c:pt idx="453">
                  <c:v>0.95</c:v>
                </c:pt>
                <c:pt idx="454">
                  <c:v>1.25</c:v>
                </c:pt>
                <c:pt idx="455">
                  <c:v>0.77</c:v>
                </c:pt>
                <c:pt idx="456">
                  <c:v>1.38</c:v>
                </c:pt>
                <c:pt idx="457">
                  <c:v>1.3</c:v>
                </c:pt>
                <c:pt idx="458">
                  <c:v>1.8</c:v>
                </c:pt>
                <c:pt idx="459">
                  <c:v>1.1200000000000001</c:v>
                </c:pt>
                <c:pt idx="460">
                  <c:v>1.1200000000000001</c:v>
                </c:pt>
                <c:pt idx="461">
                  <c:v>1.19</c:v>
                </c:pt>
                <c:pt idx="462">
                  <c:v>1.19</c:v>
                </c:pt>
                <c:pt idx="463">
                  <c:v>1.33</c:v>
                </c:pt>
                <c:pt idx="464">
                  <c:v>1.33</c:v>
                </c:pt>
                <c:pt idx="465">
                  <c:v>1.08</c:v>
                </c:pt>
                <c:pt idx="466">
                  <c:v>1.08</c:v>
                </c:pt>
                <c:pt idx="467">
                  <c:v>1.08</c:v>
                </c:pt>
                <c:pt idx="468">
                  <c:v>1.08</c:v>
                </c:pt>
                <c:pt idx="469">
                  <c:v>1.1100000000000001</c:v>
                </c:pt>
                <c:pt idx="470">
                  <c:v>1.63</c:v>
                </c:pt>
                <c:pt idx="471">
                  <c:v>0.42</c:v>
                </c:pt>
                <c:pt idx="472">
                  <c:v>1.1200000000000001</c:v>
                </c:pt>
                <c:pt idx="473">
                  <c:v>1.1200000000000001</c:v>
                </c:pt>
                <c:pt idx="474">
                  <c:v>1.2</c:v>
                </c:pt>
                <c:pt idx="475">
                  <c:v>1.1200000000000001</c:v>
                </c:pt>
                <c:pt idx="476">
                  <c:v>0.99</c:v>
                </c:pt>
                <c:pt idx="477">
                  <c:v>0.77</c:v>
                </c:pt>
                <c:pt idx="478">
                  <c:v>0.76</c:v>
                </c:pt>
                <c:pt idx="479">
                  <c:v>0.76</c:v>
                </c:pt>
                <c:pt idx="480">
                  <c:v>1.02</c:v>
                </c:pt>
                <c:pt idx="481">
                  <c:v>1.5</c:v>
                </c:pt>
                <c:pt idx="482">
                  <c:v>0.81</c:v>
                </c:pt>
                <c:pt idx="483">
                  <c:v>1.5</c:v>
                </c:pt>
                <c:pt idx="484">
                  <c:v>0.99</c:v>
                </c:pt>
                <c:pt idx="485">
                  <c:v>0.99</c:v>
                </c:pt>
                <c:pt idx="486">
                  <c:v>1.07</c:v>
                </c:pt>
                <c:pt idx="487">
                  <c:v>1.86</c:v>
                </c:pt>
                <c:pt idx="488">
                  <c:v>1.4</c:v>
                </c:pt>
                <c:pt idx="489">
                  <c:v>1.4</c:v>
                </c:pt>
                <c:pt idx="490">
                  <c:v>1.1000000000000001</c:v>
                </c:pt>
                <c:pt idx="491">
                  <c:v>6.73</c:v>
                </c:pt>
                <c:pt idx="492">
                  <c:v>1.53</c:v>
                </c:pt>
                <c:pt idx="493">
                  <c:v>0.96</c:v>
                </c:pt>
                <c:pt idx="494">
                  <c:v>1.41</c:v>
                </c:pt>
                <c:pt idx="495">
                  <c:v>2</c:v>
                </c:pt>
                <c:pt idx="496">
                  <c:v>1.37</c:v>
                </c:pt>
                <c:pt idx="497">
                  <c:v>1.39</c:v>
                </c:pt>
                <c:pt idx="498">
                  <c:v>0.71</c:v>
                </c:pt>
                <c:pt idx="499">
                  <c:v>0.98</c:v>
                </c:pt>
                <c:pt idx="500">
                  <c:v>0.79</c:v>
                </c:pt>
                <c:pt idx="501">
                  <c:v>0.79</c:v>
                </c:pt>
                <c:pt idx="502">
                  <c:v>1</c:v>
                </c:pt>
                <c:pt idx="503">
                  <c:v>1.7</c:v>
                </c:pt>
                <c:pt idx="504">
                  <c:v>1.7</c:v>
                </c:pt>
                <c:pt idx="505">
                  <c:v>1.24</c:v>
                </c:pt>
                <c:pt idx="506">
                  <c:v>1.1399999999999999</c:v>
                </c:pt>
                <c:pt idx="507">
                  <c:v>1.21</c:v>
                </c:pt>
                <c:pt idx="508">
                  <c:v>1.75</c:v>
                </c:pt>
                <c:pt idx="509">
                  <c:v>1.49</c:v>
                </c:pt>
                <c:pt idx="510">
                  <c:v>2.2000000000000002</c:v>
                </c:pt>
                <c:pt idx="511">
                  <c:v>1.41</c:v>
                </c:pt>
                <c:pt idx="512">
                  <c:v>1.01</c:v>
                </c:pt>
                <c:pt idx="513">
                  <c:v>1.69</c:v>
                </c:pt>
                <c:pt idx="514">
                  <c:v>0.63</c:v>
                </c:pt>
                <c:pt idx="515">
                  <c:v>0.63</c:v>
                </c:pt>
                <c:pt idx="516">
                  <c:v>0.63</c:v>
                </c:pt>
                <c:pt idx="517">
                  <c:v>1.03</c:v>
                </c:pt>
                <c:pt idx="518">
                  <c:v>1.31</c:v>
                </c:pt>
                <c:pt idx="519">
                  <c:v>1.31</c:v>
                </c:pt>
                <c:pt idx="520">
                  <c:v>1.3</c:v>
                </c:pt>
                <c:pt idx="521">
                  <c:v>1.22</c:v>
                </c:pt>
                <c:pt idx="522">
                  <c:v>1</c:v>
                </c:pt>
                <c:pt idx="523">
                  <c:v>1</c:v>
                </c:pt>
                <c:pt idx="524">
                  <c:v>1.36</c:v>
                </c:pt>
                <c:pt idx="525">
                  <c:v>1.0900000000000001</c:v>
                </c:pt>
                <c:pt idx="526">
                  <c:v>0.79</c:v>
                </c:pt>
                <c:pt idx="527">
                  <c:v>0.99</c:v>
                </c:pt>
                <c:pt idx="528">
                  <c:v>0.99</c:v>
                </c:pt>
                <c:pt idx="529">
                  <c:v>1.1399999999999999</c:v>
                </c:pt>
                <c:pt idx="530">
                  <c:v>0.91</c:v>
                </c:pt>
                <c:pt idx="531">
                  <c:v>1.1399999999999999</c:v>
                </c:pt>
                <c:pt idx="532">
                  <c:v>0.66</c:v>
                </c:pt>
                <c:pt idx="533">
                  <c:v>0.8</c:v>
                </c:pt>
                <c:pt idx="534">
                  <c:v>0.8</c:v>
                </c:pt>
                <c:pt idx="535">
                  <c:v>1.38</c:v>
                </c:pt>
                <c:pt idx="536">
                  <c:v>1.21</c:v>
                </c:pt>
                <c:pt idx="537">
                  <c:v>1.31</c:v>
                </c:pt>
                <c:pt idx="538">
                  <c:v>1.29</c:v>
                </c:pt>
                <c:pt idx="539">
                  <c:v>1.28</c:v>
                </c:pt>
                <c:pt idx="540">
                  <c:v>1.1100000000000001</c:v>
                </c:pt>
                <c:pt idx="541">
                  <c:v>1.36</c:v>
                </c:pt>
                <c:pt idx="542">
                  <c:v>0.88</c:v>
                </c:pt>
                <c:pt idx="543">
                  <c:v>0.88</c:v>
                </c:pt>
                <c:pt idx="544">
                  <c:v>1.39</c:v>
                </c:pt>
                <c:pt idx="545">
                  <c:v>1.39</c:v>
                </c:pt>
                <c:pt idx="546">
                  <c:v>1.27</c:v>
                </c:pt>
                <c:pt idx="547">
                  <c:v>1.91</c:v>
                </c:pt>
                <c:pt idx="548">
                  <c:v>1.91</c:v>
                </c:pt>
                <c:pt idx="549">
                  <c:v>1.72</c:v>
                </c:pt>
                <c:pt idx="551">
                  <c:v>1.1200000000000001</c:v>
                </c:pt>
                <c:pt idx="552">
                  <c:v>1.23</c:v>
                </c:pt>
                <c:pt idx="553">
                  <c:v>1.03</c:v>
                </c:pt>
                <c:pt idx="554">
                  <c:v>1.03</c:v>
                </c:pt>
                <c:pt idx="555">
                  <c:v>0.57999999999999996</c:v>
                </c:pt>
                <c:pt idx="556">
                  <c:v>1.22</c:v>
                </c:pt>
                <c:pt idx="557">
                  <c:v>1.42</c:v>
                </c:pt>
                <c:pt idx="558">
                  <c:v>1.55</c:v>
                </c:pt>
                <c:pt idx="559">
                  <c:v>0.7</c:v>
                </c:pt>
                <c:pt idx="560">
                  <c:v>0.7</c:v>
                </c:pt>
                <c:pt idx="561">
                  <c:v>0.7</c:v>
                </c:pt>
                <c:pt idx="562">
                  <c:v>0.7</c:v>
                </c:pt>
                <c:pt idx="563">
                  <c:v>1.07</c:v>
                </c:pt>
                <c:pt idx="564">
                  <c:v>1.05</c:v>
                </c:pt>
                <c:pt idx="565">
                  <c:v>1.05</c:v>
                </c:pt>
                <c:pt idx="566">
                  <c:v>0.7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1.1299999999999999</c:v>
                </c:pt>
                <c:pt idx="571">
                  <c:v>1.6</c:v>
                </c:pt>
                <c:pt idx="572">
                  <c:v>0.39</c:v>
                </c:pt>
                <c:pt idx="573">
                  <c:v>1.25</c:v>
                </c:pt>
                <c:pt idx="574">
                  <c:v>1.23</c:v>
                </c:pt>
                <c:pt idx="575">
                  <c:v>1.04</c:v>
                </c:pt>
                <c:pt idx="576">
                  <c:v>1.01</c:v>
                </c:pt>
                <c:pt idx="577">
                  <c:v>1.61</c:v>
                </c:pt>
                <c:pt idx="578">
                  <c:v>1.03</c:v>
                </c:pt>
                <c:pt idx="579">
                  <c:v>0.61</c:v>
                </c:pt>
                <c:pt idx="580">
                  <c:v>1.55</c:v>
                </c:pt>
                <c:pt idx="581">
                  <c:v>1.56</c:v>
                </c:pt>
                <c:pt idx="582">
                  <c:v>1.57</c:v>
                </c:pt>
                <c:pt idx="583">
                  <c:v>0.89</c:v>
                </c:pt>
                <c:pt idx="584">
                  <c:v>1.31</c:v>
                </c:pt>
                <c:pt idx="585">
                  <c:v>0.77</c:v>
                </c:pt>
                <c:pt idx="586">
                  <c:v>0.77</c:v>
                </c:pt>
                <c:pt idx="587">
                  <c:v>0.77</c:v>
                </c:pt>
                <c:pt idx="588">
                  <c:v>0.77</c:v>
                </c:pt>
                <c:pt idx="589">
                  <c:v>0.67</c:v>
                </c:pt>
                <c:pt idx="590">
                  <c:v>0.67</c:v>
                </c:pt>
                <c:pt idx="591">
                  <c:v>1.3</c:v>
                </c:pt>
                <c:pt idx="592">
                  <c:v>1.06</c:v>
                </c:pt>
                <c:pt idx="593">
                  <c:v>0.81</c:v>
                </c:pt>
                <c:pt idx="594">
                  <c:v>0.74</c:v>
                </c:pt>
                <c:pt idx="595">
                  <c:v>0.8</c:v>
                </c:pt>
                <c:pt idx="596">
                  <c:v>0.8</c:v>
                </c:pt>
                <c:pt idx="597">
                  <c:v>1</c:v>
                </c:pt>
                <c:pt idx="598">
                  <c:v>1</c:v>
                </c:pt>
                <c:pt idx="599">
                  <c:v>0.73</c:v>
                </c:pt>
                <c:pt idx="600">
                  <c:v>1.02</c:v>
                </c:pt>
                <c:pt idx="601">
                  <c:v>1.03</c:v>
                </c:pt>
                <c:pt idx="602">
                  <c:v>0.76</c:v>
                </c:pt>
                <c:pt idx="603">
                  <c:v>1.05</c:v>
                </c:pt>
                <c:pt idx="604">
                  <c:v>0.81</c:v>
                </c:pt>
                <c:pt idx="605">
                  <c:v>0.81</c:v>
                </c:pt>
                <c:pt idx="606">
                  <c:v>0.81</c:v>
                </c:pt>
                <c:pt idx="607">
                  <c:v>0.81</c:v>
                </c:pt>
                <c:pt idx="608">
                  <c:v>0.81</c:v>
                </c:pt>
                <c:pt idx="609">
                  <c:v>0.81</c:v>
                </c:pt>
                <c:pt idx="610">
                  <c:v>1</c:v>
                </c:pt>
                <c:pt idx="611">
                  <c:v>0.92</c:v>
                </c:pt>
                <c:pt idx="612">
                  <c:v>1.18</c:v>
                </c:pt>
                <c:pt idx="613">
                  <c:v>1.18</c:v>
                </c:pt>
                <c:pt idx="614">
                  <c:v>2.2000000000000002</c:v>
                </c:pt>
                <c:pt idx="615">
                  <c:v>1.04</c:v>
                </c:pt>
                <c:pt idx="616">
                  <c:v>1.1599999999999999</c:v>
                </c:pt>
                <c:pt idx="617">
                  <c:v>1.1299999999999999</c:v>
                </c:pt>
                <c:pt idx="618">
                  <c:v>1.25</c:v>
                </c:pt>
                <c:pt idx="619">
                  <c:v>1.21</c:v>
                </c:pt>
                <c:pt idx="620">
                  <c:v>1.67</c:v>
                </c:pt>
                <c:pt idx="621">
                  <c:v>1.19</c:v>
                </c:pt>
                <c:pt idx="622">
                  <c:v>1.07</c:v>
                </c:pt>
                <c:pt idx="623">
                  <c:v>1.21</c:v>
                </c:pt>
                <c:pt idx="624">
                  <c:v>1.1200000000000001</c:v>
                </c:pt>
                <c:pt idx="625">
                  <c:v>1.34</c:v>
                </c:pt>
                <c:pt idx="626">
                  <c:v>1.31</c:v>
                </c:pt>
                <c:pt idx="627">
                  <c:v>0.75</c:v>
                </c:pt>
                <c:pt idx="628">
                  <c:v>1.1200000000000001</c:v>
                </c:pt>
                <c:pt idx="629">
                  <c:v>1.42</c:v>
                </c:pt>
                <c:pt idx="630">
                  <c:v>1.21</c:v>
                </c:pt>
                <c:pt idx="631">
                  <c:v>1.5</c:v>
                </c:pt>
                <c:pt idx="632">
                  <c:v>0.75</c:v>
                </c:pt>
                <c:pt idx="633">
                  <c:v>0.75</c:v>
                </c:pt>
                <c:pt idx="634">
                  <c:v>1.47</c:v>
                </c:pt>
                <c:pt idx="635">
                  <c:v>1.47</c:v>
                </c:pt>
                <c:pt idx="636">
                  <c:v>0.82</c:v>
                </c:pt>
                <c:pt idx="637">
                  <c:v>8.76</c:v>
                </c:pt>
                <c:pt idx="638">
                  <c:v>1.1100000000000001</c:v>
                </c:pt>
                <c:pt idx="639">
                  <c:v>1.61</c:v>
                </c:pt>
                <c:pt idx="640">
                  <c:v>1.22</c:v>
                </c:pt>
                <c:pt idx="641">
                  <c:v>0.86</c:v>
                </c:pt>
                <c:pt idx="642">
                  <c:v>1.0900000000000001</c:v>
                </c:pt>
                <c:pt idx="643">
                  <c:v>0.77</c:v>
                </c:pt>
                <c:pt idx="644">
                  <c:v>0.78</c:v>
                </c:pt>
                <c:pt idx="645">
                  <c:v>1.23</c:v>
                </c:pt>
                <c:pt idx="646">
                  <c:v>0.94</c:v>
                </c:pt>
                <c:pt idx="647">
                  <c:v>0.8</c:v>
                </c:pt>
                <c:pt idx="648">
                  <c:v>0.8</c:v>
                </c:pt>
                <c:pt idx="649">
                  <c:v>0.8</c:v>
                </c:pt>
                <c:pt idx="650">
                  <c:v>1.02</c:v>
                </c:pt>
                <c:pt idx="651">
                  <c:v>1.06</c:v>
                </c:pt>
                <c:pt idx="652">
                  <c:v>0.82</c:v>
                </c:pt>
                <c:pt idx="653">
                  <c:v>0.45</c:v>
                </c:pt>
                <c:pt idx="654">
                  <c:v>1.53</c:v>
                </c:pt>
                <c:pt idx="655">
                  <c:v>0.85</c:v>
                </c:pt>
                <c:pt idx="656">
                  <c:v>0.84</c:v>
                </c:pt>
                <c:pt idx="657">
                  <c:v>1.97</c:v>
                </c:pt>
                <c:pt idx="658">
                  <c:v>0.93</c:v>
                </c:pt>
                <c:pt idx="659">
                  <c:v>0.93</c:v>
                </c:pt>
                <c:pt idx="660">
                  <c:v>1.1200000000000001</c:v>
                </c:pt>
                <c:pt idx="661">
                  <c:v>0.92</c:v>
                </c:pt>
                <c:pt idx="662">
                  <c:v>1.17</c:v>
                </c:pt>
                <c:pt idx="663">
                  <c:v>1.7</c:v>
                </c:pt>
                <c:pt idx="664">
                  <c:v>0.96</c:v>
                </c:pt>
                <c:pt idx="665">
                  <c:v>0.96</c:v>
                </c:pt>
                <c:pt idx="666">
                  <c:v>0.96</c:v>
                </c:pt>
                <c:pt idx="667">
                  <c:v>0.94</c:v>
                </c:pt>
                <c:pt idx="668">
                  <c:v>0.94</c:v>
                </c:pt>
                <c:pt idx="669">
                  <c:v>0.94</c:v>
                </c:pt>
                <c:pt idx="670">
                  <c:v>1.1299999999999999</c:v>
                </c:pt>
                <c:pt idx="671">
                  <c:v>0.94</c:v>
                </c:pt>
                <c:pt idx="672">
                  <c:v>0.47</c:v>
                </c:pt>
                <c:pt idx="673">
                  <c:v>1.41</c:v>
                </c:pt>
                <c:pt idx="674">
                  <c:v>1.41</c:v>
                </c:pt>
                <c:pt idx="675">
                  <c:v>1.38</c:v>
                </c:pt>
                <c:pt idx="676">
                  <c:v>1.25</c:v>
                </c:pt>
                <c:pt idx="677">
                  <c:v>1.84</c:v>
                </c:pt>
                <c:pt idx="678">
                  <c:v>1.84</c:v>
                </c:pt>
                <c:pt idx="679">
                  <c:v>1.1399999999999999</c:v>
                </c:pt>
                <c:pt idx="680">
                  <c:v>1.1399999999999999</c:v>
                </c:pt>
                <c:pt idx="681">
                  <c:v>1.1399999999999999</c:v>
                </c:pt>
                <c:pt idx="682">
                  <c:v>1.1399999999999999</c:v>
                </c:pt>
                <c:pt idx="683">
                  <c:v>1.1399999999999999</c:v>
                </c:pt>
                <c:pt idx="684">
                  <c:v>1.1399999999999999</c:v>
                </c:pt>
                <c:pt idx="685">
                  <c:v>1.1499999999999999</c:v>
                </c:pt>
                <c:pt idx="686">
                  <c:v>0.8</c:v>
                </c:pt>
                <c:pt idx="687">
                  <c:v>0.85</c:v>
                </c:pt>
                <c:pt idx="688">
                  <c:v>0.85</c:v>
                </c:pt>
                <c:pt idx="689">
                  <c:v>0.85</c:v>
                </c:pt>
                <c:pt idx="690">
                  <c:v>0.94</c:v>
                </c:pt>
                <c:pt idx="691">
                  <c:v>0.94</c:v>
                </c:pt>
                <c:pt idx="692">
                  <c:v>1.37</c:v>
                </c:pt>
                <c:pt idx="693">
                  <c:v>1.41</c:v>
                </c:pt>
                <c:pt idx="694">
                  <c:v>1.41</c:v>
                </c:pt>
                <c:pt idx="695">
                  <c:v>1.29</c:v>
                </c:pt>
                <c:pt idx="696">
                  <c:v>1.0900000000000001</c:v>
                </c:pt>
                <c:pt idx="697">
                  <c:v>0.87</c:v>
                </c:pt>
                <c:pt idx="698">
                  <c:v>0.77</c:v>
                </c:pt>
                <c:pt idx="699">
                  <c:v>0.77</c:v>
                </c:pt>
                <c:pt idx="700">
                  <c:v>0.77</c:v>
                </c:pt>
                <c:pt idx="701">
                  <c:v>0.77</c:v>
                </c:pt>
                <c:pt idx="702">
                  <c:v>0.77</c:v>
                </c:pt>
                <c:pt idx="703">
                  <c:v>2</c:v>
                </c:pt>
                <c:pt idx="704">
                  <c:v>1.45</c:v>
                </c:pt>
                <c:pt idx="705">
                  <c:v>0.7</c:v>
                </c:pt>
                <c:pt idx="706">
                  <c:v>0.4</c:v>
                </c:pt>
                <c:pt idx="707">
                  <c:v>0.99</c:v>
                </c:pt>
                <c:pt idx="708">
                  <c:v>0.83</c:v>
                </c:pt>
                <c:pt idx="709">
                  <c:v>1.25</c:v>
                </c:pt>
                <c:pt idx="710">
                  <c:v>1.25</c:v>
                </c:pt>
                <c:pt idx="711">
                  <c:v>0.9</c:v>
                </c:pt>
                <c:pt idx="712">
                  <c:v>1.01</c:v>
                </c:pt>
                <c:pt idx="713">
                  <c:v>0.93</c:v>
                </c:pt>
                <c:pt idx="714">
                  <c:v>1.63</c:v>
                </c:pt>
                <c:pt idx="715">
                  <c:v>0.96</c:v>
                </c:pt>
                <c:pt idx="716">
                  <c:v>1.32</c:v>
                </c:pt>
                <c:pt idx="717">
                  <c:v>1</c:v>
                </c:pt>
                <c:pt idx="718">
                  <c:v>1.03</c:v>
                </c:pt>
                <c:pt idx="719">
                  <c:v>1.03</c:v>
                </c:pt>
                <c:pt idx="720">
                  <c:v>1.02</c:v>
                </c:pt>
                <c:pt idx="721">
                  <c:v>0.82</c:v>
                </c:pt>
                <c:pt idx="722">
                  <c:v>0.82</c:v>
                </c:pt>
                <c:pt idx="723">
                  <c:v>0.92</c:v>
                </c:pt>
                <c:pt idx="724">
                  <c:v>0.92</c:v>
                </c:pt>
                <c:pt idx="725">
                  <c:v>0.96</c:v>
                </c:pt>
                <c:pt idx="726">
                  <c:v>0.96</c:v>
                </c:pt>
                <c:pt idx="727">
                  <c:v>1.74</c:v>
                </c:pt>
                <c:pt idx="728">
                  <c:v>1.74</c:v>
                </c:pt>
                <c:pt idx="729">
                  <c:v>1.81</c:v>
                </c:pt>
                <c:pt idx="730">
                  <c:v>1.81</c:v>
                </c:pt>
                <c:pt idx="731">
                  <c:v>0.91</c:v>
                </c:pt>
                <c:pt idx="732">
                  <c:v>1.28</c:v>
                </c:pt>
                <c:pt idx="733">
                  <c:v>1.32</c:v>
                </c:pt>
                <c:pt idx="734">
                  <c:v>1.03</c:v>
                </c:pt>
                <c:pt idx="735">
                  <c:v>1.31</c:v>
                </c:pt>
                <c:pt idx="736">
                  <c:v>1.31</c:v>
                </c:pt>
                <c:pt idx="737">
                  <c:v>1.04</c:v>
                </c:pt>
                <c:pt idx="738">
                  <c:v>0.8</c:v>
                </c:pt>
                <c:pt idx="739">
                  <c:v>0.8</c:v>
                </c:pt>
                <c:pt idx="740">
                  <c:v>1.2</c:v>
                </c:pt>
                <c:pt idx="741">
                  <c:v>1.27</c:v>
                </c:pt>
                <c:pt idx="742">
                  <c:v>1.27</c:v>
                </c:pt>
                <c:pt idx="743">
                  <c:v>1.29</c:v>
                </c:pt>
                <c:pt idx="744">
                  <c:v>1.01</c:v>
                </c:pt>
                <c:pt idx="745">
                  <c:v>1.53</c:v>
                </c:pt>
                <c:pt idx="746">
                  <c:v>0.96</c:v>
                </c:pt>
                <c:pt idx="747">
                  <c:v>1.93</c:v>
                </c:pt>
                <c:pt idx="748">
                  <c:v>1.9</c:v>
                </c:pt>
                <c:pt idx="749">
                  <c:v>1.5</c:v>
                </c:pt>
                <c:pt idx="750">
                  <c:v>1.5</c:v>
                </c:pt>
                <c:pt idx="751">
                  <c:v>2.1</c:v>
                </c:pt>
                <c:pt idx="752">
                  <c:v>0.42</c:v>
                </c:pt>
                <c:pt idx="753">
                  <c:v>0.65</c:v>
                </c:pt>
                <c:pt idx="754">
                  <c:v>0.95</c:v>
                </c:pt>
                <c:pt idx="755">
                  <c:v>1.1000000000000001</c:v>
                </c:pt>
                <c:pt idx="756">
                  <c:v>0.87</c:v>
                </c:pt>
                <c:pt idx="757">
                  <c:v>0.87</c:v>
                </c:pt>
                <c:pt idx="758">
                  <c:v>1.1000000000000001</c:v>
                </c:pt>
                <c:pt idx="759">
                  <c:v>1</c:v>
                </c:pt>
                <c:pt idx="760">
                  <c:v>1.36</c:v>
                </c:pt>
                <c:pt idx="761">
                  <c:v>1.36</c:v>
                </c:pt>
                <c:pt idx="762">
                  <c:v>1.08</c:v>
                </c:pt>
                <c:pt idx="763">
                  <c:v>1.1200000000000001</c:v>
                </c:pt>
                <c:pt idx="764">
                  <c:v>1.28</c:v>
                </c:pt>
                <c:pt idx="765">
                  <c:v>0.86</c:v>
                </c:pt>
                <c:pt idx="766">
                  <c:v>0.86</c:v>
                </c:pt>
                <c:pt idx="767">
                  <c:v>0.86</c:v>
                </c:pt>
                <c:pt idx="768">
                  <c:v>1</c:v>
                </c:pt>
                <c:pt idx="769">
                  <c:v>0.96</c:v>
                </c:pt>
                <c:pt idx="770">
                  <c:v>0.77</c:v>
                </c:pt>
                <c:pt idx="771">
                  <c:v>1.21</c:v>
                </c:pt>
                <c:pt idx="772">
                  <c:v>1.43</c:v>
                </c:pt>
                <c:pt idx="773">
                  <c:v>1.02</c:v>
                </c:pt>
                <c:pt idx="774">
                  <c:v>0.89</c:v>
                </c:pt>
                <c:pt idx="775">
                  <c:v>1.1399999999999999</c:v>
                </c:pt>
                <c:pt idx="776">
                  <c:v>1.1399999999999999</c:v>
                </c:pt>
                <c:pt idx="777">
                  <c:v>1.1599999999999999</c:v>
                </c:pt>
                <c:pt idx="778">
                  <c:v>1.24</c:v>
                </c:pt>
                <c:pt idx="779">
                  <c:v>1.24</c:v>
                </c:pt>
                <c:pt idx="780">
                  <c:v>1.05</c:v>
                </c:pt>
                <c:pt idx="781">
                  <c:v>1.29</c:v>
                </c:pt>
                <c:pt idx="782">
                  <c:v>1.26</c:v>
                </c:pt>
                <c:pt idx="783">
                  <c:v>1.26</c:v>
                </c:pt>
                <c:pt idx="784">
                  <c:v>1.26</c:v>
                </c:pt>
                <c:pt idx="785">
                  <c:v>0.99</c:v>
                </c:pt>
                <c:pt idx="786">
                  <c:v>1.17</c:v>
                </c:pt>
                <c:pt idx="787">
                  <c:v>1.37</c:v>
                </c:pt>
                <c:pt idx="788">
                  <c:v>0.65</c:v>
                </c:pt>
                <c:pt idx="789">
                  <c:v>0.65</c:v>
                </c:pt>
                <c:pt idx="790">
                  <c:v>0.65</c:v>
                </c:pt>
                <c:pt idx="791">
                  <c:v>1.08</c:v>
                </c:pt>
                <c:pt idx="792">
                  <c:v>1.1499999999999999</c:v>
                </c:pt>
                <c:pt idx="793">
                  <c:v>1.05</c:v>
                </c:pt>
                <c:pt idx="794">
                  <c:v>2.1</c:v>
                </c:pt>
                <c:pt idx="795">
                  <c:v>2.5299999999999998</c:v>
                </c:pt>
                <c:pt idx="796">
                  <c:v>1.2</c:v>
                </c:pt>
                <c:pt idx="797">
                  <c:v>1.2</c:v>
                </c:pt>
                <c:pt idx="798">
                  <c:v>0.8</c:v>
                </c:pt>
                <c:pt idx="799">
                  <c:v>0.79</c:v>
                </c:pt>
                <c:pt idx="800">
                  <c:v>1.1299999999999999</c:v>
                </c:pt>
                <c:pt idx="801">
                  <c:v>0.76</c:v>
                </c:pt>
                <c:pt idx="802">
                  <c:v>0.43</c:v>
                </c:pt>
                <c:pt idx="803">
                  <c:v>1.34</c:v>
                </c:pt>
                <c:pt idx="804">
                  <c:v>1.21</c:v>
                </c:pt>
                <c:pt idx="805">
                  <c:v>1.06</c:v>
                </c:pt>
                <c:pt idx="806">
                  <c:v>1.42</c:v>
                </c:pt>
                <c:pt idx="807">
                  <c:v>1.35</c:v>
                </c:pt>
                <c:pt idx="808">
                  <c:v>1.66</c:v>
                </c:pt>
                <c:pt idx="809">
                  <c:v>1.1200000000000001</c:v>
                </c:pt>
                <c:pt idx="810">
                  <c:v>0.66</c:v>
                </c:pt>
                <c:pt idx="811">
                  <c:v>1.26</c:v>
                </c:pt>
                <c:pt idx="812">
                  <c:v>1.27</c:v>
                </c:pt>
                <c:pt idx="813">
                  <c:v>1.1599999999999999</c:v>
                </c:pt>
                <c:pt idx="814">
                  <c:v>1.86</c:v>
                </c:pt>
                <c:pt idx="815">
                  <c:v>0.84</c:v>
                </c:pt>
                <c:pt idx="816">
                  <c:v>1.03</c:v>
                </c:pt>
                <c:pt idx="817">
                  <c:v>1.1499999999999999</c:v>
                </c:pt>
                <c:pt idx="818">
                  <c:v>1.1499999999999999</c:v>
                </c:pt>
                <c:pt idx="819">
                  <c:v>1.08</c:v>
                </c:pt>
                <c:pt idx="820">
                  <c:v>0.7</c:v>
                </c:pt>
                <c:pt idx="821">
                  <c:v>1</c:v>
                </c:pt>
                <c:pt idx="822">
                  <c:v>1</c:v>
                </c:pt>
                <c:pt idx="823">
                  <c:v>1.1100000000000001</c:v>
                </c:pt>
                <c:pt idx="824">
                  <c:v>1.6</c:v>
                </c:pt>
                <c:pt idx="825">
                  <c:v>1.54</c:v>
                </c:pt>
                <c:pt idx="826">
                  <c:v>1.54</c:v>
                </c:pt>
                <c:pt idx="827">
                  <c:v>3.7</c:v>
                </c:pt>
                <c:pt idx="828">
                  <c:v>0.7</c:v>
                </c:pt>
                <c:pt idx="829">
                  <c:v>1.37</c:v>
                </c:pt>
                <c:pt idx="830">
                  <c:v>10.94</c:v>
                </c:pt>
                <c:pt idx="831">
                  <c:v>1.27</c:v>
                </c:pt>
                <c:pt idx="832">
                  <c:v>0.89</c:v>
                </c:pt>
                <c:pt idx="833">
                  <c:v>1.41</c:v>
                </c:pt>
                <c:pt idx="834">
                  <c:v>1.03</c:v>
                </c:pt>
                <c:pt idx="835">
                  <c:v>0.92</c:v>
                </c:pt>
                <c:pt idx="836">
                  <c:v>0.76</c:v>
                </c:pt>
                <c:pt idx="837">
                  <c:v>0.48</c:v>
                </c:pt>
                <c:pt idx="838">
                  <c:v>1.46</c:v>
                </c:pt>
                <c:pt idx="839">
                  <c:v>1.46</c:v>
                </c:pt>
                <c:pt idx="840">
                  <c:v>2.1</c:v>
                </c:pt>
                <c:pt idx="841">
                  <c:v>2.42</c:v>
                </c:pt>
                <c:pt idx="842">
                  <c:v>0.78</c:v>
                </c:pt>
                <c:pt idx="843">
                  <c:v>0.87</c:v>
                </c:pt>
                <c:pt idx="844">
                  <c:v>0.81</c:v>
                </c:pt>
                <c:pt idx="845">
                  <c:v>0.69</c:v>
                </c:pt>
                <c:pt idx="846">
                  <c:v>1.01</c:v>
                </c:pt>
                <c:pt idx="847">
                  <c:v>1.01</c:v>
                </c:pt>
                <c:pt idx="848">
                  <c:v>1.01</c:v>
                </c:pt>
                <c:pt idx="849">
                  <c:v>0.79</c:v>
                </c:pt>
                <c:pt idx="850">
                  <c:v>1.1499999999999999</c:v>
                </c:pt>
                <c:pt idx="851">
                  <c:v>1.1499999999999999</c:v>
                </c:pt>
                <c:pt idx="852">
                  <c:v>1.1499999999999999</c:v>
                </c:pt>
                <c:pt idx="853">
                  <c:v>1.1499999999999999</c:v>
                </c:pt>
                <c:pt idx="854">
                  <c:v>1.1499999999999999</c:v>
                </c:pt>
                <c:pt idx="855">
                  <c:v>0.43</c:v>
                </c:pt>
                <c:pt idx="856">
                  <c:v>0.43</c:v>
                </c:pt>
                <c:pt idx="857">
                  <c:v>0.56999999999999995</c:v>
                </c:pt>
                <c:pt idx="858">
                  <c:v>0.56999999999999995</c:v>
                </c:pt>
                <c:pt idx="859">
                  <c:v>0.28999999999999998</c:v>
                </c:pt>
                <c:pt idx="860">
                  <c:v>0.28999999999999998</c:v>
                </c:pt>
                <c:pt idx="861">
                  <c:v>0.28999999999999998</c:v>
                </c:pt>
                <c:pt idx="862">
                  <c:v>1.54</c:v>
                </c:pt>
                <c:pt idx="863">
                  <c:v>0.93</c:v>
                </c:pt>
                <c:pt idx="864">
                  <c:v>0.93</c:v>
                </c:pt>
                <c:pt idx="865">
                  <c:v>1.96</c:v>
                </c:pt>
                <c:pt idx="866">
                  <c:v>2.5</c:v>
                </c:pt>
                <c:pt idx="867">
                  <c:v>2.41</c:v>
                </c:pt>
                <c:pt idx="868">
                  <c:v>1.63</c:v>
                </c:pt>
                <c:pt idx="869">
                  <c:v>1.63</c:v>
                </c:pt>
                <c:pt idx="870">
                  <c:v>0.63</c:v>
                </c:pt>
                <c:pt idx="871">
                  <c:v>0.66</c:v>
                </c:pt>
                <c:pt idx="872">
                  <c:v>1.74</c:v>
                </c:pt>
                <c:pt idx="873">
                  <c:v>2.5</c:v>
                </c:pt>
                <c:pt idx="874">
                  <c:v>0.42</c:v>
                </c:pt>
                <c:pt idx="875">
                  <c:v>1.17</c:v>
                </c:pt>
                <c:pt idx="876">
                  <c:v>0.97</c:v>
                </c:pt>
                <c:pt idx="877">
                  <c:v>1.93</c:v>
                </c:pt>
                <c:pt idx="878">
                  <c:v>1.1000000000000001</c:v>
                </c:pt>
                <c:pt idx="879">
                  <c:v>1.3</c:v>
                </c:pt>
                <c:pt idx="880">
                  <c:v>1.34</c:v>
                </c:pt>
                <c:pt idx="881">
                  <c:v>1.51</c:v>
                </c:pt>
                <c:pt idx="882">
                  <c:v>1.51</c:v>
                </c:pt>
                <c:pt idx="883">
                  <c:v>1.51</c:v>
                </c:pt>
                <c:pt idx="884">
                  <c:v>1.51</c:v>
                </c:pt>
                <c:pt idx="885">
                  <c:v>2.1</c:v>
                </c:pt>
                <c:pt idx="886">
                  <c:v>0.92</c:v>
                </c:pt>
                <c:pt idx="887">
                  <c:v>1.23</c:v>
                </c:pt>
                <c:pt idx="888">
                  <c:v>0.8</c:v>
                </c:pt>
                <c:pt idx="889">
                  <c:v>0.77</c:v>
                </c:pt>
                <c:pt idx="890">
                  <c:v>0.43</c:v>
                </c:pt>
                <c:pt idx="891">
                  <c:v>0.99</c:v>
                </c:pt>
                <c:pt idx="892">
                  <c:v>1.3</c:v>
                </c:pt>
                <c:pt idx="893">
                  <c:v>1.17</c:v>
                </c:pt>
                <c:pt idx="894">
                  <c:v>1.35</c:v>
                </c:pt>
                <c:pt idx="895">
                  <c:v>0.75</c:v>
                </c:pt>
                <c:pt idx="896">
                  <c:v>0.88</c:v>
                </c:pt>
                <c:pt idx="897">
                  <c:v>1.04</c:v>
                </c:pt>
                <c:pt idx="898">
                  <c:v>0.89</c:v>
                </c:pt>
                <c:pt idx="899">
                  <c:v>0.95</c:v>
                </c:pt>
                <c:pt idx="900">
                  <c:v>0.69</c:v>
                </c:pt>
                <c:pt idx="901">
                  <c:v>0.54</c:v>
                </c:pt>
                <c:pt idx="902">
                  <c:v>0.54</c:v>
                </c:pt>
                <c:pt idx="903">
                  <c:v>0.76</c:v>
                </c:pt>
                <c:pt idx="904">
                  <c:v>0.76</c:v>
                </c:pt>
                <c:pt idx="905">
                  <c:v>1.01</c:v>
                </c:pt>
                <c:pt idx="906">
                  <c:v>0.69</c:v>
                </c:pt>
                <c:pt idx="907">
                  <c:v>0.72</c:v>
                </c:pt>
                <c:pt idx="908">
                  <c:v>0.62</c:v>
                </c:pt>
                <c:pt idx="909">
                  <c:v>0.62</c:v>
                </c:pt>
                <c:pt idx="910">
                  <c:v>0.39</c:v>
                </c:pt>
                <c:pt idx="911">
                  <c:v>0.49</c:v>
                </c:pt>
                <c:pt idx="912">
                  <c:v>0.69</c:v>
                </c:pt>
                <c:pt idx="913">
                  <c:v>0.72</c:v>
                </c:pt>
                <c:pt idx="914">
                  <c:v>0.71</c:v>
                </c:pt>
                <c:pt idx="915">
                  <c:v>0.36</c:v>
                </c:pt>
                <c:pt idx="916">
                  <c:v>0.8</c:v>
                </c:pt>
                <c:pt idx="917">
                  <c:v>0.7</c:v>
                </c:pt>
                <c:pt idx="918">
                  <c:v>0.84</c:v>
                </c:pt>
                <c:pt idx="919">
                  <c:v>1.08</c:v>
                </c:pt>
                <c:pt idx="920">
                  <c:v>0.46</c:v>
                </c:pt>
                <c:pt idx="921">
                  <c:v>0.46</c:v>
                </c:pt>
                <c:pt idx="922">
                  <c:v>0.46</c:v>
                </c:pt>
                <c:pt idx="923">
                  <c:v>0.46</c:v>
                </c:pt>
                <c:pt idx="924">
                  <c:v>0.74</c:v>
                </c:pt>
                <c:pt idx="925">
                  <c:v>0.74</c:v>
                </c:pt>
                <c:pt idx="926">
                  <c:v>0.74</c:v>
                </c:pt>
                <c:pt idx="927">
                  <c:v>0.46</c:v>
                </c:pt>
                <c:pt idx="928">
                  <c:v>0.93</c:v>
                </c:pt>
                <c:pt idx="929">
                  <c:v>0.93</c:v>
                </c:pt>
                <c:pt idx="930">
                  <c:v>0.93</c:v>
                </c:pt>
                <c:pt idx="931">
                  <c:v>0.93</c:v>
                </c:pt>
                <c:pt idx="932">
                  <c:v>0.93</c:v>
                </c:pt>
                <c:pt idx="933">
                  <c:v>0.96</c:v>
                </c:pt>
                <c:pt idx="934">
                  <c:v>0.47</c:v>
                </c:pt>
                <c:pt idx="935">
                  <c:v>1</c:v>
                </c:pt>
                <c:pt idx="936">
                  <c:v>0.71</c:v>
                </c:pt>
                <c:pt idx="937">
                  <c:v>0.71</c:v>
                </c:pt>
                <c:pt idx="938">
                  <c:v>0.33</c:v>
                </c:pt>
                <c:pt idx="939">
                  <c:v>0.57999999999999996</c:v>
                </c:pt>
                <c:pt idx="940">
                  <c:v>0.65</c:v>
                </c:pt>
                <c:pt idx="941">
                  <c:v>0.65</c:v>
                </c:pt>
                <c:pt idx="942">
                  <c:v>0.65</c:v>
                </c:pt>
                <c:pt idx="943">
                  <c:v>0.59</c:v>
                </c:pt>
                <c:pt idx="944">
                  <c:v>0.72</c:v>
                </c:pt>
                <c:pt idx="945">
                  <c:v>0.46</c:v>
                </c:pt>
                <c:pt idx="946">
                  <c:v>0.47</c:v>
                </c:pt>
                <c:pt idx="947">
                  <c:v>0.63</c:v>
                </c:pt>
                <c:pt idx="948">
                  <c:v>0.55000000000000004</c:v>
                </c:pt>
                <c:pt idx="949">
                  <c:v>0.65</c:v>
                </c:pt>
                <c:pt idx="950">
                  <c:v>0.65</c:v>
                </c:pt>
                <c:pt idx="951">
                  <c:v>0.65</c:v>
                </c:pt>
                <c:pt idx="952">
                  <c:v>0.65</c:v>
                </c:pt>
                <c:pt idx="953">
                  <c:v>0.65</c:v>
                </c:pt>
                <c:pt idx="954">
                  <c:v>0.66</c:v>
                </c:pt>
                <c:pt idx="955">
                  <c:v>0.94</c:v>
                </c:pt>
                <c:pt idx="956">
                  <c:v>0.92</c:v>
                </c:pt>
                <c:pt idx="957">
                  <c:v>0.92</c:v>
                </c:pt>
                <c:pt idx="958">
                  <c:v>0.9</c:v>
                </c:pt>
                <c:pt idx="959">
                  <c:v>0.68</c:v>
                </c:pt>
                <c:pt idx="960">
                  <c:v>0.68</c:v>
                </c:pt>
                <c:pt idx="961">
                  <c:v>0.98</c:v>
                </c:pt>
                <c:pt idx="962">
                  <c:v>0.99</c:v>
                </c:pt>
                <c:pt idx="963">
                  <c:v>0.75</c:v>
                </c:pt>
                <c:pt idx="964">
                  <c:v>0.83</c:v>
                </c:pt>
                <c:pt idx="965">
                  <c:v>1.18</c:v>
                </c:pt>
                <c:pt idx="966">
                  <c:v>0.83</c:v>
                </c:pt>
                <c:pt idx="967">
                  <c:v>0.83</c:v>
                </c:pt>
                <c:pt idx="968">
                  <c:v>0.83</c:v>
                </c:pt>
                <c:pt idx="969">
                  <c:v>1.1599999999999999</c:v>
                </c:pt>
                <c:pt idx="970">
                  <c:v>1.02</c:v>
                </c:pt>
                <c:pt idx="971">
                  <c:v>0.91</c:v>
                </c:pt>
                <c:pt idx="972">
                  <c:v>0.99</c:v>
                </c:pt>
                <c:pt idx="973">
                  <c:v>0.71</c:v>
                </c:pt>
                <c:pt idx="974">
                  <c:v>0.96</c:v>
                </c:pt>
                <c:pt idx="975">
                  <c:v>0.96</c:v>
                </c:pt>
                <c:pt idx="976">
                  <c:v>0.89</c:v>
                </c:pt>
                <c:pt idx="977">
                  <c:v>0.93</c:v>
                </c:pt>
                <c:pt idx="978">
                  <c:v>0.93</c:v>
                </c:pt>
                <c:pt idx="979">
                  <c:v>0.88</c:v>
                </c:pt>
                <c:pt idx="980">
                  <c:v>0.7</c:v>
                </c:pt>
                <c:pt idx="981">
                  <c:v>1.0900000000000001</c:v>
                </c:pt>
                <c:pt idx="982">
                  <c:v>0.94</c:v>
                </c:pt>
                <c:pt idx="983">
                  <c:v>1.21</c:v>
                </c:pt>
                <c:pt idx="984">
                  <c:v>0.95</c:v>
                </c:pt>
                <c:pt idx="985">
                  <c:v>0.82</c:v>
                </c:pt>
                <c:pt idx="986">
                  <c:v>0.36</c:v>
                </c:pt>
                <c:pt idx="987">
                  <c:v>0.36</c:v>
                </c:pt>
                <c:pt idx="988">
                  <c:v>0.72</c:v>
                </c:pt>
                <c:pt idx="989">
                  <c:v>0.99</c:v>
                </c:pt>
                <c:pt idx="990">
                  <c:v>0.88</c:v>
                </c:pt>
                <c:pt idx="991">
                  <c:v>0.93</c:v>
                </c:pt>
                <c:pt idx="992">
                  <c:v>0.93</c:v>
                </c:pt>
                <c:pt idx="993">
                  <c:v>0.93</c:v>
                </c:pt>
                <c:pt idx="994">
                  <c:v>0.86</c:v>
                </c:pt>
                <c:pt idx="995">
                  <c:v>0.98</c:v>
                </c:pt>
                <c:pt idx="996">
                  <c:v>1.02</c:v>
                </c:pt>
                <c:pt idx="997">
                  <c:v>0.98</c:v>
                </c:pt>
                <c:pt idx="998">
                  <c:v>0.98</c:v>
                </c:pt>
                <c:pt idx="999">
                  <c:v>0.98</c:v>
                </c:pt>
                <c:pt idx="1000">
                  <c:v>0.98</c:v>
                </c:pt>
                <c:pt idx="1001">
                  <c:v>1.06</c:v>
                </c:pt>
                <c:pt idx="1002">
                  <c:v>1.06</c:v>
                </c:pt>
                <c:pt idx="1003">
                  <c:v>0.94</c:v>
                </c:pt>
                <c:pt idx="1004">
                  <c:v>0.94</c:v>
                </c:pt>
                <c:pt idx="1005">
                  <c:v>0.93</c:v>
                </c:pt>
                <c:pt idx="1006">
                  <c:v>0.93</c:v>
                </c:pt>
                <c:pt idx="1007">
                  <c:v>0.93</c:v>
                </c:pt>
                <c:pt idx="1008">
                  <c:v>0.9</c:v>
                </c:pt>
                <c:pt idx="1009">
                  <c:v>0.9</c:v>
                </c:pt>
                <c:pt idx="1010">
                  <c:v>0.9</c:v>
                </c:pt>
                <c:pt idx="1011">
                  <c:v>0.9</c:v>
                </c:pt>
                <c:pt idx="1012">
                  <c:v>1.01</c:v>
                </c:pt>
                <c:pt idx="1013">
                  <c:v>1.1100000000000001</c:v>
                </c:pt>
                <c:pt idx="1014">
                  <c:v>0.94</c:v>
                </c:pt>
                <c:pt idx="1015">
                  <c:v>0.94</c:v>
                </c:pt>
                <c:pt idx="1016">
                  <c:v>1.1599999999999999</c:v>
                </c:pt>
                <c:pt idx="1017">
                  <c:v>1</c:v>
                </c:pt>
                <c:pt idx="1018">
                  <c:v>0.84</c:v>
                </c:pt>
                <c:pt idx="1019">
                  <c:v>0.73</c:v>
                </c:pt>
                <c:pt idx="1020">
                  <c:v>0.73</c:v>
                </c:pt>
                <c:pt idx="1021">
                  <c:v>0.86</c:v>
                </c:pt>
                <c:pt idx="1022">
                  <c:v>0.96</c:v>
                </c:pt>
                <c:pt idx="1023">
                  <c:v>0.96</c:v>
                </c:pt>
                <c:pt idx="1024">
                  <c:v>0.97</c:v>
                </c:pt>
                <c:pt idx="1025">
                  <c:v>0.79</c:v>
                </c:pt>
                <c:pt idx="1026">
                  <c:v>1.01</c:v>
                </c:pt>
                <c:pt idx="1027">
                  <c:v>0.95</c:v>
                </c:pt>
                <c:pt idx="1028">
                  <c:v>0.79</c:v>
                </c:pt>
                <c:pt idx="1029">
                  <c:v>0.94</c:v>
                </c:pt>
                <c:pt idx="1030">
                  <c:v>0.93</c:v>
                </c:pt>
                <c:pt idx="1031">
                  <c:v>0.74</c:v>
                </c:pt>
                <c:pt idx="1032">
                  <c:v>0.68</c:v>
                </c:pt>
                <c:pt idx="1033">
                  <c:v>0.68</c:v>
                </c:pt>
                <c:pt idx="1034">
                  <c:v>0.91</c:v>
                </c:pt>
                <c:pt idx="1035">
                  <c:v>0.88</c:v>
                </c:pt>
                <c:pt idx="1036">
                  <c:v>0.67</c:v>
                </c:pt>
                <c:pt idx="1037">
                  <c:v>1.07</c:v>
                </c:pt>
                <c:pt idx="1038">
                  <c:v>1.05</c:v>
                </c:pt>
                <c:pt idx="1039">
                  <c:v>1</c:v>
                </c:pt>
                <c:pt idx="1040">
                  <c:v>0.7</c:v>
                </c:pt>
                <c:pt idx="1041">
                  <c:v>1.1000000000000001</c:v>
                </c:pt>
                <c:pt idx="1042">
                  <c:v>1.05</c:v>
                </c:pt>
                <c:pt idx="1043">
                  <c:v>1.02</c:v>
                </c:pt>
                <c:pt idx="1044">
                  <c:v>1.02</c:v>
                </c:pt>
                <c:pt idx="1045">
                  <c:v>1.02</c:v>
                </c:pt>
                <c:pt idx="1046">
                  <c:v>0.6</c:v>
                </c:pt>
                <c:pt idx="1047">
                  <c:v>0.96</c:v>
                </c:pt>
                <c:pt idx="1048">
                  <c:v>1.01</c:v>
                </c:pt>
                <c:pt idx="1049">
                  <c:v>1</c:v>
                </c:pt>
                <c:pt idx="1050">
                  <c:v>1.06</c:v>
                </c:pt>
                <c:pt idx="1051">
                  <c:v>1.06</c:v>
                </c:pt>
                <c:pt idx="1052">
                  <c:v>0.91</c:v>
                </c:pt>
                <c:pt idx="1053">
                  <c:v>0.91</c:v>
                </c:pt>
                <c:pt idx="1054">
                  <c:v>1.27</c:v>
                </c:pt>
                <c:pt idx="1055">
                  <c:v>0.88</c:v>
                </c:pt>
                <c:pt idx="1056">
                  <c:v>0.95</c:v>
                </c:pt>
                <c:pt idx="1057">
                  <c:v>0.71</c:v>
                </c:pt>
                <c:pt idx="1058">
                  <c:v>0.87</c:v>
                </c:pt>
                <c:pt idx="1059">
                  <c:v>0.87</c:v>
                </c:pt>
                <c:pt idx="1060">
                  <c:v>1.1100000000000001</c:v>
                </c:pt>
                <c:pt idx="1061">
                  <c:v>1.01</c:v>
                </c:pt>
                <c:pt idx="1062">
                  <c:v>1.19</c:v>
                </c:pt>
                <c:pt idx="1063">
                  <c:v>0.8</c:v>
                </c:pt>
                <c:pt idx="1064">
                  <c:v>0.8</c:v>
                </c:pt>
                <c:pt idx="1065">
                  <c:v>0.8</c:v>
                </c:pt>
                <c:pt idx="1066">
                  <c:v>1.23</c:v>
                </c:pt>
                <c:pt idx="1067">
                  <c:v>1.19</c:v>
                </c:pt>
                <c:pt idx="1068">
                  <c:v>0.4</c:v>
                </c:pt>
                <c:pt idx="1069">
                  <c:v>0.4</c:v>
                </c:pt>
                <c:pt idx="1070">
                  <c:v>0.4</c:v>
                </c:pt>
                <c:pt idx="1071">
                  <c:v>1.07</c:v>
                </c:pt>
                <c:pt idx="1072">
                  <c:v>1.07</c:v>
                </c:pt>
                <c:pt idx="1073">
                  <c:v>0.57999999999999996</c:v>
                </c:pt>
                <c:pt idx="1074">
                  <c:v>0.57999999999999996</c:v>
                </c:pt>
                <c:pt idx="1075">
                  <c:v>0.71</c:v>
                </c:pt>
                <c:pt idx="1076">
                  <c:v>0.38</c:v>
                </c:pt>
                <c:pt idx="1077">
                  <c:v>1.29</c:v>
                </c:pt>
                <c:pt idx="1078">
                  <c:v>1.29</c:v>
                </c:pt>
                <c:pt idx="1079">
                  <c:v>0.86</c:v>
                </c:pt>
                <c:pt idx="1080">
                  <c:v>0.83</c:v>
                </c:pt>
                <c:pt idx="1081">
                  <c:v>0.87</c:v>
                </c:pt>
                <c:pt idx="1082">
                  <c:v>0.74</c:v>
                </c:pt>
                <c:pt idx="1083">
                  <c:v>0.74</c:v>
                </c:pt>
                <c:pt idx="1084">
                  <c:v>0.88</c:v>
                </c:pt>
                <c:pt idx="1085">
                  <c:v>1.32</c:v>
                </c:pt>
                <c:pt idx="1086">
                  <c:v>0.28999999999999998</c:v>
                </c:pt>
                <c:pt idx="1087">
                  <c:v>0.8</c:v>
                </c:pt>
                <c:pt idx="1088">
                  <c:v>0.52</c:v>
                </c:pt>
                <c:pt idx="1089">
                  <c:v>0.79</c:v>
                </c:pt>
                <c:pt idx="1090">
                  <c:v>1.08</c:v>
                </c:pt>
                <c:pt idx="1091">
                  <c:v>0.71</c:v>
                </c:pt>
                <c:pt idx="1092">
                  <c:v>0.71</c:v>
                </c:pt>
                <c:pt idx="1093">
                  <c:v>0.71</c:v>
                </c:pt>
                <c:pt idx="1094">
                  <c:v>0.84</c:v>
                </c:pt>
                <c:pt idx="1095">
                  <c:v>0.52</c:v>
                </c:pt>
                <c:pt idx="1096">
                  <c:v>1.21</c:v>
                </c:pt>
                <c:pt idx="1097">
                  <c:v>1.1399999999999999</c:v>
                </c:pt>
                <c:pt idx="1098">
                  <c:v>0.56000000000000005</c:v>
                </c:pt>
                <c:pt idx="1099">
                  <c:v>1.39</c:v>
                </c:pt>
                <c:pt idx="1100">
                  <c:v>1.1000000000000001</c:v>
                </c:pt>
                <c:pt idx="1101">
                  <c:v>0.88</c:v>
                </c:pt>
                <c:pt idx="1102">
                  <c:v>0.5</c:v>
                </c:pt>
                <c:pt idx="1103">
                  <c:v>0.5</c:v>
                </c:pt>
                <c:pt idx="1104">
                  <c:v>0.92</c:v>
                </c:pt>
                <c:pt idx="1105">
                  <c:v>0.69</c:v>
                </c:pt>
                <c:pt idx="1106">
                  <c:v>0.69</c:v>
                </c:pt>
                <c:pt idx="1107">
                  <c:v>0.69</c:v>
                </c:pt>
                <c:pt idx="1108">
                  <c:v>0.69</c:v>
                </c:pt>
                <c:pt idx="1109">
                  <c:v>0.84</c:v>
                </c:pt>
                <c:pt idx="1110">
                  <c:v>0.84</c:v>
                </c:pt>
                <c:pt idx="1111">
                  <c:v>1.1599999999999999</c:v>
                </c:pt>
                <c:pt idx="1112">
                  <c:v>0.87</c:v>
                </c:pt>
                <c:pt idx="1113">
                  <c:v>0.85</c:v>
                </c:pt>
                <c:pt idx="1114">
                  <c:v>0.85</c:v>
                </c:pt>
                <c:pt idx="1115">
                  <c:v>0.83</c:v>
                </c:pt>
                <c:pt idx="1116">
                  <c:v>0.81</c:v>
                </c:pt>
                <c:pt idx="1117">
                  <c:v>0.9</c:v>
                </c:pt>
                <c:pt idx="1118">
                  <c:v>0.81</c:v>
                </c:pt>
                <c:pt idx="1119">
                  <c:v>0.79</c:v>
                </c:pt>
                <c:pt idx="1120">
                  <c:v>0.79</c:v>
                </c:pt>
                <c:pt idx="1121">
                  <c:v>0.82</c:v>
                </c:pt>
                <c:pt idx="1122">
                  <c:v>1.02</c:v>
                </c:pt>
                <c:pt idx="1123">
                  <c:v>1.4</c:v>
                </c:pt>
                <c:pt idx="1124">
                  <c:v>0.79</c:v>
                </c:pt>
                <c:pt idx="1125">
                  <c:v>0.26</c:v>
                </c:pt>
                <c:pt idx="1126">
                  <c:v>1.1100000000000001</c:v>
                </c:pt>
                <c:pt idx="1127">
                  <c:v>0.82</c:v>
                </c:pt>
                <c:pt idx="1128">
                  <c:v>0.95</c:v>
                </c:pt>
                <c:pt idx="1129">
                  <c:v>0.89</c:v>
                </c:pt>
                <c:pt idx="1130">
                  <c:v>0.63</c:v>
                </c:pt>
                <c:pt idx="1131">
                  <c:v>0.83</c:v>
                </c:pt>
                <c:pt idx="1132">
                  <c:v>0.83</c:v>
                </c:pt>
                <c:pt idx="1133">
                  <c:v>0.83</c:v>
                </c:pt>
                <c:pt idx="1134">
                  <c:v>0.83</c:v>
                </c:pt>
                <c:pt idx="1135">
                  <c:v>0.64</c:v>
                </c:pt>
                <c:pt idx="1136">
                  <c:v>1.06</c:v>
                </c:pt>
                <c:pt idx="1137">
                  <c:v>0.33</c:v>
                </c:pt>
                <c:pt idx="1138">
                  <c:v>0.95</c:v>
                </c:pt>
                <c:pt idx="1139">
                  <c:v>0.94</c:v>
                </c:pt>
                <c:pt idx="1140">
                  <c:v>1.19</c:v>
                </c:pt>
                <c:pt idx="1141">
                  <c:v>1.19</c:v>
                </c:pt>
                <c:pt idx="1142">
                  <c:v>0.93</c:v>
                </c:pt>
                <c:pt idx="1143">
                  <c:v>0.96</c:v>
                </c:pt>
                <c:pt idx="1144">
                  <c:v>0.99</c:v>
                </c:pt>
                <c:pt idx="1145">
                  <c:v>0.74</c:v>
                </c:pt>
                <c:pt idx="1146">
                  <c:v>0.6</c:v>
                </c:pt>
                <c:pt idx="1147">
                  <c:v>0.6</c:v>
                </c:pt>
                <c:pt idx="1148">
                  <c:v>0.6</c:v>
                </c:pt>
                <c:pt idx="1149">
                  <c:v>0.9</c:v>
                </c:pt>
                <c:pt idx="1150">
                  <c:v>0.91</c:v>
                </c:pt>
                <c:pt idx="1151">
                  <c:v>0.86</c:v>
                </c:pt>
                <c:pt idx="1152">
                  <c:v>0.86</c:v>
                </c:pt>
                <c:pt idx="1153">
                  <c:v>0.86</c:v>
                </c:pt>
                <c:pt idx="1154">
                  <c:v>0.56000000000000005</c:v>
                </c:pt>
                <c:pt idx="1155">
                  <c:v>1.1499999999999999</c:v>
                </c:pt>
                <c:pt idx="1156">
                  <c:v>0.7</c:v>
                </c:pt>
                <c:pt idx="1157">
                  <c:v>0.7</c:v>
                </c:pt>
                <c:pt idx="1158">
                  <c:v>0.8</c:v>
                </c:pt>
                <c:pt idx="1159">
                  <c:v>0.8</c:v>
                </c:pt>
                <c:pt idx="1160">
                  <c:v>0.9</c:v>
                </c:pt>
                <c:pt idx="1161">
                  <c:v>0.9</c:v>
                </c:pt>
                <c:pt idx="1162">
                  <c:v>0.9</c:v>
                </c:pt>
                <c:pt idx="1163">
                  <c:v>2.2400000000000002</c:v>
                </c:pt>
                <c:pt idx="1164">
                  <c:v>2.2400000000000002</c:v>
                </c:pt>
                <c:pt idx="1165">
                  <c:v>0.66</c:v>
                </c:pt>
                <c:pt idx="1166">
                  <c:v>0.64</c:v>
                </c:pt>
                <c:pt idx="1167">
                  <c:v>0.7</c:v>
                </c:pt>
                <c:pt idx="1168">
                  <c:v>0.6</c:v>
                </c:pt>
                <c:pt idx="1169">
                  <c:v>1.1499999999999999</c:v>
                </c:pt>
                <c:pt idx="1170">
                  <c:v>0.5</c:v>
                </c:pt>
                <c:pt idx="1171">
                  <c:v>0.96</c:v>
                </c:pt>
                <c:pt idx="1172">
                  <c:v>0.75</c:v>
                </c:pt>
                <c:pt idx="1173">
                  <c:v>0.77</c:v>
                </c:pt>
                <c:pt idx="1174">
                  <c:v>0.51</c:v>
                </c:pt>
                <c:pt idx="1175">
                  <c:v>0.61</c:v>
                </c:pt>
                <c:pt idx="1176">
                  <c:v>0.61</c:v>
                </c:pt>
                <c:pt idx="1177">
                  <c:v>0.61</c:v>
                </c:pt>
                <c:pt idx="1178">
                  <c:v>1.69</c:v>
                </c:pt>
                <c:pt idx="1179">
                  <c:v>0.85</c:v>
                </c:pt>
                <c:pt idx="1180">
                  <c:v>0.42</c:v>
                </c:pt>
                <c:pt idx="1181">
                  <c:v>0.7</c:v>
                </c:pt>
                <c:pt idx="1182">
                  <c:v>0.68</c:v>
                </c:pt>
                <c:pt idx="1183">
                  <c:v>0.89</c:v>
                </c:pt>
                <c:pt idx="1184">
                  <c:v>0.89</c:v>
                </c:pt>
                <c:pt idx="1185">
                  <c:v>0.89</c:v>
                </c:pt>
                <c:pt idx="1186">
                  <c:v>0.77</c:v>
                </c:pt>
                <c:pt idx="1187">
                  <c:v>0.77</c:v>
                </c:pt>
                <c:pt idx="1188">
                  <c:v>0.97</c:v>
                </c:pt>
                <c:pt idx="1189">
                  <c:v>0.97</c:v>
                </c:pt>
                <c:pt idx="1190">
                  <c:v>1.21</c:v>
                </c:pt>
                <c:pt idx="1191">
                  <c:v>0.77</c:v>
                </c:pt>
                <c:pt idx="1192">
                  <c:v>0.77</c:v>
                </c:pt>
                <c:pt idx="1193">
                  <c:v>1.4</c:v>
                </c:pt>
                <c:pt idx="1194">
                  <c:v>1.4</c:v>
                </c:pt>
                <c:pt idx="1195">
                  <c:v>0.74</c:v>
                </c:pt>
                <c:pt idx="1196">
                  <c:v>0.87</c:v>
                </c:pt>
                <c:pt idx="1197">
                  <c:v>1.1100000000000001</c:v>
                </c:pt>
                <c:pt idx="1198">
                  <c:v>0.73</c:v>
                </c:pt>
                <c:pt idx="1199">
                  <c:v>0.55000000000000004</c:v>
                </c:pt>
                <c:pt idx="1200">
                  <c:v>0.97</c:v>
                </c:pt>
                <c:pt idx="1201">
                  <c:v>0.94</c:v>
                </c:pt>
                <c:pt idx="1202">
                  <c:v>0.48</c:v>
                </c:pt>
                <c:pt idx="1203">
                  <c:v>0.27</c:v>
                </c:pt>
                <c:pt idx="1204">
                  <c:v>0.27</c:v>
                </c:pt>
                <c:pt idx="1205">
                  <c:v>0.27</c:v>
                </c:pt>
                <c:pt idx="1206">
                  <c:v>0.27</c:v>
                </c:pt>
                <c:pt idx="1207">
                  <c:v>1.05</c:v>
                </c:pt>
                <c:pt idx="1208">
                  <c:v>0.96</c:v>
                </c:pt>
                <c:pt idx="1209">
                  <c:v>1.1599999999999999</c:v>
                </c:pt>
                <c:pt idx="1210">
                  <c:v>1.1599999999999999</c:v>
                </c:pt>
                <c:pt idx="1211">
                  <c:v>0.8</c:v>
                </c:pt>
                <c:pt idx="1212">
                  <c:v>1.06</c:v>
                </c:pt>
                <c:pt idx="1213">
                  <c:v>0.78</c:v>
                </c:pt>
                <c:pt idx="1214">
                  <c:v>0.78</c:v>
                </c:pt>
                <c:pt idx="1215">
                  <c:v>0.9</c:v>
                </c:pt>
                <c:pt idx="1216">
                  <c:v>0.9</c:v>
                </c:pt>
                <c:pt idx="1217">
                  <c:v>0.9</c:v>
                </c:pt>
                <c:pt idx="1218">
                  <c:v>0.75</c:v>
                </c:pt>
                <c:pt idx="1219">
                  <c:v>0.48</c:v>
                </c:pt>
                <c:pt idx="1220">
                  <c:v>0.48</c:v>
                </c:pt>
                <c:pt idx="1221">
                  <c:v>0.95</c:v>
                </c:pt>
                <c:pt idx="1222">
                  <c:v>0.95</c:v>
                </c:pt>
                <c:pt idx="1223">
                  <c:v>0.56999999999999995</c:v>
                </c:pt>
                <c:pt idx="1224">
                  <c:v>0.79</c:v>
                </c:pt>
                <c:pt idx="1225">
                  <c:v>1.1599999999999999</c:v>
                </c:pt>
                <c:pt idx="1226">
                  <c:v>0.26</c:v>
                </c:pt>
                <c:pt idx="1227">
                  <c:v>0.35</c:v>
                </c:pt>
                <c:pt idx="1228">
                  <c:v>0.3</c:v>
                </c:pt>
                <c:pt idx="1229">
                  <c:v>0.63</c:v>
                </c:pt>
                <c:pt idx="1230">
                  <c:v>0.63</c:v>
                </c:pt>
                <c:pt idx="1231">
                  <c:v>0.28999999999999998</c:v>
                </c:pt>
                <c:pt idx="1232">
                  <c:v>0.44</c:v>
                </c:pt>
                <c:pt idx="1233">
                  <c:v>1.2</c:v>
                </c:pt>
                <c:pt idx="1234">
                  <c:v>1.2</c:v>
                </c:pt>
                <c:pt idx="1235">
                  <c:v>1.63</c:v>
                </c:pt>
                <c:pt idx="1236">
                  <c:v>1.32</c:v>
                </c:pt>
                <c:pt idx="1237">
                  <c:v>1.1100000000000001</c:v>
                </c:pt>
                <c:pt idx="1238">
                  <c:v>1.44</c:v>
                </c:pt>
                <c:pt idx="1239">
                  <c:v>1.59</c:v>
                </c:pt>
                <c:pt idx="1240">
                  <c:v>1.24</c:v>
                </c:pt>
                <c:pt idx="1241">
                  <c:v>2.06</c:v>
                </c:pt>
                <c:pt idx="1242">
                  <c:v>1.21</c:v>
                </c:pt>
                <c:pt idx="1243">
                  <c:v>1.64</c:v>
                </c:pt>
                <c:pt idx="1244">
                  <c:v>1.52</c:v>
                </c:pt>
                <c:pt idx="1245">
                  <c:v>1.62</c:v>
                </c:pt>
                <c:pt idx="1246">
                  <c:v>1.54</c:v>
                </c:pt>
                <c:pt idx="1247">
                  <c:v>1.76</c:v>
                </c:pt>
                <c:pt idx="1248">
                  <c:v>1.46</c:v>
                </c:pt>
                <c:pt idx="1249">
                  <c:v>1.96</c:v>
                </c:pt>
                <c:pt idx="1250">
                  <c:v>1.2</c:v>
                </c:pt>
                <c:pt idx="1251">
                  <c:v>1.42</c:v>
                </c:pt>
                <c:pt idx="1252">
                  <c:v>1.42</c:v>
                </c:pt>
                <c:pt idx="1253">
                  <c:v>1.76</c:v>
                </c:pt>
                <c:pt idx="1254">
                  <c:v>0.81</c:v>
                </c:pt>
                <c:pt idx="1255">
                  <c:v>2.52</c:v>
                </c:pt>
                <c:pt idx="1259">
                  <c:v>1.01</c:v>
                </c:pt>
                <c:pt idx="1260">
                  <c:v>0.98</c:v>
                </c:pt>
                <c:pt idx="1261">
                  <c:v>1.07</c:v>
                </c:pt>
                <c:pt idx="1262">
                  <c:v>0.98</c:v>
                </c:pt>
                <c:pt idx="1263">
                  <c:v>1.63</c:v>
                </c:pt>
                <c:pt idx="1264">
                  <c:v>1.04</c:v>
                </c:pt>
                <c:pt idx="1265">
                  <c:v>1.04</c:v>
                </c:pt>
                <c:pt idx="1266">
                  <c:v>0.98</c:v>
                </c:pt>
                <c:pt idx="1267">
                  <c:v>0.09</c:v>
                </c:pt>
                <c:pt idx="1268">
                  <c:v>0.45</c:v>
                </c:pt>
                <c:pt idx="1269">
                  <c:v>0.04</c:v>
                </c:pt>
                <c:pt idx="1270">
                  <c:v>7.0000000000000007E-2</c:v>
                </c:pt>
                <c:pt idx="1271">
                  <c:v>0.37</c:v>
                </c:pt>
                <c:pt idx="1272">
                  <c:v>0.33</c:v>
                </c:pt>
                <c:pt idx="1273">
                  <c:v>1.82</c:v>
                </c:pt>
                <c:pt idx="1274">
                  <c:v>0.99</c:v>
                </c:pt>
                <c:pt idx="1275">
                  <c:v>1.72</c:v>
                </c:pt>
                <c:pt idx="1276">
                  <c:v>0.96</c:v>
                </c:pt>
                <c:pt idx="1277">
                  <c:v>0.96</c:v>
                </c:pt>
                <c:pt idx="1278">
                  <c:v>1.02</c:v>
                </c:pt>
                <c:pt idx="1279">
                  <c:v>1.02</c:v>
                </c:pt>
                <c:pt idx="1280">
                  <c:v>0.95</c:v>
                </c:pt>
                <c:pt idx="1281">
                  <c:v>1.2</c:v>
                </c:pt>
                <c:pt idx="1282">
                  <c:v>1.2</c:v>
                </c:pt>
                <c:pt idx="1283">
                  <c:v>1.2</c:v>
                </c:pt>
                <c:pt idx="1284">
                  <c:v>1.2</c:v>
                </c:pt>
                <c:pt idx="1285">
                  <c:v>1.2</c:v>
                </c:pt>
                <c:pt idx="1286">
                  <c:v>1.2</c:v>
                </c:pt>
                <c:pt idx="1287">
                  <c:v>1.2</c:v>
                </c:pt>
                <c:pt idx="1288">
                  <c:v>1.2</c:v>
                </c:pt>
                <c:pt idx="1289">
                  <c:v>1.01</c:v>
                </c:pt>
                <c:pt idx="1290">
                  <c:v>0.5</c:v>
                </c:pt>
                <c:pt idx="1291">
                  <c:v>0.5</c:v>
                </c:pt>
                <c:pt idx="1292">
                  <c:v>1.28</c:v>
                </c:pt>
                <c:pt idx="1293">
                  <c:v>1.28</c:v>
                </c:pt>
                <c:pt idx="1294">
                  <c:v>1.28</c:v>
                </c:pt>
                <c:pt idx="1295">
                  <c:v>1.28</c:v>
                </c:pt>
                <c:pt idx="1296">
                  <c:v>0.89</c:v>
                </c:pt>
                <c:pt idx="1297">
                  <c:v>0.28000000000000003</c:v>
                </c:pt>
                <c:pt idx="1298">
                  <c:v>0.91</c:v>
                </c:pt>
                <c:pt idx="1299">
                  <c:v>0.91</c:v>
                </c:pt>
                <c:pt idx="1300">
                  <c:v>1.08</c:v>
                </c:pt>
                <c:pt idx="1301">
                  <c:v>1.08</c:v>
                </c:pt>
                <c:pt idx="1302">
                  <c:v>1.08</c:v>
                </c:pt>
                <c:pt idx="1303">
                  <c:v>1.4</c:v>
                </c:pt>
                <c:pt idx="1304">
                  <c:v>0.9</c:v>
                </c:pt>
                <c:pt idx="1305">
                  <c:v>1.22</c:v>
                </c:pt>
                <c:pt idx="1306">
                  <c:v>1.1100000000000001</c:v>
                </c:pt>
                <c:pt idx="1307">
                  <c:v>1.1100000000000001</c:v>
                </c:pt>
                <c:pt idx="1308">
                  <c:v>1</c:v>
                </c:pt>
                <c:pt idx="1309">
                  <c:v>0.78</c:v>
                </c:pt>
                <c:pt idx="1310">
                  <c:v>0.73</c:v>
                </c:pt>
                <c:pt idx="1311">
                  <c:v>0.81</c:v>
                </c:pt>
                <c:pt idx="1312">
                  <c:v>0.59</c:v>
                </c:pt>
                <c:pt idx="1313">
                  <c:v>1.17</c:v>
                </c:pt>
                <c:pt idx="1314">
                  <c:v>1.17</c:v>
                </c:pt>
                <c:pt idx="1315">
                  <c:v>0.86</c:v>
                </c:pt>
                <c:pt idx="1316">
                  <c:v>0.91</c:v>
                </c:pt>
                <c:pt idx="1317">
                  <c:v>0.95</c:v>
                </c:pt>
                <c:pt idx="1318">
                  <c:v>0.81</c:v>
                </c:pt>
                <c:pt idx="1319">
                  <c:v>0.88</c:v>
                </c:pt>
                <c:pt idx="1320">
                  <c:v>1.49</c:v>
                </c:pt>
                <c:pt idx="1321">
                  <c:v>0.99</c:v>
                </c:pt>
                <c:pt idx="1322">
                  <c:v>0.99</c:v>
                </c:pt>
                <c:pt idx="1323">
                  <c:v>0.93</c:v>
                </c:pt>
                <c:pt idx="1324">
                  <c:v>0.91</c:v>
                </c:pt>
                <c:pt idx="1325">
                  <c:v>0.7</c:v>
                </c:pt>
                <c:pt idx="1326">
                  <c:v>0.81</c:v>
                </c:pt>
                <c:pt idx="1327">
                  <c:v>0.81</c:v>
                </c:pt>
                <c:pt idx="1328">
                  <c:v>0.81</c:v>
                </c:pt>
                <c:pt idx="1329">
                  <c:v>0.81</c:v>
                </c:pt>
                <c:pt idx="1330">
                  <c:v>0.81</c:v>
                </c:pt>
                <c:pt idx="1331">
                  <c:v>0.87</c:v>
                </c:pt>
                <c:pt idx="1332">
                  <c:v>0.89</c:v>
                </c:pt>
                <c:pt idx="1333">
                  <c:v>0.71</c:v>
                </c:pt>
                <c:pt idx="1334">
                  <c:v>0.93</c:v>
                </c:pt>
                <c:pt idx="1335">
                  <c:v>0.81</c:v>
                </c:pt>
                <c:pt idx="1336">
                  <c:v>1.0900000000000001</c:v>
                </c:pt>
                <c:pt idx="1337">
                  <c:v>0.79</c:v>
                </c:pt>
                <c:pt idx="1338">
                  <c:v>0.91</c:v>
                </c:pt>
                <c:pt idx="1339">
                  <c:v>0.9</c:v>
                </c:pt>
                <c:pt idx="1340">
                  <c:v>0.82</c:v>
                </c:pt>
                <c:pt idx="1341">
                  <c:v>1.0900000000000001</c:v>
                </c:pt>
                <c:pt idx="1342">
                  <c:v>1.0900000000000001</c:v>
                </c:pt>
                <c:pt idx="1343">
                  <c:v>0.8</c:v>
                </c:pt>
                <c:pt idx="1344">
                  <c:v>1.0900000000000001</c:v>
                </c:pt>
                <c:pt idx="1345">
                  <c:v>0.77</c:v>
                </c:pt>
                <c:pt idx="1346">
                  <c:v>0.94</c:v>
                </c:pt>
                <c:pt idx="1347">
                  <c:v>0.83</c:v>
                </c:pt>
                <c:pt idx="1348">
                  <c:v>0.98</c:v>
                </c:pt>
                <c:pt idx="1349">
                  <c:v>0.95</c:v>
                </c:pt>
                <c:pt idx="1350">
                  <c:v>0.82</c:v>
                </c:pt>
                <c:pt idx="1351">
                  <c:v>0.87</c:v>
                </c:pt>
                <c:pt idx="1352">
                  <c:v>0.79</c:v>
                </c:pt>
                <c:pt idx="1356">
                  <c:v>0.98</c:v>
                </c:pt>
                <c:pt idx="1357">
                  <c:v>1.06</c:v>
                </c:pt>
                <c:pt idx="1358">
                  <c:v>0.75</c:v>
                </c:pt>
                <c:pt idx="1359">
                  <c:v>0.92</c:v>
                </c:pt>
                <c:pt idx="1360">
                  <c:v>1.08</c:v>
                </c:pt>
                <c:pt idx="1361">
                  <c:v>0.86</c:v>
                </c:pt>
                <c:pt idx="1362">
                  <c:v>1.04</c:v>
                </c:pt>
                <c:pt idx="1363">
                  <c:v>1.08</c:v>
                </c:pt>
                <c:pt idx="1364">
                  <c:v>1.08</c:v>
                </c:pt>
                <c:pt idx="1365">
                  <c:v>0.75</c:v>
                </c:pt>
                <c:pt idx="1366">
                  <c:v>0.51</c:v>
                </c:pt>
                <c:pt idx="1367">
                  <c:v>0.96</c:v>
                </c:pt>
                <c:pt idx="1368">
                  <c:v>0.96</c:v>
                </c:pt>
                <c:pt idx="1369">
                  <c:v>1.0900000000000001</c:v>
                </c:pt>
                <c:pt idx="1370">
                  <c:v>1.0900000000000001</c:v>
                </c:pt>
                <c:pt idx="1371">
                  <c:v>1.43</c:v>
                </c:pt>
                <c:pt idx="1372">
                  <c:v>1.03</c:v>
                </c:pt>
                <c:pt idx="1373">
                  <c:v>0.74</c:v>
                </c:pt>
                <c:pt idx="1374">
                  <c:v>1.22</c:v>
                </c:pt>
                <c:pt idx="1375">
                  <c:v>0.98</c:v>
                </c:pt>
                <c:pt idx="1376">
                  <c:v>1.1200000000000001</c:v>
                </c:pt>
                <c:pt idx="1377">
                  <c:v>1.07</c:v>
                </c:pt>
                <c:pt idx="1378">
                  <c:v>0.73</c:v>
                </c:pt>
                <c:pt idx="1379">
                  <c:v>0.75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0.99</c:v>
                </c:pt>
                <c:pt idx="1385">
                  <c:v>1.0900000000000001</c:v>
                </c:pt>
                <c:pt idx="1386">
                  <c:v>0.75</c:v>
                </c:pt>
                <c:pt idx="1387">
                  <c:v>1.0900000000000001</c:v>
                </c:pt>
                <c:pt idx="1388">
                  <c:v>0.85</c:v>
                </c:pt>
                <c:pt idx="1389">
                  <c:v>0.94</c:v>
                </c:pt>
                <c:pt idx="1390">
                  <c:v>0.94</c:v>
                </c:pt>
                <c:pt idx="1391">
                  <c:v>0.98</c:v>
                </c:pt>
                <c:pt idx="1392">
                  <c:v>0.95</c:v>
                </c:pt>
                <c:pt idx="1393">
                  <c:v>1.01</c:v>
                </c:pt>
                <c:pt idx="1394">
                  <c:v>0.99</c:v>
                </c:pt>
                <c:pt idx="1399">
                  <c:v>1.21</c:v>
                </c:pt>
                <c:pt idx="1400">
                  <c:v>0.86</c:v>
                </c:pt>
                <c:pt idx="1401">
                  <c:v>1.2</c:v>
                </c:pt>
                <c:pt idx="1402">
                  <c:v>1</c:v>
                </c:pt>
                <c:pt idx="1403">
                  <c:v>1</c:v>
                </c:pt>
                <c:pt idx="1404">
                  <c:v>0.6</c:v>
                </c:pt>
                <c:pt idx="1405">
                  <c:v>0.56000000000000005</c:v>
                </c:pt>
                <c:pt idx="1406">
                  <c:v>0.79</c:v>
                </c:pt>
                <c:pt idx="1407">
                  <c:v>1.02</c:v>
                </c:pt>
                <c:pt idx="1408">
                  <c:v>0.94</c:v>
                </c:pt>
                <c:pt idx="1409">
                  <c:v>1.08</c:v>
                </c:pt>
                <c:pt idx="1412">
                  <c:v>1.1000000000000001</c:v>
                </c:pt>
                <c:pt idx="1413">
                  <c:v>0.88</c:v>
                </c:pt>
                <c:pt idx="1414">
                  <c:v>1.03</c:v>
                </c:pt>
                <c:pt idx="1415">
                  <c:v>0.81</c:v>
                </c:pt>
                <c:pt idx="1416">
                  <c:v>1.1200000000000001</c:v>
                </c:pt>
                <c:pt idx="1417">
                  <c:v>1.1100000000000001</c:v>
                </c:pt>
                <c:pt idx="1418">
                  <c:v>0.7</c:v>
                </c:pt>
                <c:pt idx="1419">
                  <c:v>0.7</c:v>
                </c:pt>
                <c:pt idx="1420">
                  <c:v>0.96</c:v>
                </c:pt>
                <c:pt idx="1421">
                  <c:v>1.08</c:v>
                </c:pt>
                <c:pt idx="1422">
                  <c:v>0.52</c:v>
                </c:pt>
                <c:pt idx="1423">
                  <c:v>1.04</c:v>
                </c:pt>
                <c:pt idx="1424">
                  <c:v>1.04</c:v>
                </c:pt>
                <c:pt idx="1425">
                  <c:v>0.86</c:v>
                </c:pt>
                <c:pt idx="1426">
                  <c:v>1.01</c:v>
                </c:pt>
                <c:pt idx="1427">
                  <c:v>0.99</c:v>
                </c:pt>
                <c:pt idx="1428">
                  <c:v>1.1299999999999999</c:v>
                </c:pt>
                <c:pt idx="1429">
                  <c:v>1.1299999999999999</c:v>
                </c:pt>
                <c:pt idx="1430">
                  <c:v>1.1399999999999999</c:v>
                </c:pt>
                <c:pt idx="1431">
                  <c:v>0.94</c:v>
                </c:pt>
                <c:pt idx="1432">
                  <c:v>0.66</c:v>
                </c:pt>
                <c:pt idx="1433">
                  <c:v>0.82</c:v>
                </c:pt>
                <c:pt idx="1434">
                  <c:v>0.99</c:v>
                </c:pt>
                <c:pt idx="1435">
                  <c:v>1.01</c:v>
                </c:pt>
                <c:pt idx="1436">
                  <c:v>0.96</c:v>
                </c:pt>
                <c:pt idx="1437">
                  <c:v>0.96</c:v>
                </c:pt>
                <c:pt idx="1438">
                  <c:v>0.96</c:v>
                </c:pt>
                <c:pt idx="1439">
                  <c:v>0.96</c:v>
                </c:pt>
                <c:pt idx="1440">
                  <c:v>0.96</c:v>
                </c:pt>
                <c:pt idx="1441">
                  <c:v>0.96</c:v>
                </c:pt>
                <c:pt idx="1444">
                  <c:v>1.21</c:v>
                </c:pt>
                <c:pt idx="1445">
                  <c:v>0.94</c:v>
                </c:pt>
                <c:pt idx="1446">
                  <c:v>0.96</c:v>
                </c:pt>
                <c:pt idx="1447">
                  <c:v>1.1100000000000001</c:v>
                </c:pt>
                <c:pt idx="1448">
                  <c:v>1.3</c:v>
                </c:pt>
                <c:pt idx="1449">
                  <c:v>0.71</c:v>
                </c:pt>
                <c:pt idx="1450">
                  <c:v>1.1100000000000001</c:v>
                </c:pt>
                <c:pt idx="1451">
                  <c:v>0.86</c:v>
                </c:pt>
                <c:pt idx="1452">
                  <c:v>0.88</c:v>
                </c:pt>
                <c:pt idx="1453">
                  <c:v>1.05</c:v>
                </c:pt>
                <c:pt idx="1456">
                  <c:v>0.73</c:v>
                </c:pt>
                <c:pt idx="1457">
                  <c:v>1.1000000000000001</c:v>
                </c:pt>
                <c:pt idx="1458">
                  <c:v>1.34</c:v>
                </c:pt>
                <c:pt idx="1459">
                  <c:v>1.1200000000000001</c:v>
                </c:pt>
                <c:pt idx="1460">
                  <c:v>0.87</c:v>
                </c:pt>
                <c:pt idx="1461">
                  <c:v>1.6</c:v>
                </c:pt>
                <c:pt idx="1462">
                  <c:v>0.95</c:v>
                </c:pt>
                <c:pt idx="1463">
                  <c:v>0.95</c:v>
                </c:pt>
                <c:pt idx="1464">
                  <c:v>0.96</c:v>
                </c:pt>
                <c:pt idx="1465">
                  <c:v>1.1100000000000001</c:v>
                </c:pt>
                <c:pt idx="1468">
                  <c:v>0.78</c:v>
                </c:pt>
                <c:pt idx="1469">
                  <c:v>1.29</c:v>
                </c:pt>
                <c:pt idx="1470">
                  <c:v>0.92</c:v>
                </c:pt>
                <c:pt idx="1471">
                  <c:v>0.93</c:v>
                </c:pt>
                <c:pt idx="1472">
                  <c:v>0.35</c:v>
                </c:pt>
                <c:pt idx="1473">
                  <c:v>0.95</c:v>
                </c:pt>
                <c:pt idx="1474">
                  <c:v>0.92</c:v>
                </c:pt>
                <c:pt idx="1475">
                  <c:v>0.97</c:v>
                </c:pt>
                <c:pt idx="1476">
                  <c:v>0.94</c:v>
                </c:pt>
                <c:pt idx="1477">
                  <c:v>1</c:v>
                </c:pt>
                <c:pt idx="1478">
                  <c:v>1</c:v>
                </c:pt>
                <c:pt idx="1479">
                  <c:v>0.75</c:v>
                </c:pt>
                <c:pt idx="1480">
                  <c:v>0.75</c:v>
                </c:pt>
                <c:pt idx="1481">
                  <c:v>0.9</c:v>
                </c:pt>
                <c:pt idx="1482">
                  <c:v>1.03</c:v>
                </c:pt>
                <c:pt idx="1483">
                  <c:v>0.87</c:v>
                </c:pt>
                <c:pt idx="1484">
                  <c:v>0.93</c:v>
                </c:pt>
                <c:pt idx="1485">
                  <c:v>0.84</c:v>
                </c:pt>
                <c:pt idx="1486">
                  <c:v>0.96</c:v>
                </c:pt>
                <c:pt idx="1487">
                  <c:v>0.72</c:v>
                </c:pt>
                <c:pt idx="1488">
                  <c:v>1.5</c:v>
                </c:pt>
                <c:pt idx="1489">
                  <c:v>0.95</c:v>
                </c:pt>
                <c:pt idx="1490">
                  <c:v>0.94</c:v>
                </c:pt>
                <c:pt idx="1494">
                  <c:v>0.76</c:v>
                </c:pt>
                <c:pt idx="1495">
                  <c:v>1.01</c:v>
                </c:pt>
                <c:pt idx="1496">
                  <c:v>0.97</c:v>
                </c:pt>
                <c:pt idx="1497">
                  <c:v>0.81</c:v>
                </c:pt>
                <c:pt idx="1498">
                  <c:v>0.81</c:v>
                </c:pt>
                <c:pt idx="1499">
                  <c:v>0.98</c:v>
                </c:pt>
                <c:pt idx="1500">
                  <c:v>0.79</c:v>
                </c:pt>
                <c:pt idx="1501">
                  <c:v>0.74</c:v>
                </c:pt>
                <c:pt idx="1502">
                  <c:v>1.0900000000000001</c:v>
                </c:pt>
                <c:pt idx="1503">
                  <c:v>0.81</c:v>
                </c:pt>
                <c:pt idx="1504">
                  <c:v>1.02</c:v>
                </c:pt>
                <c:pt idx="1507">
                  <c:v>0.76</c:v>
                </c:pt>
                <c:pt idx="1508">
                  <c:v>0.88</c:v>
                </c:pt>
                <c:pt idx="1509">
                  <c:v>0.55000000000000004</c:v>
                </c:pt>
                <c:pt idx="1510">
                  <c:v>0.91</c:v>
                </c:pt>
                <c:pt idx="1511">
                  <c:v>1.26</c:v>
                </c:pt>
                <c:pt idx="1512">
                  <c:v>1.26</c:v>
                </c:pt>
                <c:pt idx="1513">
                  <c:v>1.03</c:v>
                </c:pt>
                <c:pt idx="1514">
                  <c:v>1</c:v>
                </c:pt>
                <c:pt idx="1515">
                  <c:v>0.76</c:v>
                </c:pt>
                <c:pt idx="1516">
                  <c:v>1.41</c:v>
                </c:pt>
                <c:pt idx="1517">
                  <c:v>1.19</c:v>
                </c:pt>
                <c:pt idx="1520">
                  <c:v>0.92</c:v>
                </c:pt>
                <c:pt idx="1521">
                  <c:v>0.59</c:v>
                </c:pt>
                <c:pt idx="1522">
                  <c:v>0.89</c:v>
                </c:pt>
                <c:pt idx="1523">
                  <c:v>1.22</c:v>
                </c:pt>
                <c:pt idx="1524">
                  <c:v>0.85</c:v>
                </c:pt>
                <c:pt idx="1525">
                  <c:v>1.1299999999999999</c:v>
                </c:pt>
                <c:pt idx="1526">
                  <c:v>0.9</c:v>
                </c:pt>
                <c:pt idx="1527">
                  <c:v>0.79</c:v>
                </c:pt>
                <c:pt idx="1528">
                  <c:v>0.87</c:v>
                </c:pt>
                <c:pt idx="1529">
                  <c:v>1.24</c:v>
                </c:pt>
                <c:pt idx="1530">
                  <c:v>1.1299999999999999</c:v>
                </c:pt>
                <c:pt idx="1531">
                  <c:v>1.1299999999999999</c:v>
                </c:pt>
                <c:pt idx="1532">
                  <c:v>0.8</c:v>
                </c:pt>
                <c:pt idx="1533">
                  <c:v>1.58</c:v>
                </c:pt>
                <c:pt idx="1534">
                  <c:v>0.92</c:v>
                </c:pt>
                <c:pt idx="1535">
                  <c:v>0.86</c:v>
                </c:pt>
                <c:pt idx="1536">
                  <c:v>1.04</c:v>
                </c:pt>
                <c:pt idx="1537">
                  <c:v>0.9</c:v>
                </c:pt>
                <c:pt idx="1538">
                  <c:v>1.01</c:v>
                </c:pt>
                <c:pt idx="1539">
                  <c:v>0.98</c:v>
                </c:pt>
                <c:pt idx="1540">
                  <c:v>0.8</c:v>
                </c:pt>
                <c:pt idx="1541">
                  <c:v>0.84</c:v>
                </c:pt>
                <c:pt idx="1544">
                  <c:v>1.0900000000000001</c:v>
                </c:pt>
                <c:pt idx="1545">
                  <c:v>1.17</c:v>
                </c:pt>
                <c:pt idx="1546">
                  <c:v>1.04</c:v>
                </c:pt>
                <c:pt idx="1547">
                  <c:v>1</c:v>
                </c:pt>
                <c:pt idx="1548">
                  <c:v>1.05</c:v>
                </c:pt>
                <c:pt idx="1549">
                  <c:v>0.96</c:v>
                </c:pt>
                <c:pt idx="1550">
                  <c:v>0.95</c:v>
                </c:pt>
                <c:pt idx="1551">
                  <c:v>1.06</c:v>
                </c:pt>
                <c:pt idx="1552">
                  <c:v>1.04</c:v>
                </c:pt>
                <c:pt idx="1553">
                  <c:v>1.1100000000000001</c:v>
                </c:pt>
                <c:pt idx="1556">
                  <c:v>0.76</c:v>
                </c:pt>
                <c:pt idx="1557">
                  <c:v>0.85</c:v>
                </c:pt>
                <c:pt idx="1558">
                  <c:v>0.86</c:v>
                </c:pt>
                <c:pt idx="1559">
                  <c:v>1.08</c:v>
                </c:pt>
                <c:pt idx="1560">
                  <c:v>0.94</c:v>
                </c:pt>
                <c:pt idx="1561">
                  <c:v>0.74</c:v>
                </c:pt>
                <c:pt idx="1562">
                  <c:v>0.98</c:v>
                </c:pt>
                <c:pt idx="1563">
                  <c:v>0.78</c:v>
                </c:pt>
                <c:pt idx="1564">
                  <c:v>0.93</c:v>
                </c:pt>
                <c:pt idx="1565">
                  <c:v>0.94</c:v>
                </c:pt>
                <c:pt idx="1566">
                  <c:v>1.17</c:v>
                </c:pt>
                <c:pt idx="1569">
                  <c:v>0.74</c:v>
                </c:pt>
                <c:pt idx="1570">
                  <c:v>1.1499999999999999</c:v>
                </c:pt>
                <c:pt idx="1571">
                  <c:v>1.03</c:v>
                </c:pt>
                <c:pt idx="1572">
                  <c:v>0.64</c:v>
                </c:pt>
                <c:pt idx="1573">
                  <c:v>1.03</c:v>
                </c:pt>
                <c:pt idx="1574">
                  <c:v>0.84</c:v>
                </c:pt>
                <c:pt idx="1575">
                  <c:v>0.8</c:v>
                </c:pt>
                <c:pt idx="1576">
                  <c:v>1.06</c:v>
                </c:pt>
                <c:pt idx="1577">
                  <c:v>0.8</c:v>
                </c:pt>
                <c:pt idx="1578">
                  <c:v>1.23</c:v>
                </c:pt>
                <c:pt idx="1581">
                  <c:v>0.94</c:v>
                </c:pt>
                <c:pt idx="1582">
                  <c:v>0.96</c:v>
                </c:pt>
                <c:pt idx="1583">
                  <c:v>1.1000000000000001</c:v>
                </c:pt>
                <c:pt idx="1584">
                  <c:v>1.1399999999999999</c:v>
                </c:pt>
                <c:pt idx="1585">
                  <c:v>0.85</c:v>
                </c:pt>
                <c:pt idx="1586">
                  <c:v>0.95</c:v>
                </c:pt>
                <c:pt idx="1587">
                  <c:v>0.99</c:v>
                </c:pt>
                <c:pt idx="1588">
                  <c:v>1.06</c:v>
                </c:pt>
                <c:pt idx="1589">
                  <c:v>1.06</c:v>
                </c:pt>
                <c:pt idx="1590">
                  <c:v>1.25</c:v>
                </c:pt>
                <c:pt idx="1596">
                  <c:v>1</c:v>
                </c:pt>
                <c:pt idx="1597">
                  <c:v>0.87</c:v>
                </c:pt>
                <c:pt idx="1598">
                  <c:v>0.84</c:v>
                </c:pt>
                <c:pt idx="1599">
                  <c:v>0.8</c:v>
                </c:pt>
                <c:pt idx="1600">
                  <c:v>1.18</c:v>
                </c:pt>
                <c:pt idx="1601">
                  <c:v>1.1299999999999999</c:v>
                </c:pt>
                <c:pt idx="1602">
                  <c:v>1.02</c:v>
                </c:pt>
                <c:pt idx="1603">
                  <c:v>0.97</c:v>
                </c:pt>
                <c:pt idx="1604">
                  <c:v>0.78</c:v>
                </c:pt>
                <c:pt idx="1605">
                  <c:v>0.54</c:v>
                </c:pt>
                <c:pt idx="1608">
                  <c:v>1.06</c:v>
                </c:pt>
                <c:pt idx="1609">
                  <c:v>1.01</c:v>
                </c:pt>
                <c:pt idx="1610">
                  <c:v>0.92</c:v>
                </c:pt>
                <c:pt idx="1611">
                  <c:v>1.1599999999999999</c:v>
                </c:pt>
                <c:pt idx="1612">
                  <c:v>0.8</c:v>
                </c:pt>
                <c:pt idx="1613">
                  <c:v>0.93</c:v>
                </c:pt>
                <c:pt idx="1614">
                  <c:v>0.86</c:v>
                </c:pt>
                <c:pt idx="1615">
                  <c:v>0.94</c:v>
                </c:pt>
                <c:pt idx="1616">
                  <c:v>1.3</c:v>
                </c:pt>
                <c:pt idx="1617">
                  <c:v>1.4</c:v>
                </c:pt>
                <c:pt idx="1621">
                  <c:v>0.98</c:v>
                </c:pt>
                <c:pt idx="1622">
                  <c:v>0.84</c:v>
                </c:pt>
                <c:pt idx="1623">
                  <c:v>0.77</c:v>
                </c:pt>
                <c:pt idx="1624">
                  <c:v>0.96</c:v>
                </c:pt>
                <c:pt idx="1625">
                  <c:v>1.46</c:v>
                </c:pt>
                <c:pt idx="1626">
                  <c:v>0.86</c:v>
                </c:pt>
                <c:pt idx="1627">
                  <c:v>0.86</c:v>
                </c:pt>
                <c:pt idx="1628">
                  <c:v>0.73</c:v>
                </c:pt>
                <c:pt idx="1629">
                  <c:v>0.86</c:v>
                </c:pt>
                <c:pt idx="1630">
                  <c:v>1.21</c:v>
                </c:pt>
                <c:pt idx="1631">
                  <c:v>1.19</c:v>
                </c:pt>
                <c:pt idx="1634">
                  <c:v>0.99</c:v>
                </c:pt>
                <c:pt idx="1635">
                  <c:v>0.92</c:v>
                </c:pt>
                <c:pt idx="1636">
                  <c:v>1.06</c:v>
                </c:pt>
                <c:pt idx="1637">
                  <c:v>0.97</c:v>
                </c:pt>
                <c:pt idx="1638">
                  <c:v>0.78</c:v>
                </c:pt>
                <c:pt idx="1639">
                  <c:v>0.78</c:v>
                </c:pt>
                <c:pt idx="1640">
                  <c:v>0.78</c:v>
                </c:pt>
                <c:pt idx="1641">
                  <c:v>1.08</c:v>
                </c:pt>
                <c:pt idx="1642">
                  <c:v>1.17</c:v>
                </c:pt>
                <c:pt idx="1643">
                  <c:v>0.9</c:v>
                </c:pt>
                <c:pt idx="1644">
                  <c:v>0.99</c:v>
                </c:pt>
                <c:pt idx="1645">
                  <c:v>0.8</c:v>
                </c:pt>
                <c:pt idx="1649">
                  <c:v>1.06</c:v>
                </c:pt>
                <c:pt idx="1650">
                  <c:v>0.82</c:v>
                </c:pt>
                <c:pt idx="1651">
                  <c:v>0.99</c:v>
                </c:pt>
                <c:pt idx="1652">
                  <c:v>0.84</c:v>
                </c:pt>
                <c:pt idx="1653">
                  <c:v>0.99</c:v>
                </c:pt>
                <c:pt idx="1654">
                  <c:v>0.71</c:v>
                </c:pt>
                <c:pt idx="1655">
                  <c:v>0.8</c:v>
                </c:pt>
                <c:pt idx="1656">
                  <c:v>1.1499999999999999</c:v>
                </c:pt>
                <c:pt idx="1657">
                  <c:v>1.06</c:v>
                </c:pt>
                <c:pt idx="1658">
                  <c:v>1.1000000000000001</c:v>
                </c:pt>
                <c:pt idx="1662">
                  <c:v>1.28</c:v>
                </c:pt>
                <c:pt idx="1663">
                  <c:v>1.1299999999999999</c:v>
                </c:pt>
                <c:pt idx="1664">
                  <c:v>1.06</c:v>
                </c:pt>
                <c:pt idx="1665">
                  <c:v>0.94</c:v>
                </c:pt>
                <c:pt idx="1666">
                  <c:v>1.45</c:v>
                </c:pt>
                <c:pt idx="1667">
                  <c:v>1.23</c:v>
                </c:pt>
                <c:pt idx="1668">
                  <c:v>1.1399999999999999</c:v>
                </c:pt>
                <c:pt idx="1669">
                  <c:v>0.94</c:v>
                </c:pt>
                <c:pt idx="1670">
                  <c:v>1.1100000000000001</c:v>
                </c:pt>
                <c:pt idx="1671">
                  <c:v>1.21</c:v>
                </c:pt>
                <c:pt idx="1672">
                  <c:v>1.2</c:v>
                </c:pt>
                <c:pt idx="1673">
                  <c:v>1.2</c:v>
                </c:pt>
                <c:pt idx="1674">
                  <c:v>1.2</c:v>
                </c:pt>
                <c:pt idx="1675">
                  <c:v>0.87</c:v>
                </c:pt>
                <c:pt idx="1676">
                  <c:v>0.92</c:v>
                </c:pt>
                <c:pt idx="1677">
                  <c:v>1.1599999999999999</c:v>
                </c:pt>
                <c:pt idx="1678">
                  <c:v>0.84</c:v>
                </c:pt>
                <c:pt idx="1679">
                  <c:v>1.2</c:v>
                </c:pt>
                <c:pt idx="1680">
                  <c:v>1</c:v>
                </c:pt>
                <c:pt idx="1681">
                  <c:v>0.96</c:v>
                </c:pt>
                <c:pt idx="1682">
                  <c:v>1.2</c:v>
                </c:pt>
                <c:pt idx="1683">
                  <c:v>1.1000000000000001</c:v>
                </c:pt>
                <c:pt idx="1686">
                  <c:v>0.95</c:v>
                </c:pt>
                <c:pt idx="1687">
                  <c:v>0.84</c:v>
                </c:pt>
                <c:pt idx="1688">
                  <c:v>0.95</c:v>
                </c:pt>
                <c:pt idx="1689">
                  <c:v>1.18</c:v>
                </c:pt>
                <c:pt idx="1690">
                  <c:v>0.99</c:v>
                </c:pt>
                <c:pt idx="1691">
                  <c:v>0.92</c:v>
                </c:pt>
                <c:pt idx="1692">
                  <c:v>0.87</c:v>
                </c:pt>
                <c:pt idx="1693">
                  <c:v>0.99</c:v>
                </c:pt>
                <c:pt idx="1694">
                  <c:v>1.45</c:v>
                </c:pt>
                <c:pt idx="1695">
                  <c:v>0.94</c:v>
                </c:pt>
                <c:pt idx="1699">
                  <c:v>1.29</c:v>
                </c:pt>
                <c:pt idx="1700">
                  <c:v>0.85</c:v>
                </c:pt>
                <c:pt idx="1701">
                  <c:v>0.86</c:v>
                </c:pt>
                <c:pt idx="1702">
                  <c:v>1.01</c:v>
                </c:pt>
                <c:pt idx="1703">
                  <c:v>0.85</c:v>
                </c:pt>
                <c:pt idx="1704">
                  <c:v>0.97</c:v>
                </c:pt>
                <c:pt idx="1705">
                  <c:v>0.98</c:v>
                </c:pt>
                <c:pt idx="1706">
                  <c:v>1.06</c:v>
                </c:pt>
                <c:pt idx="1707">
                  <c:v>0.35</c:v>
                </c:pt>
                <c:pt idx="1708">
                  <c:v>0.85</c:v>
                </c:pt>
                <c:pt idx="1709">
                  <c:v>1.02</c:v>
                </c:pt>
                <c:pt idx="1710">
                  <c:v>1.02</c:v>
                </c:pt>
                <c:pt idx="1711">
                  <c:v>0.91</c:v>
                </c:pt>
                <c:pt idx="1712">
                  <c:v>1.05</c:v>
                </c:pt>
                <c:pt idx="1713">
                  <c:v>1.05</c:v>
                </c:pt>
                <c:pt idx="1714">
                  <c:v>0.99</c:v>
                </c:pt>
                <c:pt idx="1715">
                  <c:v>0.92</c:v>
                </c:pt>
                <c:pt idx="1716">
                  <c:v>0.6</c:v>
                </c:pt>
                <c:pt idx="1717">
                  <c:v>0.8</c:v>
                </c:pt>
                <c:pt idx="1718">
                  <c:v>1.04</c:v>
                </c:pt>
                <c:pt idx="1719">
                  <c:v>0.83</c:v>
                </c:pt>
                <c:pt idx="1720">
                  <c:v>0.73</c:v>
                </c:pt>
                <c:pt idx="1721">
                  <c:v>0.56000000000000005</c:v>
                </c:pt>
                <c:pt idx="1726">
                  <c:v>0.8</c:v>
                </c:pt>
                <c:pt idx="1727">
                  <c:v>0.54</c:v>
                </c:pt>
                <c:pt idx="1728">
                  <c:v>0.54</c:v>
                </c:pt>
                <c:pt idx="1729">
                  <c:v>0.9</c:v>
                </c:pt>
                <c:pt idx="1730">
                  <c:v>1.18</c:v>
                </c:pt>
                <c:pt idx="1731">
                  <c:v>0.78</c:v>
                </c:pt>
                <c:pt idx="1732">
                  <c:v>0.93</c:v>
                </c:pt>
                <c:pt idx="1733">
                  <c:v>1.45</c:v>
                </c:pt>
                <c:pt idx="1734">
                  <c:v>1.02</c:v>
                </c:pt>
                <c:pt idx="1735">
                  <c:v>1</c:v>
                </c:pt>
                <c:pt idx="1736">
                  <c:v>0.72</c:v>
                </c:pt>
                <c:pt idx="1739">
                  <c:v>0.97</c:v>
                </c:pt>
                <c:pt idx="1740">
                  <c:v>0.72</c:v>
                </c:pt>
                <c:pt idx="1741">
                  <c:v>0.95</c:v>
                </c:pt>
                <c:pt idx="1742">
                  <c:v>0.94</c:v>
                </c:pt>
                <c:pt idx="1743">
                  <c:v>0.94</c:v>
                </c:pt>
                <c:pt idx="1744">
                  <c:v>0.77</c:v>
                </c:pt>
                <c:pt idx="1745">
                  <c:v>0.94</c:v>
                </c:pt>
                <c:pt idx="1746">
                  <c:v>0.94</c:v>
                </c:pt>
                <c:pt idx="1747">
                  <c:v>0.7</c:v>
                </c:pt>
                <c:pt idx="1748">
                  <c:v>1.04</c:v>
                </c:pt>
                <c:pt idx="1749">
                  <c:v>0.94</c:v>
                </c:pt>
                <c:pt idx="1752">
                  <c:v>1.27</c:v>
                </c:pt>
                <c:pt idx="1753">
                  <c:v>0.79</c:v>
                </c:pt>
                <c:pt idx="1754">
                  <c:v>0.93</c:v>
                </c:pt>
                <c:pt idx="1755">
                  <c:v>0.95</c:v>
                </c:pt>
                <c:pt idx="1756">
                  <c:v>1.0900000000000001</c:v>
                </c:pt>
                <c:pt idx="1757">
                  <c:v>1.32</c:v>
                </c:pt>
                <c:pt idx="1758">
                  <c:v>1.1399999999999999</c:v>
                </c:pt>
                <c:pt idx="1759">
                  <c:v>0.82</c:v>
                </c:pt>
                <c:pt idx="1760">
                  <c:v>1.04</c:v>
                </c:pt>
                <c:pt idx="1761">
                  <c:v>1.1599999999999999</c:v>
                </c:pt>
                <c:pt idx="1764">
                  <c:v>0.55000000000000004</c:v>
                </c:pt>
                <c:pt idx="1765">
                  <c:v>0.55000000000000004</c:v>
                </c:pt>
                <c:pt idx="1766">
                  <c:v>0.7</c:v>
                </c:pt>
                <c:pt idx="1767">
                  <c:v>1.1100000000000001</c:v>
                </c:pt>
                <c:pt idx="1768">
                  <c:v>0.76</c:v>
                </c:pt>
                <c:pt idx="1769">
                  <c:v>1.1599999999999999</c:v>
                </c:pt>
                <c:pt idx="1770">
                  <c:v>0.88</c:v>
                </c:pt>
                <c:pt idx="1771">
                  <c:v>0.82</c:v>
                </c:pt>
                <c:pt idx="1772">
                  <c:v>0.93</c:v>
                </c:pt>
                <c:pt idx="1773">
                  <c:v>0.82</c:v>
                </c:pt>
                <c:pt idx="1774">
                  <c:v>0.78</c:v>
                </c:pt>
                <c:pt idx="1777">
                  <c:v>1.51</c:v>
                </c:pt>
                <c:pt idx="1778">
                  <c:v>0.83</c:v>
                </c:pt>
                <c:pt idx="1779">
                  <c:v>0.8</c:v>
                </c:pt>
                <c:pt idx="1780">
                  <c:v>0.76</c:v>
                </c:pt>
                <c:pt idx="1781">
                  <c:v>1.49</c:v>
                </c:pt>
                <c:pt idx="1782">
                  <c:v>1</c:v>
                </c:pt>
                <c:pt idx="1783">
                  <c:v>1</c:v>
                </c:pt>
                <c:pt idx="1784">
                  <c:v>0.62</c:v>
                </c:pt>
                <c:pt idx="1785">
                  <c:v>0.62</c:v>
                </c:pt>
                <c:pt idx="1786">
                  <c:v>1.07</c:v>
                </c:pt>
                <c:pt idx="1787">
                  <c:v>0.99</c:v>
                </c:pt>
                <c:pt idx="1790">
                  <c:v>1.19</c:v>
                </c:pt>
                <c:pt idx="1791">
                  <c:v>1.19</c:v>
                </c:pt>
                <c:pt idx="1792">
                  <c:v>0.87</c:v>
                </c:pt>
                <c:pt idx="1793">
                  <c:v>0.87</c:v>
                </c:pt>
                <c:pt idx="1794">
                  <c:v>0.98</c:v>
                </c:pt>
                <c:pt idx="1795">
                  <c:v>1.22</c:v>
                </c:pt>
                <c:pt idx="1796">
                  <c:v>0.85</c:v>
                </c:pt>
                <c:pt idx="1797">
                  <c:v>1.47</c:v>
                </c:pt>
                <c:pt idx="1798">
                  <c:v>0.98</c:v>
                </c:pt>
                <c:pt idx="1799">
                  <c:v>0.86</c:v>
                </c:pt>
                <c:pt idx="1800">
                  <c:v>0.7</c:v>
                </c:pt>
                <c:pt idx="1801">
                  <c:v>0.83</c:v>
                </c:pt>
                <c:pt idx="1802">
                  <c:v>0.52</c:v>
                </c:pt>
                <c:pt idx="1803">
                  <c:v>0.52</c:v>
                </c:pt>
                <c:pt idx="1804">
                  <c:v>0.52</c:v>
                </c:pt>
                <c:pt idx="1805">
                  <c:v>0.96</c:v>
                </c:pt>
                <c:pt idx="1806">
                  <c:v>0.96</c:v>
                </c:pt>
                <c:pt idx="1807">
                  <c:v>1.36</c:v>
                </c:pt>
                <c:pt idx="1808">
                  <c:v>1.26</c:v>
                </c:pt>
                <c:pt idx="1809">
                  <c:v>0.78</c:v>
                </c:pt>
                <c:pt idx="1810">
                  <c:v>1.1499999999999999</c:v>
                </c:pt>
                <c:pt idx="1811">
                  <c:v>1.02</c:v>
                </c:pt>
                <c:pt idx="1812">
                  <c:v>0.82</c:v>
                </c:pt>
                <c:pt idx="1813">
                  <c:v>0.63</c:v>
                </c:pt>
                <c:pt idx="1814">
                  <c:v>0.63</c:v>
                </c:pt>
                <c:pt idx="1815">
                  <c:v>0.63</c:v>
                </c:pt>
                <c:pt idx="1816">
                  <c:v>0.63</c:v>
                </c:pt>
                <c:pt idx="1817">
                  <c:v>0.81</c:v>
                </c:pt>
                <c:pt idx="1820">
                  <c:v>0.98</c:v>
                </c:pt>
                <c:pt idx="1821">
                  <c:v>1.03</c:v>
                </c:pt>
                <c:pt idx="1822">
                  <c:v>0.88</c:v>
                </c:pt>
                <c:pt idx="1823">
                  <c:v>0.95</c:v>
                </c:pt>
                <c:pt idx="1824">
                  <c:v>1.64</c:v>
                </c:pt>
                <c:pt idx="1825">
                  <c:v>1.17</c:v>
                </c:pt>
                <c:pt idx="1826">
                  <c:v>1.18</c:v>
                </c:pt>
                <c:pt idx="1827">
                  <c:v>1.0900000000000001</c:v>
                </c:pt>
                <c:pt idx="1828">
                  <c:v>1.1299999999999999</c:v>
                </c:pt>
                <c:pt idx="1829">
                  <c:v>1.1299999999999999</c:v>
                </c:pt>
                <c:pt idx="1830">
                  <c:v>0.97</c:v>
                </c:pt>
                <c:pt idx="1831">
                  <c:v>1.51</c:v>
                </c:pt>
                <c:pt idx="1834">
                  <c:v>0.83</c:v>
                </c:pt>
                <c:pt idx="1835">
                  <c:v>1.07</c:v>
                </c:pt>
                <c:pt idx="1836">
                  <c:v>0.9</c:v>
                </c:pt>
                <c:pt idx="1837">
                  <c:v>1.1100000000000001</c:v>
                </c:pt>
                <c:pt idx="1838">
                  <c:v>0.84</c:v>
                </c:pt>
                <c:pt idx="1839">
                  <c:v>1.05</c:v>
                </c:pt>
                <c:pt idx="1840">
                  <c:v>1.05</c:v>
                </c:pt>
                <c:pt idx="1841">
                  <c:v>1.1000000000000001</c:v>
                </c:pt>
                <c:pt idx="1842">
                  <c:v>1.21</c:v>
                </c:pt>
                <c:pt idx="1843">
                  <c:v>0.83</c:v>
                </c:pt>
                <c:pt idx="1846">
                  <c:v>0.63</c:v>
                </c:pt>
                <c:pt idx="1847">
                  <c:v>0.95</c:v>
                </c:pt>
                <c:pt idx="1848">
                  <c:v>1.06</c:v>
                </c:pt>
                <c:pt idx="1849">
                  <c:v>0.84</c:v>
                </c:pt>
                <c:pt idx="1850">
                  <c:v>0.8</c:v>
                </c:pt>
                <c:pt idx="1851">
                  <c:v>0.89</c:v>
                </c:pt>
                <c:pt idx="1852">
                  <c:v>1.0900000000000001</c:v>
                </c:pt>
                <c:pt idx="1853">
                  <c:v>1.02</c:v>
                </c:pt>
                <c:pt idx="1854">
                  <c:v>0.77</c:v>
                </c:pt>
                <c:pt idx="1855">
                  <c:v>1.01</c:v>
                </c:pt>
                <c:pt idx="1859">
                  <c:v>0.82</c:v>
                </c:pt>
                <c:pt idx="1860">
                  <c:v>1.25</c:v>
                </c:pt>
                <c:pt idx="1861">
                  <c:v>1.1499999999999999</c:v>
                </c:pt>
                <c:pt idx="1862">
                  <c:v>0.79</c:v>
                </c:pt>
                <c:pt idx="1863">
                  <c:v>1.02</c:v>
                </c:pt>
                <c:pt idx="1864">
                  <c:v>0.97</c:v>
                </c:pt>
                <c:pt idx="1865">
                  <c:v>1.02</c:v>
                </c:pt>
                <c:pt idx="1866">
                  <c:v>1.01</c:v>
                </c:pt>
                <c:pt idx="1867">
                  <c:v>1.28</c:v>
                </c:pt>
                <c:pt idx="1868">
                  <c:v>1.05</c:v>
                </c:pt>
                <c:pt idx="1871">
                  <c:v>0.77</c:v>
                </c:pt>
                <c:pt idx="1872">
                  <c:v>1.03</c:v>
                </c:pt>
                <c:pt idx="1873">
                  <c:v>1.0900000000000001</c:v>
                </c:pt>
                <c:pt idx="1874">
                  <c:v>1.1399999999999999</c:v>
                </c:pt>
                <c:pt idx="1875">
                  <c:v>1.47</c:v>
                </c:pt>
                <c:pt idx="1876">
                  <c:v>1.21</c:v>
                </c:pt>
                <c:pt idx="1877">
                  <c:v>1.06</c:v>
                </c:pt>
                <c:pt idx="1878">
                  <c:v>0.93</c:v>
                </c:pt>
                <c:pt idx="1879">
                  <c:v>0.97</c:v>
                </c:pt>
                <c:pt idx="1880">
                  <c:v>0.46</c:v>
                </c:pt>
                <c:pt idx="1883">
                  <c:v>0.98</c:v>
                </c:pt>
                <c:pt idx="1884">
                  <c:v>1</c:v>
                </c:pt>
                <c:pt idx="1885">
                  <c:v>1.34</c:v>
                </c:pt>
                <c:pt idx="1886">
                  <c:v>1.19</c:v>
                </c:pt>
                <c:pt idx="1887">
                  <c:v>1.03</c:v>
                </c:pt>
                <c:pt idx="1888">
                  <c:v>1.1299999999999999</c:v>
                </c:pt>
                <c:pt idx="1889">
                  <c:v>0.81</c:v>
                </c:pt>
                <c:pt idx="1890">
                  <c:v>0.97</c:v>
                </c:pt>
                <c:pt idx="1891">
                  <c:v>0.95</c:v>
                </c:pt>
                <c:pt idx="1892">
                  <c:v>1.08</c:v>
                </c:pt>
                <c:pt idx="1893">
                  <c:v>1.28</c:v>
                </c:pt>
                <c:pt idx="1894">
                  <c:v>1.28</c:v>
                </c:pt>
                <c:pt idx="1895">
                  <c:v>0.71</c:v>
                </c:pt>
                <c:pt idx="1896">
                  <c:v>1</c:v>
                </c:pt>
                <c:pt idx="1897">
                  <c:v>1.41</c:v>
                </c:pt>
                <c:pt idx="1898">
                  <c:v>0.97</c:v>
                </c:pt>
                <c:pt idx="1899">
                  <c:v>0.9</c:v>
                </c:pt>
                <c:pt idx="1900">
                  <c:v>0.62</c:v>
                </c:pt>
                <c:pt idx="1901">
                  <c:v>0.64</c:v>
                </c:pt>
                <c:pt idx="1902">
                  <c:v>1.01</c:v>
                </c:pt>
                <c:pt idx="1903">
                  <c:v>0.96</c:v>
                </c:pt>
                <c:pt idx="1904">
                  <c:v>0.78</c:v>
                </c:pt>
                <c:pt idx="1907">
                  <c:v>0.7</c:v>
                </c:pt>
                <c:pt idx="1908">
                  <c:v>0.79</c:v>
                </c:pt>
                <c:pt idx="1909">
                  <c:v>1</c:v>
                </c:pt>
                <c:pt idx="1910">
                  <c:v>0.96</c:v>
                </c:pt>
                <c:pt idx="1911">
                  <c:v>1.02</c:v>
                </c:pt>
                <c:pt idx="1912">
                  <c:v>1.02</c:v>
                </c:pt>
                <c:pt idx="1913">
                  <c:v>0.75</c:v>
                </c:pt>
                <c:pt idx="1914">
                  <c:v>1.01</c:v>
                </c:pt>
                <c:pt idx="1915">
                  <c:v>0.86</c:v>
                </c:pt>
                <c:pt idx="1916">
                  <c:v>1.04</c:v>
                </c:pt>
                <c:pt idx="1917">
                  <c:v>1.04</c:v>
                </c:pt>
                <c:pt idx="1918">
                  <c:v>0.92</c:v>
                </c:pt>
                <c:pt idx="1921">
                  <c:v>0.8</c:v>
                </c:pt>
                <c:pt idx="1922">
                  <c:v>0.95</c:v>
                </c:pt>
                <c:pt idx="1923">
                  <c:v>1.1599999999999999</c:v>
                </c:pt>
                <c:pt idx="1924">
                  <c:v>1.0900000000000001</c:v>
                </c:pt>
                <c:pt idx="1925">
                  <c:v>1.04</c:v>
                </c:pt>
                <c:pt idx="1926">
                  <c:v>1.18</c:v>
                </c:pt>
                <c:pt idx="1927">
                  <c:v>0.98</c:v>
                </c:pt>
                <c:pt idx="1928">
                  <c:v>0.81</c:v>
                </c:pt>
                <c:pt idx="1929">
                  <c:v>1.04</c:v>
                </c:pt>
                <c:pt idx="1930">
                  <c:v>0.99</c:v>
                </c:pt>
                <c:pt idx="1934">
                  <c:v>0.85</c:v>
                </c:pt>
                <c:pt idx="1935">
                  <c:v>0.8</c:v>
                </c:pt>
                <c:pt idx="1936">
                  <c:v>0.88</c:v>
                </c:pt>
                <c:pt idx="1937">
                  <c:v>1.25</c:v>
                </c:pt>
                <c:pt idx="1938">
                  <c:v>0.94</c:v>
                </c:pt>
                <c:pt idx="1939">
                  <c:v>1.1100000000000001</c:v>
                </c:pt>
                <c:pt idx="1940">
                  <c:v>1.08</c:v>
                </c:pt>
                <c:pt idx="1941">
                  <c:v>1.38</c:v>
                </c:pt>
                <c:pt idx="1942">
                  <c:v>1.05</c:v>
                </c:pt>
                <c:pt idx="1943">
                  <c:v>0.93</c:v>
                </c:pt>
                <c:pt idx="1947">
                  <c:v>0.9</c:v>
                </c:pt>
                <c:pt idx="1948">
                  <c:v>1</c:v>
                </c:pt>
                <c:pt idx="1949">
                  <c:v>0.77</c:v>
                </c:pt>
                <c:pt idx="1950">
                  <c:v>1.06</c:v>
                </c:pt>
                <c:pt idx="1951">
                  <c:v>0.96</c:v>
                </c:pt>
                <c:pt idx="1952">
                  <c:v>1.03</c:v>
                </c:pt>
                <c:pt idx="1953">
                  <c:v>1.18</c:v>
                </c:pt>
                <c:pt idx="1954">
                  <c:v>0.96</c:v>
                </c:pt>
                <c:pt idx="1955">
                  <c:v>0.86</c:v>
                </c:pt>
                <c:pt idx="1956">
                  <c:v>0.82</c:v>
                </c:pt>
                <c:pt idx="1957">
                  <c:v>1.02</c:v>
                </c:pt>
                <c:pt idx="1963">
                  <c:v>1</c:v>
                </c:pt>
                <c:pt idx="1964">
                  <c:v>1.2</c:v>
                </c:pt>
                <c:pt idx="1965">
                  <c:v>1.44</c:v>
                </c:pt>
                <c:pt idx="1966">
                  <c:v>0.77</c:v>
                </c:pt>
                <c:pt idx="1967">
                  <c:v>0.85</c:v>
                </c:pt>
                <c:pt idx="1968">
                  <c:v>0.93</c:v>
                </c:pt>
                <c:pt idx="1969">
                  <c:v>0.95</c:v>
                </c:pt>
                <c:pt idx="1970">
                  <c:v>0.89</c:v>
                </c:pt>
                <c:pt idx="1971">
                  <c:v>1.1399999999999999</c:v>
                </c:pt>
                <c:pt idx="1972">
                  <c:v>1</c:v>
                </c:pt>
                <c:pt idx="1975">
                  <c:v>1.19</c:v>
                </c:pt>
                <c:pt idx="1976">
                  <c:v>1.17</c:v>
                </c:pt>
                <c:pt idx="1977">
                  <c:v>0.73</c:v>
                </c:pt>
                <c:pt idx="1978">
                  <c:v>0.99</c:v>
                </c:pt>
                <c:pt idx="1979">
                  <c:v>1.21</c:v>
                </c:pt>
                <c:pt idx="1980">
                  <c:v>1.3</c:v>
                </c:pt>
                <c:pt idx="1981">
                  <c:v>1.04</c:v>
                </c:pt>
                <c:pt idx="1982">
                  <c:v>1.58</c:v>
                </c:pt>
                <c:pt idx="1983">
                  <c:v>1.54</c:v>
                </c:pt>
                <c:pt idx="1984">
                  <c:v>0.94</c:v>
                </c:pt>
                <c:pt idx="1987">
                  <c:v>0.76</c:v>
                </c:pt>
                <c:pt idx="1988">
                  <c:v>0.81</c:v>
                </c:pt>
                <c:pt idx="1989">
                  <c:v>0.96</c:v>
                </c:pt>
                <c:pt idx="1990">
                  <c:v>0.97</c:v>
                </c:pt>
                <c:pt idx="1991">
                  <c:v>1.17</c:v>
                </c:pt>
                <c:pt idx="1992">
                  <c:v>1.07</c:v>
                </c:pt>
                <c:pt idx="1993">
                  <c:v>0.73</c:v>
                </c:pt>
                <c:pt idx="1994">
                  <c:v>1.21</c:v>
                </c:pt>
                <c:pt idx="1995">
                  <c:v>1.03</c:v>
                </c:pt>
                <c:pt idx="1996">
                  <c:v>0.81</c:v>
                </c:pt>
                <c:pt idx="1999">
                  <c:v>0.92</c:v>
                </c:pt>
                <c:pt idx="2000">
                  <c:v>0.92</c:v>
                </c:pt>
                <c:pt idx="2001">
                  <c:v>1.1599999999999999</c:v>
                </c:pt>
                <c:pt idx="2002">
                  <c:v>0.91</c:v>
                </c:pt>
                <c:pt idx="2003">
                  <c:v>1.31</c:v>
                </c:pt>
                <c:pt idx="2004">
                  <c:v>0.9</c:v>
                </c:pt>
                <c:pt idx="2005">
                  <c:v>1.08</c:v>
                </c:pt>
                <c:pt idx="2006">
                  <c:v>0.71</c:v>
                </c:pt>
                <c:pt idx="2007">
                  <c:v>0.81</c:v>
                </c:pt>
                <c:pt idx="2008">
                  <c:v>1.03</c:v>
                </c:pt>
                <c:pt idx="2009">
                  <c:v>0.84</c:v>
                </c:pt>
                <c:pt idx="2015">
                  <c:v>0.74</c:v>
                </c:pt>
                <c:pt idx="2016">
                  <c:v>0.86</c:v>
                </c:pt>
                <c:pt idx="2017">
                  <c:v>0.94</c:v>
                </c:pt>
                <c:pt idx="2018">
                  <c:v>0.94</c:v>
                </c:pt>
                <c:pt idx="2019">
                  <c:v>0.94</c:v>
                </c:pt>
                <c:pt idx="2020">
                  <c:v>0.94</c:v>
                </c:pt>
                <c:pt idx="2021">
                  <c:v>1.39</c:v>
                </c:pt>
                <c:pt idx="2022">
                  <c:v>0.81</c:v>
                </c:pt>
                <c:pt idx="2023">
                  <c:v>0.84</c:v>
                </c:pt>
                <c:pt idx="2024">
                  <c:v>0.95</c:v>
                </c:pt>
                <c:pt idx="2025">
                  <c:v>1.1200000000000001</c:v>
                </c:pt>
                <c:pt idx="2026">
                  <c:v>0.99</c:v>
                </c:pt>
                <c:pt idx="2027">
                  <c:v>0.88</c:v>
                </c:pt>
                <c:pt idx="2030">
                  <c:v>1.07</c:v>
                </c:pt>
                <c:pt idx="2031">
                  <c:v>1.1399999999999999</c:v>
                </c:pt>
                <c:pt idx="2032">
                  <c:v>0.85</c:v>
                </c:pt>
                <c:pt idx="2033">
                  <c:v>0.85</c:v>
                </c:pt>
                <c:pt idx="2034">
                  <c:v>0.84</c:v>
                </c:pt>
                <c:pt idx="2035">
                  <c:v>1.04</c:v>
                </c:pt>
                <c:pt idx="2036">
                  <c:v>0.97</c:v>
                </c:pt>
                <c:pt idx="2037">
                  <c:v>1.1100000000000001</c:v>
                </c:pt>
                <c:pt idx="2038">
                  <c:v>0.83</c:v>
                </c:pt>
                <c:pt idx="2039">
                  <c:v>0.86</c:v>
                </c:pt>
                <c:pt idx="2042">
                  <c:v>1.02</c:v>
                </c:pt>
                <c:pt idx="2043">
                  <c:v>1.07</c:v>
                </c:pt>
                <c:pt idx="2044">
                  <c:v>1.02</c:v>
                </c:pt>
                <c:pt idx="2045">
                  <c:v>1</c:v>
                </c:pt>
                <c:pt idx="2046">
                  <c:v>0.93</c:v>
                </c:pt>
                <c:pt idx="2047">
                  <c:v>0.76</c:v>
                </c:pt>
                <c:pt idx="2048">
                  <c:v>0.84</c:v>
                </c:pt>
                <c:pt idx="2049">
                  <c:v>0.95</c:v>
                </c:pt>
                <c:pt idx="2050">
                  <c:v>1.0900000000000001</c:v>
                </c:pt>
                <c:pt idx="2051">
                  <c:v>1.25</c:v>
                </c:pt>
                <c:pt idx="2055">
                  <c:v>0.92</c:v>
                </c:pt>
                <c:pt idx="2056">
                  <c:v>1.23</c:v>
                </c:pt>
                <c:pt idx="2057">
                  <c:v>0.97</c:v>
                </c:pt>
                <c:pt idx="2058">
                  <c:v>1.01</c:v>
                </c:pt>
                <c:pt idx="2059">
                  <c:v>1.06</c:v>
                </c:pt>
                <c:pt idx="2060">
                  <c:v>0.95</c:v>
                </c:pt>
                <c:pt idx="2061">
                  <c:v>1.05</c:v>
                </c:pt>
                <c:pt idx="2062">
                  <c:v>0.78</c:v>
                </c:pt>
                <c:pt idx="2063">
                  <c:v>0.9</c:v>
                </c:pt>
                <c:pt idx="2064">
                  <c:v>0.75</c:v>
                </c:pt>
                <c:pt idx="2067">
                  <c:v>1.47</c:v>
                </c:pt>
                <c:pt idx="2068">
                  <c:v>1.1200000000000001</c:v>
                </c:pt>
                <c:pt idx="2069">
                  <c:v>0.28000000000000003</c:v>
                </c:pt>
                <c:pt idx="2070">
                  <c:v>0.94</c:v>
                </c:pt>
                <c:pt idx="2071">
                  <c:v>1.1000000000000001</c:v>
                </c:pt>
                <c:pt idx="2072">
                  <c:v>0.94</c:v>
                </c:pt>
                <c:pt idx="2073">
                  <c:v>1.45</c:v>
                </c:pt>
                <c:pt idx="2074">
                  <c:v>1.08</c:v>
                </c:pt>
                <c:pt idx="2075">
                  <c:v>0.96</c:v>
                </c:pt>
                <c:pt idx="2076">
                  <c:v>1.18</c:v>
                </c:pt>
                <c:pt idx="2079">
                  <c:v>1.1100000000000001</c:v>
                </c:pt>
                <c:pt idx="2080">
                  <c:v>1.1000000000000001</c:v>
                </c:pt>
                <c:pt idx="2081">
                  <c:v>1.18</c:v>
                </c:pt>
                <c:pt idx="2082">
                  <c:v>0.81</c:v>
                </c:pt>
                <c:pt idx="2083">
                  <c:v>1.06</c:v>
                </c:pt>
                <c:pt idx="2084">
                  <c:v>0.84</c:v>
                </c:pt>
                <c:pt idx="2085">
                  <c:v>0.95</c:v>
                </c:pt>
                <c:pt idx="2086">
                  <c:v>1.25</c:v>
                </c:pt>
                <c:pt idx="2087">
                  <c:v>1.07</c:v>
                </c:pt>
                <c:pt idx="2088">
                  <c:v>0.99</c:v>
                </c:pt>
                <c:pt idx="2089">
                  <c:v>0.69</c:v>
                </c:pt>
                <c:pt idx="2092">
                  <c:v>0.86</c:v>
                </c:pt>
                <c:pt idx="2093">
                  <c:v>1.04</c:v>
                </c:pt>
                <c:pt idx="2094">
                  <c:v>1.22</c:v>
                </c:pt>
                <c:pt idx="2095">
                  <c:v>1.21</c:v>
                </c:pt>
                <c:pt idx="2096">
                  <c:v>0.81</c:v>
                </c:pt>
                <c:pt idx="2097">
                  <c:v>0.86</c:v>
                </c:pt>
                <c:pt idx="2098">
                  <c:v>0.9</c:v>
                </c:pt>
                <c:pt idx="2099">
                  <c:v>1.1399999999999999</c:v>
                </c:pt>
                <c:pt idx="2100">
                  <c:v>0.75</c:v>
                </c:pt>
                <c:pt idx="2101">
                  <c:v>1.18</c:v>
                </c:pt>
                <c:pt idx="2104">
                  <c:v>0.91</c:v>
                </c:pt>
                <c:pt idx="2105">
                  <c:v>0.94</c:v>
                </c:pt>
                <c:pt idx="2106">
                  <c:v>0.96</c:v>
                </c:pt>
                <c:pt idx="2107">
                  <c:v>1.08</c:v>
                </c:pt>
                <c:pt idx="2108">
                  <c:v>0.79</c:v>
                </c:pt>
                <c:pt idx="2109">
                  <c:v>1.04</c:v>
                </c:pt>
                <c:pt idx="2110">
                  <c:v>1.21</c:v>
                </c:pt>
                <c:pt idx="2111">
                  <c:v>1.1499999999999999</c:v>
                </c:pt>
                <c:pt idx="2112">
                  <c:v>1.41</c:v>
                </c:pt>
                <c:pt idx="2113">
                  <c:v>1</c:v>
                </c:pt>
                <c:pt idx="2116">
                  <c:v>1.1499999999999999</c:v>
                </c:pt>
                <c:pt idx="2117">
                  <c:v>1.1499999999999999</c:v>
                </c:pt>
                <c:pt idx="2118">
                  <c:v>1.31</c:v>
                </c:pt>
                <c:pt idx="2119">
                  <c:v>1</c:v>
                </c:pt>
                <c:pt idx="2120">
                  <c:v>0.5</c:v>
                </c:pt>
                <c:pt idx="2121">
                  <c:v>0.96</c:v>
                </c:pt>
                <c:pt idx="2122">
                  <c:v>1.51</c:v>
                </c:pt>
                <c:pt idx="2123">
                  <c:v>0.87</c:v>
                </c:pt>
                <c:pt idx="2124">
                  <c:v>0.55000000000000004</c:v>
                </c:pt>
                <c:pt idx="2125">
                  <c:v>1.01</c:v>
                </c:pt>
                <c:pt idx="2128">
                  <c:v>0.66</c:v>
                </c:pt>
                <c:pt idx="2129">
                  <c:v>0.97</c:v>
                </c:pt>
                <c:pt idx="2130">
                  <c:v>1.1200000000000001</c:v>
                </c:pt>
                <c:pt idx="2131">
                  <c:v>1.2</c:v>
                </c:pt>
                <c:pt idx="2132">
                  <c:v>0.92</c:v>
                </c:pt>
                <c:pt idx="2133">
                  <c:v>0.89</c:v>
                </c:pt>
                <c:pt idx="2134">
                  <c:v>1.01</c:v>
                </c:pt>
                <c:pt idx="2135">
                  <c:v>1.02</c:v>
                </c:pt>
                <c:pt idx="2136">
                  <c:v>0.97</c:v>
                </c:pt>
                <c:pt idx="2137">
                  <c:v>1.1200000000000001</c:v>
                </c:pt>
                <c:pt idx="2141">
                  <c:v>1.27</c:v>
                </c:pt>
                <c:pt idx="2142">
                  <c:v>1.1200000000000001</c:v>
                </c:pt>
                <c:pt idx="2143">
                  <c:v>1.1200000000000001</c:v>
                </c:pt>
                <c:pt idx="2144">
                  <c:v>0.88</c:v>
                </c:pt>
                <c:pt idx="2145">
                  <c:v>0.88</c:v>
                </c:pt>
                <c:pt idx="2146">
                  <c:v>0.92</c:v>
                </c:pt>
                <c:pt idx="2147">
                  <c:v>0.89</c:v>
                </c:pt>
                <c:pt idx="2148">
                  <c:v>1.02</c:v>
                </c:pt>
                <c:pt idx="2149">
                  <c:v>0.24</c:v>
                </c:pt>
                <c:pt idx="2150">
                  <c:v>1.22</c:v>
                </c:pt>
                <c:pt idx="2151">
                  <c:v>0.22</c:v>
                </c:pt>
                <c:pt idx="2154">
                  <c:v>0.33</c:v>
                </c:pt>
                <c:pt idx="2155">
                  <c:v>0.52</c:v>
                </c:pt>
                <c:pt idx="2156">
                  <c:v>0.4</c:v>
                </c:pt>
                <c:pt idx="2157">
                  <c:v>0.72</c:v>
                </c:pt>
                <c:pt idx="2158">
                  <c:v>1.01</c:v>
                </c:pt>
                <c:pt idx="2159">
                  <c:v>1.03</c:v>
                </c:pt>
                <c:pt idx="2160">
                  <c:v>1.03</c:v>
                </c:pt>
                <c:pt idx="2161">
                  <c:v>1.45</c:v>
                </c:pt>
                <c:pt idx="2165">
                  <c:v>0.77</c:v>
                </c:pt>
                <c:pt idx="2166">
                  <c:v>0.77</c:v>
                </c:pt>
                <c:pt idx="2167">
                  <c:v>0.77</c:v>
                </c:pt>
                <c:pt idx="2168">
                  <c:v>0.77</c:v>
                </c:pt>
                <c:pt idx="2176">
                  <c:v>1.1599999999999999</c:v>
                </c:pt>
                <c:pt idx="2204">
                  <c:v>0.97</c:v>
                </c:pt>
                <c:pt idx="2205">
                  <c:v>0.97</c:v>
                </c:pt>
                <c:pt idx="2206">
                  <c:v>0.97</c:v>
                </c:pt>
                <c:pt idx="2220">
                  <c:v>0.54</c:v>
                </c:pt>
                <c:pt idx="2221">
                  <c:v>0.54</c:v>
                </c:pt>
                <c:pt idx="2222">
                  <c:v>0.54</c:v>
                </c:pt>
                <c:pt idx="2223">
                  <c:v>0.54</c:v>
                </c:pt>
                <c:pt idx="2224">
                  <c:v>0.54</c:v>
                </c:pt>
                <c:pt idx="2231">
                  <c:v>0.94</c:v>
                </c:pt>
                <c:pt idx="2232">
                  <c:v>0.94</c:v>
                </c:pt>
                <c:pt idx="2233">
                  <c:v>0.94</c:v>
                </c:pt>
                <c:pt idx="2260">
                  <c:v>0.95</c:v>
                </c:pt>
                <c:pt idx="2261">
                  <c:v>0.95</c:v>
                </c:pt>
                <c:pt idx="2262">
                  <c:v>0.95</c:v>
                </c:pt>
                <c:pt idx="2263">
                  <c:v>0.95</c:v>
                </c:pt>
                <c:pt idx="2264">
                  <c:v>0.95</c:v>
                </c:pt>
                <c:pt idx="2265">
                  <c:v>0.95</c:v>
                </c:pt>
                <c:pt idx="2291">
                  <c:v>1.41</c:v>
                </c:pt>
                <c:pt idx="2317">
                  <c:v>0.97</c:v>
                </c:pt>
                <c:pt idx="2329">
                  <c:v>1.1200000000000001</c:v>
                </c:pt>
                <c:pt idx="2330">
                  <c:v>1.1200000000000001</c:v>
                </c:pt>
                <c:pt idx="2331">
                  <c:v>1.1200000000000001</c:v>
                </c:pt>
                <c:pt idx="2332">
                  <c:v>1.1200000000000001</c:v>
                </c:pt>
                <c:pt idx="2407">
                  <c:v>1.19</c:v>
                </c:pt>
                <c:pt idx="2408">
                  <c:v>1.19</c:v>
                </c:pt>
                <c:pt idx="2409">
                  <c:v>1.19</c:v>
                </c:pt>
                <c:pt idx="2439">
                  <c:v>0.54</c:v>
                </c:pt>
                <c:pt idx="2440">
                  <c:v>0.54</c:v>
                </c:pt>
                <c:pt idx="2441">
                  <c:v>0.54</c:v>
                </c:pt>
                <c:pt idx="2442">
                  <c:v>0.54</c:v>
                </c:pt>
                <c:pt idx="2466">
                  <c:v>0.65</c:v>
                </c:pt>
                <c:pt idx="2467">
                  <c:v>0.65</c:v>
                </c:pt>
                <c:pt idx="2470">
                  <c:v>0.9</c:v>
                </c:pt>
                <c:pt idx="2471">
                  <c:v>0.9</c:v>
                </c:pt>
                <c:pt idx="2472">
                  <c:v>0.9</c:v>
                </c:pt>
                <c:pt idx="2493">
                  <c:v>0.75</c:v>
                </c:pt>
                <c:pt idx="2494">
                  <c:v>0.75</c:v>
                </c:pt>
                <c:pt idx="2518">
                  <c:v>1.08</c:v>
                </c:pt>
                <c:pt idx="2519">
                  <c:v>1.08</c:v>
                </c:pt>
                <c:pt idx="2520">
                  <c:v>1.08</c:v>
                </c:pt>
                <c:pt idx="2521">
                  <c:v>0.98</c:v>
                </c:pt>
                <c:pt idx="2522">
                  <c:v>0.98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53">
                  <c:v>0.99</c:v>
                </c:pt>
                <c:pt idx="2554">
                  <c:v>0.99</c:v>
                </c:pt>
                <c:pt idx="2555">
                  <c:v>0.99</c:v>
                </c:pt>
                <c:pt idx="2576">
                  <c:v>0.91</c:v>
                </c:pt>
                <c:pt idx="2577">
                  <c:v>0.91</c:v>
                </c:pt>
                <c:pt idx="2582">
                  <c:v>1.21</c:v>
                </c:pt>
                <c:pt idx="2583">
                  <c:v>1.21</c:v>
                </c:pt>
                <c:pt idx="2584">
                  <c:v>1.21</c:v>
                </c:pt>
                <c:pt idx="2607">
                  <c:v>0.57999999999999996</c:v>
                </c:pt>
                <c:pt idx="2608">
                  <c:v>0.57999999999999996</c:v>
                </c:pt>
                <c:pt idx="2609">
                  <c:v>0.57999999999999996</c:v>
                </c:pt>
                <c:pt idx="2610">
                  <c:v>0.57999999999999996</c:v>
                </c:pt>
                <c:pt idx="2611">
                  <c:v>0.57999999999999996</c:v>
                </c:pt>
                <c:pt idx="2631">
                  <c:v>1.1000000000000001</c:v>
                </c:pt>
                <c:pt idx="2632">
                  <c:v>1.1000000000000001</c:v>
                </c:pt>
                <c:pt idx="2635">
                  <c:v>1.29</c:v>
                </c:pt>
                <c:pt idx="2636">
                  <c:v>1.29</c:v>
                </c:pt>
                <c:pt idx="2637">
                  <c:v>1.29</c:v>
                </c:pt>
                <c:pt idx="2638">
                  <c:v>1.29</c:v>
                </c:pt>
                <c:pt idx="2639">
                  <c:v>1.29</c:v>
                </c:pt>
                <c:pt idx="2667">
                  <c:v>1.05</c:v>
                </c:pt>
                <c:pt idx="2692">
                  <c:v>0.89</c:v>
                </c:pt>
                <c:pt idx="2718">
                  <c:v>1.07</c:v>
                </c:pt>
                <c:pt idx="2719">
                  <c:v>1.07</c:v>
                </c:pt>
                <c:pt idx="2741">
                  <c:v>0.87</c:v>
                </c:pt>
                <c:pt idx="2742">
                  <c:v>0.87</c:v>
                </c:pt>
                <c:pt idx="2743">
                  <c:v>0.87</c:v>
                </c:pt>
                <c:pt idx="2744">
                  <c:v>0.87</c:v>
                </c:pt>
                <c:pt idx="2767">
                  <c:v>0.94</c:v>
                </c:pt>
                <c:pt idx="2788">
                  <c:v>1.29</c:v>
                </c:pt>
                <c:pt idx="2811">
                  <c:v>1.22</c:v>
                </c:pt>
                <c:pt idx="2812">
                  <c:v>1.48</c:v>
                </c:pt>
                <c:pt idx="2829">
                  <c:v>1.07</c:v>
                </c:pt>
                <c:pt idx="2830">
                  <c:v>1.07</c:v>
                </c:pt>
                <c:pt idx="2831">
                  <c:v>1</c:v>
                </c:pt>
                <c:pt idx="2832">
                  <c:v>1</c:v>
                </c:pt>
                <c:pt idx="2833">
                  <c:v>1.08</c:v>
                </c:pt>
                <c:pt idx="2834">
                  <c:v>0.92</c:v>
                </c:pt>
                <c:pt idx="2835">
                  <c:v>1.1499999999999999</c:v>
                </c:pt>
                <c:pt idx="2836">
                  <c:v>1.21</c:v>
                </c:pt>
                <c:pt idx="2837">
                  <c:v>0.83</c:v>
                </c:pt>
                <c:pt idx="2838">
                  <c:v>0.83</c:v>
                </c:pt>
                <c:pt idx="2839">
                  <c:v>1.17</c:v>
                </c:pt>
                <c:pt idx="2840">
                  <c:v>0.82</c:v>
                </c:pt>
                <c:pt idx="2841">
                  <c:v>0.89</c:v>
                </c:pt>
                <c:pt idx="2842">
                  <c:v>0.89</c:v>
                </c:pt>
                <c:pt idx="2843">
                  <c:v>0.67</c:v>
                </c:pt>
                <c:pt idx="2844">
                  <c:v>0.67</c:v>
                </c:pt>
                <c:pt idx="2845">
                  <c:v>1</c:v>
                </c:pt>
                <c:pt idx="2846">
                  <c:v>1</c:v>
                </c:pt>
                <c:pt idx="2847">
                  <c:v>0.9</c:v>
                </c:pt>
                <c:pt idx="2848">
                  <c:v>0.9</c:v>
                </c:pt>
                <c:pt idx="2849">
                  <c:v>0.98</c:v>
                </c:pt>
                <c:pt idx="2850">
                  <c:v>1.39</c:v>
                </c:pt>
                <c:pt idx="2851">
                  <c:v>1.39</c:v>
                </c:pt>
                <c:pt idx="2852">
                  <c:v>0.13</c:v>
                </c:pt>
                <c:pt idx="2853">
                  <c:v>0.13</c:v>
                </c:pt>
                <c:pt idx="2854">
                  <c:v>0.13</c:v>
                </c:pt>
                <c:pt idx="2855">
                  <c:v>0.79</c:v>
                </c:pt>
                <c:pt idx="2856">
                  <c:v>1.1499999999999999</c:v>
                </c:pt>
                <c:pt idx="2857">
                  <c:v>0.85</c:v>
                </c:pt>
                <c:pt idx="2858">
                  <c:v>1.01</c:v>
                </c:pt>
                <c:pt idx="2859">
                  <c:v>1.01</c:v>
                </c:pt>
                <c:pt idx="2860">
                  <c:v>0.93</c:v>
                </c:pt>
                <c:pt idx="2861">
                  <c:v>0.91</c:v>
                </c:pt>
                <c:pt idx="2862">
                  <c:v>0.96</c:v>
                </c:pt>
                <c:pt idx="2863">
                  <c:v>0.87</c:v>
                </c:pt>
                <c:pt idx="2864">
                  <c:v>1.32</c:v>
                </c:pt>
                <c:pt idx="2865">
                  <c:v>1.17</c:v>
                </c:pt>
                <c:pt idx="2866">
                  <c:v>1.17</c:v>
                </c:pt>
                <c:pt idx="2867">
                  <c:v>1.07</c:v>
                </c:pt>
                <c:pt idx="2868">
                  <c:v>1.07</c:v>
                </c:pt>
                <c:pt idx="2869">
                  <c:v>1.07</c:v>
                </c:pt>
                <c:pt idx="2870">
                  <c:v>1.32</c:v>
                </c:pt>
                <c:pt idx="2871">
                  <c:v>1.32</c:v>
                </c:pt>
                <c:pt idx="2872">
                  <c:v>1.46</c:v>
                </c:pt>
                <c:pt idx="2873">
                  <c:v>1.2</c:v>
                </c:pt>
                <c:pt idx="2874">
                  <c:v>1.54</c:v>
                </c:pt>
                <c:pt idx="2875">
                  <c:v>0.73</c:v>
                </c:pt>
                <c:pt idx="2876">
                  <c:v>0.73</c:v>
                </c:pt>
                <c:pt idx="2877">
                  <c:v>0.71</c:v>
                </c:pt>
                <c:pt idx="2878">
                  <c:v>0.54</c:v>
                </c:pt>
                <c:pt idx="2879">
                  <c:v>0.88</c:v>
                </c:pt>
                <c:pt idx="2880">
                  <c:v>1.1200000000000001</c:v>
                </c:pt>
                <c:pt idx="2881">
                  <c:v>0.56999999999999995</c:v>
                </c:pt>
                <c:pt idx="2882">
                  <c:v>0.56999999999999995</c:v>
                </c:pt>
                <c:pt idx="2883">
                  <c:v>0.61</c:v>
                </c:pt>
                <c:pt idx="2884">
                  <c:v>0.74</c:v>
                </c:pt>
                <c:pt idx="2885">
                  <c:v>0.76</c:v>
                </c:pt>
                <c:pt idx="2886">
                  <c:v>0.76</c:v>
                </c:pt>
                <c:pt idx="2887">
                  <c:v>0.76</c:v>
                </c:pt>
                <c:pt idx="2888">
                  <c:v>0.76</c:v>
                </c:pt>
                <c:pt idx="2889">
                  <c:v>0.76</c:v>
                </c:pt>
                <c:pt idx="2890">
                  <c:v>0.18</c:v>
                </c:pt>
                <c:pt idx="2891">
                  <c:v>0.18</c:v>
                </c:pt>
                <c:pt idx="2892">
                  <c:v>0.18</c:v>
                </c:pt>
                <c:pt idx="2893">
                  <c:v>0.22</c:v>
                </c:pt>
                <c:pt idx="2894">
                  <c:v>0.22</c:v>
                </c:pt>
                <c:pt idx="2895">
                  <c:v>0.22</c:v>
                </c:pt>
                <c:pt idx="2896">
                  <c:v>1</c:v>
                </c:pt>
                <c:pt idx="2897">
                  <c:v>0.97</c:v>
                </c:pt>
                <c:pt idx="2898">
                  <c:v>0.97</c:v>
                </c:pt>
                <c:pt idx="2899">
                  <c:v>0.59</c:v>
                </c:pt>
                <c:pt idx="2900">
                  <c:v>1.35</c:v>
                </c:pt>
                <c:pt idx="2901">
                  <c:v>1.35</c:v>
                </c:pt>
                <c:pt idx="2902">
                  <c:v>1.35</c:v>
                </c:pt>
                <c:pt idx="2903">
                  <c:v>1.04</c:v>
                </c:pt>
                <c:pt idx="2904">
                  <c:v>0.94</c:v>
                </c:pt>
                <c:pt idx="2905">
                  <c:v>0.85</c:v>
                </c:pt>
                <c:pt idx="2906">
                  <c:v>0.85</c:v>
                </c:pt>
                <c:pt idx="2907">
                  <c:v>0.98</c:v>
                </c:pt>
                <c:pt idx="2911">
                  <c:v>1.07</c:v>
                </c:pt>
                <c:pt idx="2912">
                  <c:v>0.98</c:v>
                </c:pt>
                <c:pt idx="2913">
                  <c:v>1.59</c:v>
                </c:pt>
                <c:pt idx="2914">
                  <c:v>0.87</c:v>
                </c:pt>
                <c:pt idx="2915">
                  <c:v>1.21</c:v>
                </c:pt>
                <c:pt idx="2916">
                  <c:v>1.23</c:v>
                </c:pt>
                <c:pt idx="2917">
                  <c:v>1.04</c:v>
                </c:pt>
                <c:pt idx="2918">
                  <c:v>1.04</c:v>
                </c:pt>
                <c:pt idx="2919">
                  <c:v>1.05</c:v>
                </c:pt>
                <c:pt idx="2920">
                  <c:v>0.96</c:v>
                </c:pt>
                <c:pt idx="2921">
                  <c:v>0.96</c:v>
                </c:pt>
                <c:pt idx="2922">
                  <c:v>0.96</c:v>
                </c:pt>
                <c:pt idx="2923">
                  <c:v>0.96</c:v>
                </c:pt>
                <c:pt idx="2924">
                  <c:v>1.4</c:v>
                </c:pt>
                <c:pt idx="2925">
                  <c:v>1.49</c:v>
                </c:pt>
                <c:pt idx="2926">
                  <c:v>0.85</c:v>
                </c:pt>
                <c:pt idx="2927">
                  <c:v>1.06</c:v>
                </c:pt>
                <c:pt idx="2928">
                  <c:v>0.99</c:v>
                </c:pt>
                <c:pt idx="2929">
                  <c:v>0.86</c:v>
                </c:pt>
                <c:pt idx="2930">
                  <c:v>1.03</c:v>
                </c:pt>
                <c:pt idx="2931">
                  <c:v>0.87</c:v>
                </c:pt>
                <c:pt idx="2932">
                  <c:v>0.85</c:v>
                </c:pt>
                <c:pt idx="2933">
                  <c:v>0.86</c:v>
                </c:pt>
                <c:pt idx="2934">
                  <c:v>0.88</c:v>
                </c:pt>
                <c:pt idx="2935">
                  <c:v>0.88</c:v>
                </c:pt>
                <c:pt idx="2936">
                  <c:v>0.88</c:v>
                </c:pt>
                <c:pt idx="2937">
                  <c:v>0.88</c:v>
                </c:pt>
                <c:pt idx="2938">
                  <c:v>1.25</c:v>
                </c:pt>
                <c:pt idx="2939">
                  <c:v>1.01</c:v>
                </c:pt>
                <c:pt idx="2940">
                  <c:v>0.75</c:v>
                </c:pt>
                <c:pt idx="2941">
                  <c:v>1.28</c:v>
                </c:pt>
                <c:pt idx="2942">
                  <c:v>0.96</c:v>
                </c:pt>
                <c:pt idx="2943">
                  <c:v>1.07</c:v>
                </c:pt>
                <c:pt idx="2944">
                  <c:v>0.79</c:v>
                </c:pt>
                <c:pt idx="2945">
                  <c:v>0.91</c:v>
                </c:pt>
                <c:pt idx="2946">
                  <c:v>0.91</c:v>
                </c:pt>
                <c:pt idx="2947">
                  <c:v>1.07</c:v>
                </c:pt>
                <c:pt idx="2948">
                  <c:v>0.82</c:v>
                </c:pt>
                <c:pt idx="2953">
                  <c:v>1.08</c:v>
                </c:pt>
                <c:pt idx="2954">
                  <c:v>1.04</c:v>
                </c:pt>
                <c:pt idx="2955">
                  <c:v>0.94</c:v>
                </c:pt>
                <c:pt idx="2956">
                  <c:v>1.36</c:v>
                </c:pt>
                <c:pt idx="2957">
                  <c:v>1.1000000000000001</c:v>
                </c:pt>
                <c:pt idx="2958">
                  <c:v>0.86</c:v>
                </c:pt>
                <c:pt idx="2959">
                  <c:v>0.86</c:v>
                </c:pt>
                <c:pt idx="2960">
                  <c:v>1.0900000000000001</c:v>
                </c:pt>
                <c:pt idx="2961">
                  <c:v>0.98</c:v>
                </c:pt>
                <c:pt idx="2962">
                  <c:v>0.87</c:v>
                </c:pt>
                <c:pt idx="2963">
                  <c:v>1.37</c:v>
                </c:pt>
                <c:pt idx="2964">
                  <c:v>1.24</c:v>
                </c:pt>
                <c:pt idx="2965">
                  <c:v>1.24</c:v>
                </c:pt>
                <c:pt idx="2966">
                  <c:v>1.02</c:v>
                </c:pt>
                <c:pt idx="2967">
                  <c:v>1.03</c:v>
                </c:pt>
                <c:pt idx="2968">
                  <c:v>1.1499999999999999</c:v>
                </c:pt>
                <c:pt idx="2969">
                  <c:v>0.33</c:v>
                </c:pt>
                <c:pt idx="2970">
                  <c:v>0.55000000000000004</c:v>
                </c:pt>
                <c:pt idx="2971">
                  <c:v>1.19</c:v>
                </c:pt>
                <c:pt idx="2972">
                  <c:v>1.1599999999999999</c:v>
                </c:pt>
                <c:pt idx="2973">
                  <c:v>1.1599999999999999</c:v>
                </c:pt>
                <c:pt idx="2974">
                  <c:v>1.1000000000000001</c:v>
                </c:pt>
                <c:pt idx="2975">
                  <c:v>1.04</c:v>
                </c:pt>
                <c:pt idx="2976">
                  <c:v>1.04</c:v>
                </c:pt>
                <c:pt idx="2977">
                  <c:v>1.04</c:v>
                </c:pt>
                <c:pt idx="2978">
                  <c:v>0.91</c:v>
                </c:pt>
                <c:pt idx="2979">
                  <c:v>1</c:v>
                </c:pt>
                <c:pt idx="2980">
                  <c:v>1.17</c:v>
                </c:pt>
                <c:pt idx="2981">
                  <c:v>1.02</c:v>
                </c:pt>
                <c:pt idx="2982">
                  <c:v>1.28</c:v>
                </c:pt>
                <c:pt idx="2983">
                  <c:v>0.9</c:v>
                </c:pt>
                <c:pt idx="2984">
                  <c:v>1.62</c:v>
                </c:pt>
                <c:pt idx="2985">
                  <c:v>0.95</c:v>
                </c:pt>
                <c:pt idx="2986">
                  <c:v>0.96</c:v>
                </c:pt>
                <c:pt idx="2987">
                  <c:v>0.89</c:v>
                </c:pt>
                <c:pt idx="2991">
                  <c:v>1.1000000000000001</c:v>
                </c:pt>
                <c:pt idx="2992">
                  <c:v>1.1000000000000001</c:v>
                </c:pt>
                <c:pt idx="2993">
                  <c:v>1.34</c:v>
                </c:pt>
                <c:pt idx="2994">
                  <c:v>1.54</c:v>
                </c:pt>
                <c:pt idx="2995">
                  <c:v>0.93</c:v>
                </c:pt>
                <c:pt idx="2996">
                  <c:v>1.0900000000000001</c:v>
                </c:pt>
                <c:pt idx="2997">
                  <c:v>1.0900000000000001</c:v>
                </c:pt>
                <c:pt idx="2998">
                  <c:v>0.95</c:v>
                </c:pt>
                <c:pt idx="2999">
                  <c:v>1.1499999999999999</c:v>
                </c:pt>
                <c:pt idx="3000">
                  <c:v>1.28</c:v>
                </c:pt>
                <c:pt idx="3001">
                  <c:v>1.01</c:v>
                </c:pt>
                <c:pt idx="3002">
                  <c:v>1.07</c:v>
                </c:pt>
                <c:pt idx="3003">
                  <c:v>1.07</c:v>
                </c:pt>
                <c:pt idx="3004">
                  <c:v>0.98</c:v>
                </c:pt>
                <c:pt idx="3005">
                  <c:v>0.98</c:v>
                </c:pt>
                <c:pt idx="3006">
                  <c:v>0.98</c:v>
                </c:pt>
                <c:pt idx="3007">
                  <c:v>0.97</c:v>
                </c:pt>
                <c:pt idx="3008">
                  <c:v>0.78</c:v>
                </c:pt>
                <c:pt idx="3009">
                  <c:v>0.87</c:v>
                </c:pt>
                <c:pt idx="3010">
                  <c:v>0.78</c:v>
                </c:pt>
                <c:pt idx="3011">
                  <c:v>1.05</c:v>
                </c:pt>
                <c:pt idx="3012">
                  <c:v>1.18</c:v>
                </c:pt>
                <c:pt idx="3013">
                  <c:v>0.92</c:v>
                </c:pt>
                <c:pt idx="3014">
                  <c:v>1.07</c:v>
                </c:pt>
                <c:pt idx="3015">
                  <c:v>0.96</c:v>
                </c:pt>
                <c:pt idx="3016">
                  <c:v>1.05</c:v>
                </c:pt>
                <c:pt idx="3017">
                  <c:v>1.05</c:v>
                </c:pt>
                <c:pt idx="3021">
                  <c:v>1.02</c:v>
                </c:pt>
                <c:pt idx="3022">
                  <c:v>1.41</c:v>
                </c:pt>
                <c:pt idx="3023">
                  <c:v>0.93</c:v>
                </c:pt>
                <c:pt idx="3024">
                  <c:v>0.7</c:v>
                </c:pt>
                <c:pt idx="3025">
                  <c:v>1.1599999999999999</c:v>
                </c:pt>
                <c:pt idx="3026">
                  <c:v>1.04</c:v>
                </c:pt>
                <c:pt idx="3027">
                  <c:v>1.1100000000000001</c:v>
                </c:pt>
                <c:pt idx="3028">
                  <c:v>0.78</c:v>
                </c:pt>
                <c:pt idx="3029">
                  <c:v>0.93</c:v>
                </c:pt>
                <c:pt idx="3030">
                  <c:v>0.88</c:v>
                </c:pt>
                <c:pt idx="3031">
                  <c:v>0.88</c:v>
                </c:pt>
                <c:pt idx="3037">
                  <c:v>0.87</c:v>
                </c:pt>
                <c:pt idx="3038">
                  <c:v>0.65</c:v>
                </c:pt>
                <c:pt idx="3039">
                  <c:v>1.03</c:v>
                </c:pt>
                <c:pt idx="3040">
                  <c:v>0.92</c:v>
                </c:pt>
                <c:pt idx="3041">
                  <c:v>0.92</c:v>
                </c:pt>
                <c:pt idx="3042">
                  <c:v>0.93</c:v>
                </c:pt>
                <c:pt idx="3043">
                  <c:v>1.03</c:v>
                </c:pt>
                <c:pt idx="3044">
                  <c:v>1</c:v>
                </c:pt>
                <c:pt idx="3045">
                  <c:v>1.1100000000000001</c:v>
                </c:pt>
                <c:pt idx="3046">
                  <c:v>0.85</c:v>
                </c:pt>
                <c:pt idx="3047">
                  <c:v>0.96</c:v>
                </c:pt>
                <c:pt idx="3048">
                  <c:v>1.32</c:v>
                </c:pt>
                <c:pt idx="3049">
                  <c:v>1.32</c:v>
                </c:pt>
                <c:pt idx="3050">
                  <c:v>1.32</c:v>
                </c:pt>
                <c:pt idx="3051">
                  <c:v>0.34</c:v>
                </c:pt>
                <c:pt idx="3052">
                  <c:v>0.96</c:v>
                </c:pt>
                <c:pt idx="3053">
                  <c:v>0.96</c:v>
                </c:pt>
                <c:pt idx="3054">
                  <c:v>0.93</c:v>
                </c:pt>
                <c:pt idx="3055">
                  <c:v>0.8</c:v>
                </c:pt>
                <c:pt idx="3056">
                  <c:v>0.95</c:v>
                </c:pt>
                <c:pt idx="3057">
                  <c:v>0.98</c:v>
                </c:pt>
                <c:pt idx="3058">
                  <c:v>0.83</c:v>
                </c:pt>
                <c:pt idx="3059">
                  <c:v>0.84</c:v>
                </c:pt>
                <c:pt idx="3060">
                  <c:v>0.55000000000000004</c:v>
                </c:pt>
                <c:pt idx="3061">
                  <c:v>0.95</c:v>
                </c:pt>
                <c:pt idx="3062">
                  <c:v>0.83</c:v>
                </c:pt>
                <c:pt idx="3063">
                  <c:v>0.83</c:v>
                </c:pt>
                <c:pt idx="3064">
                  <c:v>0.93</c:v>
                </c:pt>
                <c:pt idx="3065">
                  <c:v>0.93</c:v>
                </c:pt>
                <c:pt idx="3066">
                  <c:v>0.83</c:v>
                </c:pt>
                <c:pt idx="3067">
                  <c:v>0.99</c:v>
                </c:pt>
                <c:pt idx="3068">
                  <c:v>0.95</c:v>
                </c:pt>
                <c:pt idx="3069">
                  <c:v>0.97</c:v>
                </c:pt>
                <c:pt idx="3070">
                  <c:v>0.99</c:v>
                </c:pt>
                <c:pt idx="3071">
                  <c:v>0.78</c:v>
                </c:pt>
                <c:pt idx="3072">
                  <c:v>0.87</c:v>
                </c:pt>
                <c:pt idx="3073">
                  <c:v>0.99</c:v>
                </c:pt>
                <c:pt idx="3077">
                  <c:v>0.67</c:v>
                </c:pt>
                <c:pt idx="3078">
                  <c:v>1</c:v>
                </c:pt>
                <c:pt idx="3079">
                  <c:v>0.93</c:v>
                </c:pt>
                <c:pt idx="3080">
                  <c:v>0.94</c:v>
                </c:pt>
                <c:pt idx="3081">
                  <c:v>1.17</c:v>
                </c:pt>
                <c:pt idx="3082">
                  <c:v>0.96</c:v>
                </c:pt>
                <c:pt idx="3083">
                  <c:v>0.94</c:v>
                </c:pt>
                <c:pt idx="3084">
                  <c:v>0.92</c:v>
                </c:pt>
                <c:pt idx="3085">
                  <c:v>1.01</c:v>
                </c:pt>
                <c:pt idx="3086">
                  <c:v>0.88</c:v>
                </c:pt>
                <c:pt idx="3087">
                  <c:v>1.04</c:v>
                </c:pt>
                <c:pt idx="3088">
                  <c:v>1.04</c:v>
                </c:pt>
                <c:pt idx="3089">
                  <c:v>1.1000000000000001</c:v>
                </c:pt>
                <c:pt idx="3090">
                  <c:v>0.97</c:v>
                </c:pt>
                <c:pt idx="3091">
                  <c:v>1.04</c:v>
                </c:pt>
                <c:pt idx="3092">
                  <c:v>1.08</c:v>
                </c:pt>
                <c:pt idx="3093">
                  <c:v>0.91</c:v>
                </c:pt>
                <c:pt idx="3094">
                  <c:v>0.87</c:v>
                </c:pt>
                <c:pt idx="3095">
                  <c:v>1.21</c:v>
                </c:pt>
                <c:pt idx="3096">
                  <c:v>0.97</c:v>
                </c:pt>
                <c:pt idx="3097">
                  <c:v>0.87</c:v>
                </c:pt>
                <c:pt idx="3098">
                  <c:v>0.83</c:v>
                </c:pt>
                <c:pt idx="3099">
                  <c:v>1.21</c:v>
                </c:pt>
                <c:pt idx="3100">
                  <c:v>1.04</c:v>
                </c:pt>
                <c:pt idx="3101">
                  <c:v>1.04</c:v>
                </c:pt>
                <c:pt idx="3102">
                  <c:v>1.04</c:v>
                </c:pt>
                <c:pt idx="3103">
                  <c:v>0.84</c:v>
                </c:pt>
                <c:pt idx="3104">
                  <c:v>0.85</c:v>
                </c:pt>
                <c:pt idx="3105">
                  <c:v>1.08</c:v>
                </c:pt>
                <c:pt idx="3106">
                  <c:v>1.01</c:v>
                </c:pt>
                <c:pt idx="3107">
                  <c:v>1.01</c:v>
                </c:pt>
                <c:pt idx="3108">
                  <c:v>1.01</c:v>
                </c:pt>
                <c:pt idx="3109">
                  <c:v>1.02</c:v>
                </c:pt>
                <c:pt idx="3110">
                  <c:v>0.91</c:v>
                </c:pt>
                <c:pt idx="3111">
                  <c:v>0.91</c:v>
                </c:pt>
                <c:pt idx="3112">
                  <c:v>1.1299999999999999</c:v>
                </c:pt>
                <c:pt idx="3113">
                  <c:v>0.84</c:v>
                </c:pt>
                <c:pt idx="3114">
                  <c:v>1</c:v>
                </c:pt>
                <c:pt idx="3115">
                  <c:v>1.0900000000000001</c:v>
                </c:pt>
                <c:pt idx="3116">
                  <c:v>0.64</c:v>
                </c:pt>
                <c:pt idx="3117">
                  <c:v>1.1000000000000001</c:v>
                </c:pt>
                <c:pt idx="3118">
                  <c:v>1.1000000000000001</c:v>
                </c:pt>
                <c:pt idx="3119">
                  <c:v>1.01</c:v>
                </c:pt>
                <c:pt idx="3120">
                  <c:v>0.98</c:v>
                </c:pt>
                <c:pt idx="3121">
                  <c:v>0.98</c:v>
                </c:pt>
                <c:pt idx="3122">
                  <c:v>0.85</c:v>
                </c:pt>
                <c:pt idx="3123">
                  <c:v>0.73</c:v>
                </c:pt>
                <c:pt idx="3124">
                  <c:v>0.98</c:v>
                </c:pt>
                <c:pt idx="3125">
                  <c:v>0.98</c:v>
                </c:pt>
                <c:pt idx="3126">
                  <c:v>0.51</c:v>
                </c:pt>
                <c:pt idx="3127">
                  <c:v>1.05</c:v>
                </c:pt>
                <c:pt idx="3128">
                  <c:v>1.0900000000000001</c:v>
                </c:pt>
                <c:pt idx="3129">
                  <c:v>1.0900000000000001</c:v>
                </c:pt>
                <c:pt idx="3130">
                  <c:v>0.69</c:v>
                </c:pt>
                <c:pt idx="3131">
                  <c:v>0.69</c:v>
                </c:pt>
                <c:pt idx="3132">
                  <c:v>0.69</c:v>
                </c:pt>
                <c:pt idx="3133">
                  <c:v>0.69</c:v>
                </c:pt>
                <c:pt idx="3134">
                  <c:v>0.69</c:v>
                </c:pt>
                <c:pt idx="3135">
                  <c:v>1.1499999999999999</c:v>
                </c:pt>
                <c:pt idx="3136">
                  <c:v>0.72</c:v>
                </c:pt>
                <c:pt idx="3137">
                  <c:v>0.64</c:v>
                </c:pt>
                <c:pt idx="3138">
                  <c:v>0.9</c:v>
                </c:pt>
                <c:pt idx="3139">
                  <c:v>1.1000000000000001</c:v>
                </c:pt>
                <c:pt idx="3140">
                  <c:v>1.04</c:v>
                </c:pt>
                <c:pt idx="3141">
                  <c:v>1.04</c:v>
                </c:pt>
                <c:pt idx="3142">
                  <c:v>1.01</c:v>
                </c:pt>
                <c:pt idx="3143">
                  <c:v>1.3</c:v>
                </c:pt>
                <c:pt idx="3144">
                  <c:v>1</c:v>
                </c:pt>
                <c:pt idx="3145">
                  <c:v>0.93</c:v>
                </c:pt>
                <c:pt idx="3146">
                  <c:v>0.98</c:v>
                </c:pt>
                <c:pt idx="3147">
                  <c:v>1.02</c:v>
                </c:pt>
                <c:pt idx="3148">
                  <c:v>1.24</c:v>
                </c:pt>
                <c:pt idx="3149">
                  <c:v>0.91</c:v>
                </c:pt>
                <c:pt idx="3150">
                  <c:v>1.02</c:v>
                </c:pt>
                <c:pt idx="3151">
                  <c:v>1.03</c:v>
                </c:pt>
                <c:pt idx="3152">
                  <c:v>1.33</c:v>
                </c:pt>
                <c:pt idx="3153">
                  <c:v>0.85</c:v>
                </c:pt>
                <c:pt idx="3154">
                  <c:v>1.64</c:v>
                </c:pt>
                <c:pt idx="3155">
                  <c:v>0.88</c:v>
                </c:pt>
                <c:pt idx="3156">
                  <c:v>1.1399999999999999</c:v>
                </c:pt>
                <c:pt idx="3157">
                  <c:v>1.01</c:v>
                </c:pt>
                <c:pt idx="3158">
                  <c:v>1.02</c:v>
                </c:pt>
                <c:pt idx="3159">
                  <c:v>1.4</c:v>
                </c:pt>
                <c:pt idx="3160">
                  <c:v>1</c:v>
                </c:pt>
                <c:pt idx="3161">
                  <c:v>1.49</c:v>
                </c:pt>
                <c:pt idx="3162">
                  <c:v>1.1299999999999999</c:v>
                </c:pt>
                <c:pt idx="3163">
                  <c:v>0.93</c:v>
                </c:pt>
                <c:pt idx="3164">
                  <c:v>1.03</c:v>
                </c:pt>
                <c:pt idx="3165">
                  <c:v>1.05</c:v>
                </c:pt>
                <c:pt idx="3166">
                  <c:v>0.97</c:v>
                </c:pt>
                <c:pt idx="3167">
                  <c:v>1.25</c:v>
                </c:pt>
                <c:pt idx="3168">
                  <c:v>1.25</c:v>
                </c:pt>
                <c:pt idx="3169">
                  <c:v>1.25</c:v>
                </c:pt>
                <c:pt idx="3170">
                  <c:v>1.08</c:v>
                </c:pt>
                <c:pt idx="3171">
                  <c:v>0.92</c:v>
                </c:pt>
                <c:pt idx="3172">
                  <c:v>0.97</c:v>
                </c:pt>
                <c:pt idx="3173">
                  <c:v>1.02</c:v>
                </c:pt>
                <c:pt idx="3174">
                  <c:v>1.02</c:v>
                </c:pt>
                <c:pt idx="3175">
                  <c:v>1.04</c:v>
                </c:pt>
                <c:pt idx="3176">
                  <c:v>1.1499999999999999</c:v>
                </c:pt>
                <c:pt idx="3177">
                  <c:v>0.86</c:v>
                </c:pt>
                <c:pt idx="3178">
                  <c:v>1.01</c:v>
                </c:pt>
                <c:pt idx="3179">
                  <c:v>0.63</c:v>
                </c:pt>
                <c:pt idx="3180">
                  <c:v>0.79</c:v>
                </c:pt>
                <c:pt idx="3181">
                  <c:v>1.04</c:v>
                </c:pt>
                <c:pt idx="3182">
                  <c:v>0.75</c:v>
                </c:pt>
                <c:pt idx="3183">
                  <c:v>0.7</c:v>
                </c:pt>
                <c:pt idx="3184">
                  <c:v>0.79</c:v>
                </c:pt>
                <c:pt idx="3185">
                  <c:v>0.86</c:v>
                </c:pt>
                <c:pt idx="3186">
                  <c:v>1.01</c:v>
                </c:pt>
                <c:pt idx="3187">
                  <c:v>0.79</c:v>
                </c:pt>
                <c:pt idx="3188">
                  <c:v>1.03</c:v>
                </c:pt>
                <c:pt idx="3189">
                  <c:v>0.91</c:v>
                </c:pt>
                <c:pt idx="3190">
                  <c:v>0.87</c:v>
                </c:pt>
                <c:pt idx="3191">
                  <c:v>1.1499999999999999</c:v>
                </c:pt>
                <c:pt idx="3192">
                  <c:v>0.86</c:v>
                </c:pt>
                <c:pt idx="3193">
                  <c:v>0.99</c:v>
                </c:pt>
                <c:pt idx="3194">
                  <c:v>0.97</c:v>
                </c:pt>
                <c:pt idx="3195">
                  <c:v>0.95</c:v>
                </c:pt>
                <c:pt idx="3196">
                  <c:v>0.88</c:v>
                </c:pt>
                <c:pt idx="3197">
                  <c:v>0.6</c:v>
                </c:pt>
                <c:pt idx="3198">
                  <c:v>0.79</c:v>
                </c:pt>
                <c:pt idx="3199">
                  <c:v>0.51</c:v>
                </c:pt>
                <c:pt idx="3200">
                  <c:v>1</c:v>
                </c:pt>
                <c:pt idx="3201">
                  <c:v>0.94</c:v>
                </c:pt>
                <c:pt idx="3202">
                  <c:v>0.87</c:v>
                </c:pt>
                <c:pt idx="3203">
                  <c:v>1.19</c:v>
                </c:pt>
                <c:pt idx="3204">
                  <c:v>1.19</c:v>
                </c:pt>
                <c:pt idx="3205">
                  <c:v>1.19</c:v>
                </c:pt>
                <c:pt idx="3206">
                  <c:v>1.08</c:v>
                </c:pt>
                <c:pt idx="3207">
                  <c:v>0.8</c:v>
                </c:pt>
                <c:pt idx="3208">
                  <c:v>0.92</c:v>
                </c:pt>
                <c:pt idx="3209">
                  <c:v>0.96</c:v>
                </c:pt>
                <c:pt idx="3210">
                  <c:v>0.89</c:v>
                </c:pt>
                <c:pt idx="3211">
                  <c:v>1.1100000000000001</c:v>
                </c:pt>
                <c:pt idx="3212">
                  <c:v>0.94</c:v>
                </c:pt>
                <c:pt idx="3213">
                  <c:v>0.77</c:v>
                </c:pt>
                <c:pt idx="3214">
                  <c:v>0.98</c:v>
                </c:pt>
                <c:pt idx="3215">
                  <c:v>0.91</c:v>
                </c:pt>
                <c:pt idx="3216">
                  <c:v>0.81</c:v>
                </c:pt>
                <c:pt idx="3217">
                  <c:v>0.81</c:v>
                </c:pt>
                <c:pt idx="3218">
                  <c:v>1.1100000000000001</c:v>
                </c:pt>
                <c:pt idx="3219">
                  <c:v>0.53</c:v>
                </c:pt>
                <c:pt idx="3220">
                  <c:v>0.9</c:v>
                </c:pt>
                <c:pt idx="3221">
                  <c:v>0.76</c:v>
                </c:pt>
                <c:pt idx="3222">
                  <c:v>0.97</c:v>
                </c:pt>
                <c:pt idx="3223">
                  <c:v>0.84</c:v>
                </c:pt>
                <c:pt idx="3224">
                  <c:v>1.06</c:v>
                </c:pt>
                <c:pt idx="3225">
                  <c:v>0.92</c:v>
                </c:pt>
                <c:pt idx="3226">
                  <c:v>0.94</c:v>
                </c:pt>
                <c:pt idx="3227">
                  <c:v>0.81</c:v>
                </c:pt>
                <c:pt idx="3228">
                  <c:v>1.36</c:v>
                </c:pt>
                <c:pt idx="3229">
                  <c:v>0.98</c:v>
                </c:pt>
                <c:pt idx="3230">
                  <c:v>0.88</c:v>
                </c:pt>
                <c:pt idx="3231">
                  <c:v>0.9</c:v>
                </c:pt>
                <c:pt idx="3232">
                  <c:v>1.18</c:v>
                </c:pt>
                <c:pt idx="3233">
                  <c:v>0.97</c:v>
                </c:pt>
                <c:pt idx="3234">
                  <c:v>0.53</c:v>
                </c:pt>
                <c:pt idx="3235">
                  <c:v>0.87</c:v>
                </c:pt>
                <c:pt idx="3236">
                  <c:v>0.8</c:v>
                </c:pt>
                <c:pt idx="3237">
                  <c:v>0.97</c:v>
                </c:pt>
                <c:pt idx="3238">
                  <c:v>0.8</c:v>
                </c:pt>
                <c:pt idx="3239">
                  <c:v>0.94</c:v>
                </c:pt>
                <c:pt idx="3240">
                  <c:v>0.84</c:v>
                </c:pt>
                <c:pt idx="3241">
                  <c:v>0.84</c:v>
                </c:pt>
                <c:pt idx="3242">
                  <c:v>0.84</c:v>
                </c:pt>
                <c:pt idx="3243">
                  <c:v>0.98</c:v>
                </c:pt>
                <c:pt idx="3244">
                  <c:v>1.0900000000000001</c:v>
                </c:pt>
                <c:pt idx="3245">
                  <c:v>1.04</c:v>
                </c:pt>
                <c:pt idx="3246">
                  <c:v>0.83</c:v>
                </c:pt>
                <c:pt idx="3247">
                  <c:v>0.88</c:v>
                </c:pt>
                <c:pt idx="3248">
                  <c:v>1.18</c:v>
                </c:pt>
                <c:pt idx="3249">
                  <c:v>0.99</c:v>
                </c:pt>
                <c:pt idx="3250">
                  <c:v>0.95</c:v>
                </c:pt>
                <c:pt idx="3251">
                  <c:v>0.82</c:v>
                </c:pt>
                <c:pt idx="3252">
                  <c:v>1.03</c:v>
                </c:pt>
                <c:pt idx="3253">
                  <c:v>1.03</c:v>
                </c:pt>
                <c:pt idx="3254">
                  <c:v>0.92</c:v>
                </c:pt>
                <c:pt idx="3255">
                  <c:v>0.9</c:v>
                </c:pt>
                <c:pt idx="3256">
                  <c:v>0.88</c:v>
                </c:pt>
                <c:pt idx="3257">
                  <c:v>0.88</c:v>
                </c:pt>
                <c:pt idx="3258">
                  <c:v>0.89</c:v>
                </c:pt>
                <c:pt idx="3259">
                  <c:v>0.95</c:v>
                </c:pt>
                <c:pt idx="3260">
                  <c:v>0.94</c:v>
                </c:pt>
                <c:pt idx="3261">
                  <c:v>1.05</c:v>
                </c:pt>
                <c:pt idx="3262">
                  <c:v>1.05</c:v>
                </c:pt>
                <c:pt idx="3263">
                  <c:v>1.03</c:v>
                </c:pt>
                <c:pt idx="3264">
                  <c:v>0.49</c:v>
                </c:pt>
                <c:pt idx="3265">
                  <c:v>0.49</c:v>
                </c:pt>
                <c:pt idx="3266">
                  <c:v>0.9</c:v>
                </c:pt>
                <c:pt idx="3267">
                  <c:v>0.85</c:v>
                </c:pt>
                <c:pt idx="3268">
                  <c:v>0.85</c:v>
                </c:pt>
                <c:pt idx="3269">
                  <c:v>0.86</c:v>
                </c:pt>
                <c:pt idx="3270">
                  <c:v>0.51</c:v>
                </c:pt>
                <c:pt idx="3271">
                  <c:v>0.86</c:v>
                </c:pt>
                <c:pt idx="3272">
                  <c:v>0.93</c:v>
                </c:pt>
                <c:pt idx="3273">
                  <c:v>1.18</c:v>
                </c:pt>
                <c:pt idx="3274">
                  <c:v>0.91</c:v>
                </c:pt>
                <c:pt idx="3275">
                  <c:v>1.1599999999999999</c:v>
                </c:pt>
                <c:pt idx="3276">
                  <c:v>0.76</c:v>
                </c:pt>
                <c:pt idx="3277">
                  <c:v>0.94</c:v>
                </c:pt>
                <c:pt idx="3278">
                  <c:v>0.94</c:v>
                </c:pt>
                <c:pt idx="3279">
                  <c:v>1.04</c:v>
                </c:pt>
                <c:pt idx="3280">
                  <c:v>0.91</c:v>
                </c:pt>
                <c:pt idx="3281">
                  <c:v>0.82</c:v>
                </c:pt>
                <c:pt idx="3282">
                  <c:v>1.07</c:v>
                </c:pt>
                <c:pt idx="3283">
                  <c:v>0.79</c:v>
                </c:pt>
                <c:pt idx="3284">
                  <c:v>0.91</c:v>
                </c:pt>
                <c:pt idx="3285">
                  <c:v>1.1499999999999999</c:v>
                </c:pt>
                <c:pt idx="3286">
                  <c:v>1.1499999999999999</c:v>
                </c:pt>
                <c:pt idx="3287">
                  <c:v>0.87</c:v>
                </c:pt>
                <c:pt idx="3288">
                  <c:v>0.87</c:v>
                </c:pt>
                <c:pt idx="3289">
                  <c:v>0.68</c:v>
                </c:pt>
                <c:pt idx="3290">
                  <c:v>1.06</c:v>
                </c:pt>
                <c:pt idx="3291">
                  <c:v>0.82</c:v>
                </c:pt>
                <c:pt idx="3292">
                  <c:v>0.82</c:v>
                </c:pt>
                <c:pt idx="3293">
                  <c:v>0.82</c:v>
                </c:pt>
                <c:pt idx="3294">
                  <c:v>1.08</c:v>
                </c:pt>
                <c:pt idx="3295">
                  <c:v>1.1599999999999999</c:v>
                </c:pt>
                <c:pt idx="3296">
                  <c:v>1.1599999999999999</c:v>
                </c:pt>
                <c:pt idx="3297">
                  <c:v>1.1599999999999999</c:v>
                </c:pt>
                <c:pt idx="3298">
                  <c:v>1.1599999999999999</c:v>
                </c:pt>
                <c:pt idx="3299">
                  <c:v>1.04</c:v>
                </c:pt>
                <c:pt idx="3300">
                  <c:v>1.2</c:v>
                </c:pt>
                <c:pt idx="3301">
                  <c:v>0.89</c:v>
                </c:pt>
                <c:pt idx="3302">
                  <c:v>0.89</c:v>
                </c:pt>
                <c:pt idx="3303">
                  <c:v>0.95</c:v>
                </c:pt>
                <c:pt idx="3304">
                  <c:v>1.06</c:v>
                </c:pt>
                <c:pt idx="3305">
                  <c:v>0.84</c:v>
                </c:pt>
                <c:pt idx="3306">
                  <c:v>0.92</c:v>
                </c:pt>
                <c:pt idx="3307">
                  <c:v>1.05</c:v>
                </c:pt>
                <c:pt idx="3308">
                  <c:v>1.1000000000000001</c:v>
                </c:pt>
                <c:pt idx="3309">
                  <c:v>0.96</c:v>
                </c:pt>
                <c:pt idx="3310">
                  <c:v>0.82</c:v>
                </c:pt>
                <c:pt idx="3311">
                  <c:v>1.19</c:v>
                </c:pt>
                <c:pt idx="3312">
                  <c:v>1.19</c:v>
                </c:pt>
                <c:pt idx="3313">
                  <c:v>0.95</c:v>
                </c:pt>
                <c:pt idx="3314">
                  <c:v>0.94</c:v>
                </c:pt>
                <c:pt idx="3315">
                  <c:v>0.94</c:v>
                </c:pt>
                <c:pt idx="3316">
                  <c:v>0.94</c:v>
                </c:pt>
                <c:pt idx="3317">
                  <c:v>1.03</c:v>
                </c:pt>
                <c:pt idx="3318">
                  <c:v>0.98</c:v>
                </c:pt>
                <c:pt idx="3319">
                  <c:v>1.04</c:v>
                </c:pt>
                <c:pt idx="3320">
                  <c:v>1.57</c:v>
                </c:pt>
                <c:pt idx="3321">
                  <c:v>0.92</c:v>
                </c:pt>
                <c:pt idx="3322">
                  <c:v>0.83</c:v>
                </c:pt>
                <c:pt idx="3323">
                  <c:v>0.57999999999999996</c:v>
                </c:pt>
                <c:pt idx="3324">
                  <c:v>0.81</c:v>
                </c:pt>
                <c:pt idx="3325">
                  <c:v>0.46</c:v>
                </c:pt>
                <c:pt idx="3326">
                  <c:v>0.84</c:v>
                </c:pt>
                <c:pt idx="3327">
                  <c:v>1.01</c:v>
                </c:pt>
                <c:pt idx="3328">
                  <c:v>0.81</c:v>
                </c:pt>
                <c:pt idx="3329">
                  <c:v>0.98</c:v>
                </c:pt>
                <c:pt idx="3330">
                  <c:v>0.93</c:v>
                </c:pt>
                <c:pt idx="3331">
                  <c:v>1</c:v>
                </c:pt>
                <c:pt idx="3332">
                  <c:v>0.77</c:v>
                </c:pt>
                <c:pt idx="3333">
                  <c:v>0.81</c:v>
                </c:pt>
                <c:pt idx="3334">
                  <c:v>0.65</c:v>
                </c:pt>
                <c:pt idx="3335">
                  <c:v>1.1599999999999999</c:v>
                </c:pt>
                <c:pt idx="3336">
                  <c:v>1.01</c:v>
                </c:pt>
                <c:pt idx="3337">
                  <c:v>1.17</c:v>
                </c:pt>
                <c:pt idx="3338">
                  <c:v>1.17</c:v>
                </c:pt>
                <c:pt idx="3339">
                  <c:v>1.17</c:v>
                </c:pt>
                <c:pt idx="3340">
                  <c:v>1.17</c:v>
                </c:pt>
                <c:pt idx="3341">
                  <c:v>0.84</c:v>
                </c:pt>
                <c:pt idx="3342">
                  <c:v>1.3</c:v>
                </c:pt>
                <c:pt idx="3343">
                  <c:v>1.0900000000000001</c:v>
                </c:pt>
                <c:pt idx="3344">
                  <c:v>0.98</c:v>
                </c:pt>
                <c:pt idx="3345">
                  <c:v>1.19</c:v>
                </c:pt>
                <c:pt idx="3346">
                  <c:v>0.94</c:v>
                </c:pt>
                <c:pt idx="3347">
                  <c:v>0.93</c:v>
                </c:pt>
                <c:pt idx="3348">
                  <c:v>0.96</c:v>
                </c:pt>
                <c:pt idx="3349">
                  <c:v>1.19</c:v>
                </c:pt>
                <c:pt idx="3350">
                  <c:v>0.95</c:v>
                </c:pt>
                <c:pt idx="3351">
                  <c:v>1.21</c:v>
                </c:pt>
                <c:pt idx="3352">
                  <c:v>0.73</c:v>
                </c:pt>
                <c:pt idx="3353">
                  <c:v>0.73</c:v>
                </c:pt>
                <c:pt idx="3354">
                  <c:v>0.73</c:v>
                </c:pt>
                <c:pt idx="3355">
                  <c:v>0.73</c:v>
                </c:pt>
                <c:pt idx="3356">
                  <c:v>0.73</c:v>
                </c:pt>
                <c:pt idx="3357">
                  <c:v>0.73</c:v>
                </c:pt>
                <c:pt idx="3358">
                  <c:v>0.85</c:v>
                </c:pt>
                <c:pt idx="3359">
                  <c:v>0.67</c:v>
                </c:pt>
                <c:pt idx="3360">
                  <c:v>0.93</c:v>
                </c:pt>
                <c:pt idx="3361">
                  <c:v>1.05</c:v>
                </c:pt>
                <c:pt idx="3362">
                  <c:v>1.01</c:v>
                </c:pt>
                <c:pt idx="3363">
                  <c:v>1.01</c:v>
                </c:pt>
                <c:pt idx="3364">
                  <c:v>1.19</c:v>
                </c:pt>
                <c:pt idx="3365">
                  <c:v>0.99</c:v>
                </c:pt>
                <c:pt idx="3366">
                  <c:v>1.04</c:v>
                </c:pt>
                <c:pt idx="3367">
                  <c:v>0.76</c:v>
                </c:pt>
                <c:pt idx="3368">
                  <c:v>0.99</c:v>
                </c:pt>
                <c:pt idx="3372">
                  <c:v>1.03</c:v>
                </c:pt>
                <c:pt idx="3373">
                  <c:v>1.01</c:v>
                </c:pt>
                <c:pt idx="3374">
                  <c:v>1.45</c:v>
                </c:pt>
                <c:pt idx="3375">
                  <c:v>0.95</c:v>
                </c:pt>
                <c:pt idx="3376">
                  <c:v>1.1499999999999999</c:v>
                </c:pt>
                <c:pt idx="3377">
                  <c:v>1.25</c:v>
                </c:pt>
                <c:pt idx="3378">
                  <c:v>0.9</c:v>
                </c:pt>
                <c:pt idx="3379">
                  <c:v>1.03</c:v>
                </c:pt>
                <c:pt idx="3380">
                  <c:v>0.94</c:v>
                </c:pt>
                <c:pt idx="3381">
                  <c:v>0.86</c:v>
                </c:pt>
                <c:pt idx="3386">
                  <c:v>1.23</c:v>
                </c:pt>
                <c:pt idx="3387">
                  <c:v>0.84</c:v>
                </c:pt>
                <c:pt idx="3388">
                  <c:v>1.06</c:v>
                </c:pt>
                <c:pt idx="3389">
                  <c:v>0.98</c:v>
                </c:pt>
                <c:pt idx="3390">
                  <c:v>1.1499999999999999</c:v>
                </c:pt>
                <c:pt idx="3391">
                  <c:v>1.03</c:v>
                </c:pt>
                <c:pt idx="3392">
                  <c:v>1.03</c:v>
                </c:pt>
                <c:pt idx="3393">
                  <c:v>1.05</c:v>
                </c:pt>
                <c:pt idx="3394">
                  <c:v>0.93</c:v>
                </c:pt>
                <c:pt idx="3395">
                  <c:v>0.81</c:v>
                </c:pt>
                <c:pt idx="3396">
                  <c:v>0.98</c:v>
                </c:pt>
                <c:pt idx="3400">
                  <c:v>1.07</c:v>
                </c:pt>
                <c:pt idx="3401">
                  <c:v>0.99</c:v>
                </c:pt>
                <c:pt idx="3402">
                  <c:v>0.92</c:v>
                </c:pt>
                <c:pt idx="3403">
                  <c:v>0.64</c:v>
                </c:pt>
                <c:pt idx="3404">
                  <c:v>0.7</c:v>
                </c:pt>
                <c:pt idx="3405">
                  <c:v>1.08</c:v>
                </c:pt>
                <c:pt idx="3406">
                  <c:v>1.03</c:v>
                </c:pt>
                <c:pt idx="3407">
                  <c:v>0.85</c:v>
                </c:pt>
                <c:pt idx="3408">
                  <c:v>0.98</c:v>
                </c:pt>
                <c:pt idx="3409">
                  <c:v>1.22</c:v>
                </c:pt>
                <c:pt idx="3415">
                  <c:v>1.04</c:v>
                </c:pt>
                <c:pt idx="3416">
                  <c:v>0.85</c:v>
                </c:pt>
                <c:pt idx="3417">
                  <c:v>0.78</c:v>
                </c:pt>
                <c:pt idx="3418">
                  <c:v>1.02</c:v>
                </c:pt>
                <c:pt idx="3419">
                  <c:v>0.59</c:v>
                </c:pt>
                <c:pt idx="3420">
                  <c:v>0.79</c:v>
                </c:pt>
                <c:pt idx="3421">
                  <c:v>0.94</c:v>
                </c:pt>
                <c:pt idx="3422">
                  <c:v>0.83</c:v>
                </c:pt>
                <c:pt idx="3423">
                  <c:v>1.01</c:v>
                </c:pt>
                <c:pt idx="3424">
                  <c:v>1.23</c:v>
                </c:pt>
                <c:pt idx="3429">
                  <c:v>1.06</c:v>
                </c:pt>
                <c:pt idx="3430">
                  <c:v>0.89</c:v>
                </c:pt>
                <c:pt idx="3431">
                  <c:v>1.19</c:v>
                </c:pt>
                <c:pt idx="3432">
                  <c:v>1.3</c:v>
                </c:pt>
                <c:pt idx="3433">
                  <c:v>1.17</c:v>
                </c:pt>
                <c:pt idx="3434">
                  <c:v>1.03</c:v>
                </c:pt>
                <c:pt idx="3435">
                  <c:v>0.96</c:v>
                </c:pt>
                <c:pt idx="3436">
                  <c:v>0.99</c:v>
                </c:pt>
                <c:pt idx="3437">
                  <c:v>0.96</c:v>
                </c:pt>
                <c:pt idx="3438">
                  <c:v>0.81</c:v>
                </c:pt>
                <c:pt idx="3439">
                  <c:v>1.04</c:v>
                </c:pt>
                <c:pt idx="3440">
                  <c:v>0.82</c:v>
                </c:pt>
                <c:pt idx="3441">
                  <c:v>0.88</c:v>
                </c:pt>
                <c:pt idx="3442">
                  <c:v>0.96</c:v>
                </c:pt>
                <c:pt idx="3443">
                  <c:v>1</c:v>
                </c:pt>
                <c:pt idx="3444">
                  <c:v>0.93</c:v>
                </c:pt>
                <c:pt idx="3445">
                  <c:v>0.75</c:v>
                </c:pt>
                <c:pt idx="3446">
                  <c:v>0.92</c:v>
                </c:pt>
                <c:pt idx="3447">
                  <c:v>0.93</c:v>
                </c:pt>
                <c:pt idx="3448">
                  <c:v>0.97</c:v>
                </c:pt>
                <c:pt idx="3449">
                  <c:v>1.1000000000000001</c:v>
                </c:pt>
                <c:pt idx="3450">
                  <c:v>1.1000000000000001</c:v>
                </c:pt>
                <c:pt idx="3451">
                  <c:v>1.01</c:v>
                </c:pt>
                <c:pt idx="3452">
                  <c:v>1.1100000000000001</c:v>
                </c:pt>
                <c:pt idx="3453">
                  <c:v>1.05</c:v>
                </c:pt>
                <c:pt idx="3454">
                  <c:v>1.18</c:v>
                </c:pt>
                <c:pt idx="3455">
                  <c:v>1.0900000000000001</c:v>
                </c:pt>
                <c:pt idx="3456">
                  <c:v>1.06</c:v>
                </c:pt>
                <c:pt idx="3457">
                  <c:v>0.81</c:v>
                </c:pt>
                <c:pt idx="3458">
                  <c:v>0.85</c:v>
                </c:pt>
                <c:pt idx="3459">
                  <c:v>0.81</c:v>
                </c:pt>
                <c:pt idx="3460">
                  <c:v>1.02</c:v>
                </c:pt>
                <c:pt idx="3461">
                  <c:v>1.46</c:v>
                </c:pt>
                <c:pt idx="3462">
                  <c:v>1.06</c:v>
                </c:pt>
                <c:pt idx="3463">
                  <c:v>0.9</c:v>
                </c:pt>
                <c:pt idx="3464">
                  <c:v>1.06</c:v>
                </c:pt>
                <c:pt idx="3465">
                  <c:v>1</c:v>
                </c:pt>
                <c:pt idx="3466">
                  <c:v>1.21</c:v>
                </c:pt>
                <c:pt idx="3467">
                  <c:v>1.1000000000000001</c:v>
                </c:pt>
                <c:pt idx="3468">
                  <c:v>1.19</c:v>
                </c:pt>
                <c:pt idx="3469">
                  <c:v>1.19</c:v>
                </c:pt>
                <c:pt idx="3470">
                  <c:v>0.97</c:v>
                </c:pt>
                <c:pt idx="3471">
                  <c:v>1.1399999999999999</c:v>
                </c:pt>
                <c:pt idx="3472">
                  <c:v>1.0900000000000001</c:v>
                </c:pt>
                <c:pt idx="3473">
                  <c:v>1.06</c:v>
                </c:pt>
                <c:pt idx="3474">
                  <c:v>0.75</c:v>
                </c:pt>
                <c:pt idx="3475">
                  <c:v>1</c:v>
                </c:pt>
                <c:pt idx="3476">
                  <c:v>0.87</c:v>
                </c:pt>
                <c:pt idx="3477">
                  <c:v>0.65</c:v>
                </c:pt>
                <c:pt idx="3478">
                  <c:v>0.84</c:v>
                </c:pt>
                <c:pt idx="3479">
                  <c:v>1.03</c:v>
                </c:pt>
                <c:pt idx="3480">
                  <c:v>0.65</c:v>
                </c:pt>
                <c:pt idx="3481">
                  <c:v>0.93</c:v>
                </c:pt>
                <c:pt idx="3482">
                  <c:v>1.07</c:v>
                </c:pt>
                <c:pt idx="3483">
                  <c:v>1.07</c:v>
                </c:pt>
                <c:pt idx="3484">
                  <c:v>1.07</c:v>
                </c:pt>
                <c:pt idx="3485">
                  <c:v>0.78</c:v>
                </c:pt>
                <c:pt idx="3486">
                  <c:v>0.59</c:v>
                </c:pt>
                <c:pt idx="3487">
                  <c:v>0.95</c:v>
                </c:pt>
                <c:pt idx="3488">
                  <c:v>0.98</c:v>
                </c:pt>
                <c:pt idx="3489">
                  <c:v>0.98</c:v>
                </c:pt>
                <c:pt idx="3490">
                  <c:v>1.1599999999999999</c:v>
                </c:pt>
                <c:pt idx="3491">
                  <c:v>0.95</c:v>
                </c:pt>
                <c:pt idx="3492">
                  <c:v>1.06</c:v>
                </c:pt>
                <c:pt idx="3493">
                  <c:v>1.08</c:v>
                </c:pt>
                <c:pt idx="3494">
                  <c:v>1.1100000000000001</c:v>
                </c:pt>
                <c:pt idx="3495">
                  <c:v>1.17</c:v>
                </c:pt>
                <c:pt idx="3496">
                  <c:v>1.31</c:v>
                </c:pt>
                <c:pt idx="3497">
                  <c:v>1.26</c:v>
                </c:pt>
                <c:pt idx="3498">
                  <c:v>1.34</c:v>
                </c:pt>
                <c:pt idx="3499">
                  <c:v>1.07</c:v>
                </c:pt>
                <c:pt idx="3500">
                  <c:v>0.63</c:v>
                </c:pt>
                <c:pt idx="3501">
                  <c:v>1.1000000000000001</c:v>
                </c:pt>
                <c:pt idx="3502">
                  <c:v>1.21</c:v>
                </c:pt>
                <c:pt idx="3503">
                  <c:v>0.85</c:v>
                </c:pt>
                <c:pt idx="3504">
                  <c:v>0.8</c:v>
                </c:pt>
                <c:pt idx="3505">
                  <c:v>1.1100000000000001</c:v>
                </c:pt>
                <c:pt idx="3506">
                  <c:v>1.1499999999999999</c:v>
                </c:pt>
                <c:pt idx="3510">
                  <c:v>0.89</c:v>
                </c:pt>
                <c:pt idx="3511">
                  <c:v>0.89</c:v>
                </c:pt>
                <c:pt idx="3512">
                  <c:v>0.93</c:v>
                </c:pt>
                <c:pt idx="3513">
                  <c:v>0.95</c:v>
                </c:pt>
                <c:pt idx="3514">
                  <c:v>1.1100000000000001</c:v>
                </c:pt>
                <c:pt idx="3515">
                  <c:v>1.1399999999999999</c:v>
                </c:pt>
                <c:pt idx="3516">
                  <c:v>0.77</c:v>
                </c:pt>
                <c:pt idx="3517">
                  <c:v>1.01</c:v>
                </c:pt>
                <c:pt idx="3518">
                  <c:v>0.99</c:v>
                </c:pt>
                <c:pt idx="3519">
                  <c:v>0.73</c:v>
                </c:pt>
                <c:pt idx="3520">
                  <c:v>1.01</c:v>
                </c:pt>
                <c:pt idx="3521">
                  <c:v>1.0900000000000001</c:v>
                </c:pt>
                <c:pt idx="3522">
                  <c:v>1.0900000000000001</c:v>
                </c:pt>
                <c:pt idx="3523">
                  <c:v>1.25</c:v>
                </c:pt>
                <c:pt idx="3524">
                  <c:v>0.86</c:v>
                </c:pt>
                <c:pt idx="3525">
                  <c:v>0.87</c:v>
                </c:pt>
                <c:pt idx="3526">
                  <c:v>0.87</c:v>
                </c:pt>
                <c:pt idx="3527">
                  <c:v>0.81</c:v>
                </c:pt>
                <c:pt idx="3528">
                  <c:v>0.78</c:v>
                </c:pt>
                <c:pt idx="3529">
                  <c:v>0.92</c:v>
                </c:pt>
                <c:pt idx="3530">
                  <c:v>1.1499999999999999</c:v>
                </c:pt>
                <c:pt idx="3531">
                  <c:v>1.1499999999999999</c:v>
                </c:pt>
                <c:pt idx="3532">
                  <c:v>0.92</c:v>
                </c:pt>
                <c:pt idx="3533">
                  <c:v>0.88</c:v>
                </c:pt>
                <c:pt idx="3534">
                  <c:v>0.81</c:v>
                </c:pt>
                <c:pt idx="3535">
                  <c:v>0.81</c:v>
                </c:pt>
                <c:pt idx="3536">
                  <c:v>0.97</c:v>
                </c:pt>
                <c:pt idx="3537">
                  <c:v>0.89</c:v>
                </c:pt>
                <c:pt idx="3538">
                  <c:v>0.81</c:v>
                </c:pt>
                <c:pt idx="3539">
                  <c:v>0.93</c:v>
                </c:pt>
                <c:pt idx="3540">
                  <c:v>0.86</c:v>
                </c:pt>
                <c:pt idx="3541">
                  <c:v>0.97</c:v>
                </c:pt>
                <c:pt idx="3542">
                  <c:v>0.94</c:v>
                </c:pt>
                <c:pt idx="3543">
                  <c:v>0.9</c:v>
                </c:pt>
                <c:pt idx="3544">
                  <c:v>0.96</c:v>
                </c:pt>
                <c:pt idx="3545">
                  <c:v>0.89</c:v>
                </c:pt>
                <c:pt idx="3546">
                  <c:v>1.08</c:v>
                </c:pt>
                <c:pt idx="3547">
                  <c:v>1.02</c:v>
                </c:pt>
                <c:pt idx="3548">
                  <c:v>0.77</c:v>
                </c:pt>
                <c:pt idx="3549">
                  <c:v>1</c:v>
                </c:pt>
                <c:pt idx="3550">
                  <c:v>0.95</c:v>
                </c:pt>
                <c:pt idx="3551">
                  <c:v>0.95</c:v>
                </c:pt>
                <c:pt idx="3552">
                  <c:v>0.82</c:v>
                </c:pt>
                <c:pt idx="3553">
                  <c:v>0.89</c:v>
                </c:pt>
                <c:pt idx="3554">
                  <c:v>1.1000000000000001</c:v>
                </c:pt>
                <c:pt idx="3555">
                  <c:v>0.81</c:v>
                </c:pt>
                <c:pt idx="3556">
                  <c:v>0.91</c:v>
                </c:pt>
                <c:pt idx="3557">
                  <c:v>1.6</c:v>
                </c:pt>
                <c:pt idx="3558">
                  <c:v>1</c:v>
                </c:pt>
                <c:pt idx="3559">
                  <c:v>0.77</c:v>
                </c:pt>
                <c:pt idx="3560">
                  <c:v>0.96</c:v>
                </c:pt>
                <c:pt idx="3561">
                  <c:v>0.93</c:v>
                </c:pt>
                <c:pt idx="3562">
                  <c:v>0.91</c:v>
                </c:pt>
                <c:pt idx="3563">
                  <c:v>0.93</c:v>
                </c:pt>
                <c:pt idx="3564">
                  <c:v>1.05</c:v>
                </c:pt>
                <c:pt idx="3565">
                  <c:v>1.02</c:v>
                </c:pt>
                <c:pt idx="3566">
                  <c:v>0.84</c:v>
                </c:pt>
                <c:pt idx="3567">
                  <c:v>0.84</c:v>
                </c:pt>
                <c:pt idx="3568">
                  <c:v>0.76</c:v>
                </c:pt>
                <c:pt idx="3569">
                  <c:v>0.76</c:v>
                </c:pt>
                <c:pt idx="3570">
                  <c:v>0.92</c:v>
                </c:pt>
                <c:pt idx="3571">
                  <c:v>0.92</c:v>
                </c:pt>
                <c:pt idx="3572">
                  <c:v>0.94</c:v>
                </c:pt>
                <c:pt idx="3573">
                  <c:v>0.94</c:v>
                </c:pt>
                <c:pt idx="3574">
                  <c:v>0.7</c:v>
                </c:pt>
                <c:pt idx="3575">
                  <c:v>0.88</c:v>
                </c:pt>
                <c:pt idx="3576">
                  <c:v>1.1499999999999999</c:v>
                </c:pt>
                <c:pt idx="3577">
                  <c:v>0.86</c:v>
                </c:pt>
                <c:pt idx="3578">
                  <c:v>0.52</c:v>
                </c:pt>
                <c:pt idx="3579">
                  <c:v>0.8</c:v>
                </c:pt>
                <c:pt idx="3580">
                  <c:v>0.87</c:v>
                </c:pt>
                <c:pt idx="3581">
                  <c:v>0.87</c:v>
                </c:pt>
                <c:pt idx="3582">
                  <c:v>1.07</c:v>
                </c:pt>
                <c:pt idx="3583">
                  <c:v>0.87</c:v>
                </c:pt>
                <c:pt idx="3584">
                  <c:v>0.99</c:v>
                </c:pt>
                <c:pt idx="3585">
                  <c:v>1.05</c:v>
                </c:pt>
                <c:pt idx="3586">
                  <c:v>0.98</c:v>
                </c:pt>
                <c:pt idx="3587">
                  <c:v>1.1599999999999999</c:v>
                </c:pt>
                <c:pt idx="3588">
                  <c:v>1.1299999999999999</c:v>
                </c:pt>
                <c:pt idx="3589">
                  <c:v>0.96</c:v>
                </c:pt>
                <c:pt idx="3590">
                  <c:v>0.91</c:v>
                </c:pt>
                <c:pt idx="3591">
                  <c:v>0.96</c:v>
                </c:pt>
                <c:pt idx="3592">
                  <c:v>0.97</c:v>
                </c:pt>
                <c:pt idx="3593">
                  <c:v>0.55000000000000004</c:v>
                </c:pt>
                <c:pt idx="3594">
                  <c:v>0.82</c:v>
                </c:pt>
                <c:pt idx="3595">
                  <c:v>0.79</c:v>
                </c:pt>
                <c:pt idx="3596">
                  <c:v>1.05</c:v>
                </c:pt>
                <c:pt idx="3597">
                  <c:v>1.05</c:v>
                </c:pt>
                <c:pt idx="3598">
                  <c:v>0.64</c:v>
                </c:pt>
                <c:pt idx="3599">
                  <c:v>0.8</c:v>
                </c:pt>
                <c:pt idx="3600">
                  <c:v>0.56999999999999995</c:v>
                </c:pt>
                <c:pt idx="3601">
                  <c:v>0.56000000000000005</c:v>
                </c:pt>
                <c:pt idx="3602">
                  <c:v>0.83</c:v>
                </c:pt>
                <c:pt idx="3603">
                  <c:v>1.0900000000000001</c:v>
                </c:pt>
                <c:pt idx="3604">
                  <c:v>1.22</c:v>
                </c:pt>
                <c:pt idx="3605">
                  <c:v>1.1200000000000001</c:v>
                </c:pt>
                <c:pt idx="3606">
                  <c:v>1.29</c:v>
                </c:pt>
                <c:pt idx="3607">
                  <c:v>0.18</c:v>
                </c:pt>
                <c:pt idx="3608">
                  <c:v>0.18</c:v>
                </c:pt>
                <c:pt idx="3609">
                  <c:v>0.15</c:v>
                </c:pt>
                <c:pt idx="3612">
                  <c:v>0.87</c:v>
                </c:pt>
                <c:pt idx="3613">
                  <c:v>1.72</c:v>
                </c:pt>
                <c:pt idx="3614">
                  <c:v>0.06</c:v>
                </c:pt>
                <c:pt idx="3615">
                  <c:v>0.3</c:v>
                </c:pt>
                <c:pt idx="3616">
                  <c:v>0.21</c:v>
                </c:pt>
                <c:pt idx="3617">
                  <c:v>0.56000000000000005</c:v>
                </c:pt>
                <c:pt idx="3618">
                  <c:v>0.56000000000000005</c:v>
                </c:pt>
                <c:pt idx="3619">
                  <c:v>0.38</c:v>
                </c:pt>
                <c:pt idx="3620">
                  <c:v>0.19</c:v>
                </c:pt>
                <c:pt idx="3621">
                  <c:v>0.16</c:v>
                </c:pt>
                <c:pt idx="3622">
                  <c:v>0.57999999999999996</c:v>
                </c:pt>
                <c:pt idx="3623">
                  <c:v>0.11</c:v>
                </c:pt>
                <c:pt idx="3624">
                  <c:v>0.18</c:v>
                </c:pt>
                <c:pt idx="3625">
                  <c:v>0.67</c:v>
                </c:pt>
                <c:pt idx="3626">
                  <c:v>0.75</c:v>
                </c:pt>
                <c:pt idx="3627">
                  <c:v>0.12</c:v>
                </c:pt>
                <c:pt idx="3628">
                  <c:v>0.15</c:v>
                </c:pt>
                <c:pt idx="3629">
                  <c:v>0.86</c:v>
                </c:pt>
                <c:pt idx="3630">
                  <c:v>0.39</c:v>
                </c:pt>
                <c:pt idx="3631">
                  <c:v>0.49</c:v>
                </c:pt>
                <c:pt idx="3632">
                  <c:v>0.1</c:v>
                </c:pt>
                <c:pt idx="3633">
                  <c:v>0.03</c:v>
                </c:pt>
                <c:pt idx="3634">
                  <c:v>0.01</c:v>
                </c:pt>
                <c:pt idx="3635">
                  <c:v>0.28999999999999998</c:v>
                </c:pt>
                <c:pt idx="3636">
                  <c:v>0.15</c:v>
                </c:pt>
                <c:pt idx="3637">
                  <c:v>0.75</c:v>
                </c:pt>
                <c:pt idx="3638">
                  <c:v>1.98</c:v>
                </c:pt>
                <c:pt idx="3639">
                  <c:v>9.06</c:v>
                </c:pt>
                <c:pt idx="3640">
                  <c:v>1.37</c:v>
                </c:pt>
                <c:pt idx="3641">
                  <c:v>1.01</c:v>
                </c:pt>
                <c:pt idx="3642">
                  <c:v>0.96</c:v>
                </c:pt>
                <c:pt idx="3643">
                  <c:v>1.1399999999999999</c:v>
                </c:pt>
                <c:pt idx="3644">
                  <c:v>0.62</c:v>
                </c:pt>
                <c:pt idx="3645">
                  <c:v>1.64</c:v>
                </c:pt>
                <c:pt idx="3646">
                  <c:v>1.02</c:v>
                </c:pt>
                <c:pt idx="3647">
                  <c:v>0.75</c:v>
                </c:pt>
                <c:pt idx="3648">
                  <c:v>0.66</c:v>
                </c:pt>
                <c:pt idx="3649">
                  <c:v>0.54</c:v>
                </c:pt>
                <c:pt idx="3650">
                  <c:v>0.54</c:v>
                </c:pt>
                <c:pt idx="3652">
                  <c:v>0.63</c:v>
                </c:pt>
                <c:pt idx="3653">
                  <c:v>0.46</c:v>
                </c:pt>
                <c:pt idx="3654">
                  <c:v>0.69</c:v>
                </c:pt>
                <c:pt idx="3655">
                  <c:v>0.22</c:v>
                </c:pt>
                <c:pt idx="3656">
                  <c:v>0.51</c:v>
                </c:pt>
                <c:pt idx="3657">
                  <c:v>0.51</c:v>
                </c:pt>
                <c:pt idx="3658">
                  <c:v>0.41</c:v>
                </c:pt>
                <c:pt idx="3659">
                  <c:v>0.64</c:v>
                </c:pt>
                <c:pt idx="3660">
                  <c:v>0.71</c:v>
                </c:pt>
                <c:pt idx="3661">
                  <c:v>0.37</c:v>
                </c:pt>
                <c:pt idx="3662">
                  <c:v>0.41</c:v>
                </c:pt>
                <c:pt idx="3663">
                  <c:v>0.26</c:v>
                </c:pt>
                <c:pt idx="3664">
                  <c:v>0.21</c:v>
                </c:pt>
                <c:pt idx="3665">
                  <c:v>1.06</c:v>
                </c:pt>
                <c:pt idx="3666">
                  <c:v>1.06</c:v>
                </c:pt>
                <c:pt idx="3667">
                  <c:v>0.02</c:v>
                </c:pt>
                <c:pt idx="3668">
                  <c:v>0.44</c:v>
                </c:pt>
                <c:pt idx="3669">
                  <c:v>0.34</c:v>
                </c:pt>
                <c:pt idx="3670">
                  <c:v>0.28999999999999998</c:v>
                </c:pt>
                <c:pt idx="3671">
                  <c:v>0.56000000000000005</c:v>
                </c:pt>
                <c:pt idx="3672">
                  <c:v>0.1</c:v>
                </c:pt>
                <c:pt idx="3673">
                  <c:v>0.54</c:v>
                </c:pt>
                <c:pt idx="3674">
                  <c:v>0.15</c:v>
                </c:pt>
                <c:pt idx="3675">
                  <c:v>0.46</c:v>
                </c:pt>
                <c:pt idx="3676">
                  <c:v>0.33</c:v>
                </c:pt>
                <c:pt idx="3677">
                  <c:v>0.71</c:v>
                </c:pt>
                <c:pt idx="3678">
                  <c:v>0.62</c:v>
                </c:pt>
                <c:pt idx="3679">
                  <c:v>0.4</c:v>
                </c:pt>
                <c:pt idx="3680">
                  <c:v>0.4</c:v>
                </c:pt>
                <c:pt idx="3681">
                  <c:v>0.51</c:v>
                </c:pt>
                <c:pt idx="3682">
                  <c:v>0.1</c:v>
                </c:pt>
                <c:pt idx="3683">
                  <c:v>0.3</c:v>
                </c:pt>
                <c:pt idx="3684">
                  <c:v>0.38</c:v>
                </c:pt>
                <c:pt idx="3685">
                  <c:v>0.13</c:v>
                </c:pt>
                <c:pt idx="3686">
                  <c:v>0.72</c:v>
                </c:pt>
                <c:pt idx="3687">
                  <c:v>0.88</c:v>
                </c:pt>
                <c:pt idx="3688">
                  <c:v>0.08</c:v>
                </c:pt>
                <c:pt idx="3689">
                  <c:v>0.4</c:v>
                </c:pt>
                <c:pt idx="3690">
                  <c:v>0.25</c:v>
                </c:pt>
                <c:pt idx="3691">
                  <c:v>0.2</c:v>
                </c:pt>
                <c:pt idx="3692">
                  <c:v>0.21</c:v>
                </c:pt>
                <c:pt idx="3693">
                  <c:v>0.23</c:v>
                </c:pt>
                <c:pt idx="3694">
                  <c:v>0.04</c:v>
                </c:pt>
                <c:pt idx="3696">
                  <c:v>1.1399999999999999</c:v>
                </c:pt>
                <c:pt idx="3697">
                  <c:v>0.85</c:v>
                </c:pt>
                <c:pt idx="3698">
                  <c:v>0.78</c:v>
                </c:pt>
                <c:pt idx="3699">
                  <c:v>1.3</c:v>
                </c:pt>
                <c:pt idx="3700">
                  <c:v>1.1399999999999999</c:v>
                </c:pt>
                <c:pt idx="3701">
                  <c:v>1.33</c:v>
                </c:pt>
                <c:pt idx="3702">
                  <c:v>1.52</c:v>
                </c:pt>
                <c:pt idx="3703">
                  <c:v>0.02</c:v>
                </c:pt>
                <c:pt idx="3704">
                  <c:v>0.76</c:v>
                </c:pt>
                <c:pt idx="3705">
                  <c:v>1.53</c:v>
                </c:pt>
                <c:pt idx="3706">
                  <c:v>0.94</c:v>
                </c:pt>
                <c:pt idx="3707">
                  <c:v>0.69</c:v>
                </c:pt>
                <c:pt idx="3708">
                  <c:v>1.4</c:v>
                </c:pt>
                <c:pt idx="3709">
                  <c:v>1.4</c:v>
                </c:pt>
                <c:pt idx="3710">
                  <c:v>1.4</c:v>
                </c:pt>
                <c:pt idx="3711">
                  <c:v>1.35</c:v>
                </c:pt>
                <c:pt idx="3712">
                  <c:v>1.4</c:v>
                </c:pt>
                <c:pt idx="3713">
                  <c:v>1.4</c:v>
                </c:pt>
                <c:pt idx="3714">
                  <c:v>1.24</c:v>
                </c:pt>
                <c:pt idx="3715">
                  <c:v>0.94</c:v>
                </c:pt>
                <c:pt idx="3716">
                  <c:v>0.94</c:v>
                </c:pt>
                <c:pt idx="3717">
                  <c:v>0.12</c:v>
                </c:pt>
                <c:pt idx="3718">
                  <c:v>0.84</c:v>
                </c:pt>
                <c:pt idx="3719">
                  <c:v>1.1599999999999999</c:v>
                </c:pt>
                <c:pt idx="3720">
                  <c:v>0.74</c:v>
                </c:pt>
                <c:pt idx="3721">
                  <c:v>1.1499999999999999</c:v>
                </c:pt>
                <c:pt idx="3722">
                  <c:v>0.9</c:v>
                </c:pt>
                <c:pt idx="3723">
                  <c:v>1.1299999999999999</c:v>
                </c:pt>
                <c:pt idx="3724">
                  <c:v>1.41</c:v>
                </c:pt>
                <c:pt idx="3725">
                  <c:v>1.03</c:v>
                </c:pt>
                <c:pt idx="3726">
                  <c:v>0.72</c:v>
                </c:pt>
                <c:pt idx="3727">
                  <c:v>0.87</c:v>
                </c:pt>
                <c:pt idx="3728">
                  <c:v>1</c:v>
                </c:pt>
                <c:pt idx="3729">
                  <c:v>0.44</c:v>
                </c:pt>
                <c:pt idx="3730">
                  <c:v>0.17</c:v>
                </c:pt>
                <c:pt idx="3731">
                  <c:v>0.49</c:v>
                </c:pt>
                <c:pt idx="3733">
                  <c:v>1.1000000000000001</c:v>
                </c:pt>
                <c:pt idx="3734">
                  <c:v>1.24</c:v>
                </c:pt>
                <c:pt idx="3735">
                  <c:v>1.04</c:v>
                </c:pt>
                <c:pt idx="3736">
                  <c:v>0.25</c:v>
                </c:pt>
                <c:pt idx="3737">
                  <c:v>1.1299999999999999</c:v>
                </c:pt>
                <c:pt idx="3738">
                  <c:v>0.87</c:v>
                </c:pt>
                <c:pt idx="3739">
                  <c:v>0.87</c:v>
                </c:pt>
                <c:pt idx="3740">
                  <c:v>0.08</c:v>
                </c:pt>
                <c:pt idx="3741">
                  <c:v>0.08</c:v>
                </c:pt>
                <c:pt idx="3742">
                  <c:v>0.08</c:v>
                </c:pt>
                <c:pt idx="3743">
                  <c:v>0.08</c:v>
                </c:pt>
                <c:pt idx="3744">
                  <c:v>0.08</c:v>
                </c:pt>
                <c:pt idx="3745">
                  <c:v>0.08</c:v>
                </c:pt>
                <c:pt idx="3746">
                  <c:v>0.08</c:v>
                </c:pt>
                <c:pt idx="3747">
                  <c:v>1.1499999999999999</c:v>
                </c:pt>
                <c:pt idx="3748">
                  <c:v>1.1499999999999999</c:v>
                </c:pt>
                <c:pt idx="3749">
                  <c:v>1.19</c:v>
                </c:pt>
                <c:pt idx="3750">
                  <c:v>1.87</c:v>
                </c:pt>
                <c:pt idx="3751">
                  <c:v>0.97</c:v>
                </c:pt>
                <c:pt idx="3752">
                  <c:v>1.04</c:v>
                </c:pt>
                <c:pt idx="3753">
                  <c:v>1.36</c:v>
                </c:pt>
                <c:pt idx="3754">
                  <c:v>0.93</c:v>
                </c:pt>
                <c:pt idx="3755">
                  <c:v>1.08</c:v>
                </c:pt>
                <c:pt idx="3756">
                  <c:v>0.9</c:v>
                </c:pt>
                <c:pt idx="3757">
                  <c:v>0.81</c:v>
                </c:pt>
                <c:pt idx="3758">
                  <c:v>0.06</c:v>
                </c:pt>
                <c:pt idx="3759">
                  <c:v>0.7</c:v>
                </c:pt>
                <c:pt idx="3760">
                  <c:v>0.7</c:v>
                </c:pt>
                <c:pt idx="3761">
                  <c:v>0.5</c:v>
                </c:pt>
                <c:pt idx="3762">
                  <c:v>1</c:v>
                </c:pt>
                <c:pt idx="3763">
                  <c:v>7.0000000000000007E-2</c:v>
                </c:pt>
                <c:pt idx="3764">
                  <c:v>1.24</c:v>
                </c:pt>
                <c:pt idx="3765">
                  <c:v>0.75</c:v>
                </c:pt>
                <c:pt idx="3766">
                  <c:v>0.77</c:v>
                </c:pt>
                <c:pt idx="3767">
                  <c:v>1.41</c:v>
                </c:pt>
                <c:pt idx="3768">
                  <c:v>1.22</c:v>
                </c:pt>
                <c:pt idx="3769">
                  <c:v>1.08</c:v>
                </c:pt>
                <c:pt idx="3770">
                  <c:v>0.89</c:v>
                </c:pt>
                <c:pt idx="3771">
                  <c:v>0.93</c:v>
                </c:pt>
                <c:pt idx="3772">
                  <c:v>0.69</c:v>
                </c:pt>
                <c:pt idx="3773">
                  <c:v>1.42</c:v>
                </c:pt>
                <c:pt idx="3774">
                  <c:v>1.32</c:v>
                </c:pt>
                <c:pt idx="3775">
                  <c:v>1.29</c:v>
                </c:pt>
                <c:pt idx="3776">
                  <c:v>1.29</c:v>
                </c:pt>
                <c:pt idx="3777">
                  <c:v>1.32</c:v>
                </c:pt>
                <c:pt idx="3778">
                  <c:v>1.02</c:v>
                </c:pt>
                <c:pt idx="3779">
                  <c:v>1.2</c:v>
                </c:pt>
                <c:pt idx="3780">
                  <c:v>1.39</c:v>
                </c:pt>
                <c:pt idx="3781">
                  <c:v>1.35</c:v>
                </c:pt>
                <c:pt idx="3782">
                  <c:v>1.17</c:v>
                </c:pt>
                <c:pt idx="3783">
                  <c:v>1.07</c:v>
                </c:pt>
                <c:pt idx="3784">
                  <c:v>1.1200000000000001</c:v>
                </c:pt>
                <c:pt idx="3785">
                  <c:v>1.08</c:v>
                </c:pt>
                <c:pt idx="3786">
                  <c:v>1</c:v>
                </c:pt>
                <c:pt idx="3787">
                  <c:v>0.72</c:v>
                </c:pt>
                <c:pt idx="3788">
                  <c:v>1.04</c:v>
                </c:pt>
                <c:pt idx="3789">
                  <c:v>1.06</c:v>
                </c:pt>
                <c:pt idx="3790">
                  <c:v>0.8</c:v>
                </c:pt>
                <c:pt idx="3791">
                  <c:v>1.1599999999999999</c:v>
                </c:pt>
                <c:pt idx="3792">
                  <c:v>0.98</c:v>
                </c:pt>
                <c:pt idx="3793">
                  <c:v>1.41</c:v>
                </c:pt>
                <c:pt idx="3794">
                  <c:v>1.22</c:v>
                </c:pt>
                <c:pt idx="3795">
                  <c:v>0.92</c:v>
                </c:pt>
                <c:pt idx="3796">
                  <c:v>1.62</c:v>
                </c:pt>
                <c:pt idx="3797">
                  <c:v>0.9</c:v>
                </c:pt>
                <c:pt idx="3798">
                  <c:v>1.25</c:v>
                </c:pt>
                <c:pt idx="3799">
                  <c:v>1.33</c:v>
                </c:pt>
                <c:pt idx="3800">
                  <c:v>0.81</c:v>
                </c:pt>
                <c:pt idx="3801">
                  <c:v>0.76</c:v>
                </c:pt>
                <c:pt idx="3802">
                  <c:v>1.04</c:v>
                </c:pt>
                <c:pt idx="3803">
                  <c:v>1.18</c:v>
                </c:pt>
                <c:pt idx="3804">
                  <c:v>1.08</c:v>
                </c:pt>
                <c:pt idx="3805">
                  <c:v>1.34</c:v>
                </c:pt>
                <c:pt idx="3806">
                  <c:v>0.84</c:v>
                </c:pt>
                <c:pt idx="3807">
                  <c:v>1.06</c:v>
                </c:pt>
                <c:pt idx="3808">
                  <c:v>1.38</c:v>
                </c:pt>
                <c:pt idx="3809">
                  <c:v>1.41</c:v>
                </c:pt>
                <c:pt idx="3810">
                  <c:v>1.78</c:v>
                </c:pt>
                <c:pt idx="3811">
                  <c:v>0.87</c:v>
                </c:pt>
                <c:pt idx="3812">
                  <c:v>1.39</c:v>
                </c:pt>
                <c:pt idx="3813">
                  <c:v>0.95</c:v>
                </c:pt>
                <c:pt idx="3814">
                  <c:v>0.97</c:v>
                </c:pt>
                <c:pt idx="3815">
                  <c:v>0.95</c:v>
                </c:pt>
                <c:pt idx="3816">
                  <c:v>1.25</c:v>
                </c:pt>
                <c:pt idx="3817">
                  <c:v>1.59</c:v>
                </c:pt>
                <c:pt idx="3818">
                  <c:v>1.08</c:v>
                </c:pt>
                <c:pt idx="3819">
                  <c:v>2.2799999999999998</c:v>
                </c:pt>
                <c:pt idx="3820">
                  <c:v>0.93</c:v>
                </c:pt>
                <c:pt idx="3821">
                  <c:v>1.49</c:v>
                </c:pt>
                <c:pt idx="3822">
                  <c:v>1.05</c:v>
                </c:pt>
                <c:pt idx="3823">
                  <c:v>1.3</c:v>
                </c:pt>
                <c:pt idx="3824">
                  <c:v>0.88</c:v>
                </c:pt>
                <c:pt idx="3825">
                  <c:v>1.46</c:v>
                </c:pt>
                <c:pt idx="3826">
                  <c:v>1.04</c:v>
                </c:pt>
                <c:pt idx="3827">
                  <c:v>0.78</c:v>
                </c:pt>
                <c:pt idx="3828">
                  <c:v>0.9</c:v>
                </c:pt>
                <c:pt idx="3829">
                  <c:v>1.35</c:v>
                </c:pt>
                <c:pt idx="3830">
                  <c:v>0.89</c:v>
                </c:pt>
                <c:pt idx="3831">
                  <c:v>1.2</c:v>
                </c:pt>
                <c:pt idx="3832">
                  <c:v>0.89</c:v>
                </c:pt>
                <c:pt idx="3833">
                  <c:v>1.46</c:v>
                </c:pt>
                <c:pt idx="3834">
                  <c:v>0.78</c:v>
                </c:pt>
                <c:pt idx="3835">
                  <c:v>1.43</c:v>
                </c:pt>
                <c:pt idx="3836">
                  <c:v>0.67</c:v>
                </c:pt>
                <c:pt idx="3837">
                  <c:v>0.86</c:v>
                </c:pt>
                <c:pt idx="3838">
                  <c:v>1.02</c:v>
                </c:pt>
                <c:pt idx="3839">
                  <c:v>0.77</c:v>
                </c:pt>
                <c:pt idx="3840">
                  <c:v>1.62</c:v>
                </c:pt>
                <c:pt idx="3841">
                  <c:v>1.1599999999999999</c:v>
                </c:pt>
                <c:pt idx="3842">
                  <c:v>0.72</c:v>
                </c:pt>
                <c:pt idx="3843">
                  <c:v>1.85</c:v>
                </c:pt>
                <c:pt idx="3844">
                  <c:v>0.96</c:v>
                </c:pt>
                <c:pt idx="3845">
                  <c:v>1.05</c:v>
                </c:pt>
                <c:pt idx="3846">
                  <c:v>1.08</c:v>
                </c:pt>
                <c:pt idx="3847">
                  <c:v>0.93</c:v>
                </c:pt>
                <c:pt idx="3848">
                  <c:v>1.76</c:v>
                </c:pt>
                <c:pt idx="3849">
                  <c:v>0.93</c:v>
                </c:pt>
                <c:pt idx="3850">
                  <c:v>0.87</c:v>
                </c:pt>
                <c:pt idx="3851">
                  <c:v>0.81</c:v>
                </c:pt>
                <c:pt idx="3852">
                  <c:v>0.81</c:v>
                </c:pt>
                <c:pt idx="3853">
                  <c:v>0.95</c:v>
                </c:pt>
                <c:pt idx="3854">
                  <c:v>0.57999999999999996</c:v>
                </c:pt>
                <c:pt idx="3855">
                  <c:v>0.95</c:v>
                </c:pt>
                <c:pt idx="3856">
                  <c:v>0.95</c:v>
                </c:pt>
                <c:pt idx="3857">
                  <c:v>0.83</c:v>
                </c:pt>
                <c:pt idx="3858">
                  <c:v>1.04</c:v>
                </c:pt>
                <c:pt idx="3859">
                  <c:v>1.04</c:v>
                </c:pt>
                <c:pt idx="3860">
                  <c:v>1.04</c:v>
                </c:pt>
                <c:pt idx="3861">
                  <c:v>1.04</c:v>
                </c:pt>
                <c:pt idx="3862">
                  <c:v>0.88</c:v>
                </c:pt>
                <c:pt idx="3863">
                  <c:v>0.92</c:v>
                </c:pt>
                <c:pt idx="3864">
                  <c:v>0.96</c:v>
                </c:pt>
                <c:pt idx="3865">
                  <c:v>1.06</c:v>
                </c:pt>
                <c:pt idx="3866">
                  <c:v>0.87</c:v>
                </c:pt>
                <c:pt idx="3867">
                  <c:v>0.84</c:v>
                </c:pt>
                <c:pt idx="3868">
                  <c:v>0.84</c:v>
                </c:pt>
                <c:pt idx="3869">
                  <c:v>1.08</c:v>
                </c:pt>
                <c:pt idx="3870">
                  <c:v>1.1100000000000001</c:v>
                </c:pt>
                <c:pt idx="3871">
                  <c:v>0.71</c:v>
                </c:pt>
                <c:pt idx="3872">
                  <c:v>0.89</c:v>
                </c:pt>
                <c:pt idx="3873">
                  <c:v>1.06</c:v>
                </c:pt>
                <c:pt idx="3874">
                  <c:v>0.72</c:v>
                </c:pt>
                <c:pt idx="3875">
                  <c:v>0.55000000000000004</c:v>
                </c:pt>
                <c:pt idx="3876">
                  <c:v>1.19</c:v>
                </c:pt>
                <c:pt idx="3877">
                  <c:v>1.82</c:v>
                </c:pt>
                <c:pt idx="3878">
                  <c:v>1.1100000000000001</c:v>
                </c:pt>
                <c:pt idx="3879">
                  <c:v>1.28</c:v>
                </c:pt>
                <c:pt idx="3880">
                  <c:v>1</c:v>
                </c:pt>
                <c:pt idx="3881">
                  <c:v>0.93</c:v>
                </c:pt>
                <c:pt idx="3882">
                  <c:v>1.33</c:v>
                </c:pt>
                <c:pt idx="3883">
                  <c:v>0.91</c:v>
                </c:pt>
                <c:pt idx="3884">
                  <c:v>1.49</c:v>
                </c:pt>
                <c:pt idx="3885">
                  <c:v>0.98</c:v>
                </c:pt>
                <c:pt idx="3886">
                  <c:v>1.28</c:v>
                </c:pt>
                <c:pt idx="3887">
                  <c:v>1.1100000000000001</c:v>
                </c:pt>
                <c:pt idx="3888">
                  <c:v>0.76</c:v>
                </c:pt>
                <c:pt idx="3889">
                  <c:v>2.78</c:v>
                </c:pt>
                <c:pt idx="3890">
                  <c:v>2.52</c:v>
                </c:pt>
                <c:pt idx="3891">
                  <c:v>0.98</c:v>
                </c:pt>
                <c:pt idx="3892">
                  <c:v>1.1399999999999999</c:v>
                </c:pt>
                <c:pt idx="3893">
                  <c:v>1.46</c:v>
                </c:pt>
                <c:pt idx="3894">
                  <c:v>1.49</c:v>
                </c:pt>
                <c:pt idx="3895">
                  <c:v>1.87</c:v>
                </c:pt>
                <c:pt idx="3896">
                  <c:v>1.43</c:v>
                </c:pt>
                <c:pt idx="3897">
                  <c:v>1.34</c:v>
                </c:pt>
                <c:pt idx="3898">
                  <c:v>1.34</c:v>
                </c:pt>
                <c:pt idx="3899">
                  <c:v>0.57999999999999996</c:v>
                </c:pt>
                <c:pt idx="3900">
                  <c:v>1.08</c:v>
                </c:pt>
                <c:pt idx="3901">
                  <c:v>1.48</c:v>
                </c:pt>
                <c:pt idx="3902">
                  <c:v>1.1100000000000001</c:v>
                </c:pt>
                <c:pt idx="3903">
                  <c:v>0.84</c:v>
                </c:pt>
                <c:pt idx="3904">
                  <c:v>1.0900000000000001</c:v>
                </c:pt>
                <c:pt idx="3905">
                  <c:v>0.94</c:v>
                </c:pt>
                <c:pt idx="3906">
                  <c:v>0.92</c:v>
                </c:pt>
                <c:pt idx="3907">
                  <c:v>1.55</c:v>
                </c:pt>
                <c:pt idx="3908">
                  <c:v>0.84</c:v>
                </c:pt>
                <c:pt idx="3909">
                  <c:v>1.19</c:v>
                </c:pt>
                <c:pt idx="3910">
                  <c:v>1.33</c:v>
                </c:pt>
                <c:pt idx="3911">
                  <c:v>1.67</c:v>
                </c:pt>
                <c:pt idx="3912">
                  <c:v>1.24</c:v>
                </c:pt>
                <c:pt idx="3913">
                  <c:v>1.46</c:v>
                </c:pt>
                <c:pt idx="3914">
                  <c:v>1.06</c:v>
                </c:pt>
                <c:pt idx="3915">
                  <c:v>1.18</c:v>
                </c:pt>
                <c:pt idx="3916">
                  <c:v>0.81</c:v>
                </c:pt>
                <c:pt idx="3917">
                  <c:v>1.21</c:v>
                </c:pt>
                <c:pt idx="3918">
                  <c:v>0.62</c:v>
                </c:pt>
                <c:pt idx="3919">
                  <c:v>0.03</c:v>
                </c:pt>
                <c:pt idx="3920">
                  <c:v>1.2</c:v>
                </c:pt>
                <c:pt idx="3921">
                  <c:v>0.82</c:v>
                </c:pt>
                <c:pt idx="3922">
                  <c:v>0.28999999999999998</c:v>
                </c:pt>
                <c:pt idx="3923">
                  <c:v>0.28999999999999998</c:v>
                </c:pt>
                <c:pt idx="3924">
                  <c:v>0.28999999999999998</c:v>
                </c:pt>
                <c:pt idx="3925">
                  <c:v>0.69</c:v>
                </c:pt>
                <c:pt idx="3926">
                  <c:v>0.88</c:v>
                </c:pt>
                <c:pt idx="3927">
                  <c:v>0.97</c:v>
                </c:pt>
                <c:pt idx="3928">
                  <c:v>0.98</c:v>
                </c:pt>
                <c:pt idx="3929">
                  <c:v>0.98</c:v>
                </c:pt>
                <c:pt idx="3930">
                  <c:v>0.57999999999999996</c:v>
                </c:pt>
                <c:pt idx="3931">
                  <c:v>1.1000000000000001</c:v>
                </c:pt>
                <c:pt idx="3932">
                  <c:v>1.04</c:v>
                </c:pt>
                <c:pt idx="3933">
                  <c:v>1.47</c:v>
                </c:pt>
                <c:pt idx="3934">
                  <c:v>0.13</c:v>
                </c:pt>
                <c:pt idx="3935">
                  <c:v>0.13</c:v>
                </c:pt>
                <c:pt idx="3936">
                  <c:v>0.13</c:v>
                </c:pt>
                <c:pt idx="3937">
                  <c:v>1.5</c:v>
                </c:pt>
                <c:pt idx="3938">
                  <c:v>1.1299999999999999</c:v>
                </c:pt>
                <c:pt idx="3939">
                  <c:v>1.7</c:v>
                </c:pt>
                <c:pt idx="3940">
                  <c:v>1.76</c:v>
                </c:pt>
                <c:pt idx="3941">
                  <c:v>1.4</c:v>
                </c:pt>
                <c:pt idx="3942">
                  <c:v>1.7</c:v>
                </c:pt>
                <c:pt idx="3943">
                  <c:v>0.83</c:v>
                </c:pt>
                <c:pt idx="3944">
                  <c:v>2.7</c:v>
                </c:pt>
                <c:pt idx="3945">
                  <c:v>1.23</c:v>
                </c:pt>
                <c:pt idx="3946">
                  <c:v>1.4</c:v>
                </c:pt>
                <c:pt idx="3947">
                  <c:v>1.47</c:v>
                </c:pt>
                <c:pt idx="3948">
                  <c:v>1.47</c:v>
                </c:pt>
                <c:pt idx="3949">
                  <c:v>1.05</c:v>
                </c:pt>
                <c:pt idx="3950">
                  <c:v>2.6</c:v>
                </c:pt>
                <c:pt idx="3951">
                  <c:v>1.5</c:v>
                </c:pt>
                <c:pt idx="3952">
                  <c:v>1.5</c:v>
                </c:pt>
                <c:pt idx="3953">
                  <c:v>3.04</c:v>
                </c:pt>
                <c:pt idx="3954">
                  <c:v>3.04</c:v>
                </c:pt>
                <c:pt idx="3955">
                  <c:v>2.17</c:v>
                </c:pt>
                <c:pt idx="3956">
                  <c:v>2.13</c:v>
                </c:pt>
                <c:pt idx="3957">
                  <c:v>3.09</c:v>
                </c:pt>
                <c:pt idx="3958">
                  <c:v>1.0900000000000001</c:v>
                </c:pt>
                <c:pt idx="3959">
                  <c:v>1.19</c:v>
                </c:pt>
                <c:pt idx="3960">
                  <c:v>0.89</c:v>
                </c:pt>
                <c:pt idx="3961">
                  <c:v>0.89</c:v>
                </c:pt>
                <c:pt idx="3962">
                  <c:v>1.34</c:v>
                </c:pt>
                <c:pt idx="3963">
                  <c:v>0.78</c:v>
                </c:pt>
                <c:pt idx="3964">
                  <c:v>0.78</c:v>
                </c:pt>
                <c:pt idx="3965">
                  <c:v>0.78</c:v>
                </c:pt>
                <c:pt idx="3966">
                  <c:v>0.78</c:v>
                </c:pt>
                <c:pt idx="3967">
                  <c:v>2.2999999999999998</c:v>
                </c:pt>
                <c:pt idx="3968">
                  <c:v>1.3</c:v>
                </c:pt>
                <c:pt idx="3969">
                  <c:v>1.3</c:v>
                </c:pt>
                <c:pt idx="3970">
                  <c:v>1.3</c:v>
                </c:pt>
                <c:pt idx="3971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C9-1C43-91FF-DA2674ED1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031424"/>
        <c:axId val="2002033104"/>
      </c:scatterChart>
      <c:valAx>
        <c:axId val="200203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033104"/>
        <c:crosses val="autoZero"/>
        <c:crossBetween val="midCat"/>
      </c:valAx>
      <c:valAx>
        <c:axId val="200203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03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Planet Radius vs Stellar Radius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'static-exo'!$R$1</c:f>
              <c:strCache>
                <c:ptCount val="1"/>
                <c:pt idx="0">
                  <c:v>st_rad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08"/>
            <c:marker>
              <c:symbol val="circle"/>
              <c:size val="5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CBE6-404F-B6A7-3303FA91DF9D}"/>
              </c:ext>
            </c:extLst>
          </c:dPt>
          <c:xVal>
            <c:numRef>
              <c:f>'static-exo'!$M$2:$M$3973</c:f>
              <c:numCache>
                <c:formatCode>General</c:formatCode>
                <c:ptCount val="3972"/>
                <c:pt idx="11">
                  <c:v>16.140999999999998</c:v>
                </c:pt>
                <c:pt idx="15">
                  <c:v>10.31</c:v>
                </c:pt>
                <c:pt idx="28">
                  <c:v>1.91</c:v>
                </c:pt>
                <c:pt idx="48">
                  <c:v>2.5779999999999998</c:v>
                </c:pt>
                <c:pt idx="62">
                  <c:v>24.66</c:v>
                </c:pt>
                <c:pt idx="63">
                  <c:v>16.7</c:v>
                </c:pt>
                <c:pt idx="64">
                  <c:v>10.87</c:v>
                </c:pt>
                <c:pt idx="65">
                  <c:v>16.03</c:v>
                </c:pt>
                <c:pt idx="66">
                  <c:v>16.14</c:v>
                </c:pt>
                <c:pt idx="67">
                  <c:v>9.92</c:v>
                </c:pt>
                <c:pt idx="68">
                  <c:v>12.22</c:v>
                </c:pt>
                <c:pt idx="69">
                  <c:v>13.11</c:v>
                </c:pt>
                <c:pt idx="70">
                  <c:v>11.43</c:v>
                </c:pt>
                <c:pt idx="71">
                  <c:v>14.68</c:v>
                </c:pt>
                <c:pt idx="72">
                  <c:v>14.46</c:v>
                </c:pt>
                <c:pt idx="73">
                  <c:v>16.431999999999999</c:v>
                </c:pt>
                <c:pt idx="76">
                  <c:v>14.571999999999999</c:v>
                </c:pt>
                <c:pt idx="77">
                  <c:v>4.88</c:v>
                </c:pt>
                <c:pt idx="78">
                  <c:v>11.77</c:v>
                </c:pt>
                <c:pt idx="79">
                  <c:v>3.7</c:v>
                </c:pt>
                <c:pt idx="80">
                  <c:v>5</c:v>
                </c:pt>
                <c:pt idx="81">
                  <c:v>12.11</c:v>
                </c:pt>
                <c:pt idx="82">
                  <c:v>14.12</c:v>
                </c:pt>
                <c:pt idx="83">
                  <c:v>11.287000000000001</c:v>
                </c:pt>
                <c:pt idx="84">
                  <c:v>10.705</c:v>
                </c:pt>
                <c:pt idx="85">
                  <c:v>10.087999999999999</c:v>
                </c:pt>
                <c:pt idx="86">
                  <c:v>11.32</c:v>
                </c:pt>
                <c:pt idx="87">
                  <c:v>13.34</c:v>
                </c:pt>
                <c:pt idx="88">
                  <c:v>15.558</c:v>
                </c:pt>
                <c:pt idx="89">
                  <c:v>13.068</c:v>
                </c:pt>
                <c:pt idx="90">
                  <c:v>1.681</c:v>
                </c:pt>
                <c:pt idx="92">
                  <c:v>6.39</c:v>
                </c:pt>
                <c:pt idx="93">
                  <c:v>11.949</c:v>
                </c:pt>
                <c:pt idx="94">
                  <c:v>6.3890000000000002</c:v>
                </c:pt>
                <c:pt idx="98">
                  <c:v>1.98</c:v>
                </c:pt>
                <c:pt idx="99">
                  <c:v>5.76</c:v>
                </c:pt>
                <c:pt idx="100">
                  <c:v>1.82</c:v>
                </c:pt>
                <c:pt idx="101">
                  <c:v>2.73</c:v>
                </c:pt>
                <c:pt idx="102">
                  <c:v>11.781000000000001</c:v>
                </c:pt>
                <c:pt idx="109">
                  <c:v>2.847</c:v>
                </c:pt>
                <c:pt idx="111">
                  <c:v>2.61</c:v>
                </c:pt>
                <c:pt idx="132">
                  <c:v>4.57</c:v>
                </c:pt>
                <c:pt idx="141">
                  <c:v>4.17</c:v>
                </c:pt>
                <c:pt idx="170">
                  <c:v>1.62</c:v>
                </c:pt>
                <c:pt idx="171">
                  <c:v>1.2689999999999999</c:v>
                </c:pt>
                <c:pt idx="172">
                  <c:v>2.0699999999999998</c:v>
                </c:pt>
                <c:pt idx="173">
                  <c:v>33.6</c:v>
                </c:pt>
                <c:pt idx="175">
                  <c:v>14.179</c:v>
                </c:pt>
                <c:pt idx="178">
                  <c:v>14.785</c:v>
                </c:pt>
                <c:pt idx="179">
                  <c:v>4.3600000000000003</c:v>
                </c:pt>
                <c:pt idx="181">
                  <c:v>10.749000000000001</c:v>
                </c:pt>
                <c:pt idx="182">
                  <c:v>14.257999999999999</c:v>
                </c:pt>
                <c:pt idx="184">
                  <c:v>15.917</c:v>
                </c:pt>
                <c:pt idx="185">
                  <c:v>11.882</c:v>
                </c:pt>
                <c:pt idx="186">
                  <c:v>14.448</c:v>
                </c:pt>
                <c:pt idx="187">
                  <c:v>11.769</c:v>
                </c:pt>
                <c:pt idx="189">
                  <c:v>11.153</c:v>
                </c:pt>
                <c:pt idx="190">
                  <c:v>12.689</c:v>
                </c:pt>
                <c:pt idx="192">
                  <c:v>9.718</c:v>
                </c:pt>
                <c:pt idx="193">
                  <c:v>12.442</c:v>
                </c:pt>
                <c:pt idx="194">
                  <c:v>12.89</c:v>
                </c:pt>
                <c:pt idx="195">
                  <c:v>12.218</c:v>
                </c:pt>
                <c:pt idx="196">
                  <c:v>14.571999999999999</c:v>
                </c:pt>
                <c:pt idx="197">
                  <c:v>12.722</c:v>
                </c:pt>
                <c:pt idx="198">
                  <c:v>7.0620000000000003</c:v>
                </c:pt>
                <c:pt idx="199">
                  <c:v>11.43</c:v>
                </c:pt>
                <c:pt idx="200">
                  <c:v>13.585000000000001</c:v>
                </c:pt>
                <c:pt idx="201">
                  <c:v>13.115</c:v>
                </c:pt>
                <c:pt idx="202">
                  <c:v>10.536</c:v>
                </c:pt>
                <c:pt idx="203">
                  <c:v>16.140999999999998</c:v>
                </c:pt>
                <c:pt idx="204">
                  <c:v>12.218</c:v>
                </c:pt>
                <c:pt idx="205">
                  <c:v>19.616</c:v>
                </c:pt>
                <c:pt idx="206">
                  <c:v>20.736999999999998</c:v>
                </c:pt>
                <c:pt idx="207">
                  <c:v>15.132</c:v>
                </c:pt>
                <c:pt idx="208">
                  <c:v>39.792000000000002</c:v>
                </c:pt>
                <c:pt idx="209">
                  <c:v>12.89</c:v>
                </c:pt>
                <c:pt idx="210">
                  <c:v>13.204000000000001</c:v>
                </c:pt>
                <c:pt idx="211">
                  <c:v>9.2469999999999999</c:v>
                </c:pt>
                <c:pt idx="212">
                  <c:v>17.609000000000002</c:v>
                </c:pt>
                <c:pt idx="213">
                  <c:v>14.28</c:v>
                </c:pt>
                <c:pt idx="214">
                  <c:v>17.038</c:v>
                </c:pt>
                <c:pt idx="215">
                  <c:v>22.978000000000002</c:v>
                </c:pt>
                <c:pt idx="216">
                  <c:v>14.348000000000001</c:v>
                </c:pt>
                <c:pt idx="217">
                  <c:v>14.359</c:v>
                </c:pt>
                <c:pt idx="218">
                  <c:v>13.922000000000001</c:v>
                </c:pt>
                <c:pt idx="220">
                  <c:v>15.984</c:v>
                </c:pt>
                <c:pt idx="221">
                  <c:v>14.391999999999999</c:v>
                </c:pt>
                <c:pt idx="222">
                  <c:v>17.821999999999999</c:v>
                </c:pt>
                <c:pt idx="223">
                  <c:v>13.563000000000001</c:v>
                </c:pt>
                <c:pt idx="224">
                  <c:v>14.436999999999999</c:v>
                </c:pt>
                <c:pt idx="225">
                  <c:v>14.493</c:v>
                </c:pt>
                <c:pt idx="226">
                  <c:v>11.31</c:v>
                </c:pt>
                <c:pt idx="227">
                  <c:v>14.773</c:v>
                </c:pt>
                <c:pt idx="228">
                  <c:v>10.581</c:v>
                </c:pt>
                <c:pt idx="229">
                  <c:v>13.249000000000001</c:v>
                </c:pt>
                <c:pt idx="230">
                  <c:v>16.925999999999998</c:v>
                </c:pt>
                <c:pt idx="231">
                  <c:v>19.504000000000001</c:v>
                </c:pt>
                <c:pt idx="232">
                  <c:v>16.588999999999999</c:v>
                </c:pt>
                <c:pt idx="233">
                  <c:v>21.184999999999999</c:v>
                </c:pt>
                <c:pt idx="234">
                  <c:v>17.821999999999999</c:v>
                </c:pt>
                <c:pt idx="235">
                  <c:v>23.370999999999999</c:v>
                </c:pt>
                <c:pt idx="236">
                  <c:v>16.925999999999998</c:v>
                </c:pt>
                <c:pt idx="237">
                  <c:v>15.693</c:v>
                </c:pt>
                <c:pt idx="238">
                  <c:v>15.69</c:v>
                </c:pt>
                <c:pt idx="239">
                  <c:v>14.593999999999999</c:v>
                </c:pt>
                <c:pt idx="240">
                  <c:v>10.862</c:v>
                </c:pt>
                <c:pt idx="241">
                  <c:v>18.03</c:v>
                </c:pt>
                <c:pt idx="242">
                  <c:v>7.76</c:v>
                </c:pt>
                <c:pt idx="243">
                  <c:v>13.585000000000001</c:v>
                </c:pt>
                <c:pt idx="244">
                  <c:v>11.646000000000001</c:v>
                </c:pt>
                <c:pt idx="245">
                  <c:v>12.385999999999999</c:v>
                </c:pt>
                <c:pt idx="246">
                  <c:v>14.571999999999999</c:v>
                </c:pt>
                <c:pt idx="247">
                  <c:v>8.7089999999999996</c:v>
                </c:pt>
                <c:pt idx="248">
                  <c:v>14.986000000000001</c:v>
                </c:pt>
                <c:pt idx="249">
                  <c:v>13.092000000000001</c:v>
                </c:pt>
                <c:pt idx="250">
                  <c:v>10.682</c:v>
                </c:pt>
                <c:pt idx="251">
                  <c:v>20.849</c:v>
                </c:pt>
                <c:pt idx="252">
                  <c:v>16.667999999999999</c:v>
                </c:pt>
                <c:pt idx="253">
                  <c:v>14.122999999999999</c:v>
                </c:pt>
                <c:pt idx="254">
                  <c:v>19.616</c:v>
                </c:pt>
                <c:pt idx="255">
                  <c:v>16.814</c:v>
                </c:pt>
                <c:pt idx="256">
                  <c:v>13.384</c:v>
                </c:pt>
                <c:pt idx="257">
                  <c:v>14.022</c:v>
                </c:pt>
                <c:pt idx="258">
                  <c:v>15.48</c:v>
                </c:pt>
                <c:pt idx="259">
                  <c:v>13.170999999999999</c:v>
                </c:pt>
                <c:pt idx="260">
                  <c:v>18.382999999999999</c:v>
                </c:pt>
                <c:pt idx="261">
                  <c:v>14</c:v>
                </c:pt>
                <c:pt idx="262">
                  <c:v>13.787000000000001</c:v>
                </c:pt>
                <c:pt idx="263">
                  <c:v>16.029</c:v>
                </c:pt>
                <c:pt idx="264">
                  <c:v>16.41</c:v>
                </c:pt>
                <c:pt idx="265">
                  <c:v>12.92</c:v>
                </c:pt>
                <c:pt idx="266">
                  <c:v>17.597999999999999</c:v>
                </c:pt>
                <c:pt idx="267">
                  <c:v>11.433</c:v>
                </c:pt>
                <c:pt idx="268">
                  <c:v>17.71</c:v>
                </c:pt>
                <c:pt idx="269">
                  <c:v>14.907999999999999</c:v>
                </c:pt>
                <c:pt idx="270">
                  <c:v>15.693</c:v>
                </c:pt>
                <c:pt idx="271">
                  <c:v>13.227</c:v>
                </c:pt>
                <c:pt idx="272">
                  <c:v>11.96</c:v>
                </c:pt>
                <c:pt idx="273">
                  <c:v>14.414999999999999</c:v>
                </c:pt>
                <c:pt idx="274">
                  <c:v>10.122</c:v>
                </c:pt>
                <c:pt idx="275">
                  <c:v>10.223000000000001</c:v>
                </c:pt>
                <c:pt idx="276">
                  <c:v>12.666</c:v>
                </c:pt>
                <c:pt idx="277">
                  <c:v>15.805</c:v>
                </c:pt>
                <c:pt idx="278">
                  <c:v>15.491</c:v>
                </c:pt>
                <c:pt idx="279">
                  <c:v>15.02</c:v>
                </c:pt>
                <c:pt idx="280">
                  <c:v>12.621</c:v>
                </c:pt>
                <c:pt idx="282">
                  <c:v>11.186999999999999</c:v>
                </c:pt>
                <c:pt idx="283">
                  <c:v>12.923999999999999</c:v>
                </c:pt>
                <c:pt idx="284">
                  <c:v>13.395</c:v>
                </c:pt>
                <c:pt idx="285">
                  <c:v>11.824999999999999</c:v>
                </c:pt>
                <c:pt idx="286">
                  <c:v>13.529</c:v>
                </c:pt>
                <c:pt idx="287">
                  <c:v>18.82</c:v>
                </c:pt>
                <c:pt idx="288">
                  <c:v>16.824999999999999</c:v>
                </c:pt>
                <c:pt idx="289">
                  <c:v>15.816000000000001</c:v>
                </c:pt>
                <c:pt idx="290">
                  <c:v>18.887</c:v>
                </c:pt>
                <c:pt idx="291">
                  <c:v>13.808999999999999</c:v>
                </c:pt>
                <c:pt idx="292">
                  <c:v>10.593</c:v>
                </c:pt>
                <c:pt idx="293">
                  <c:v>6.3109999999999999</c:v>
                </c:pt>
                <c:pt idx="294">
                  <c:v>15.513</c:v>
                </c:pt>
                <c:pt idx="295">
                  <c:v>9.7850000000000001</c:v>
                </c:pt>
                <c:pt idx="296">
                  <c:v>13.85</c:v>
                </c:pt>
                <c:pt idx="297">
                  <c:v>77.341999999999999</c:v>
                </c:pt>
                <c:pt idx="324">
                  <c:v>2.3199999999999998</c:v>
                </c:pt>
                <c:pt idx="325">
                  <c:v>4.3099999999999996</c:v>
                </c:pt>
                <c:pt idx="362">
                  <c:v>2.63</c:v>
                </c:pt>
                <c:pt idx="405">
                  <c:v>11.5</c:v>
                </c:pt>
                <c:pt idx="436">
                  <c:v>8.2949999999999999</c:v>
                </c:pt>
                <c:pt idx="442">
                  <c:v>1.64</c:v>
                </c:pt>
                <c:pt idx="443">
                  <c:v>2.39</c:v>
                </c:pt>
                <c:pt idx="494">
                  <c:v>12.33</c:v>
                </c:pt>
                <c:pt idx="526">
                  <c:v>12.666</c:v>
                </c:pt>
                <c:pt idx="549">
                  <c:v>17.318000000000001</c:v>
                </c:pt>
                <c:pt idx="574">
                  <c:v>15.581</c:v>
                </c:pt>
                <c:pt idx="599">
                  <c:v>0.89200000000000002</c:v>
                </c:pt>
                <c:pt idx="604">
                  <c:v>1.6020000000000001</c:v>
                </c:pt>
                <c:pt idx="605">
                  <c:v>1.5109999999999999</c:v>
                </c:pt>
                <c:pt idx="606">
                  <c:v>1.61</c:v>
                </c:pt>
                <c:pt idx="607">
                  <c:v>1.31</c:v>
                </c:pt>
                <c:pt idx="611">
                  <c:v>4.71</c:v>
                </c:pt>
                <c:pt idx="619">
                  <c:v>9.17</c:v>
                </c:pt>
                <c:pt idx="667">
                  <c:v>1.7</c:v>
                </c:pt>
                <c:pt idx="668">
                  <c:v>2.86</c:v>
                </c:pt>
                <c:pt idx="792">
                  <c:v>11.994</c:v>
                </c:pt>
                <c:pt idx="813">
                  <c:v>7.3979999999999997</c:v>
                </c:pt>
                <c:pt idx="832">
                  <c:v>2.3540000000000001</c:v>
                </c:pt>
                <c:pt idx="844">
                  <c:v>2.4660000000000002</c:v>
                </c:pt>
                <c:pt idx="850">
                  <c:v>2.9</c:v>
                </c:pt>
                <c:pt idx="851">
                  <c:v>2.56</c:v>
                </c:pt>
                <c:pt idx="852">
                  <c:v>3.96</c:v>
                </c:pt>
                <c:pt idx="853">
                  <c:v>5.51</c:v>
                </c:pt>
                <c:pt idx="854">
                  <c:v>10.199999999999999</c:v>
                </c:pt>
                <c:pt idx="865">
                  <c:v>16.814</c:v>
                </c:pt>
                <c:pt idx="878">
                  <c:v>11.776999999999999</c:v>
                </c:pt>
                <c:pt idx="879">
                  <c:v>12.442</c:v>
                </c:pt>
                <c:pt idx="881">
                  <c:v>13</c:v>
                </c:pt>
                <c:pt idx="882">
                  <c:v>13</c:v>
                </c:pt>
                <c:pt idx="883">
                  <c:v>13</c:v>
                </c:pt>
                <c:pt idx="886">
                  <c:v>3.84</c:v>
                </c:pt>
                <c:pt idx="887">
                  <c:v>3.59</c:v>
                </c:pt>
                <c:pt idx="888">
                  <c:v>2</c:v>
                </c:pt>
                <c:pt idx="889">
                  <c:v>1.3</c:v>
                </c:pt>
                <c:pt idx="890">
                  <c:v>1.96</c:v>
                </c:pt>
                <c:pt idx="891">
                  <c:v>3.37</c:v>
                </c:pt>
                <c:pt idx="892">
                  <c:v>15.98</c:v>
                </c:pt>
                <c:pt idx="893">
                  <c:v>5.33</c:v>
                </c:pt>
                <c:pt idx="894">
                  <c:v>7.55</c:v>
                </c:pt>
                <c:pt idx="895">
                  <c:v>2.56</c:v>
                </c:pt>
                <c:pt idx="896">
                  <c:v>1.9</c:v>
                </c:pt>
                <c:pt idx="897">
                  <c:v>12.14</c:v>
                </c:pt>
                <c:pt idx="898">
                  <c:v>10.67</c:v>
                </c:pt>
                <c:pt idx="899">
                  <c:v>12.06</c:v>
                </c:pt>
                <c:pt idx="900">
                  <c:v>0.69</c:v>
                </c:pt>
                <c:pt idx="901">
                  <c:v>2.0299999999999998</c:v>
                </c:pt>
                <c:pt idx="902">
                  <c:v>2.06</c:v>
                </c:pt>
                <c:pt idx="903">
                  <c:v>2.54</c:v>
                </c:pt>
                <c:pt idx="904">
                  <c:v>2.5299999999999998</c:v>
                </c:pt>
                <c:pt idx="905">
                  <c:v>2.33</c:v>
                </c:pt>
                <c:pt idx="906">
                  <c:v>2.0099999999999998</c:v>
                </c:pt>
                <c:pt idx="907">
                  <c:v>7.5</c:v>
                </c:pt>
                <c:pt idx="908">
                  <c:v>1.21</c:v>
                </c:pt>
                <c:pt idx="909">
                  <c:v>2.76</c:v>
                </c:pt>
                <c:pt idx="910">
                  <c:v>2.9</c:v>
                </c:pt>
                <c:pt idx="911">
                  <c:v>2.1800000000000002</c:v>
                </c:pt>
                <c:pt idx="912">
                  <c:v>1.97</c:v>
                </c:pt>
                <c:pt idx="913">
                  <c:v>8.3699999999999992</c:v>
                </c:pt>
                <c:pt idx="914">
                  <c:v>1.42</c:v>
                </c:pt>
                <c:pt idx="915">
                  <c:v>1.04</c:v>
                </c:pt>
                <c:pt idx="916">
                  <c:v>1.89</c:v>
                </c:pt>
                <c:pt idx="917">
                  <c:v>1.25</c:v>
                </c:pt>
                <c:pt idx="918">
                  <c:v>1.7</c:v>
                </c:pt>
                <c:pt idx="919">
                  <c:v>14.571999999999999</c:v>
                </c:pt>
                <c:pt idx="920">
                  <c:v>1.34</c:v>
                </c:pt>
                <c:pt idx="921">
                  <c:v>1.603</c:v>
                </c:pt>
                <c:pt idx="922">
                  <c:v>2.0030000000000001</c:v>
                </c:pt>
                <c:pt idx="923">
                  <c:v>1.73</c:v>
                </c:pt>
                <c:pt idx="924">
                  <c:v>0.99</c:v>
                </c:pt>
                <c:pt idx="925">
                  <c:v>2.91</c:v>
                </c:pt>
                <c:pt idx="926">
                  <c:v>1.45</c:v>
                </c:pt>
                <c:pt idx="927">
                  <c:v>0.89</c:v>
                </c:pt>
                <c:pt idx="928">
                  <c:v>1.57</c:v>
                </c:pt>
                <c:pt idx="929">
                  <c:v>2.52</c:v>
                </c:pt>
                <c:pt idx="930">
                  <c:v>2.66</c:v>
                </c:pt>
                <c:pt idx="931">
                  <c:v>3.29</c:v>
                </c:pt>
                <c:pt idx="932">
                  <c:v>2.81</c:v>
                </c:pt>
                <c:pt idx="933">
                  <c:v>9.11</c:v>
                </c:pt>
                <c:pt idx="934">
                  <c:v>4.8099999999999996</c:v>
                </c:pt>
                <c:pt idx="935">
                  <c:v>12.25</c:v>
                </c:pt>
                <c:pt idx="936">
                  <c:v>1.51</c:v>
                </c:pt>
                <c:pt idx="937">
                  <c:v>7</c:v>
                </c:pt>
                <c:pt idx="938">
                  <c:v>2.15</c:v>
                </c:pt>
                <c:pt idx="939">
                  <c:v>1.38</c:v>
                </c:pt>
                <c:pt idx="940">
                  <c:v>1.33</c:v>
                </c:pt>
                <c:pt idx="941">
                  <c:v>1.73</c:v>
                </c:pt>
                <c:pt idx="942">
                  <c:v>1.64</c:v>
                </c:pt>
                <c:pt idx="943">
                  <c:v>1.64</c:v>
                </c:pt>
                <c:pt idx="944">
                  <c:v>2.48</c:v>
                </c:pt>
                <c:pt idx="945">
                  <c:v>2</c:v>
                </c:pt>
                <c:pt idx="946">
                  <c:v>1.49</c:v>
                </c:pt>
                <c:pt idx="947">
                  <c:v>2.29</c:v>
                </c:pt>
                <c:pt idx="948">
                  <c:v>2</c:v>
                </c:pt>
                <c:pt idx="949">
                  <c:v>1.99</c:v>
                </c:pt>
                <c:pt idx="950">
                  <c:v>2.0699999999999998</c:v>
                </c:pt>
                <c:pt idx="951">
                  <c:v>1.8</c:v>
                </c:pt>
                <c:pt idx="952">
                  <c:v>2.6</c:v>
                </c:pt>
                <c:pt idx="953">
                  <c:v>1.9</c:v>
                </c:pt>
                <c:pt idx="954">
                  <c:v>1.1499999999999999</c:v>
                </c:pt>
                <c:pt idx="955">
                  <c:v>1.0549999999999999</c:v>
                </c:pt>
                <c:pt idx="956">
                  <c:v>2.64</c:v>
                </c:pt>
                <c:pt idx="957">
                  <c:v>1.28</c:v>
                </c:pt>
                <c:pt idx="958">
                  <c:v>2.2599999999999998</c:v>
                </c:pt>
                <c:pt idx="959">
                  <c:v>2.02</c:v>
                </c:pt>
                <c:pt idx="960">
                  <c:v>2.54</c:v>
                </c:pt>
                <c:pt idx="961">
                  <c:v>3.1779999999999999</c:v>
                </c:pt>
                <c:pt idx="962">
                  <c:v>6.117</c:v>
                </c:pt>
                <c:pt idx="963">
                  <c:v>1.44</c:v>
                </c:pt>
                <c:pt idx="964">
                  <c:v>2.4660000000000002</c:v>
                </c:pt>
                <c:pt idx="965">
                  <c:v>3.2490000000000001</c:v>
                </c:pt>
                <c:pt idx="966">
                  <c:v>1.274</c:v>
                </c:pt>
                <c:pt idx="967">
                  <c:v>1.554</c:v>
                </c:pt>
                <c:pt idx="968">
                  <c:v>2.6480000000000001</c:v>
                </c:pt>
                <c:pt idx="969">
                  <c:v>2.19</c:v>
                </c:pt>
                <c:pt idx="970">
                  <c:v>2.819</c:v>
                </c:pt>
                <c:pt idx="971">
                  <c:v>2.1440000000000001</c:v>
                </c:pt>
                <c:pt idx="972">
                  <c:v>1.2729999999999999</c:v>
                </c:pt>
                <c:pt idx="973">
                  <c:v>2.23</c:v>
                </c:pt>
                <c:pt idx="974">
                  <c:v>1.4179999999999999</c:v>
                </c:pt>
                <c:pt idx="975">
                  <c:v>1.802</c:v>
                </c:pt>
                <c:pt idx="976">
                  <c:v>2.6869999999999998</c:v>
                </c:pt>
                <c:pt idx="977">
                  <c:v>1.6659999999999999</c:v>
                </c:pt>
                <c:pt idx="978">
                  <c:v>3.206</c:v>
                </c:pt>
                <c:pt idx="979">
                  <c:v>1.6080000000000001</c:v>
                </c:pt>
                <c:pt idx="980">
                  <c:v>2.6</c:v>
                </c:pt>
                <c:pt idx="981">
                  <c:v>2.0379999999999998</c:v>
                </c:pt>
                <c:pt idx="982">
                  <c:v>1.4910000000000001</c:v>
                </c:pt>
                <c:pt idx="983">
                  <c:v>2.1160000000000001</c:v>
                </c:pt>
                <c:pt idx="984">
                  <c:v>3.5579999999999998</c:v>
                </c:pt>
                <c:pt idx="985">
                  <c:v>2.5129999999999999</c:v>
                </c:pt>
                <c:pt idx="986">
                  <c:v>2.37</c:v>
                </c:pt>
                <c:pt idx="988">
                  <c:v>2.31</c:v>
                </c:pt>
                <c:pt idx="989">
                  <c:v>2.84</c:v>
                </c:pt>
                <c:pt idx="990">
                  <c:v>2.76</c:v>
                </c:pt>
                <c:pt idx="991">
                  <c:v>2.5990000000000002</c:v>
                </c:pt>
                <c:pt idx="992">
                  <c:v>2.87</c:v>
                </c:pt>
                <c:pt idx="993">
                  <c:v>2.86</c:v>
                </c:pt>
                <c:pt idx="994">
                  <c:v>1.55</c:v>
                </c:pt>
                <c:pt idx="995">
                  <c:v>1.3129999999999999</c:v>
                </c:pt>
                <c:pt idx="996">
                  <c:v>3.1720000000000002</c:v>
                </c:pt>
                <c:pt idx="997">
                  <c:v>1.3</c:v>
                </c:pt>
                <c:pt idx="998">
                  <c:v>1.8</c:v>
                </c:pt>
                <c:pt idx="999">
                  <c:v>3.17</c:v>
                </c:pt>
                <c:pt idx="1000">
                  <c:v>2.38</c:v>
                </c:pt>
                <c:pt idx="1001">
                  <c:v>1.35</c:v>
                </c:pt>
                <c:pt idx="1002">
                  <c:v>2.83</c:v>
                </c:pt>
                <c:pt idx="1003">
                  <c:v>1.52</c:v>
                </c:pt>
                <c:pt idx="1004">
                  <c:v>2.5</c:v>
                </c:pt>
                <c:pt idx="1005">
                  <c:v>7.74</c:v>
                </c:pt>
                <c:pt idx="1006">
                  <c:v>4.8600000000000003</c:v>
                </c:pt>
                <c:pt idx="1007">
                  <c:v>1.1399999999999999</c:v>
                </c:pt>
                <c:pt idx="1008">
                  <c:v>1.357</c:v>
                </c:pt>
                <c:pt idx="1009">
                  <c:v>1.093</c:v>
                </c:pt>
                <c:pt idx="1010">
                  <c:v>1.579</c:v>
                </c:pt>
                <c:pt idx="1011">
                  <c:v>1.52</c:v>
                </c:pt>
                <c:pt idx="1012">
                  <c:v>3.95</c:v>
                </c:pt>
                <c:pt idx="1013">
                  <c:v>3.6419999999999999</c:v>
                </c:pt>
                <c:pt idx="1014">
                  <c:v>3.13</c:v>
                </c:pt>
                <c:pt idx="1015">
                  <c:v>2.5760000000000001</c:v>
                </c:pt>
                <c:pt idx="1016">
                  <c:v>3.6</c:v>
                </c:pt>
                <c:pt idx="1017">
                  <c:v>2.56</c:v>
                </c:pt>
                <c:pt idx="1018">
                  <c:v>4.1189999999999998</c:v>
                </c:pt>
                <c:pt idx="1019">
                  <c:v>1.87</c:v>
                </c:pt>
                <c:pt idx="1020">
                  <c:v>2.78</c:v>
                </c:pt>
                <c:pt idx="1021">
                  <c:v>1.3640000000000001</c:v>
                </c:pt>
                <c:pt idx="1022">
                  <c:v>1.4</c:v>
                </c:pt>
                <c:pt idx="1023">
                  <c:v>3.286</c:v>
                </c:pt>
                <c:pt idx="1024">
                  <c:v>2.302</c:v>
                </c:pt>
                <c:pt idx="1025">
                  <c:v>1.371</c:v>
                </c:pt>
                <c:pt idx="1026">
                  <c:v>3.0459999999999998</c:v>
                </c:pt>
                <c:pt idx="1027">
                  <c:v>1.996</c:v>
                </c:pt>
                <c:pt idx="1028">
                  <c:v>2.7949999999999999</c:v>
                </c:pt>
                <c:pt idx="1029">
                  <c:v>2.6059999999999999</c:v>
                </c:pt>
                <c:pt idx="1030">
                  <c:v>1.679</c:v>
                </c:pt>
                <c:pt idx="1031">
                  <c:v>0.86899999999999999</c:v>
                </c:pt>
                <c:pt idx="1032">
                  <c:v>1.84</c:v>
                </c:pt>
                <c:pt idx="1033">
                  <c:v>2.4900000000000002</c:v>
                </c:pt>
                <c:pt idx="1034">
                  <c:v>0.81899999999999995</c:v>
                </c:pt>
                <c:pt idx="1035">
                  <c:v>1.375</c:v>
                </c:pt>
                <c:pt idx="1036">
                  <c:v>2.52</c:v>
                </c:pt>
                <c:pt idx="1037">
                  <c:v>1.514</c:v>
                </c:pt>
                <c:pt idx="1038">
                  <c:v>2.4300000000000002</c:v>
                </c:pt>
                <c:pt idx="1039">
                  <c:v>2.1240000000000001</c:v>
                </c:pt>
                <c:pt idx="1040">
                  <c:v>1.75</c:v>
                </c:pt>
                <c:pt idx="1041">
                  <c:v>3.5790000000000002</c:v>
                </c:pt>
                <c:pt idx="1042">
                  <c:v>2.569</c:v>
                </c:pt>
                <c:pt idx="1043">
                  <c:v>1.3480000000000001</c:v>
                </c:pt>
                <c:pt idx="1044">
                  <c:v>1.4379999999999999</c:v>
                </c:pt>
                <c:pt idx="1045">
                  <c:v>2.5760000000000001</c:v>
                </c:pt>
                <c:pt idx="1046">
                  <c:v>2.5</c:v>
                </c:pt>
                <c:pt idx="1047">
                  <c:v>2.39</c:v>
                </c:pt>
                <c:pt idx="1048">
                  <c:v>1.679</c:v>
                </c:pt>
                <c:pt idx="1049">
                  <c:v>2.39</c:v>
                </c:pt>
                <c:pt idx="1050">
                  <c:v>0.89</c:v>
                </c:pt>
                <c:pt idx="1051">
                  <c:v>1.57</c:v>
                </c:pt>
                <c:pt idx="1052">
                  <c:v>1.56</c:v>
                </c:pt>
                <c:pt idx="1053">
                  <c:v>2.41</c:v>
                </c:pt>
                <c:pt idx="1054">
                  <c:v>3.49</c:v>
                </c:pt>
                <c:pt idx="1055">
                  <c:v>1.54</c:v>
                </c:pt>
                <c:pt idx="1056">
                  <c:v>1.6659999999999999</c:v>
                </c:pt>
                <c:pt idx="1057">
                  <c:v>1.21</c:v>
                </c:pt>
                <c:pt idx="1058">
                  <c:v>1.1399999999999999</c:v>
                </c:pt>
                <c:pt idx="1059">
                  <c:v>2.0299999999999998</c:v>
                </c:pt>
                <c:pt idx="1060">
                  <c:v>1.96</c:v>
                </c:pt>
                <c:pt idx="1061">
                  <c:v>2.5</c:v>
                </c:pt>
                <c:pt idx="1062">
                  <c:v>11.209</c:v>
                </c:pt>
                <c:pt idx="1063">
                  <c:v>1.3979999999999999</c:v>
                </c:pt>
                <c:pt idx="1064">
                  <c:v>1.335</c:v>
                </c:pt>
                <c:pt idx="1065">
                  <c:v>2.64</c:v>
                </c:pt>
                <c:pt idx="1066">
                  <c:v>18.405000000000001</c:v>
                </c:pt>
                <c:pt idx="1067">
                  <c:v>14.571999999999999</c:v>
                </c:pt>
                <c:pt idx="1068">
                  <c:v>1.1000000000000001</c:v>
                </c:pt>
                <c:pt idx="1069">
                  <c:v>1</c:v>
                </c:pt>
                <c:pt idx="1070">
                  <c:v>1.1000000000000001</c:v>
                </c:pt>
                <c:pt idx="1071">
                  <c:v>5.4</c:v>
                </c:pt>
                <c:pt idx="1072">
                  <c:v>7.5</c:v>
                </c:pt>
                <c:pt idx="1073">
                  <c:v>2</c:v>
                </c:pt>
                <c:pt idx="1074">
                  <c:v>1.8</c:v>
                </c:pt>
                <c:pt idx="1075">
                  <c:v>2.5499999999999998</c:v>
                </c:pt>
                <c:pt idx="1076">
                  <c:v>2.54</c:v>
                </c:pt>
                <c:pt idx="1077">
                  <c:v>2.17</c:v>
                </c:pt>
                <c:pt idx="1078">
                  <c:v>2.0099999999999998</c:v>
                </c:pt>
                <c:pt idx="1079">
                  <c:v>1.75</c:v>
                </c:pt>
                <c:pt idx="1080">
                  <c:v>4.34</c:v>
                </c:pt>
                <c:pt idx="1081">
                  <c:v>3.49</c:v>
                </c:pt>
                <c:pt idx="1082">
                  <c:v>2.12</c:v>
                </c:pt>
                <c:pt idx="1083">
                  <c:v>2.19</c:v>
                </c:pt>
                <c:pt idx="1084">
                  <c:v>2.57</c:v>
                </c:pt>
                <c:pt idx="1085">
                  <c:v>2.79</c:v>
                </c:pt>
                <c:pt idx="1086">
                  <c:v>3.43</c:v>
                </c:pt>
                <c:pt idx="1087">
                  <c:v>2.44</c:v>
                </c:pt>
                <c:pt idx="1088">
                  <c:v>2.35</c:v>
                </c:pt>
                <c:pt idx="1089">
                  <c:v>1.74</c:v>
                </c:pt>
                <c:pt idx="1090">
                  <c:v>12.67</c:v>
                </c:pt>
                <c:pt idx="1091">
                  <c:v>1.63</c:v>
                </c:pt>
                <c:pt idx="1092">
                  <c:v>2.19</c:v>
                </c:pt>
                <c:pt idx="1093">
                  <c:v>2.9</c:v>
                </c:pt>
                <c:pt idx="1094">
                  <c:v>2.63</c:v>
                </c:pt>
                <c:pt idx="1095">
                  <c:v>0.83</c:v>
                </c:pt>
                <c:pt idx="1096">
                  <c:v>3</c:v>
                </c:pt>
                <c:pt idx="1097">
                  <c:v>2.3199999999999998</c:v>
                </c:pt>
                <c:pt idx="1098">
                  <c:v>2.67</c:v>
                </c:pt>
                <c:pt idx="1099">
                  <c:v>17.396000000000001</c:v>
                </c:pt>
                <c:pt idx="1100">
                  <c:v>9.5280000000000005</c:v>
                </c:pt>
                <c:pt idx="1101">
                  <c:v>2.41</c:v>
                </c:pt>
                <c:pt idx="1102">
                  <c:v>2.2309999999999999</c:v>
                </c:pt>
                <c:pt idx="1103">
                  <c:v>2.6680000000000001</c:v>
                </c:pt>
                <c:pt idx="1104">
                  <c:v>1.71</c:v>
                </c:pt>
                <c:pt idx="1105">
                  <c:v>3.3</c:v>
                </c:pt>
                <c:pt idx="1106">
                  <c:v>0.70499999999999996</c:v>
                </c:pt>
                <c:pt idx="1107">
                  <c:v>2.93</c:v>
                </c:pt>
                <c:pt idx="1108">
                  <c:v>2.73</c:v>
                </c:pt>
                <c:pt idx="1109">
                  <c:v>1.41</c:v>
                </c:pt>
                <c:pt idx="1110">
                  <c:v>2.69</c:v>
                </c:pt>
                <c:pt idx="1111">
                  <c:v>1.57</c:v>
                </c:pt>
                <c:pt idx="1112">
                  <c:v>4.4800000000000004</c:v>
                </c:pt>
                <c:pt idx="1113">
                  <c:v>1.38</c:v>
                </c:pt>
                <c:pt idx="1114">
                  <c:v>2.95</c:v>
                </c:pt>
                <c:pt idx="1115">
                  <c:v>7.28</c:v>
                </c:pt>
                <c:pt idx="1116">
                  <c:v>2.91</c:v>
                </c:pt>
                <c:pt idx="1117">
                  <c:v>4.42</c:v>
                </c:pt>
                <c:pt idx="1118">
                  <c:v>2.2000000000000002</c:v>
                </c:pt>
                <c:pt idx="1119">
                  <c:v>2.2400000000000002</c:v>
                </c:pt>
                <c:pt idx="1120">
                  <c:v>2.34</c:v>
                </c:pt>
                <c:pt idx="1121">
                  <c:v>3.77</c:v>
                </c:pt>
                <c:pt idx="1122">
                  <c:v>2.0699999999999998</c:v>
                </c:pt>
                <c:pt idx="1123">
                  <c:v>2.98</c:v>
                </c:pt>
                <c:pt idx="1124">
                  <c:v>1.21</c:v>
                </c:pt>
                <c:pt idx="1125">
                  <c:v>2.3199999999999998</c:v>
                </c:pt>
                <c:pt idx="1126">
                  <c:v>7.67</c:v>
                </c:pt>
                <c:pt idx="1127">
                  <c:v>8.18</c:v>
                </c:pt>
                <c:pt idx="1128">
                  <c:v>2.82</c:v>
                </c:pt>
                <c:pt idx="1129">
                  <c:v>3.52</c:v>
                </c:pt>
                <c:pt idx="1130">
                  <c:v>2.78</c:v>
                </c:pt>
                <c:pt idx="1131">
                  <c:v>2.59</c:v>
                </c:pt>
                <c:pt idx="1132">
                  <c:v>3.53</c:v>
                </c:pt>
                <c:pt idx="1133">
                  <c:v>2.48</c:v>
                </c:pt>
                <c:pt idx="1134">
                  <c:v>1.95</c:v>
                </c:pt>
                <c:pt idx="1135">
                  <c:v>2.1</c:v>
                </c:pt>
                <c:pt idx="1136">
                  <c:v>9.4939999999999998</c:v>
                </c:pt>
                <c:pt idx="1137">
                  <c:v>1.9</c:v>
                </c:pt>
                <c:pt idx="1138">
                  <c:v>9.1</c:v>
                </c:pt>
                <c:pt idx="1139">
                  <c:v>13.339</c:v>
                </c:pt>
                <c:pt idx="1140">
                  <c:v>3.06</c:v>
                </c:pt>
                <c:pt idx="1141">
                  <c:v>11.276</c:v>
                </c:pt>
                <c:pt idx="1142">
                  <c:v>1.589</c:v>
                </c:pt>
                <c:pt idx="1143">
                  <c:v>2.4500000000000002</c:v>
                </c:pt>
                <c:pt idx="1144">
                  <c:v>1.66</c:v>
                </c:pt>
                <c:pt idx="1145">
                  <c:v>10.054</c:v>
                </c:pt>
                <c:pt idx="1146">
                  <c:v>2.1800000000000002</c:v>
                </c:pt>
                <c:pt idx="1147">
                  <c:v>1.85</c:v>
                </c:pt>
                <c:pt idx="1148">
                  <c:v>1.51</c:v>
                </c:pt>
                <c:pt idx="1149">
                  <c:v>11.646000000000001</c:v>
                </c:pt>
                <c:pt idx="1150">
                  <c:v>11.882</c:v>
                </c:pt>
                <c:pt idx="1151">
                  <c:v>5.13</c:v>
                </c:pt>
                <c:pt idx="1152">
                  <c:v>3.01</c:v>
                </c:pt>
                <c:pt idx="1153">
                  <c:v>3.43</c:v>
                </c:pt>
                <c:pt idx="1154">
                  <c:v>5.04</c:v>
                </c:pt>
                <c:pt idx="1155">
                  <c:v>13.96</c:v>
                </c:pt>
                <c:pt idx="1156">
                  <c:v>1.93</c:v>
                </c:pt>
                <c:pt idx="1157">
                  <c:v>1.32</c:v>
                </c:pt>
                <c:pt idx="1158">
                  <c:v>1.32</c:v>
                </c:pt>
                <c:pt idx="1159">
                  <c:v>2.8</c:v>
                </c:pt>
                <c:pt idx="1160">
                  <c:v>1.61</c:v>
                </c:pt>
                <c:pt idx="1161">
                  <c:v>2.75</c:v>
                </c:pt>
                <c:pt idx="1162">
                  <c:v>2.73</c:v>
                </c:pt>
                <c:pt idx="1163">
                  <c:v>1.9059999999999999</c:v>
                </c:pt>
                <c:pt idx="1164">
                  <c:v>2.42</c:v>
                </c:pt>
                <c:pt idx="1165">
                  <c:v>6.2770000000000001</c:v>
                </c:pt>
                <c:pt idx="1166">
                  <c:v>2.1</c:v>
                </c:pt>
                <c:pt idx="1167">
                  <c:v>2.15</c:v>
                </c:pt>
                <c:pt idx="1168">
                  <c:v>4.75</c:v>
                </c:pt>
                <c:pt idx="1169">
                  <c:v>2.72</c:v>
                </c:pt>
                <c:pt idx="1170">
                  <c:v>6.71</c:v>
                </c:pt>
                <c:pt idx="1171">
                  <c:v>2.0499999999999998</c:v>
                </c:pt>
                <c:pt idx="1172">
                  <c:v>1.89</c:v>
                </c:pt>
                <c:pt idx="1173">
                  <c:v>2.2400000000000002</c:v>
                </c:pt>
                <c:pt idx="1174">
                  <c:v>1.93</c:v>
                </c:pt>
                <c:pt idx="1175">
                  <c:v>1.91</c:v>
                </c:pt>
                <c:pt idx="1176">
                  <c:v>2.2599999999999998</c:v>
                </c:pt>
                <c:pt idx="1177">
                  <c:v>1.59</c:v>
                </c:pt>
                <c:pt idx="1178">
                  <c:v>18</c:v>
                </c:pt>
                <c:pt idx="1179">
                  <c:v>2.6</c:v>
                </c:pt>
                <c:pt idx="1180">
                  <c:v>1.1499999999999999</c:v>
                </c:pt>
                <c:pt idx="1181">
                  <c:v>3.82</c:v>
                </c:pt>
                <c:pt idx="1182">
                  <c:v>2.1</c:v>
                </c:pt>
                <c:pt idx="1183">
                  <c:v>2.68</c:v>
                </c:pt>
                <c:pt idx="1184">
                  <c:v>1.62</c:v>
                </c:pt>
                <c:pt idx="1185">
                  <c:v>1.71</c:v>
                </c:pt>
                <c:pt idx="1186">
                  <c:v>2.41</c:v>
                </c:pt>
                <c:pt idx="1187">
                  <c:v>2.2999999999999998</c:v>
                </c:pt>
                <c:pt idx="1188">
                  <c:v>2.5</c:v>
                </c:pt>
                <c:pt idx="1189">
                  <c:v>7.6559999999999997</c:v>
                </c:pt>
                <c:pt idx="1190">
                  <c:v>2.48</c:v>
                </c:pt>
                <c:pt idx="1191">
                  <c:v>2.14</c:v>
                </c:pt>
                <c:pt idx="1192">
                  <c:v>2.14</c:v>
                </c:pt>
                <c:pt idx="1193">
                  <c:v>3.22</c:v>
                </c:pt>
                <c:pt idx="1194">
                  <c:v>3.9</c:v>
                </c:pt>
                <c:pt idx="1195">
                  <c:v>2.0699999999999998</c:v>
                </c:pt>
                <c:pt idx="1196">
                  <c:v>1.58</c:v>
                </c:pt>
                <c:pt idx="1197">
                  <c:v>2.4900000000000002</c:v>
                </c:pt>
                <c:pt idx="1198">
                  <c:v>1.58</c:v>
                </c:pt>
                <c:pt idx="1199">
                  <c:v>2.3199999999999998</c:v>
                </c:pt>
                <c:pt idx="1200">
                  <c:v>2.67</c:v>
                </c:pt>
                <c:pt idx="1201">
                  <c:v>2.89</c:v>
                </c:pt>
                <c:pt idx="1202">
                  <c:v>2.15</c:v>
                </c:pt>
                <c:pt idx="1203">
                  <c:v>1.08</c:v>
                </c:pt>
                <c:pt idx="1204">
                  <c:v>1.1599999999999999</c:v>
                </c:pt>
                <c:pt idx="1205">
                  <c:v>1.01</c:v>
                </c:pt>
                <c:pt idx="1206">
                  <c:v>1.29</c:v>
                </c:pt>
                <c:pt idx="1207">
                  <c:v>2.4500000000000002</c:v>
                </c:pt>
                <c:pt idx="1208">
                  <c:v>2.31</c:v>
                </c:pt>
                <c:pt idx="1209">
                  <c:v>2.67</c:v>
                </c:pt>
                <c:pt idx="1210">
                  <c:v>2.77</c:v>
                </c:pt>
                <c:pt idx="1211">
                  <c:v>2.2999999999999998</c:v>
                </c:pt>
                <c:pt idx="1212">
                  <c:v>3.69</c:v>
                </c:pt>
                <c:pt idx="1213">
                  <c:v>3.58</c:v>
                </c:pt>
                <c:pt idx="1214">
                  <c:v>2.41</c:v>
                </c:pt>
                <c:pt idx="1215">
                  <c:v>2.0099999999999998</c:v>
                </c:pt>
                <c:pt idx="1216">
                  <c:v>1.47</c:v>
                </c:pt>
                <c:pt idx="1217">
                  <c:v>2.552</c:v>
                </c:pt>
                <c:pt idx="1218">
                  <c:v>1.97</c:v>
                </c:pt>
                <c:pt idx="1219">
                  <c:v>1.244</c:v>
                </c:pt>
                <c:pt idx="1220">
                  <c:v>1.4830000000000001</c:v>
                </c:pt>
                <c:pt idx="1221">
                  <c:v>2.41</c:v>
                </c:pt>
                <c:pt idx="1222">
                  <c:v>2.0299999999999998</c:v>
                </c:pt>
                <c:pt idx="1223">
                  <c:v>1.01</c:v>
                </c:pt>
                <c:pt idx="1224">
                  <c:v>1.96</c:v>
                </c:pt>
                <c:pt idx="1225">
                  <c:v>7.6</c:v>
                </c:pt>
                <c:pt idx="1226">
                  <c:v>1.23</c:v>
                </c:pt>
                <c:pt idx="1227">
                  <c:v>0.61499999999999999</c:v>
                </c:pt>
                <c:pt idx="1228">
                  <c:v>2.25</c:v>
                </c:pt>
                <c:pt idx="1229">
                  <c:v>2.6</c:v>
                </c:pt>
                <c:pt idx="1230">
                  <c:v>1.3</c:v>
                </c:pt>
                <c:pt idx="1231">
                  <c:v>1.1000000000000001</c:v>
                </c:pt>
                <c:pt idx="1232">
                  <c:v>3.88</c:v>
                </c:pt>
                <c:pt idx="1233">
                  <c:v>10.61</c:v>
                </c:pt>
                <c:pt idx="1234">
                  <c:v>5.2</c:v>
                </c:pt>
                <c:pt idx="1235">
                  <c:v>11.73</c:v>
                </c:pt>
                <c:pt idx="1236">
                  <c:v>12.442</c:v>
                </c:pt>
                <c:pt idx="1237">
                  <c:v>15.680999999999999</c:v>
                </c:pt>
                <c:pt idx="1238">
                  <c:v>15.132</c:v>
                </c:pt>
                <c:pt idx="1239">
                  <c:v>19.952000000000002</c:v>
                </c:pt>
                <c:pt idx="1240">
                  <c:v>19.536999999999999</c:v>
                </c:pt>
                <c:pt idx="1241">
                  <c:v>19.504000000000001</c:v>
                </c:pt>
                <c:pt idx="1242">
                  <c:v>15.861000000000001</c:v>
                </c:pt>
                <c:pt idx="1243">
                  <c:v>17.094000000000001</c:v>
                </c:pt>
                <c:pt idx="1244">
                  <c:v>17.597999999999999</c:v>
                </c:pt>
                <c:pt idx="1245">
                  <c:v>21.408999999999999</c:v>
                </c:pt>
                <c:pt idx="1246">
                  <c:v>15.132</c:v>
                </c:pt>
                <c:pt idx="1247">
                  <c:v>19.515000000000001</c:v>
                </c:pt>
                <c:pt idx="1248">
                  <c:v>17.777000000000001</c:v>
                </c:pt>
                <c:pt idx="1249">
                  <c:v>17.486000000000001</c:v>
                </c:pt>
                <c:pt idx="1250">
                  <c:v>19.044</c:v>
                </c:pt>
                <c:pt idx="1251">
                  <c:v>14.571999999999999</c:v>
                </c:pt>
                <c:pt idx="1253">
                  <c:v>17.934000000000001</c:v>
                </c:pt>
                <c:pt idx="1254">
                  <c:v>18.158999999999999</c:v>
                </c:pt>
                <c:pt idx="1255">
                  <c:v>21.196000000000002</c:v>
                </c:pt>
                <c:pt idx="1259">
                  <c:v>5.5</c:v>
                </c:pt>
                <c:pt idx="1260">
                  <c:v>6.9</c:v>
                </c:pt>
                <c:pt idx="1261">
                  <c:v>6.4</c:v>
                </c:pt>
                <c:pt idx="1262">
                  <c:v>6.6</c:v>
                </c:pt>
                <c:pt idx="1264">
                  <c:v>4.0999999999999996</c:v>
                </c:pt>
                <c:pt idx="1265">
                  <c:v>2.4</c:v>
                </c:pt>
                <c:pt idx="1266">
                  <c:v>4.5999999999999996</c:v>
                </c:pt>
                <c:pt idx="1273">
                  <c:v>17.262</c:v>
                </c:pt>
                <c:pt idx="1274">
                  <c:v>10.54</c:v>
                </c:pt>
                <c:pt idx="1275">
                  <c:v>16.948</c:v>
                </c:pt>
                <c:pt idx="1276">
                  <c:v>3.78</c:v>
                </c:pt>
                <c:pt idx="1278">
                  <c:v>1.9</c:v>
                </c:pt>
                <c:pt idx="1279">
                  <c:v>1.9</c:v>
                </c:pt>
                <c:pt idx="1280">
                  <c:v>12.442</c:v>
                </c:pt>
                <c:pt idx="1281">
                  <c:v>1.31</c:v>
                </c:pt>
                <c:pt idx="1282">
                  <c:v>1.19</c:v>
                </c:pt>
                <c:pt idx="1283">
                  <c:v>2.87</c:v>
                </c:pt>
                <c:pt idx="1284">
                  <c:v>2.66</c:v>
                </c:pt>
                <c:pt idx="1285">
                  <c:v>2.88</c:v>
                </c:pt>
                <c:pt idx="1286">
                  <c:v>8.1</c:v>
                </c:pt>
                <c:pt idx="1287">
                  <c:v>11.3</c:v>
                </c:pt>
                <c:pt idx="1288">
                  <c:v>1.32</c:v>
                </c:pt>
                <c:pt idx="1289">
                  <c:v>11.097</c:v>
                </c:pt>
                <c:pt idx="1290">
                  <c:v>0.75900000000000001</c:v>
                </c:pt>
                <c:pt idx="1291">
                  <c:v>0.86699999999999999</c:v>
                </c:pt>
                <c:pt idx="1292">
                  <c:v>1.71</c:v>
                </c:pt>
                <c:pt idx="1293">
                  <c:v>4.32</c:v>
                </c:pt>
                <c:pt idx="1294">
                  <c:v>11.27</c:v>
                </c:pt>
                <c:pt idx="1295">
                  <c:v>6.56</c:v>
                </c:pt>
                <c:pt idx="1296">
                  <c:v>11.545</c:v>
                </c:pt>
                <c:pt idx="1298">
                  <c:v>1.4810000000000001</c:v>
                </c:pt>
                <c:pt idx="1299">
                  <c:v>2.35</c:v>
                </c:pt>
                <c:pt idx="1300">
                  <c:v>1.32</c:v>
                </c:pt>
                <c:pt idx="1301">
                  <c:v>2.2000000000000002</c:v>
                </c:pt>
                <c:pt idx="1302">
                  <c:v>1.61</c:v>
                </c:pt>
                <c:pt idx="1303">
                  <c:v>4.76</c:v>
                </c:pt>
                <c:pt idx="1304">
                  <c:v>3.15</c:v>
                </c:pt>
                <c:pt idx="1305">
                  <c:v>1.71</c:v>
                </c:pt>
                <c:pt idx="1306">
                  <c:v>1.78</c:v>
                </c:pt>
                <c:pt idx="1307">
                  <c:v>6.28</c:v>
                </c:pt>
                <c:pt idx="1308">
                  <c:v>1.5</c:v>
                </c:pt>
                <c:pt idx="1309">
                  <c:v>1.54</c:v>
                </c:pt>
                <c:pt idx="1310">
                  <c:v>1.44</c:v>
                </c:pt>
                <c:pt idx="1311">
                  <c:v>1.28</c:v>
                </c:pt>
                <c:pt idx="1312">
                  <c:v>2.17</c:v>
                </c:pt>
                <c:pt idx="1313">
                  <c:v>5.77</c:v>
                </c:pt>
                <c:pt idx="1314">
                  <c:v>1.25</c:v>
                </c:pt>
                <c:pt idx="1315">
                  <c:v>2.3199999999999998</c:v>
                </c:pt>
                <c:pt idx="1316">
                  <c:v>2.87</c:v>
                </c:pt>
                <c:pt idx="1317">
                  <c:v>1.29</c:v>
                </c:pt>
                <c:pt idx="1318">
                  <c:v>2.15</c:v>
                </c:pt>
                <c:pt idx="1319">
                  <c:v>2.39</c:v>
                </c:pt>
                <c:pt idx="1320">
                  <c:v>3.55</c:v>
                </c:pt>
                <c:pt idx="1321">
                  <c:v>2.1800000000000002</c:v>
                </c:pt>
                <c:pt idx="1322">
                  <c:v>3.68</c:v>
                </c:pt>
                <c:pt idx="1323">
                  <c:v>1.99</c:v>
                </c:pt>
                <c:pt idx="1324">
                  <c:v>2.58</c:v>
                </c:pt>
                <c:pt idx="1325">
                  <c:v>1.46</c:v>
                </c:pt>
                <c:pt idx="1326">
                  <c:v>0.47</c:v>
                </c:pt>
                <c:pt idx="1327">
                  <c:v>0.57999999999999996</c:v>
                </c:pt>
                <c:pt idx="1328">
                  <c:v>1.18</c:v>
                </c:pt>
                <c:pt idx="1329">
                  <c:v>2.2200000000000002</c:v>
                </c:pt>
                <c:pt idx="1330">
                  <c:v>0.88</c:v>
                </c:pt>
                <c:pt idx="1331">
                  <c:v>2.2799999999999998</c:v>
                </c:pt>
                <c:pt idx="1332">
                  <c:v>2.33</c:v>
                </c:pt>
                <c:pt idx="1333">
                  <c:v>2.36</c:v>
                </c:pt>
                <c:pt idx="1334">
                  <c:v>2.63</c:v>
                </c:pt>
                <c:pt idx="1335">
                  <c:v>3.91</c:v>
                </c:pt>
                <c:pt idx="1336">
                  <c:v>1.98</c:v>
                </c:pt>
                <c:pt idx="1337">
                  <c:v>2.21</c:v>
                </c:pt>
                <c:pt idx="1338">
                  <c:v>0.89</c:v>
                </c:pt>
                <c:pt idx="1339">
                  <c:v>1.33</c:v>
                </c:pt>
                <c:pt idx="1340">
                  <c:v>1.26</c:v>
                </c:pt>
                <c:pt idx="1341">
                  <c:v>3.37</c:v>
                </c:pt>
                <c:pt idx="1342">
                  <c:v>5.14</c:v>
                </c:pt>
                <c:pt idx="1343">
                  <c:v>2.48</c:v>
                </c:pt>
                <c:pt idx="1344">
                  <c:v>0.87</c:v>
                </c:pt>
                <c:pt idx="1345">
                  <c:v>1.87</c:v>
                </c:pt>
                <c:pt idx="1346">
                  <c:v>2.5099999999999998</c:v>
                </c:pt>
                <c:pt idx="1347">
                  <c:v>2.2599999999999998</c:v>
                </c:pt>
                <c:pt idx="1348">
                  <c:v>1.17</c:v>
                </c:pt>
                <c:pt idx="1349">
                  <c:v>3.01</c:v>
                </c:pt>
                <c:pt idx="1350">
                  <c:v>1.28</c:v>
                </c:pt>
                <c:pt idx="1351">
                  <c:v>3.53</c:v>
                </c:pt>
                <c:pt idx="1352">
                  <c:v>1.46</c:v>
                </c:pt>
                <c:pt idx="1353">
                  <c:v>3.1</c:v>
                </c:pt>
                <c:pt idx="1354">
                  <c:v>3.13</c:v>
                </c:pt>
                <c:pt idx="1355">
                  <c:v>3.58</c:v>
                </c:pt>
                <c:pt idx="1356">
                  <c:v>2.08</c:v>
                </c:pt>
                <c:pt idx="1357">
                  <c:v>2.94</c:v>
                </c:pt>
                <c:pt idx="1358">
                  <c:v>2.19</c:v>
                </c:pt>
                <c:pt idx="1359">
                  <c:v>2.5499999999999998</c:v>
                </c:pt>
                <c:pt idx="1360">
                  <c:v>2.67</c:v>
                </c:pt>
                <c:pt idx="1361">
                  <c:v>2.69</c:v>
                </c:pt>
                <c:pt idx="1362">
                  <c:v>1.71</c:v>
                </c:pt>
                <c:pt idx="1363">
                  <c:v>2.09</c:v>
                </c:pt>
                <c:pt idx="1364">
                  <c:v>0.99</c:v>
                </c:pt>
                <c:pt idx="1365">
                  <c:v>1.61</c:v>
                </c:pt>
                <c:pt idx="1366">
                  <c:v>0.95</c:v>
                </c:pt>
                <c:pt idx="1367">
                  <c:v>4.8099999999999996</c:v>
                </c:pt>
                <c:pt idx="1368">
                  <c:v>1.31</c:v>
                </c:pt>
                <c:pt idx="1369">
                  <c:v>1.6</c:v>
                </c:pt>
                <c:pt idx="1370">
                  <c:v>1.48</c:v>
                </c:pt>
                <c:pt idx="1371">
                  <c:v>3.4</c:v>
                </c:pt>
                <c:pt idx="1372">
                  <c:v>2.93</c:v>
                </c:pt>
                <c:pt idx="1373">
                  <c:v>0.98</c:v>
                </c:pt>
                <c:pt idx="1374">
                  <c:v>2.63</c:v>
                </c:pt>
                <c:pt idx="1375">
                  <c:v>1.23</c:v>
                </c:pt>
                <c:pt idx="1376">
                  <c:v>3.01</c:v>
                </c:pt>
                <c:pt idx="1377">
                  <c:v>3.36</c:v>
                </c:pt>
                <c:pt idx="1378">
                  <c:v>2.72</c:v>
                </c:pt>
                <c:pt idx="1379">
                  <c:v>1.73</c:v>
                </c:pt>
                <c:pt idx="1380">
                  <c:v>0.82</c:v>
                </c:pt>
                <c:pt idx="1381">
                  <c:v>2.5</c:v>
                </c:pt>
                <c:pt idx="1382">
                  <c:v>0.95</c:v>
                </c:pt>
                <c:pt idx="1383">
                  <c:v>2.56</c:v>
                </c:pt>
                <c:pt idx="1384">
                  <c:v>2.38</c:v>
                </c:pt>
                <c:pt idx="1385">
                  <c:v>1.98</c:v>
                </c:pt>
                <c:pt idx="1386">
                  <c:v>1.76</c:v>
                </c:pt>
                <c:pt idx="1387">
                  <c:v>1.49</c:v>
                </c:pt>
                <c:pt idx="1388">
                  <c:v>1.55</c:v>
                </c:pt>
                <c:pt idx="1389">
                  <c:v>3.73</c:v>
                </c:pt>
                <c:pt idx="1390">
                  <c:v>1.6</c:v>
                </c:pt>
                <c:pt idx="1391">
                  <c:v>2.36</c:v>
                </c:pt>
                <c:pt idx="1392">
                  <c:v>0.8</c:v>
                </c:pt>
                <c:pt idx="1393">
                  <c:v>3.63</c:v>
                </c:pt>
                <c:pt idx="1394">
                  <c:v>1.6</c:v>
                </c:pt>
                <c:pt idx="1395">
                  <c:v>1.56</c:v>
                </c:pt>
                <c:pt idx="1396">
                  <c:v>1.81</c:v>
                </c:pt>
                <c:pt idx="1397">
                  <c:v>1.07</c:v>
                </c:pt>
                <c:pt idx="1398">
                  <c:v>3.45</c:v>
                </c:pt>
                <c:pt idx="1399">
                  <c:v>1.73</c:v>
                </c:pt>
                <c:pt idx="1400">
                  <c:v>2.38</c:v>
                </c:pt>
                <c:pt idx="1401">
                  <c:v>1.58</c:v>
                </c:pt>
                <c:pt idx="1402">
                  <c:v>2.2999999999999998</c:v>
                </c:pt>
                <c:pt idx="1403">
                  <c:v>1.64</c:v>
                </c:pt>
                <c:pt idx="1404">
                  <c:v>1.25</c:v>
                </c:pt>
                <c:pt idx="1405">
                  <c:v>1.42</c:v>
                </c:pt>
                <c:pt idx="1406">
                  <c:v>0.8</c:v>
                </c:pt>
                <c:pt idx="1407">
                  <c:v>2.77</c:v>
                </c:pt>
                <c:pt idx="1408">
                  <c:v>1.9</c:v>
                </c:pt>
                <c:pt idx="1409">
                  <c:v>1.63</c:v>
                </c:pt>
                <c:pt idx="1410">
                  <c:v>8.65</c:v>
                </c:pt>
                <c:pt idx="1411">
                  <c:v>8.18</c:v>
                </c:pt>
                <c:pt idx="1412">
                  <c:v>3.28</c:v>
                </c:pt>
                <c:pt idx="1413">
                  <c:v>1.01</c:v>
                </c:pt>
                <c:pt idx="1414">
                  <c:v>1.1200000000000001</c:v>
                </c:pt>
                <c:pt idx="1415">
                  <c:v>3.36</c:v>
                </c:pt>
                <c:pt idx="1416">
                  <c:v>1.1100000000000001</c:v>
                </c:pt>
                <c:pt idx="1417">
                  <c:v>7.22</c:v>
                </c:pt>
                <c:pt idx="1418">
                  <c:v>2.44</c:v>
                </c:pt>
                <c:pt idx="1419">
                  <c:v>2.94</c:v>
                </c:pt>
                <c:pt idx="1420">
                  <c:v>0.61</c:v>
                </c:pt>
                <c:pt idx="1421">
                  <c:v>1.42</c:v>
                </c:pt>
                <c:pt idx="1422">
                  <c:v>1.83</c:v>
                </c:pt>
                <c:pt idx="1423">
                  <c:v>2.37</c:v>
                </c:pt>
                <c:pt idx="1424">
                  <c:v>2.52</c:v>
                </c:pt>
                <c:pt idx="1425">
                  <c:v>2.25</c:v>
                </c:pt>
                <c:pt idx="1426">
                  <c:v>1.46</c:v>
                </c:pt>
                <c:pt idx="1427">
                  <c:v>2.0699999999999998</c:v>
                </c:pt>
                <c:pt idx="1428">
                  <c:v>1.95</c:v>
                </c:pt>
                <c:pt idx="1429">
                  <c:v>1.96</c:v>
                </c:pt>
                <c:pt idx="1430">
                  <c:v>3.18</c:v>
                </c:pt>
                <c:pt idx="1431">
                  <c:v>1.21</c:v>
                </c:pt>
                <c:pt idx="1432">
                  <c:v>1.24</c:v>
                </c:pt>
                <c:pt idx="1433">
                  <c:v>3.26</c:v>
                </c:pt>
                <c:pt idx="1434">
                  <c:v>1.3</c:v>
                </c:pt>
                <c:pt idx="1435">
                  <c:v>2.83</c:v>
                </c:pt>
                <c:pt idx="1436">
                  <c:v>1.8</c:v>
                </c:pt>
                <c:pt idx="1437">
                  <c:v>2.87</c:v>
                </c:pt>
                <c:pt idx="1438">
                  <c:v>3.12</c:v>
                </c:pt>
                <c:pt idx="1439">
                  <c:v>4.1900000000000004</c:v>
                </c:pt>
                <c:pt idx="1440">
                  <c:v>2.4900000000000002</c:v>
                </c:pt>
                <c:pt idx="1441">
                  <c:v>3.33</c:v>
                </c:pt>
                <c:pt idx="1442">
                  <c:v>1.83</c:v>
                </c:pt>
                <c:pt idx="1443">
                  <c:v>2.21</c:v>
                </c:pt>
                <c:pt idx="1444">
                  <c:v>1.75</c:v>
                </c:pt>
                <c:pt idx="1445">
                  <c:v>2.4700000000000002</c:v>
                </c:pt>
                <c:pt idx="1446">
                  <c:v>2.66</c:v>
                </c:pt>
                <c:pt idx="1447">
                  <c:v>2.27</c:v>
                </c:pt>
                <c:pt idx="1448">
                  <c:v>1.23</c:v>
                </c:pt>
                <c:pt idx="1449">
                  <c:v>2.0099999999999998</c:v>
                </c:pt>
                <c:pt idx="1450">
                  <c:v>1.65</c:v>
                </c:pt>
                <c:pt idx="1451">
                  <c:v>1.34</c:v>
                </c:pt>
                <c:pt idx="1452">
                  <c:v>1.46</c:v>
                </c:pt>
                <c:pt idx="1453">
                  <c:v>2.19</c:v>
                </c:pt>
                <c:pt idx="1454">
                  <c:v>1.58</c:v>
                </c:pt>
                <c:pt idx="1455">
                  <c:v>7.3</c:v>
                </c:pt>
                <c:pt idx="1456">
                  <c:v>2.66</c:v>
                </c:pt>
                <c:pt idx="1457">
                  <c:v>2</c:v>
                </c:pt>
                <c:pt idx="1458">
                  <c:v>3.02</c:v>
                </c:pt>
                <c:pt idx="1459">
                  <c:v>2.81</c:v>
                </c:pt>
                <c:pt idx="1460">
                  <c:v>1.35</c:v>
                </c:pt>
                <c:pt idx="1461">
                  <c:v>1.7</c:v>
                </c:pt>
                <c:pt idx="1462">
                  <c:v>2.54</c:v>
                </c:pt>
                <c:pt idx="1463">
                  <c:v>1.1100000000000001</c:v>
                </c:pt>
                <c:pt idx="1464">
                  <c:v>2.74</c:v>
                </c:pt>
                <c:pt idx="1465">
                  <c:v>1.92</c:v>
                </c:pt>
                <c:pt idx="1466">
                  <c:v>2.36</c:v>
                </c:pt>
                <c:pt idx="1467">
                  <c:v>2.4</c:v>
                </c:pt>
                <c:pt idx="1468">
                  <c:v>1.38</c:v>
                </c:pt>
                <c:pt idx="1469">
                  <c:v>1.91</c:v>
                </c:pt>
                <c:pt idx="1470">
                  <c:v>2.04</c:v>
                </c:pt>
                <c:pt idx="1471">
                  <c:v>1.67</c:v>
                </c:pt>
                <c:pt idx="1472">
                  <c:v>1.28</c:v>
                </c:pt>
                <c:pt idx="1473">
                  <c:v>1.84</c:v>
                </c:pt>
                <c:pt idx="1474">
                  <c:v>1.73</c:v>
                </c:pt>
                <c:pt idx="1475">
                  <c:v>1.96</c:v>
                </c:pt>
                <c:pt idx="1476">
                  <c:v>3.65</c:v>
                </c:pt>
                <c:pt idx="1477">
                  <c:v>2.96</c:v>
                </c:pt>
                <c:pt idx="1478">
                  <c:v>2.73</c:v>
                </c:pt>
                <c:pt idx="1479">
                  <c:v>1.82</c:v>
                </c:pt>
                <c:pt idx="1480">
                  <c:v>2.1800000000000002</c:v>
                </c:pt>
                <c:pt idx="1481">
                  <c:v>0.8</c:v>
                </c:pt>
                <c:pt idx="1482">
                  <c:v>1.59</c:v>
                </c:pt>
                <c:pt idx="1483">
                  <c:v>2.35</c:v>
                </c:pt>
                <c:pt idx="1484">
                  <c:v>1.97</c:v>
                </c:pt>
                <c:pt idx="1485">
                  <c:v>2.64</c:v>
                </c:pt>
                <c:pt idx="1486">
                  <c:v>1.85</c:v>
                </c:pt>
                <c:pt idx="1487">
                  <c:v>1.64</c:v>
                </c:pt>
                <c:pt idx="1488">
                  <c:v>2.2000000000000002</c:v>
                </c:pt>
                <c:pt idx="1489">
                  <c:v>1.7</c:v>
                </c:pt>
                <c:pt idx="1490">
                  <c:v>1.19</c:v>
                </c:pt>
                <c:pt idx="1491">
                  <c:v>1.26</c:v>
                </c:pt>
                <c:pt idx="1492">
                  <c:v>1.6</c:v>
                </c:pt>
                <c:pt idx="1493">
                  <c:v>2.5299999999999998</c:v>
                </c:pt>
                <c:pt idx="1494">
                  <c:v>2.77</c:v>
                </c:pt>
                <c:pt idx="1495">
                  <c:v>0.82</c:v>
                </c:pt>
                <c:pt idx="1496">
                  <c:v>1.47</c:v>
                </c:pt>
                <c:pt idx="1497">
                  <c:v>1.67</c:v>
                </c:pt>
                <c:pt idx="1498">
                  <c:v>3.6</c:v>
                </c:pt>
                <c:pt idx="1499">
                  <c:v>1.99</c:v>
                </c:pt>
                <c:pt idx="1500">
                  <c:v>1.4</c:v>
                </c:pt>
                <c:pt idx="1501">
                  <c:v>1.23</c:v>
                </c:pt>
                <c:pt idx="1502">
                  <c:v>2.61</c:v>
                </c:pt>
                <c:pt idx="1503">
                  <c:v>1.69</c:v>
                </c:pt>
                <c:pt idx="1504">
                  <c:v>1.44</c:v>
                </c:pt>
                <c:pt idx="1505">
                  <c:v>1.0900000000000001</c:v>
                </c:pt>
                <c:pt idx="1506">
                  <c:v>2.6</c:v>
                </c:pt>
                <c:pt idx="1507">
                  <c:v>1.02</c:v>
                </c:pt>
                <c:pt idx="1508">
                  <c:v>2.2200000000000002</c:v>
                </c:pt>
                <c:pt idx="1509">
                  <c:v>0.87</c:v>
                </c:pt>
                <c:pt idx="1510">
                  <c:v>1.73</c:v>
                </c:pt>
                <c:pt idx="1511">
                  <c:v>2.34</c:v>
                </c:pt>
                <c:pt idx="1512">
                  <c:v>2.36</c:v>
                </c:pt>
                <c:pt idx="1513">
                  <c:v>2.0299999999999998</c:v>
                </c:pt>
                <c:pt idx="1514">
                  <c:v>1.32</c:v>
                </c:pt>
                <c:pt idx="1515">
                  <c:v>1.0900000000000001</c:v>
                </c:pt>
                <c:pt idx="1516">
                  <c:v>2.34</c:v>
                </c:pt>
                <c:pt idx="1517">
                  <c:v>2.37</c:v>
                </c:pt>
                <c:pt idx="1518">
                  <c:v>3.42</c:v>
                </c:pt>
                <c:pt idx="1519">
                  <c:v>2.2999999999999998</c:v>
                </c:pt>
                <c:pt idx="1520">
                  <c:v>2.14</c:v>
                </c:pt>
                <c:pt idx="1521">
                  <c:v>2.13</c:v>
                </c:pt>
                <c:pt idx="1522">
                  <c:v>2.21</c:v>
                </c:pt>
                <c:pt idx="1523">
                  <c:v>1.03</c:v>
                </c:pt>
                <c:pt idx="1524">
                  <c:v>1.1200000000000001</c:v>
                </c:pt>
                <c:pt idx="1525">
                  <c:v>1.55</c:v>
                </c:pt>
                <c:pt idx="1526">
                  <c:v>1.69</c:v>
                </c:pt>
                <c:pt idx="1527">
                  <c:v>1.71</c:v>
                </c:pt>
                <c:pt idx="1528">
                  <c:v>2.5</c:v>
                </c:pt>
                <c:pt idx="1529">
                  <c:v>0.94</c:v>
                </c:pt>
                <c:pt idx="1530">
                  <c:v>8.0589999999999993</c:v>
                </c:pt>
                <c:pt idx="1531">
                  <c:v>12.340999999999999</c:v>
                </c:pt>
                <c:pt idx="1532">
                  <c:v>2.41</c:v>
                </c:pt>
                <c:pt idx="1533">
                  <c:v>2.56</c:v>
                </c:pt>
                <c:pt idx="1534">
                  <c:v>3.2</c:v>
                </c:pt>
                <c:pt idx="1535">
                  <c:v>0.89</c:v>
                </c:pt>
                <c:pt idx="1536">
                  <c:v>1.59</c:v>
                </c:pt>
                <c:pt idx="1537">
                  <c:v>2.99</c:v>
                </c:pt>
                <c:pt idx="1538">
                  <c:v>2.4500000000000002</c:v>
                </c:pt>
                <c:pt idx="1539">
                  <c:v>1.9</c:v>
                </c:pt>
                <c:pt idx="1540">
                  <c:v>1.07</c:v>
                </c:pt>
                <c:pt idx="1541">
                  <c:v>1.32</c:v>
                </c:pt>
                <c:pt idx="1542">
                  <c:v>1.96</c:v>
                </c:pt>
                <c:pt idx="1543">
                  <c:v>7.68</c:v>
                </c:pt>
                <c:pt idx="1544">
                  <c:v>1.99</c:v>
                </c:pt>
                <c:pt idx="1545">
                  <c:v>1.57</c:v>
                </c:pt>
                <c:pt idx="1546">
                  <c:v>2.41</c:v>
                </c:pt>
                <c:pt idx="1547">
                  <c:v>2.82</c:v>
                </c:pt>
                <c:pt idx="1548">
                  <c:v>2.68</c:v>
                </c:pt>
                <c:pt idx="1549">
                  <c:v>1.33</c:v>
                </c:pt>
                <c:pt idx="1550">
                  <c:v>2.23</c:v>
                </c:pt>
                <c:pt idx="1551">
                  <c:v>2.61</c:v>
                </c:pt>
                <c:pt idx="1552">
                  <c:v>2.08</c:v>
                </c:pt>
                <c:pt idx="1553">
                  <c:v>1.77</c:v>
                </c:pt>
                <c:pt idx="1554">
                  <c:v>3.6</c:v>
                </c:pt>
                <c:pt idx="1555">
                  <c:v>0.92</c:v>
                </c:pt>
                <c:pt idx="1556">
                  <c:v>1.33</c:v>
                </c:pt>
                <c:pt idx="1557">
                  <c:v>1.51</c:v>
                </c:pt>
                <c:pt idx="1558">
                  <c:v>2.36</c:v>
                </c:pt>
                <c:pt idx="1559">
                  <c:v>1.32</c:v>
                </c:pt>
                <c:pt idx="1560">
                  <c:v>1.51</c:v>
                </c:pt>
                <c:pt idx="1561">
                  <c:v>2.08</c:v>
                </c:pt>
                <c:pt idx="1562">
                  <c:v>2.23</c:v>
                </c:pt>
                <c:pt idx="1563">
                  <c:v>1.25</c:v>
                </c:pt>
                <c:pt idx="1564">
                  <c:v>1.47</c:v>
                </c:pt>
                <c:pt idx="1565">
                  <c:v>1.1499999999999999</c:v>
                </c:pt>
                <c:pt idx="1566">
                  <c:v>19.661000000000001</c:v>
                </c:pt>
                <c:pt idx="1567">
                  <c:v>2.15</c:v>
                </c:pt>
                <c:pt idx="1568">
                  <c:v>1.53</c:v>
                </c:pt>
                <c:pt idx="1569">
                  <c:v>1.06</c:v>
                </c:pt>
                <c:pt idx="1570">
                  <c:v>2.29</c:v>
                </c:pt>
                <c:pt idx="1571">
                  <c:v>2.94</c:v>
                </c:pt>
                <c:pt idx="1572">
                  <c:v>1.06</c:v>
                </c:pt>
                <c:pt idx="1573">
                  <c:v>3.05</c:v>
                </c:pt>
                <c:pt idx="1574">
                  <c:v>1.41</c:v>
                </c:pt>
                <c:pt idx="1575">
                  <c:v>1.64</c:v>
                </c:pt>
                <c:pt idx="1576">
                  <c:v>1.62</c:v>
                </c:pt>
                <c:pt idx="1577">
                  <c:v>2.3199999999999998</c:v>
                </c:pt>
                <c:pt idx="1578">
                  <c:v>1.51</c:v>
                </c:pt>
                <c:pt idx="1579">
                  <c:v>2.34</c:v>
                </c:pt>
                <c:pt idx="1580">
                  <c:v>2.27</c:v>
                </c:pt>
                <c:pt idx="1581">
                  <c:v>1.7</c:v>
                </c:pt>
                <c:pt idx="1582">
                  <c:v>2.5499999999999998</c:v>
                </c:pt>
                <c:pt idx="1583">
                  <c:v>2.14</c:v>
                </c:pt>
                <c:pt idx="1584">
                  <c:v>1.19</c:v>
                </c:pt>
                <c:pt idx="1585">
                  <c:v>2.36</c:v>
                </c:pt>
                <c:pt idx="1586">
                  <c:v>1.22</c:v>
                </c:pt>
                <c:pt idx="1587">
                  <c:v>1.39</c:v>
                </c:pt>
                <c:pt idx="1588">
                  <c:v>1.99</c:v>
                </c:pt>
                <c:pt idx="1589">
                  <c:v>1.44</c:v>
                </c:pt>
                <c:pt idx="1590">
                  <c:v>2.12</c:v>
                </c:pt>
                <c:pt idx="1591">
                  <c:v>2.34</c:v>
                </c:pt>
                <c:pt idx="1592">
                  <c:v>5.87</c:v>
                </c:pt>
                <c:pt idx="1593">
                  <c:v>2.2000000000000002</c:v>
                </c:pt>
                <c:pt idx="1594">
                  <c:v>2.6</c:v>
                </c:pt>
                <c:pt idx="1595">
                  <c:v>1.75</c:v>
                </c:pt>
                <c:pt idx="1596">
                  <c:v>1.52</c:v>
                </c:pt>
                <c:pt idx="1597">
                  <c:v>1.88</c:v>
                </c:pt>
                <c:pt idx="1598">
                  <c:v>0.79</c:v>
                </c:pt>
                <c:pt idx="1599">
                  <c:v>1.22</c:v>
                </c:pt>
                <c:pt idx="1600">
                  <c:v>1.33</c:v>
                </c:pt>
                <c:pt idx="1601">
                  <c:v>1.82</c:v>
                </c:pt>
                <c:pt idx="1602">
                  <c:v>1.45</c:v>
                </c:pt>
                <c:pt idx="1603">
                  <c:v>2.29</c:v>
                </c:pt>
                <c:pt idx="1604">
                  <c:v>1.54</c:v>
                </c:pt>
                <c:pt idx="1605">
                  <c:v>1.4</c:v>
                </c:pt>
                <c:pt idx="1606">
                  <c:v>2.94</c:v>
                </c:pt>
                <c:pt idx="1607">
                  <c:v>1.48</c:v>
                </c:pt>
                <c:pt idx="1608">
                  <c:v>2.71</c:v>
                </c:pt>
                <c:pt idx="1609">
                  <c:v>1.42</c:v>
                </c:pt>
                <c:pt idx="1610">
                  <c:v>1.93</c:v>
                </c:pt>
                <c:pt idx="1611">
                  <c:v>2.6</c:v>
                </c:pt>
                <c:pt idx="1612">
                  <c:v>2.81</c:v>
                </c:pt>
                <c:pt idx="1613">
                  <c:v>0.79</c:v>
                </c:pt>
                <c:pt idx="1614">
                  <c:v>2.14</c:v>
                </c:pt>
                <c:pt idx="1615">
                  <c:v>2.86</c:v>
                </c:pt>
                <c:pt idx="1616">
                  <c:v>1.93</c:v>
                </c:pt>
                <c:pt idx="1617">
                  <c:v>2.9</c:v>
                </c:pt>
                <c:pt idx="1618">
                  <c:v>0.73</c:v>
                </c:pt>
                <c:pt idx="1619">
                  <c:v>1.75</c:v>
                </c:pt>
                <c:pt idx="1620">
                  <c:v>1.1100000000000001</c:v>
                </c:pt>
                <c:pt idx="1621">
                  <c:v>1.1499999999999999</c:v>
                </c:pt>
                <c:pt idx="1622">
                  <c:v>2.63</c:v>
                </c:pt>
                <c:pt idx="1623">
                  <c:v>2.2599999999999998</c:v>
                </c:pt>
                <c:pt idx="1624">
                  <c:v>1.75</c:v>
                </c:pt>
                <c:pt idx="1625">
                  <c:v>1.35</c:v>
                </c:pt>
                <c:pt idx="1626">
                  <c:v>1.44</c:v>
                </c:pt>
                <c:pt idx="1627">
                  <c:v>1.44</c:v>
                </c:pt>
                <c:pt idx="1628">
                  <c:v>1.36</c:v>
                </c:pt>
                <c:pt idx="1629">
                  <c:v>2.33</c:v>
                </c:pt>
                <c:pt idx="1630">
                  <c:v>1.18</c:v>
                </c:pt>
                <c:pt idx="1631">
                  <c:v>2.38</c:v>
                </c:pt>
                <c:pt idx="1632">
                  <c:v>2.37</c:v>
                </c:pt>
                <c:pt idx="1633">
                  <c:v>0.74</c:v>
                </c:pt>
                <c:pt idx="1634">
                  <c:v>1.92</c:v>
                </c:pt>
                <c:pt idx="1635">
                  <c:v>1.84</c:v>
                </c:pt>
                <c:pt idx="1636">
                  <c:v>1.67</c:v>
                </c:pt>
                <c:pt idx="1637">
                  <c:v>1.33</c:v>
                </c:pt>
                <c:pt idx="1638">
                  <c:v>1.55</c:v>
                </c:pt>
                <c:pt idx="1639">
                  <c:v>1.3</c:v>
                </c:pt>
                <c:pt idx="1640">
                  <c:v>1.31</c:v>
                </c:pt>
                <c:pt idx="1641">
                  <c:v>2.3199999999999998</c:v>
                </c:pt>
                <c:pt idx="1642">
                  <c:v>1.49</c:v>
                </c:pt>
                <c:pt idx="1643">
                  <c:v>1.52</c:v>
                </c:pt>
                <c:pt idx="1644">
                  <c:v>0.86</c:v>
                </c:pt>
                <c:pt idx="1645">
                  <c:v>1.43</c:v>
                </c:pt>
                <c:pt idx="1646">
                  <c:v>1.52</c:v>
                </c:pt>
                <c:pt idx="1647">
                  <c:v>1.58</c:v>
                </c:pt>
                <c:pt idx="1648">
                  <c:v>2.5</c:v>
                </c:pt>
                <c:pt idx="1649">
                  <c:v>1.77</c:v>
                </c:pt>
                <c:pt idx="1650">
                  <c:v>2.2599999999999998</c:v>
                </c:pt>
                <c:pt idx="1651">
                  <c:v>1.82</c:v>
                </c:pt>
                <c:pt idx="1652">
                  <c:v>1.1399999999999999</c:v>
                </c:pt>
                <c:pt idx="1653">
                  <c:v>1.18</c:v>
                </c:pt>
                <c:pt idx="1654">
                  <c:v>1.35</c:v>
                </c:pt>
                <c:pt idx="1655">
                  <c:v>2.58</c:v>
                </c:pt>
                <c:pt idx="1656">
                  <c:v>3.01</c:v>
                </c:pt>
                <c:pt idx="1657">
                  <c:v>2.0299999999999998</c:v>
                </c:pt>
                <c:pt idx="1658">
                  <c:v>1.63</c:v>
                </c:pt>
                <c:pt idx="1659">
                  <c:v>1.4</c:v>
                </c:pt>
                <c:pt idx="1660">
                  <c:v>2.66</c:v>
                </c:pt>
                <c:pt idx="1661">
                  <c:v>2.64</c:v>
                </c:pt>
                <c:pt idx="1662">
                  <c:v>3.32</c:v>
                </c:pt>
                <c:pt idx="1663">
                  <c:v>1.48</c:v>
                </c:pt>
                <c:pt idx="1664">
                  <c:v>2.37</c:v>
                </c:pt>
                <c:pt idx="1665">
                  <c:v>2.4900000000000002</c:v>
                </c:pt>
                <c:pt idx="1666">
                  <c:v>1.42</c:v>
                </c:pt>
                <c:pt idx="1667">
                  <c:v>1.48</c:v>
                </c:pt>
                <c:pt idx="1668">
                  <c:v>1.19</c:v>
                </c:pt>
                <c:pt idx="1669">
                  <c:v>1.6</c:v>
                </c:pt>
                <c:pt idx="1670">
                  <c:v>1.01</c:v>
                </c:pt>
                <c:pt idx="1671">
                  <c:v>1.75</c:v>
                </c:pt>
                <c:pt idx="1672">
                  <c:v>1.1299999999999999</c:v>
                </c:pt>
                <c:pt idx="1673">
                  <c:v>1.1299999999999999</c:v>
                </c:pt>
                <c:pt idx="1674">
                  <c:v>1.87</c:v>
                </c:pt>
                <c:pt idx="1675">
                  <c:v>1.64</c:v>
                </c:pt>
                <c:pt idx="1676">
                  <c:v>1.55</c:v>
                </c:pt>
                <c:pt idx="1677">
                  <c:v>1.91</c:v>
                </c:pt>
                <c:pt idx="1678">
                  <c:v>1.21</c:v>
                </c:pt>
                <c:pt idx="1679">
                  <c:v>0.97</c:v>
                </c:pt>
                <c:pt idx="1680">
                  <c:v>2.15</c:v>
                </c:pt>
                <c:pt idx="1681">
                  <c:v>1.54</c:v>
                </c:pt>
                <c:pt idx="1682">
                  <c:v>1.1200000000000001</c:v>
                </c:pt>
                <c:pt idx="1683">
                  <c:v>1.52</c:v>
                </c:pt>
                <c:pt idx="1684">
                  <c:v>2.37</c:v>
                </c:pt>
                <c:pt idx="1685">
                  <c:v>2.5499999999999998</c:v>
                </c:pt>
                <c:pt idx="1686">
                  <c:v>1.42</c:v>
                </c:pt>
                <c:pt idx="1687">
                  <c:v>1.66</c:v>
                </c:pt>
                <c:pt idx="1688">
                  <c:v>1.82</c:v>
                </c:pt>
                <c:pt idx="1689">
                  <c:v>0.97</c:v>
                </c:pt>
                <c:pt idx="1690">
                  <c:v>3.19</c:v>
                </c:pt>
                <c:pt idx="1691">
                  <c:v>1.55</c:v>
                </c:pt>
                <c:pt idx="1692">
                  <c:v>0.91</c:v>
                </c:pt>
                <c:pt idx="1693">
                  <c:v>0.97</c:v>
                </c:pt>
                <c:pt idx="1694">
                  <c:v>1.31</c:v>
                </c:pt>
                <c:pt idx="1695">
                  <c:v>2.98</c:v>
                </c:pt>
                <c:pt idx="1696">
                  <c:v>1.02</c:v>
                </c:pt>
                <c:pt idx="1697">
                  <c:v>2.9</c:v>
                </c:pt>
                <c:pt idx="1698">
                  <c:v>1.64</c:v>
                </c:pt>
                <c:pt idx="1699">
                  <c:v>1.37</c:v>
                </c:pt>
                <c:pt idx="1700">
                  <c:v>1.4</c:v>
                </c:pt>
                <c:pt idx="1701">
                  <c:v>1.43</c:v>
                </c:pt>
                <c:pt idx="1702">
                  <c:v>1.42</c:v>
                </c:pt>
                <c:pt idx="1703">
                  <c:v>2.29</c:v>
                </c:pt>
                <c:pt idx="1704">
                  <c:v>1.88</c:v>
                </c:pt>
                <c:pt idx="1705">
                  <c:v>1.91</c:v>
                </c:pt>
                <c:pt idx="1706">
                  <c:v>2.4700000000000002</c:v>
                </c:pt>
                <c:pt idx="1707">
                  <c:v>0.52</c:v>
                </c:pt>
                <c:pt idx="1708">
                  <c:v>2.37</c:v>
                </c:pt>
                <c:pt idx="1709">
                  <c:v>2.41</c:v>
                </c:pt>
                <c:pt idx="1710">
                  <c:v>0.84</c:v>
                </c:pt>
                <c:pt idx="1711">
                  <c:v>1.44</c:v>
                </c:pt>
                <c:pt idx="1712">
                  <c:v>1.24</c:v>
                </c:pt>
                <c:pt idx="1713">
                  <c:v>1.22</c:v>
                </c:pt>
                <c:pt idx="1714">
                  <c:v>2.1</c:v>
                </c:pt>
                <c:pt idx="1715">
                  <c:v>1.76</c:v>
                </c:pt>
                <c:pt idx="1716">
                  <c:v>5.1100000000000003</c:v>
                </c:pt>
                <c:pt idx="1717">
                  <c:v>1.38</c:v>
                </c:pt>
                <c:pt idx="1718">
                  <c:v>3.54</c:v>
                </c:pt>
                <c:pt idx="1719">
                  <c:v>1.56</c:v>
                </c:pt>
                <c:pt idx="1720">
                  <c:v>3.11</c:v>
                </c:pt>
                <c:pt idx="1721">
                  <c:v>1.34</c:v>
                </c:pt>
                <c:pt idx="1722">
                  <c:v>1.21</c:v>
                </c:pt>
                <c:pt idx="1723">
                  <c:v>1.28</c:v>
                </c:pt>
                <c:pt idx="1724">
                  <c:v>1.55</c:v>
                </c:pt>
                <c:pt idx="1725">
                  <c:v>1.18</c:v>
                </c:pt>
                <c:pt idx="1726">
                  <c:v>1.7</c:v>
                </c:pt>
                <c:pt idx="1727">
                  <c:v>4.92</c:v>
                </c:pt>
                <c:pt idx="1728">
                  <c:v>2.4</c:v>
                </c:pt>
                <c:pt idx="1729">
                  <c:v>1.61</c:v>
                </c:pt>
                <c:pt idx="1730">
                  <c:v>1.52</c:v>
                </c:pt>
                <c:pt idx="1731">
                  <c:v>1.51</c:v>
                </c:pt>
                <c:pt idx="1732">
                  <c:v>2.86</c:v>
                </c:pt>
                <c:pt idx="1733">
                  <c:v>4.18</c:v>
                </c:pt>
                <c:pt idx="1734">
                  <c:v>1.8</c:v>
                </c:pt>
                <c:pt idx="1735">
                  <c:v>0.98</c:v>
                </c:pt>
                <c:pt idx="1736">
                  <c:v>2.17</c:v>
                </c:pt>
                <c:pt idx="1737">
                  <c:v>1.76</c:v>
                </c:pt>
                <c:pt idx="1738">
                  <c:v>2.84</c:v>
                </c:pt>
                <c:pt idx="1739">
                  <c:v>1.65</c:v>
                </c:pt>
                <c:pt idx="1740">
                  <c:v>1.05</c:v>
                </c:pt>
                <c:pt idx="1741">
                  <c:v>1.37</c:v>
                </c:pt>
                <c:pt idx="1742">
                  <c:v>2.81</c:v>
                </c:pt>
                <c:pt idx="1743">
                  <c:v>2.29</c:v>
                </c:pt>
                <c:pt idx="1744">
                  <c:v>1.45</c:v>
                </c:pt>
                <c:pt idx="1745">
                  <c:v>1.98</c:v>
                </c:pt>
                <c:pt idx="1746">
                  <c:v>1.71</c:v>
                </c:pt>
                <c:pt idx="1747">
                  <c:v>2.41</c:v>
                </c:pt>
                <c:pt idx="1748">
                  <c:v>0.92</c:v>
                </c:pt>
                <c:pt idx="1749">
                  <c:v>0.71</c:v>
                </c:pt>
                <c:pt idx="1750">
                  <c:v>2</c:v>
                </c:pt>
                <c:pt idx="1751">
                  <c:v>1.26</c:v>
                </c:pt>
                <c:pt idx="1752">
                  <c:v>1.55</c:v>
                </c:pt>
                <c:pt idx="1753">
                  <c:v>2.99</c:v>
                </c:pt>
                <c:pt idx="1754">
                  <c:v>1.66</c:v>
                </c:pt>
                <c:pt idx="1755">
                  <c:v>1.93</c:v>
                </c:pt>
                <c:pt idx="1756">
                  <c:v>1.84</c:v>
                </c:pt>
                <c:pt idx="1757">
                  <c:v>2.36</c:v>
                </c:pt>
                <c:pt idx="1758">
                  <c:v>1.58</c:v>
                </c:pt>
                <c:pt idx="1759">
                  <c:v>1.03</c:v>
                </c:pt>
                <c:pt idx="1760">
                  <c:v>1.94</c:v>
                </c:pt>
                <c:pt idx="1761">
                  <c:v>0.7</c:v>
                </c:pt>
                <c:pt idx="1762">
                  <c:v>1.81</c:v>
                </c:pt>
                <c:pt idx="1763">
                  <c:v>1.1599999999999999</c:v>
                </c:pt>
                <c:pt idx="1764">
                  <c:v>2.52</c:v>
                </c:pt>
                <c:pt idx="1765">
                  <c:v>1.73</c:v>
                </c:pt>
                <c:pt idx="1766">
                  <c:v>0.65</c:v>
                </c:pt>
                <c:pt idx="1767">
                  <c:v>0.89</c:v>
                </c:pt>
                <c:pt idx="1768">
                  <c:v>1.8</c:v>
                </c:pt>
                <c:pt idx="1769">
                  <c:v>2.97</c:v>
                </c:pt>
                <c:pt idx="1770">
                  <c:v>1.46</c:v>
                </c:pt>
                <c:pt idx="1771">
                  <c:v>1.53</c:v>
                </c:pt>
                <c:pt idx="1772">
                  <c:v>1.28</c:v>
                </c:pt>
                <c:pt idx="1773">
                  <c:v>1.1200000000000001</c:v>
                </c:pt>
                <c:pt idx="1774">
                  <c:v>2.83</c:v>
                </c:pt>
                <c:pt idx="1775">
                  <c:v>2.0499999999999998</c:v>
                </c:pt>
                <c:pt idx="1776">
                  <c:v>1.99</c:v>
                </c:pt>
                <c:pt idx="1777">
                  <c:v>3.4</c:v>
                </c:pt>
                <c:pt idx="1778">
                  <c:v>0.86</c:v>
                </c:pt>
                <c:pt idx="1779">
                  <c:v>2.6</c:v>
                </c:pt>
                <c:pt idx="1780">
                  <c:v>1.25</c:v>
                </c:pt>
                <c:pt idx="1781">
                  <c:v>2.15</c:v>
                </c:pt>
                <c:pt idx="1782">
                  <c:v>0.92</c:v>
                </c:pt>
                <c:pt idx="1783">
                  <c:v>0.8</c:v>
                </c:pt>
                <c:pt idx="1784">
                  <c:v>1.43</c:v>
                </c:pt>
                <c:pt idx="1785">
                  <c:v>0.92</c:v>
                </c:pt>
                <c:pt idx="1786">
                  <c:v>1.65</c:v>
                </c:pt>
                <c:pt idx="1787">
                  <c:v>2.69</c:v>
                </c:pt>
                <c:pt idx="1788">
                  <c:v>1.47</c:v>
                </c:pt>
                <c:pt idx="1789">
                  <c:v>1.88</c:v>
                </c:pt>
                <c:pt idx="1790">
                  <c:v>1.84</c:v>
                </c:pt>
                <c:pt idx="1791">
                  <c:v>1.27</c:v>
                </c:pt>
                <c:pt idx="1792">
                  <c:v>0.73</c:v>
                </c:pt>
                <c:pt idx="1793">
                  <c:v>0.64</c:v>
                </c:pt>
                <c:pt idx="1794">
                  <c:v>1.27</c:v>
                </c:pt>
                <c:pt idx="1795">
                  <c:v>1.1599999999999999</c:v>
                </c:pt>
                <c:pt idx="1796">
                  <c:v>2.29</c:v>
                </c:pt>
                <c:pt idx="1797">
                  <c:v>1.74</c:v>
                </c:pt>
                <c:pt idx="1798">
                  <c:v>1.05</c:v>
                </c:pt>
                <c:pt idx="1799">
                  <c:v>1.25</c:v>
                </c:pt>
                <c:pt idx="1800">
                  <c:v>2.2000000000000002</c:v>
                </c:pt>
                <c:pt idx="1801">
                  <c:v>1.3</c:v>
                </c:pt>
                <c:pt idx="1802">
                  <c:v>0.52200000000000002</c:v>
                </c:pt>
                <c:pt idx="1803">
                  <c:v>1.1970000000000001</c:v>
                </c:pt>
                <c:pt idx="1804">
                  <c:v>1.212</c:v>
                </c:pt>
                <c:pt idx="1805">
                  <c:v>1.43</c:v>
                </c:pt>
                <c:pt idx="1806">
                  <c:v>2.25</c:v>
                </c:pt>
                <c:pt idx="1807">
                  <c:v>1.88</c:v>
                </c:pt>
                <c:pt idx="1808">
                  <c:v>1.41</c:v>
                </c:pt>
                <c:pt idx="1809">
                  <c:v>1.94</c:v>
                </c:pt>
                <c:pt idx="1810">
                  <c:v>0.85</c:v>
                </c:pt>
                <c:pt idx="1811">
                  <c:v>1.24</c:v>
                </c:pt>
                <c:pt idx="1812">
                  <c:v>0.93</c:v>
                </c:pt>
                <c:pt idx="1813">
                  <c:v>2.59</c:v>
                </c:pt>
                <c:pt idx="1814">
                  <c:v>2.2599999999999998</c:v>
                </c:pt>
                <c:pt idx="1815">
                  <c:v>2.86</c:v>
                </c:pt>
                <c:pt idx="1816">
                  <c:v>2.46</c:v>
                </c:pt>
                <c:pt idx="1817">
                  <c:v>1.77</c:v>
                </c:pt>
                <c:pt idx="1818">
                  <c:v>2.94</c:v>
                </c:pt>
                <c:pt idx="1819">
                  <c:v>3.38</c:v>
                </c:pt>
                <c:pt idx="1820">
                  <c:v>1.18</c:v>
                </c:pt>
                <c:pt idx="1821">
                  <c:v>1.68</c:v>
                </c:pt>
                <c:pt idx="1822">
                  <c:v>1.96</c:v>
                </c:pt>
                <c:pt idx="1823">
                  <c:v>0.8</c:v>
                </c:pt>
                <c:pt idx="1824">
                  <c:v>1.39</c:v>
                </c:pt>
                <c:pt idx="1825">
                  <c:v>0.8</c:v>
                </c:pt>
                <c:pt idx="1826">
                  <c:v>2.0699999999999998</c:v>
                </c:pt>
                <c:pt idx="1827">
                  <c:v>1.72</c:v>
                </c:pt>
                <c:pt idx="1828">
                  <c:v>0.9</c:v>
                </c:pt>
                <c:pt idx="1829">
                  <c:v>1.03</c:v>
                </c:pt>
                <c:pt idx="1830">
                  <c:v>1.25</c:v>
                </c:pt>
                <c:pt idx="1831">
                  <c:v>12.733000000000001</c:v>
                </c:pt>
                <c:pt idx="1832">
                  <c:v>1.61</c:v>
                </c:pt>
                <c:pt idx="1833">
                  <c:v>1.8</c:v>
                </c:pt>
                <c:pt idx="1834">
                  <c:v>1.62</c:v>
                </c:pt>
                <c:pt idx="1835">
                  <c:v>1.68</c:v>
                </c:pt>
                <c:pt idx="1836">
                  <c:v>0.76</c:v>
                </c:pt>
                <c:pt idx="1837">
                  <c:v>2.14</c:v>
                </c:pt>
                <c:pt idx="1838">
                  <c:v>2.0099999999999998</c:v>
                </c:pt>
                <c:pt idx="1839">
                  <c:v>3.96</c:v>
                </c:pt>
                <c:pt idx="1840">
                  <c:v>1.1000000000000001</c:v>
                </c:pt>
                <c:pt idx="1841">
                  <c:v>2.25</c:v>
                </c:pt>
                <c:pt idx="1842">
                  <c:v>0.89</c:v>
                </c:pt>
                <c:pt idx="1843">
                  <c:v>1.04</c:v>
                </c:pt>
                <c:pt idx="1844">
                  <c:v>0.69</c:v>
                </c:pt>
                <c:pt idx="1845">
                  <c:v>1.41</c:v>
                </c:pt>
                <c:pt idx="1846">
                  <c:v>1.78</c:v>
                </c:pt>
                <c:pt idx="1847">
                  <c:v>2.82</c:v>
                </c:pt>
                <c:pt idx="1848">
                  <c:v>0.83</c:v>
                </c:pt>
                <c:pt idx="1849">
                  <c:v>1.82</c:v>
                </c:pt>
                <c:pt idx="1850">
                  <c:v>1.23</c:v>
                </c:pt>
                <c:pt idx="1851">
                  <c:v>1.29</c:v>
                </c:pt>
                <c:pt idx="1852">
                  <c:v>0.88</c:v>
                </c:pt>
                <c:pt idx="1853">
                  <c:v>1</c:v>
                </c:pt>
                <c:pt idx="1854">
                  <c:v>1.66</c:v>
                </c:pt>
                <c:pt idx="1855">
                  <c:v>2.86</c:v>
                </c:pt>
                <c:pt idx="1856">
                  <c:v>1.99</c:v>
                </c:pt>
                <c:pt idx="1857">
                  <c:v>2.86</c:v>
                </c:pt>
                <c:pt idx="1858">
                  <c:v>2.16</c:v>
                </c:pt>
                <c:pt idx="1859">
                  <c:v>1.28</c:v>
                </c:pt>
                <c:pt idx="1860">
                  <c:v>0.93</c:v>
                </c:pt>
                <c:pt idx="1861">
                  <c:v>2.02</c:v>
                </c:pt>
                <c:pt idx="1862">
                  <c:v>1.06</c:v>
                </c:pt>
                <c:pt idx="1863">
                  <c:v>1.1599999999999999</c:v>
                </c:pt>
                <c:pt idx="1864">
                  <c:v>0.94</c:v>
                </c:pt>
                <c:pt idx="1865">
                  <c:v>1.56</c:v>
                </c:pt>
                <c:pt idx="1866">
                  <c:v>1.1000000000000001</c:v>
                </c:pt>
                <c:pt idx="1867">
                  <c:v>1.64</c:v>
                </c:pt>
                <c:pt idx="1868">
                  <c:v>1.29</c:v>
                </c:pt>
                <c:pt idx="1869">
                  <c:v>2.41</c:v>
                </c:pt>
                <c:pt idx="1870">
                  <c:v>3.37</c:v>
                </c:pt>
                <c:pt idx="1871">
                  <c:v>1.18</c:v>
                </c:pt>
                <c:pt idx="1872">
                  <c:v>1.47</c:v>
                </c:pt>
                <c:pt idx="1873">
                  <c:v>2.2200000000000002</c:v>
                </c:pt>
                <c:pt idx="1874">
                  <c:v>1.56</c:v>
                </c:pt>
                <c:pt idx="1875">
                  <c:v>1.1100000000000001</c:v>
                </c:pt>
                <c:pt idx="1876">
                  <c:v>0.86</c:v>
                </c:pt>
                <c:pt idx="1877">
                  <c:v>1.31</c:v>
                </c:pt>
                <c:pt idx="1878">
                  <c:v>1.37</c:v>
                </c:pt>
                <c:pt idx="1879">
                  <c:v>0.94</c:v>
                </c:pt>
                <c:pt idx="1880">
                  <c:v>1.46</c:v>
                </c:pt>
                <c:pt idx="1881">
                  <c:v>1.33</c:v>
                </c:pt>
                <c:pt idx="1882">
                  <c:v>1.35</c:v>
                </c:pt>
                <c:pt idx="1883">
                  <c:v>1.26</c:v>
                </c:pt>
                <c:pt idx="1884">
                  <c:v>1.31</c:v>
                </c:pt>
                <c:pt idx="1885">
                  <c:v>3.93</c:v>
                </c:pt>
                <c:pt idx="1886">
                  <c:v>0.97</c:v>
                </c:pt>
                <c:pt idx="1887">
                  <c:v>2.1800000000000002</c:v>
                </c:pt>
                <c:pt idx="1888">
                  <c:v>0.96</c:v>
                </c:pt>
                <c:pt idx="1889">
                  <c:v>0.82</c:v>
                </c:pt>
                <c:pt idx="1890">
                  <c:v>2.9</c:v>
                </c:pt>
                <c:pt idx="1891">
                  <c:v>1.61</c:v>
                </c:pt>
                <c:pt idx="1892">
                  <c:v>1.68</c:v>
                </c:pt>
                <c:pt idx="1893">
                  <c:v>2.65</c:v>
                </c:pt>
                <c:pt idx="1894">
                  <c:v>4.32</c:v>
                </c:pt>
                <c:pt idx="1895">
                  <c:v>1.71</c:v>
                </c:pt>
                <c:pt idx="1896">
                  <c:v>3.35</c:v>
                </c:pt>
                <c:pt idx="1897">
                  <c:v>2.7</c:v>
                </c:pt>
                <c:pt idx="1898">
                  <c:v>2.67</c:v>
                </c:pt>
                <c:pt idx="1899">
                  <c:v>1.88</c:v>
                </c:pt>
                <c:pt idx="1900">
                  <c:v>2.16</c:v>
                </c:pt>
                <c:pt idx="1901">
                  <c:v>1.1399999999999999</c:v>
                </c:pt>
                <c:pt idx="1902">
                  <c:v>1.99</c:v>
                </c:pt>
                <c:pt idx="1903">
                  <c:v>2.76</c:v>
                </c:pt>
                <c:pt idx="1904">
                  <c:v>1.36</c:v>
                </c:pt>
                <c:pt idx="1905">
                  <c:v>3.71</c:v>
                </c:pt>
                <c:pt idx="1906">
                  <c:v>3.13</c:v>
                </c:pt>
                <c:pt idx="1907">
                  <c:v>1.96</c:v>
                </c:pt>
                <c:pt idx="1908">
                  <c:v>2.0299999999999998</c:v>
                </c:pt>
                <c:pt idx="1909">
                  <c:v>3.82</c:v>
                </c:pt>
                <c:pt idx="1910">
                  <c:v>1.86</c:v>
                </c:pt>
                <c:pt idx="1911">
                  <c:v>1.66</c:v>
                </c:pt>
                <c:pt idx="1912">
                  <c:v>1</c:v>
                </c:pt>
                <c:pt idx="1913">
                  <c:v>1.77</c:v>
                </c:pt>
                <c:pt idx="1914">
                  <c:v>1.55</c:v>
                </c:pt>
                <c:pt idx="1915">
                  <c:v>3.3</c:v>
                </c:pt>
                <c:pt idx="1916">
                  <c:v>1.73</c:v>
                </c:pt>
                <c:pt idx="1917">
                  <c:v>1.1499999999999999</c:v>
                </c:pt>
                <c:pt idx="1918">
                  <c:v>2.8</c:v>
                </c:pt>
                <c:pt idx="1919">
                  <c:v>1.53</c:v>
                </c:pt>
                <c:pt idx="1920">
                  <c:v>2.4300000000000002</c:v>
                </c:pt>
                <c:pt idx="1921">
                  <c:v>1.07</c:v>
                </c:pt>
                <c:pt idx="1922">
                  <c:v>1.41</c:v>
                </c:pt>
                <c:pt idx="1923">
                  <c:v>1.9</c:v>
                </c:pt>
                <c:pt idx="1924">
                  <c:v>1.19</c:v>
                </c:pt>
                <c:pt idx="1925">
                  <c:v>2.16</c:v>
                </c:pt>
                <c:pt idx="1926">
                  <c:v>2.92</c:v>
                </c:pt>
                <c:pt idx="1927">
                  <c:v>1.67</c:v>
                </c:pt>
                <c:pt idx="1928">
                  <c:v>1.18</c:v>
                </c:pt>
                <c:pt idx="1929">
                  <c:v>1.73</c:v>
                </c:pt>
                <c:pt idx="1930">
                  <c:v>1.83</c:v>
                </c:pt>
                <c:pt idx="1931">
                  <c:v>1.8</c:v>
                </c:pt>
                <c:pt idx="1932">
                  <c:v>3.6</c:v>
                </c:pt>
                <c:pt idx="1933">
                  <c:v>8.68</c:v>
                </c:pt>
                <c:pt idx="1934">
                  <c:v>1.67</c:v>
                </c:pt>
                <c:pt idx="1935">
                  <c:v>1.23</c:v>
                </c:pt>
                <c:pt idx="1936">
                  <c:v>1.01</c:v>
                </c:pt>
                <c:pt idx="1937">
                  <c:v>1.52</c:v>
                </c:pt>
                <c:pt idx="1938">
                  <c:v>2.11</c:v>
                </c:pt>
                <c:pt idx="1939">
                  <c:v>1.47</c:v>
                </c:pt>
                <c:pt idx="1940">
                  <c:v>2.3199999999999998</c:v>
                </c:pt>
                <c:pt idx="1941">
                  <c:v>2.13</c:v>
                </c:pt>
                <c:pt idx="1942">
                  <c:v>1.86</c:v>
                </c:pt>
                <c:pt idx="1943">
                  <c:v>1.77</c:v>
                </c:pt>
                <c:pt idx="1944">
                  <c:v>4.21</c:v>
                </c:pt>
                <c:pt idx="1945">
                  <c:v>1.61</c:v>
                </c:pt>
                <c:pt idx="1946">
                  <c:v>3.96</c:v>
                </c:pt>
                <c:pt idx="1947">
                  <c:v>3.04</c:v>
                </c:pt>
                <c:pt idx="1948">
                  <c:v>1.51</c:v>
                </c:pt>
                <c:pt idx="1949">
                  <c:v>1.49</c:v>
                </c:pt>
                <c:pt idx="1950">
                  <c:v>1.41</c:v>
                </c:pt>
                <c:pt idx="1951">
                  <c:v>3.07</c:v>
                </c:pt>
                <c:pt idx="1952">
                  <c:v>2.94</c:v>
                </c:pt>
                <c:pt idx="1953">
                  <c:v>2.2200000000000002</c:v>
                </c:pt>
                <c:pt idx="1954">
                  <c:v>1.66</c:v>
                </c:pt>
                <c:pt idx="1955">
                  <c:v>1.33</c:v>
                </c:pt>
                <c:pt idx="1956">
                  <c:v>1.19</c:v>
                </c:pt>
                <c:pt idx="1957">
                  <c:v>10.76</c:v>
                </c:pt>
                <c:pt idx="1958">
                  <c:v>1.25</c:v>
                </c:pt>
                <c:pt idx="1959">
                  <c:v>3.69</c:v>
                </c:pt>
                <c:pt idx="1960">
                  <c:v>2.79</c:v>
                </c:pt>
                <c:pt idx="1961">
                  <c:v>3.12</c:v>
                </c:pt>
                <c:pt idx="1962">
                  <c:v>3.64</c:v>
                </c:pt>
                <c:pt idx="1963">
                  <c:v>1.2</c:v>
                </c:pt>
                <c:pt idx="1964">
                  <c:v>1.56</c:v>
                </c:pt>
                <c:pt idx="1965">
                  <c:v>3.18</c:v>
                </c:pt>
                <c:pt idx="1966">
                  <c:v>2.27</c:v>
                </c:pt>
                <c:pt idx="1967">
                  <c:v>2.13</c:v>
                </c:pt>
                <c:pt idx="1968">
                  <c:v>0.93</c:v>
                </c:pt>
                <c:pt idx="1969">
                  <c:v>1.32</c:v>
                </c:pt>
                <c:pt idx="1970">
                  <c:v>0.84</c:v>
                </c:pt>
                <c:pt idx="1971">
                  <c:v>1.33</c:v>
                </c:pt>
                <c:pt idx="1972">
                  <c:v>1.85</c:v>
                </c:pt>
                <c:pt idx="1973">
                  <c:v>3.06</c:v>
                </c:pt>
                <c:pt idx="1974">
                  <c:v>2.09</c:v>
                </c:pt>
                <c:pt idx="1975">
                  <c:v>3.36</c:v>
                </c:pt>
                <c:pt idx="1976">
                  <c:v>1.68</c:v>
                </c:pt>
                <c:pt idx="1977">
                  <c:v>1.18</c:v>
                </c:pt>
                <c:pt idx="1978">
                  <c:v>8.4600000000000009</c:v>
                </c:pt>
                <c:pt idx="1979">
                  <c:v>11.82</c:v>
                </c:pt>
                <c:pt idx="1980">
                  <c:v>9.5500000000000007</c:v>
                </c:pt>
                <c:pt idx="1981">
                  <c:v>1.75</c:v>
                </c:pt>
                <c:pt idx="1982">
                  <c:v>9.76</c:v>
                </c:pt>
                <c:pt idx="1983">
                  <c:v>3.05</c:v>
                </c:pt>
                <c:pt idx="1984">
                  <c:v>7.06</c:v>
                </c:pt>
                <c:pt idx="1985">
                  <c:v>2.79</c:v>
                </c:pt>
                <c:pt idx="1986">
                  <c:v>2.39</c:v>
                </c:pt>
                <c:pt idx="1987">
                  <c:v>5.77</c:v>
                </c:pt>
                <c:pt idx="1988">
                  <c:v>2.5</c:v>
                </c:pt>
                <c:pt idx="1989">
                  <c:v>1.73</c:v>
                </c:pt>
                <c:pt idx="1990">
                  <c:v>1.58</c:v>
                </c:pt>
                <c:pt idx="1991">
                  <c:v>3.54</c:v>
                </c:pt>
                <c:pt idx="1992">
                  <c:v>0.91</c:v>
                </c:pt>
                <c:pt idx="1993">
                  <c:v>2.4300000000000002</c:v>
                </c:pt>
                <c:pt idx="1994">
                  <c:v>4.7699999999999996</c:v>
                </c:pt>
                <c:pt idx="1995">
                  <c:v>1.46</c:v>
                </c:pt>
                <c:pt idx="1996">
                  <c:v>2.1</c:v>
                </c:pt>
                <c:pt idx="1997">
                  <c:v>2.92</c:v>
                </c:pt>
                <c:pt idx="1998">
                  <c:v>2.5299999999999998</c:v>
                </c:pt>
                <c:pt idx="1999">
                  <c:v>1.64</c:v>
                </c:pt>
                <c:pt idx="2000">
                  <c:v>1.65</c:v>
                </c:pt>
                <c:pt idx="2001">
                  <c:v>1.1100000000000001</c:v>
                </c:pt>
                <c:pt idx="2002">
                  <c:v>1.35</c:v>
                </c:pt>
                <c:pt idx="2003">
                  <c:v>3.46</c:v>
                </c:pt>
                <c:pt idx="2004">
                  <c:v>1.89</c:v>
                </c:pt>
                <c:pt idx="2005">
                  <c:v>2.5499999999999998</c:v>
                </c:pt>
                <c:pt idx="2006">
                  <c:v>3.14</c:v>
                </c:pt>
                <c:pt idx="2007">
                  <c:v>1.18</c:v>
                </c:pt>
                <c:pt idx="2008">
                  <c:v>2.82</c:v>
                </c:pt>
                <c:pt idx="2009">
                  <c:v>2.7</c:v>
                </c:pt>
                <c:pt idx="2010">
                  <c:v>2.2599999999999998</c:v>
                </c:pt>
                <c:pt idx="2011">
                  <c:v>2.95</c:v>
                </c:pt>
                <c:pt idx="2012">
                  <c:v>3.84</c:v>
                </c:pt>
                <c:pt idx="2013">
                  <c:v>1.5</c:v>
                </c:pt>
                <c:pt idx="2014">
                  <c:v>1.5</c:v>
                </c:pt>
                <c:pt idx="2015">
                  <c:v>2.4900000000000002</c:v>
                </c:pt>
                <c:pt idx="2016">
                  <c:v>1.1599999999999999</c:v>
                </c:pt>
                <c:pt idx="2017">
                  <c:v>0.76</c:v>
                </c:pt>
                <c:pt idx="2018">
                  <c:v>0.65</c:v>
                </c:pt>
                <c:pt idx="2019">
                  <c:v>0.87</c:v>
                </c:pt>
                <c:pt idx="2020">
                  <c:v>0.76</c:v>
                </c:pt>
                <c:pt idx="2021">
                  <c:v>2.71</c:v>
                </c:pt>
                <c:pt idx="2022">
                  <c:v>1.78</c:v>
                </c:pt>
                <c:pt idx="2023">
                  <c:v>2.7</c:v>
                </c:pt>
                <c:pt idx="2024">
                  <c:v>3.13</c:v>
                </c:pt>
                <c:pt idx="2025">
                  <c:v>0.9</c:v>
                </c:pt>
                <c:pt idx="2026">
                  <c:v>2.64</c:v>
                </c:pt>
                <c:pt idx="2027">
                  <c:v>2.57</c:v>
                </c:pt>
                <c:pt idx="2028">
                  <c:v>2.09</c:v>
                </c:pt>
                <c:pt idx="2029">
                  <c:v>2.2400000000000002</c:v>
                </c:pt>
                <c:pt idx="2030">
                  <c:v>3.02</c:v>
                </c:pt>
                <c:pt idx="2031">
                  <c:v>2.66</c:v>
                </c:pt>
                <c:pt idx="2032">
                  <c:v>2.4700000000000002</c:v>
                </c:pt>
                <c:pt idx="2033">
                  <c:v>1.1499999999999999</c:v>
                </c:pt>
                <c:pt idx="2034">
                  <c:v>2.9</c:v>
                </c:pt>
                <c:pt idx="2035">
                  <c:v>1.61</c:v>
                </c:pt>
                <c:pt idx="2036">
                  <c:v>1.96</c:v>
                </c:pt>
                <c:pt idx="2037">
                  <c:v>1.53</c:v>
                </c:pt>
                <c:pt idx="2038">
                  <c:v>0.68</c:v>
                </c:pt>
                <c:pt idx="2039">
                  <c:v>0.72</c:v>
                </c:pt>
                <c:pt idx="2040">
                  <c:v>2.2999999999999998</c:v>
                </c:pt>
                <c:pt idx="2041">
                  <c:v>2.5499999999999998</c:v>
                </c:pt>
                <c:pt idx="2042">
                  <c:v>0.89</c:v>
                </c:pt>
                <c:pt idx="2043">
                  <c:v>1.0900000000000001</c:v>
                </c:pt>
                <c:pt idx="2044">
                  <c:v>3.55</c:v>
                </c:pt>
                <c:pt idx="2045">
                  <c:v>0.75</c:v>
                </c:pt>
                <c:pt idx="2046">
                  <c:v>1.47</c:v>
                </c:pt>
                <c:pt idx="2047">
                  <c:v>1.19</c:v>
                </c:pt>
                <c:pt idx="2048">
                  <c:v>0.79</c:v>
                </c:pt>
                <c:pt idx="2049">
                  <c:v>2.73</c:v>
                </c:pt>
                <c:pt idx="2050">
                  <c:v>1.3</c:v>
                </c:pt>
                <c:pt idx="2051">
                  <c:v>1.68</c:v>
                </c:pt>
                <c:pt idx="2052">
                  <c:v>1.32</c:v>
                </c:pt>
                <c:pt idx="2053">
                  <c:v>2.2400000000000002</c:v>
                </c:pt>
                <c:pt idx="2054">
                  <c:v>1.46</c:v>
                </c:pt>
                <c:pt idx="2055">
                  <c:v>1.07</c:v>
                </c:pt>
                <c:pt idx="2056">
                  <c:v>1.52</c:v>
                </c:pt>
                <c:pt idx="2057">
                  <c:v>0.94</c:v>
                </c:pt>
                <c:pt idx="2058">
                  <c:v>1.2</c:v>
                </c:pt>
                <c:pt idx="2059">
                  <c:v>1.29</c:v>
                </c:pt>
                <c:pt idx="2060">
                  <c:v>1.31</c:v>
                </c:pt>
                <c:pt idx="2061">
                  <c:v>1.04</c:v>
                </c:pt>
                <c:pt idx="2062">
                  <c:v>1.1299999999999999</c:v>
                </c:pt>
                <c:pt idx="2063">
                  <c:v>1.04</c:v>
                </c:pt>
                <c:pt idx="2064">
                  <c:v>0.84</c:v>
                </c:pt>
                <c:pt idx="2065">
                  <c:v>2.12</c:v>
                </c:pt>
                <c:pt idx="2066">
                  <c:v>1.9</c:v>
                </c:pt>
                <c:pt idx="2067">
                  <c:v>2.11</c:v>
                </c:pt>
                <c:pt idx="2068">
                  <c:v>0.8</c:v>
                </c:pt>
                <c:pt idx="2069">
                  <c:v>1.49</c:v>
                </c:pt>
                <c:pt idx="2070">
                  <c:v>0.6</c:v>
                </c:pt>
                <c:pt idx="2071">
                  <c:v>1.61</c:v>
                </c:pt>
                <c:pt idx="2072">
                  <c:v>1.79</c:v>
                </c:pt>
                <c:pt idx="2073">
                  <c:v>1.52</c:v>
                </c:pt>
                <c:pt idx="2074">
                  <c:v>1.33</c:v>
                </c:pt>
                <c:pt idx="2075">
                  <c:v>0.76</c:v>
                </c:pt>
                <c:pt idx="2076">
                  <c:v>1.0900000000000001</c:v>
                </c:pt>
                <c:pt idx="2077">
                  <c:v>2.38</c:v>
                </c:pt>
                <c:pt idx="2078">
                  <c:v>3.41</c:v>
                </c:pt>
                <c:pt idx="2079">
                  <c:v>1.1399999999999999</c:v>
                </c:pt>
                <c:pt idx="2080">
                  <c:v>1.27</c:v>
                </c:pt>
                <c:pt idx="2081">
                  <c:v>1.54</c:v>
                </c:pt>
                <c:pt idx="2082">
                  <c:v>3.17</c:v>
                </c:pt>
                <c:pt idx="2083">
                  <c:v>1.06</c:v>
                </c:pt>
                <c:pt idx="2084">
                  <c:v>1.23</c:v>
                </c:pt>
                <c:pt idx="2085">
                  <c:v>1.9</c:v>
                </c:pt>
                <c:pt idx="2086">
                  <c:v>1.06</c:v>
                </c:pt>
                <c:pt idx="2087">
                  <c:v>0.95</c:v>
                </c:pt>
                <c:pt idx="2088">
                  <c:v>1.62</c:v>
                </c:pt>
                <c:pt idx="2089">
                  <c:v>8.4489999999999998</c:v>
                </c:pt>
                <c:pt idx="2090">
                  <c:v>1.54</c:v>
                </c:pt>
                <c:pt idx="2091">
                  <c:v>3.61</c:v>
                </c:pt>
                <c:pt idx="2092">
                  <c:v>3.13</c:v>
                </c:pt>
                <c:pt idx="2093">
                  <c:v>0.82</c:v>
                </c:pt>
                <c:pt idx="2094">
                  <c:v>1.34</c:v>
                </c:pt>
                <c:pt idx="2095">
                  <c:v>1.29</c:v>
                </c:pt>
                <c:pt idx="2096">
                  <c:v>1.41</c:v>
                </c:pt>
                <c:pt idx="2097">
                  <c:v>1.08</c:v>
                </c:pt>
                <c:pt idx="2098">
                  <c:v>2.0699999999999998</c:v>
                </c:pt>
                <c:pt idx="2099">
                  <c:v>0.92</c:v>
                </c:pt>
                <c:pt idx="2100">
                  <c:v>1.73</c:v>
                </c:pt>
                <c:pt idx="2101">
                  <c:v>2.2200000000000002</c:v>
                </c:pt>
                <c:pt idx="2102">
                  <c:v>2.12</c:v>
                </c:pt>
                <c:pt idx="2103">
                  <c:v>2.0499999999999998</c:v>
                </c:pt>
                <c:pt idx="2104">
                  <c:v>1.61</c:v>
                </c:pt>
                <c:pt idx="2105">
                  <c:v>0.81</c:v>
                </c:pt>
                <c:pt idx="2106">
                  <c:v>1.03</c:v>
                </c:pt>
                <c:pt idx="2107">
                  <c:v>2.08</c:v>
                </c:pt>
                <c:pt idx="2108">
                  <c:v>1.49</c:v>
                </c:pt>
                <c:pt idx="2109">
                  <c:v>2.06</c:v>
                </c:pt>
                <c:pt idx="2110">
                  <c:v>1.02</c:v>
                </c:pt>
                <c:pt idx="2111">
                  <c:v>1.2</c:v>
                </c:pt>
                <c:pt idx="2112">
                  <c:v>1.26</c:v>
                </c:pt>
                <c:pt idx="2113">
                  <c:v>0.76</c:v>
                </c:pt>
                <c:pt idx="2114">
                  <c:v>1.26</c:v>
                </c:pt>
                <c:pt idx="2115">
                  <c:v>3.03</c:v>
                </c:pt>
                <c:pt idx="2116">
                  <c:v>1.61</c:v>
                </c:pt>
                <c:pt idx="2117">
                  <c:v>2.16</c:v>
                </c:pt>
                <c:pt idx="2118">
                  <c:v>1.47</c:v>
                </c:pt>
                <c:pt idx="2119">
                  <c:v>1.31</c:v>
                </c:pt>
                <c:pt idx="2120">
                  <c:v>5.7</c:v>
                </c:pt>
                <c:pt idx="2121">
                  <c:v>6.06</c:v>
                </c:pt>
                <c:pt idx="2122">
                  <c:v>2.02</c:v>
                </c:pt>
                <c:pt idx="2123">
                  <c:v>3.69</c:v>
                </c:pt>
                <c:pt idx="2124">
                  <c:v>6.43</c:v>
                </c:pt>
                <c:pt idx="2125">
                  <c:v>0.77</c:v>
                </c:pt>
                <c:pt idx="2126">
                  <c:v>1.05</c:v>
                </c:pt>
                <c:pt idx="2127">
                  <c:v>2.2599999999999998</c:v>
                </c:pt>
                <c:pt idx="2128">
                  <c:v>2.19</c:v>
                </c:pt>
                <c:pt idx="2129">
                  <c:v>1.35</c:v>
                </c:pt>
                <c:pt idx="2130">
                  <c:v>2.4700000000000002</c:v>
                </c:pt>
                <c:pt idx="2131">
                  <c:v>1.58</c:v>
                </c:pt>
                <c:pt idx="2132">
                  <c:v>3.19</c:v>
                </c:pt>
                <c:pt idx="2133">
                  <c:v>3.64</c:v>
                </c:pt>
                <c:pt idx="2134">
                  <c:v>3.23</c:v>
                </c:pt>
                <c:pt idx="2135">
                  <c:v>0.89</c:v>
                </c:pt>
                <c:pt idx="2136">
                  <c:v>1.87</c:v>
                </c:pt>
                <c:pt idx="2137">
                  <c:v>2.58</c:v>
                </c:pt>
                <c:pt idx="2138">
                  <c:v>1.41</c:v>
                </c:pt>
                <c:pt idx="2139">
                  <c:v>2.73</c:v>
                </c:pt>
                <c:pt idx="2140">
                  <c:v>2.4500000000000002</c:v>
                </c:pt>
                <c:pt idx="2141">
                  <c:v>4.82</c:v>
                </c:pt>
                <c:pt idx="2142">
                  <c:v>3.11</c:v>
                </c:pt>
                <c:pt idx="2143">
                  <c:v>2.95</c:v>
                </c:pt>
                <c:pt idx="2144">
                  <c:v>3.2</c:v>
                </c:pt>
                <c:pt idx="2145">
                  <c:v>2.66</c:v>
                </c:pt>
                <c:pt idx="2146">
                  <c:v>2.2999999999999998</c:v>
                </c:pt>
                <c:pt idx="2147">
                  <c:v>1.88</c:v>
                </c:pt>
                <c:pt idx="2148">
                  <c:v>1.78</c:v>
                </c:pt>
                <c:pt idx="2149">
                  <c:v>1.23</c:v>
                </c:pt>
                <c:pt idx="2150">
                  <c:v>11.874000000000001</c:v>
                </c:pt>
                <c:pt idx="2151">
                  <c:v>1.08</c:v>
                </c:pt>
                <c:pt idx="2152">
                  <c:v>2.3199999999999998</c:v>
                </c:pt>
                <c:pt idx="2153">
                  <c:v>2.23</c:v>
                </c:pt>
                <c:pt idx="2154">
                  <c:v>0.96</c:v>
                </c:pt>
                <c:pt idx="2155">
                  <c:v>1.84</c:v>
                </c:pt>
                <c:pt idx="2156">
                  <c:v>1.6</c:v>
                </c:pt>
                <c:pt idx="2157">
                  <c:v>2.17</c:v>
                </c:pt>
                <c:pt idx="2158">
                  <c:v>9.18</c:v>
                </c:pt>
                <c:pt idx="2159">
                  <c:v>2.2130000000000001</c:v>
                </c:pt>
                <c:pt idx="2160">
                  <c:v>5.0199999999999996</c:v>
                </c:pt>
                <c:pt idx="2161">
                  <c:v>11.994</c:v>
                </c:pt>
                <c:pt idx="2162">
                  <c:v>2.27</c:v>
                </c:pt>
                <c:pt idx="2163">
                  <c:v>2.38</c:v>
                </c:pt>
                <c:pt idx="2164">
                  <c:v>1.73</c:v>
                </c:pt>
                <c:pt idx="2165">
                  <c:v>1.615</c:v>
                </c:pt>
                <c:pt idx="2166">
                  <c:v>1.548</c:v>
                </c:pt>
                <c:pt idx="2167">
                  <c:v>1.194</c:v>
                </c:pt>
                <c:pt idx="2168">
                  <c:v>10.15</c:v>
                </c:pt>
                <c:pt idx="2169">
                  <c:v>1.46</c:v>
                </c:pt>
                <c:pt idx="2170">
                  <c:v>2.69</c:v>
                </c:pt>
                <c:pt idx="2171">
                  <c:v>1.1299999999999999</c:v>
                </c:pt>
                <c:pt idx="2172">
                  <c:v>1.21</c:v>
                </c:pt>
                <c:pt idx="2173">
                  <c:v>1.25</c:v>
                </c:pt>
                <c:pt idx="2174">
                  <c:v>2.2000000000000002</c:v>
                </c:pt>
                <c:pt idx="2175">
                  <c:v>2.58</c:v>
                </c:pt>
                <c:pt idx="2176">
                  <c:v>14.68</c:v>
                </c:pt>
                <c:pt idx="2177">
                  <c:v>3.2</c:v>
                </c:pt>
                <c:pt idx="2178">
                  <c:v>2.86</c:v>
                </c:pt>
                <c:pt idx="2179">
                  <c:v>2.34</c:v>
                </c:pt>
                <c:pt idx="2180">
                  <c:v>2.56</c:v>
                </c:pt>
                <c:pt idx="2181">
                  <c:v>1.89</c:v>
                </c:pt>
                <c:pt idx="2182">
                  <c:v>2.35</c:v>
                </c:pt>
                <c:pt idx="2183">
                  <c:v>2.86</c:v>
                </c:pt>
                <c:pt idx="2184">
                  <c:v>2.25</c:v>
                </c:pt>
                <c:pt idx="2185">
                  <c:v>2.76</c:v>
                </c:pt>
                <c:pt idx="2186">
                  <c:v>1.29</c:v>
                </c:pt>
                <c:pt idx="2187">
                  <c:v>2.4300000000000002</c:v>
                </c:pt>
                <c:pt idx="2188">
                  <c:v>1.96</c:v>
                </c:pt>
                <c:pt idx="2189">
                  <c:v>1.49</c:v>
                </c:pt>
                <c:pt idx="2190">
                  <c:v>2.19</c:v>
                </c:pt>
                <c:pt idx="2191">
                  <c:v>2.56</c:v>
                </c:pt>
                <c:pt idx="2192">
                  <c:v>3.1</c:v>
                </c:pt>
                <c:pt idx="2193">
                  <c:v>1.43</c:v>
                </c:pt>
                <c:pt idx="2194">
                  <c:v>2.6</c:v>
                </c:pt>
                <c:pt idx="2195">
                  <c:v>2.5099999999999998</c:v>
                </c:pt>
                <c:pt idx="2196">
                  <c:v>1.45</c:v>
                </c:pt>
                <c:pt idx="2197">
                  <c:v>2.9</c:v>
                </c:pt>
                <c:pt idx="2198">
                  <c:v>7.1</c:v>
                </c:pt>
                <c:pt idx="2199">
                  <c:v>2.9</c:v>
                </c:pt>
                <c:pt idx="2200">
                  <c:v>2.88</c:v>
                </c:pt>
                <c:pt idx="2201">
                  <c:v>3.95</c:v>
                </c:pt>
                <c:pt idx="2202">
                  <c:v>1.64</c:v>
                </c:pt>
                <c:pt idx="2203">
                  <c:v>2</c:v>
                </c:pt>
                <c:pt idx="2204">
                  <c:v>2</c:v>
                </c:pt>
                <c:pt idx="2205">
                  <c:v>5.49</c:v>
                </c:pt>
                <c:pt idx="2206">
                  <c:v>6.98</c:v>
                </c:pt>
                <c:pt idx="2207">
                  <c:v>1.5</c:v>
                </c:pt>
                <c:pt idx="2208">
                  <c:v>3.01</c:v>
                </c:pt>
                <c:pt idx="2209">
                  <c:v>1.27</c:v>
                </c:pt>
                <c:pt idx="2210">
                  <c:v>1.99</c:v>
                </c:pt>
                <c:pt idx="2211">
                  <c:v>2.58</c:v>
                </c:pt>
                <c:pt idx="2212">
                  <c:v>3.43</c:v>
                </c:pt>
                <c:pt idx="2213">
                  <c:v>2.06</c:v>
                </c:pt>
                <c:pt idx="2214">
                  <c:v>2.27</c:v>
                </c:pt>
                <c:pt idx="2215">
                  <c:v>2.36</c:v>
                </c:pt>
                <c:pt idx="2216">
                  <c:v>1.97</c:v>
                </c:pt>
                <c:pt idx="2217">
                  <c:v>2.4900000000000002</c:v>
                </c:pt>
                <c:pt idx="2218">
                  <c:v>1.17</c:v>
                </c:pt>
                <c:pt idx="2219">
                  <c:v>2.02</c:v>
                </c:pt>
                <c:pt idx="2220">
                  <c:v>1.07</c:v>
                </c:pt>
                <c:pt idx="2221">
                  <c:v>1.25</c:v>
                </c:pt>
                <c:pt idx="2222">
                  <c:v>1.4</c:v>
                </c:pt>
                <c:pt idx="2223">
                  <c:v>1.27</c:v>
                </c:pt>
                <c:pt idx="2224">
                  <c:v>1.17</c:v>
                </c:pt>
                <c:pt idx="2225">
                  <c:v>1.41</c:v>
                </c:pt>
                <c:pt idx="2226">
                  <c:v>2.67</c:v>
                </c:pt>
                <c:pt idx="2227">
                  <c:v>1.68</c:v>
                </c:pt>
                <c:pt idx="2228">
                  <c:v>3.19</c:v>
                </c:pt>
                <c:pt idx="2229">
                  <c:v>1.21</c:v>
                </c:pt>
                <c:pt idx="2230">
                  <c:v>2.38</c:v>
                </c:pt>
                <c:pt idx="2234">
                  <c:v>1.56</c:v>
                </c:pt>
                <c:pt idx="2235">
                  <c:v>1.46</c:v>
                </c:pt>
                <c:pt idx="2236">
                  <c:v>1.34</c:v>
                </c:pt>
                <c:pt idx="2237">
                  <c:v>1.86</c:v>
                </c:pt>
                <c:pt idx="2238">
                  <c:v>2.2799999999999998</c:v>
                </c:pt>
                <c:pt idx="2239">
                  <c:v>2.74</c:v>
                </c:pt>
                <c:pt idx="2240">
                  <c:v>2.79</c:v>
                </c:pt>
                <c:pt idx="2241">
                  <c:v>1.02</c:v>
                </c:pt>
                <c:pt idx="2242">
                  <c:v>2.39</c:v>
                </c:pt>
                <c:pt idx="2243">
                  <c:v>2.75</c:v>
                </c:pt>
                <c:pt idx="2244">
                  <c:v>1.51</c:v>
                </c:pt>
                <c:pt idx="2245">
                  <c:v>2.59</c:v>
                </c:pt>
                <c:pt idx="2246">
                  <c:v>2.4</c:v>
                </c:pt>
                <c:pt idx="2247">
                  <c:v>2.0299999999999998</c:v>
                </c:pt>
                <c:pt idx="2248">
                  <c:v>1.55</c:v>
                </c:pt>
                <c:pt idx="2249">
                  <c:v>1.9</c:v>
                </c:pt>
                <c:pt idx="2250">
                  <c:v>2.2400000000000002</c:v>
                </c:pt>
                <c:pt idx="2251">
                  <c:v>1.02</c:v>
                </c:pt>
                <c:pt idx="2252">
                  <c:v>1.23</c:v>
                </c:pt>
                <c:pt idx="2253">
                  <c:v>1.22</c:v>
                </c:pt>
                <c:pt idx="2254">
                  <c:v>0.91</c:v>
                </c:pt>
                <c:pt idx="2255">
                  <c:v>2.82</c:v>
                </c:pt>
                <c:pt idx="2256">
                  <c:v>2.4700000000000002</c:v>
                </c:pt>
                <c:pt idx="2257">
                  <c:v>1.53</c:v>
                </c:pt>
                <c:pt idx="2258">
                  <c:v>3.11</c:v>
                </c:pt>
                <c:pt idx="2259">
                  <c:v>3.25</c:v>
                </c:pt>
                <c:pt idx="2260">
                  <c:v>1.8680000000000001</c:v>
                </c:pt>
                <c:pt idx="2261">
                  <c:v>3.0470000000000002</c:v>
                </c:pt>
                <c:pt idx="2262">
                  <c:v>2.7440000000000002</c:v>
                </c:pt>
                <c:pt idx="2263">
                  <c:v>0.86499999999999999</c:v>
                </c:pt>
                <c:pt idx="2264">
                  <c:v>1.0029999999999999</c:v>
                </c:pt>
                <c:pt idx="2266">
                  <c:v>2.13</c:v>
                </c:pt>
                <c:pt idx="2267">
                  <c:v>1.59</c:v>
                </c:pt>
                <c:pt idx="2268">
                  <c:v>2.46</c:v>
                </c:pt>
                <c:pt idx="2269">
                  <c:v>2.85</c:v>
                </c:pt>
                <c:pt idx="2270">
                  <c:v>1.63</c:v>
                </c:pt>
                <c:pt idx="2271">
                  <c:v>1.85</c:v>
                </c:pt>
                <c:pt idx="2272">
                  <c:v>2.57</c:v>
                </c:pt>
                <c:pt idx="2273">
                  <c:v>2.4700000000000002</c:v>
                </c:pt>
                <c:pt idx="2274">
                  <c:v>1.44</c:v>
                </c:pt>
                <c:pt idx="2275">
                  <c:v>2.5299999999999998</c:v>
                </c:pt>
                <c:pt idx="2276">
                  <c:v>1.79</c:v>
                </c:pt>
                <c:pt idx="2277">
                  <c:v>1.51</c:v>
                </c:pt>
                <c:pt idx="2278">
                  <c:v>1.64</c:v>
                </c:pt>
                <c:pt idx="2279">
                  <c:v>1.2</c:v>
                </c:pt>
                <c:pt idx="2280">
                  <c:v>1.77</c:v>
                </c:pt>
                <c:pt idx="2281">
                  <c:v>1.19</c:v>
                </c:pt>
                <c:pt idx="2282">
                  <c:v>1.57</c:v>
                </c:pt>
                <c:pt idx="2283">
                  <c:v>1.5</c:v>
                </c:pt>
                <c:pt idx="2284">
                  <c:v>3.31</c:v>
                </c:pt>
                <c:pt idx="2285">
                  <c:v>1.63</c:v>
                </c:pt>
                <c:pt idx="2286">
                  <c:v>1.39</c:v>
                </c:pt>
                <c:pt idx="2287">
                  <c:v>1.2</c:v>
                </c:pt>
                <c:pt idx="2288">
                  <c:v>1.48</c:v>
                </c:pt>
                <c:pt idx="2289">
                  <c:v>2.2599999999999998</c:v>
                </c:pt>
                <c:pt idx="2290">
                  <c:v>3.1</c:v>
                </c:pt>
                <c:pt idx="2291">
                  <c:v>1.639</c:v>
                </c:pt>
                <c:pt idx="2292">
                  <c:v>2.94</c:v>
                </c:pt>
                <c:pt idx="2293">
                  <c:v>3.62</c:v>
                </c:pt>
                <c:pt idx="2294">
                  <c:v>1.26</c:v>
                </c:pt>
                <c:pt idx="2295">
                  <c:v>1.29</c:v>
                </c:pt>
                <c:pt idx="2296">
                  <c:v>1.0900000000000001</c:v>
                </c:pt>
                <c:pt idx="2297">
                  <c:v>2.74</c:v>
                </c:pt>
                <c:pt idx="2298">
                  <c:v>1.62</c:v>
                </c:pt>
                <c:pt idx="2299">
                  <c:v>2.34</c:v>
                </c:pt>
                <c:pt idx="2300">
                  <c:v>2.61</c:v>
                </c:pt>
                <c:pt idx="2301">
                  <c:v>2.13</c:v>
                </c:pt>
                <c:pt idx="2302">
                  <c:v>1.62</c:v>
                </c:pt>
                <c:pt idx="2303">
                  <c:v>1.77</c:v>
                </c:pt>
                <c:pt idx="2304">
                  <c:v>2.39</c:v>
                </c:pt>
                <c:pt idx="2305">
                  <c:v>1.75</c:v>
                </c:pt>
                <c:pt idx="2306">
                  <c:v>2.35</c:v>
                </c:pt>
                <c:pt idx="2307">
                  <c:v>3.04</c:v>
                </c:pt>
                <c:pt idx="2308">
                  <c:v>2.23</c:v>
                </c:pt>
                <c:pt idx="2309">
                  <c:v>1.85</c:v>
                </c:pt>
                <c:pt idx="2310">
                  <c:v>1.32</c:v>
                </c:pt>
                <c:pt idx="2311">
                  <c:v>1.48</c:v>
                </c:pt>
                <c:pt idx="2312">
                  <c:v>3.14</c:v>
                </c:pt>
                <c:pt idx="2313">
                  <c:v>2.66</c:v>
                </c:pt>
                <c:pt idx="2314">
                  <c:v>2.95</c:v>
                </c:pt>
                <c:pt idx="2315">
                  <c:v>3.58</c:v>
                </c:pt>
                <c:pt idx="2316">
                  <c:v>2.81</c:v>
                </c:pt>
                <c:pt idx="2317">
                  <c:v>2.38</c:v>
                </c:pt>
                <c:pt idx="2318">
                  <c:v>0.81</c:v>
                </c:pt>
                <c:pt idx="2319">
                  <c:v>1.57</c:v>
                </c:pt>
                <c:pt idx="2320">
                  <c:v>0.98</c:v>
                </c:pt>
                <c:pt idx="2321">
                  <c:v>1.33</c:v>
                </c:pt>
                <c:pt idx="2322">
                  <c:v>1.71</c:v>
                </c:pt>
                <c:pt idx="2323">
                  <c:v>2.93</c:v>
                </c:pt>
                <c:pt idx="2324">
                  <c:v>2.73</c:v>
                </c:pt>
                <c:pt idx="2325">
                  <c:v>2.63</c:v>
                </c:pt>
                <c:pt idx="2326">
                  <c:v>3.16</c:v>
                </c:pt>
                <c:pt idx="2327">
                  <c:v>4.6399999999999997</c:v>
                </c:pt>
                <c:pt idx="2328">
                  <c:v>3.69</c:v>
                </c:pt>
                <c:pt idx="2329">
                  <c:v>2.99</c:v>
                </c:pt>
                <c:pt idx="2330">
                  <c:v>3.44</c:v>
                </c:pt>
                <c:pt idx="2331">
                  <c:v>5.24</c:v>
                </c:pt>
                <c:pt idx="2332">
                  <c:v>4.5999999999999996</c:v>
                </c:pt>
                <c:pt idx="2333">
                  <c:v>1.39</c:v>
                </c:pt>
                <c:pt idx="2334">
                  <c:v>3.12</c:v>
                </c:pt>
                <c:pt idx="2335">
                  <c:v>2.2999999999999998</c:v>
                </c:pt>
                <c:pt idx="2336">
                  <c:v>1.97</c:v>
                </c:pt>
                <c:pt idx="2337">
                  <c:v>1.2</c:v>
                </c:pt>
                <c:pt idx="2338">
                  <c:v>1.84</c:v>
                </c:pt>
                <c:pt idx="2339">
                  <c:v>1.55</c:v>
                </c:pt>
                <c:pt idx="2340">
                  <c:v>2.27</c:v>
                </c:pt>
                <c:pt idx="2341">
                  <c:v>1.22</c:v>
                </c:pt>
                <c:pt idx="2342">
                  <c:v>3.11</c:v>
                </c:pt>
                <c:pt idx="2343">
                  <c:v>3.04</c:v>
                </c:pt>
                <c:pt idx="2344">
                  <c:v>1.53</c:v>
                </c:pt>
                <c:pt idx="2345">
                  <c:v>2.7</c:v>
                </c:pt>
                <c:pt idx="2346">
                  <c:v>4.04</c:v>
                </c:pt>
                <c:pt idx="2347">
                  <c:v>2.2000000000000002</c:v>
                </c:pt>
                <c:pt idx="2348">
                  <c:v>4.92</c:v>
                </c:pt>
                <c:pt idx="2349">
                  <c:v>3.85</c:v>
                </c:pt>
                <c:pt idx="2350">
                  <c:v>1.9</c:v>
                </c:pt>
                <c:pt idx="2351">
                  <c:v>3.2</c:v>
                </c:pt>
                <c:pt idx="2352">
                  <c:v>2.2000000000000002</c:v>
                </c:pt>
                <c:pt idx="2353">
                  <c:v>4.26</c:v>
                </c:pt>
                <c:pt idx="2354">
                  <c:v>2.04</c:v>
                </c:pt>
                <c:pt idx="2355">
                  <c:v>1.73</c:v>
                </c:pt>
                <c:pt idx="2356">
                  <c:v>1.93</c:v>
                </c:pt>
                <c:pt idx="2357">
                  <c:v>3.08</c:v>
                </c:pt>
                <c:pt idx="2358">
                  <c:v>3.83</c:v>
                </c:pt>
                <c:pt idx="2359">
                  <c:v>2.4300000000000002</c:v>
                </c:pt>
                <c:pt idx="2360">
                  <c:v>2.71</c:v>
                </c:pt>
                <c:pt idx="2361">
                  <c:v>3.7</c:v>
                </c:pt>
                <c:pt idx="2362">
                  <c:v>3.51</c:v>
                </c:pt>
                <c:pt idx="2363">
                  <c:v>2.23</c:v>
                </c:pt>
                <c:pt idx="2364">
                  <c:v>1.28</c:v>
                </c:pt>
                <c:pt idx="2365">
                  <c:v>2.0499999999999998</c:v>
                </c:pt>
                <c:pt idx="2366">
                  <c:v>2.2200000000000002</c:v>
                </c:pt>
                <c:pt idx="2367">
                  <c:v>1.57</c:v>
                </c:pt>
                <c:pt idx="2368">
                  <c:v>2</c:v>
                </c:pt>
                <c:pt idx="2369">
                  <c:v>1.41</c:v>
                </c:pt>
                <c:pt idx="2370">
                  <c:v>2.08</c:v>
                </c:pt>
                <c:pt idx="2371">
                  <c:v>1.73</c:v>
                </c:pt>
                <c:pt idx="2372">
                  <c:v>2.39</c:v>
                </c:pt>
                <c:pt idx="2373">
                  <c:v>3.07</c:v>
                </c:pt>
                <c:pt idx="2374">
                  <c:v>5.6</c:v>
                </c:pt>
                <c:pt idx="2375">
                  <c:v>2</c:v>
                </c:pt>
                <c:pt idx="2376">
                  <c:v>2.33</c:v>
                </c:pt>
                <c:pt idx="2377">
                  <c:v>2.5099999999999998</c:v>
                </c:pt>
                <c:pt idx="2378">
                  <c:v>2.4</c:v>
                </c:pt>
                <c:pt idx="2379">
                  <c:v>2.8</c:v>
                </c:pt>
                <c:pt idx="2380">
                  <c:v>1.67</c:v>
                </c:pt>
                <c:pt idx="2381">
                  <c:v>2.78</c:v>
                </c:pt>
                <c:pt idx="2382">
                  <c:v>1.37</c:v>
                </c:pt>
                <c:pt idx="2383">
                  <c:v>2.2000000000000002</c:v>
                </c:pt>
                <c:pt idx="2384">
                  <c:v>2.33</c:v>
                </c:pt>
                <c:pt idx="2385">
                  <c:v>2.57</c:v>
                </c:pt>
                <c:pt idx="2386">
                  <c:v>2.61</c:v>
                </c:pt>
                <c:pt idx="2387">
                  <c:v>2</c:v>
                </c:pt>
                <c:pt idx="2388">
                  <c:v>2.4500000000000002</c:v>
                </c:pt>
                <c:pt idx="2389">
                  <c:v>1.99</c:v>
                </c:pt>
                <c:pt idx="2390">
                  <c:v>2.76</c:v>
                </c:pt>
                <c:pt idx="2391">
                  <c:v>2.0499999999999998</c:v>
                </c:pt>
                <c:pt idx="2392">
                  <c:v>2.31</c:v>
                </c:pt>
                <c:pt idx="2393">
                  <c:v>2.57</c:v>
                </c:pt>
                <c:pt idx="2394">
                  <c:v>2.1800000000000002</c:v>
                </c:pt>
                <c:pt idx="2395">
                  <c:v>3.03</c:v>
                </c:pt>
                <c:pt idx="2396">
                  <c:v>1.75</c:v>
                </c:pt>
                <c:pt idx="2397">
                  <c:v>2.34</c:v>
                </c:pt>
                <c:pt idx="2398">
                  <c:v>1.5</c:v>
                </c:pt>
                <c:pt idx="2399">
                  <c:v>1.64</c:v>
                </c:pt>
                <c:pt idx="2400">
                  <c:v>4.09</c:v>
                </c:pt>
                <c:pt idx="2401">
                  <c:v>3.94</c:v>
                </c:pt>
                <c:pt idx="2402">
                  <c:v>3.02</c:v>
                </c:pt>
                <c:pt idx="2403">
                  <c:v>4.07</c:v>
                </c:pt>
                <c:pt idx="2404">
                  <c:v>1.0900000000000001</c:v>
                </c:pt>
                <c:pt idx="2405">
                  <c:v>1.51</c:v>
                </c:pt>
                <c:pt idx="2406">
                  <c:v>1.57</c:v>
                </c:pt>
                <c:pt idx="2407">
                  <c:v>2.71</c:v>
                </c:pt>
                <c:pt idx="2408">
                  <c:v>5.2</c:v>
                </c:pt>
                <c:pt idx="2410">
                  <c:v>1.1299999999999999</c:v>
                </c:pt>
                <c:pt idx="2411">
                  <c:v>2.2799999999999998</c:v>
                </c:pt>
                <c:pt idx="2412">
                  <c:v>2.1800000000000002</c:v>
                </c:pt>
                <c:pt idx="2413">
                  <c:v>1.33</c:v>
                </c:pt>
                <c:pt idx="2414">
                  <c:v>2.77</c:v>
                </c:pt>
                <c:pt idx="2415">
                  <c:v>2.77</c:v>
                </c:pt>
                <c:pt idx="2416">
                  <c:v>2.77</c:v>
                </c:pt>
                <c:pt idx="2417">
                  <c:v>1.23</c:v>
                </c:pt>
                <c:pt idx="2418">
                  <c:v>2.15</c:v>
                </c:pt>
                <c:pt idx="2419">
                  <c:v>1.63</c:v>
                </c:pt>
                <c:pt idx="2420">
                  <c:v>2.65</c:v>
                </c:pt>
                <c:pt idx="2421">
                  <c:v>3.17</c:v>
                </c:pt>
                <c:pt idx="2422">
                  <c:v>3.87</c:v>
                </c:pt>
                <c:pt idx="2423">
                  <c:v>2.15</c:v>
                </c:pt>
                <c:pt idx="2424">
                  <c:v>2.5</c:v>
                </c:pt>
                <c:pt idx="2425">
                  <c:v>1.55</c:v>
                </c:pt>
                <c:pt idx="2426">
                  <c:v>2.99</c:v>
                </c:pt>
                <c:pt idx="2427">
                  <c:v>1.32</c:v>
                </c:pt>
                <c:pt idx="2428">
                  <c:v>1.59</c:v>
                </c:pt>
                <c:pt idx="2429">
                  <c:v>2.15</c:v>
                </c:pt>
                <c:pt idx="2430">
                  <c:v>2.48</c:v>
                </c:pt>
                <c:pt idx="2431">
                  <c:v>2.35</c:v>
                </c:pt>
                <c:pt idx="2432">
                  <c:v>2.61</c:v>
                </c:pt>
                <c:pt idx="2433">
                  <c:v>5.41</c:v>
                </c:pt>
                <c:pt idx="2434">
                  <c:v>4.95</c:v>
                </c:pt>
                <c:pt idx="2435">
                  <c:v>4.0599999999999996</c:v>
                </c:pt>
                <c:pt idx="2436">
                  <c:v>3.61</c:v>
                </c:pt>
                <c:pt idx="2437">
                  <c:v>2.8</c:v>
                </c:pt>
                <c:pt idx="2438">
                  <c:v>2.7</c:v>
                </c:pt>
                <c:pt idx="2439">
                  <c:v>2.78</c:v>
                </c:pt>
                <c:pt idx="2440">
                  <c:v>2.72</c:v>
                </c:pt>
                <c:pt idx="2441">
                  <c:v>1.07</c:v>
                </c:pt>
                <c:pt idx="2442">
                  <c:v>2.41</c:v>
                </c:pt>
                <c:pt idx="2443">
                  <c:v>2.0099999999999998</c:v>
                </c:pt>
                <c:pt idx="2444">
                  <c:v>1.74</c:v>
                </c:pt>
                <c:pt idx="2445">
                  <c:v>2.1800000000000002</c:v>
                </c:pt>
                <c:pt idx="2446">
                  <c:v>2</c:v>
                </c:pt>
                <c:pt idx="2447">
                  <c:v>1.36</c:v>
                </c:pt>
                <c:pt idx="2448">
                  <c:v>1.64</c:v>
                </c:pt>
                <c:pt idx="2449">
                  <c:v>2.67</c:v>
                </c:pt>
                <c:pt idx="2450">
                  <c:v>2.4700000000000002</c:v>
                </c:pt>
                <c:pt idx="2451">
                  <c:v>3.33</c:v>
                </c:pt>
                <c:pt idx="2452">
                  <c:v>2.83</c:v>
                </c:pt>
                <c:pt idx="2453">
                  <c:v>1.86</c:v>
                </c:pt>
                <c:pt idx="2454">
                  <c:v>2.63</c:v>
                </c:pt>
                <c:pt idx="2455">
                  <c:v>2.4900000000000002</c:v>
                </c:pt>
                <c:pt idx="2456">
                  <c:v>2.59</c:v>
                </c:pt>
                <c:pt idx="2457">
                  <c:v>2.48</c:v>
                </c:pt>
                <c:pt idx="2458">
                  <c:v>3.89</c:v>
                </c:pt>
                <c:pt idx="2459">
                  <c:v>1.98</c:v>
                </c:pt>
                <c:pt idx="2460">
                  <c:v>2.13</c:v>
                </c:pt>
                <c:pt idx="2461">
                  <c:v>2.27</c:v>
                </c:pt>
                <c:pt idx="2462">
                  <c:v>2.5499999999999998</c:v>
                </c:pt>
                <c:pt idx="2463">
                  <c:v>3.38</c:v>
                </c:pt>
                <c:pt idx="2464">
                  <c:v>2.4700000000000002</c:v>
                </c:pt>
                <c:pt idx="2465">
                  <c:v>1.69</c:v>
                </c:pt>
                <c:pt idx="2466">
                  <c:v>4</c:v>
                </c:pt>
                <c:pt idx="2467">
                  <c:v>4.9000000000000004</c:v>
                </c:pt>
                <c:pt idx="2468">
                  <c:v>2.0099999999999998</c:v>
                </c:pt>
                <c:pt idx="2469">
                  <c:v>1.77</c:v>
                </c:pt>
                <c:pt idx="2470">
                  <c:v>1.23</c:v>
                </c:pt>
                <c:pt idx="2471">
                  <c:v>0.95</c:v>
                </c:pt>
                <c:pt idx="2472">
                  <c:v>0.66</c:v>
                </c:pt>
                <c:pt idx="2473">
                  <c:v>1.43</c:v>
                </c:pt>
                <c:pt idx="2474">
                  <c:v>1.79</c:v>
                </c:pt>
                <c:pt idx="2475">
                  <c:v>2.25</c:v>
                </c:pt>
                <c:pt idx="2476">
                  <c:v>1.5</c:v>
                </c:pt>
                <c:pt idx="2477">
                  <c:v>1.98</c:v>
                </c:pt>
                <c:pt idx="2478">
                  <c:v>1.54</c:v>
                </c:pt>
                <c:pt idx="2479">
                  <c:v>1.84</c:v>
                </c:pt>
                <c:pt idx="2480">
                  <c:v>2.34</c:v>
                </c:pt>
                <c:pt idx="2481">
                  <c:v>3.38</c:v>
                </c:pt>
                <c:pt idx="2482">
                  <c:v>3.33</c:v>
                </c:pt>
                <c:pt idx="2483">
                  <c:v>2.87</c:v>
                </c:pt>
                <c:pt idx="2484">
                  <c:v>2.9</c:v>
                </c:pt>
                <c:pt idx="2485">
                  <c:v>2.8</c:v>
                </c:pt>
                <c:pt idx="2486">
                  <c:v>2.92</c:v>
                </c:pt>
                <c:pt idx="2487">
                  <c:v>3.36</c:v>
                </c:pt>
                <c:pt idx="2488">
                  <c:v>4.07</c:v>
                </c:pt>
                <c:pt idx="2489">
                  <c:v>3.59</c:v>
                </c:pt>
                <c:pt idx="2490">
                  <c:v>3.62</c:v>
                </c:pt>
                <c:pt idx="2491">
                  <c:v>4.3</c:v>
                </c:pt>
                <c:pt idx="2492">
                  <c:v>3.1</c:v>
                </c:pt>
                <c:pt idx="2493">
                  <c:v>3.6</c:v>
                </c:pt>
                <c:pt idx="2494">
                  <c:v>3.4</c:v>
                </c:pt>
                <c:pt idx="2495">
                  <c:v>1.45</c:v>
                </c:pt>
                <c:pt idx="2496">
                  <c:v>2.0099999999999998</c:v>
                </c:pt>
                <c:pt idx="2497">
                  <c:v>2.82</c:v>
                </c:pt>
                <c:pt idx="2498">
                  <c:v>5.31</c:v>
                </c:pt>
                <c:pt idx="2499">
                  <c:v>1.01</c:v>
                </c:pt>
                <c:pt idx="2500">
                  <c:v>1.2</c:v>
                </c:pt>
                <c:pt idx="2501">
                  <c:v>2.46</c:v>
                </c:pt>
                <c:pt idx="2502">
                  <c:v>3.1</c:v>
                </c:pt>
                <c:pt idx="2503">
                  <c:v>2.13</c:v>
                </c:pt>
                <c:pt idx="2504">
                  <c:v>1.82</c:v>
                </c:pt>
                <c:pt idx="2505">
                  <c:v>2.2400000000000002</c:v>
                </c:pt>
                <c:pt idx="2506">
                  <c:v>2.61</c:v>
                </c:pt>
                <c:pt idx="2507">
                  <c:v>1.34</c:v>
                </c:pt>
                <c:pt idx="2508">
                  <c:v>1.1200000000000001</c:v>
                </c:pt>
                <c:pt idx="2509">
                  <c:v>1.24</c:v>
                </c:pt>
                <c:pt idx="2510">
                  <c:v>1.37</c:v>
                </c:pt>
                <c:pt idx="2511">
                  <c:v>1.33</c:v>
                </c:pt>
                <c:pt idx="2512">
                  <c:v>1.77</c:v>
                </c:pt>
                <c:pt idx="2513">
                  <c:v>2.33</c:v>
                </c:pt>
                <c:pt idx="2514">
                  <c:v>3.26</c:v>
                </c:pt>
                <c:pt idx="2515">
                  <c:v>1.67</c:v>
                </c:pt>
                <c:pt idx="2516">
                  <c:v>2.85</c:v>
                </c:pt>
                <c:pt idx="2517">
                  <c:v>2.67</c:v>
                </c:pt>
                <c:pt idx="2518">
                  <c:v>2.15</c:v>
                </c:pt>
                <c:pt idx="2519">
                  <c:v>11.59</c:v>
                </c:pt>
                <c:pt idx="2520">
                  <c:v>2.68</c:v>
                </c:pt>
                <c:pt idx="2521">
                  <c:v>3.35</c:v>
                </c:pt>
                <c:pt idx="2522">
                  <c:v>3.14</c:v>
                </c:pt>
                <c:pt idx="2523">
                  <c:v>2.25</c:v>
                </c:pt>
                <c:pt idx="2524">
                  <c:v>2.7</c:v>
                </c:pt>
                <c:pt idx="2525">
                  <c:v>2.16</c:v>
                </c:pt>
                <c:pt idx="2526">
                  <c:v>1.88</c:v>
                </c:pt>
                <c:pt idx="2527">
                  <c:v>1.32</c:v>
                </c:pt>
                <c:pt idx="2528">
                  <c:v>1.47</c:v>
                </c:pt>
                <c:pt idx="2529">
                  <c:v>2.23</c:v>
                </c:pt>
                <c:pt idx="2530">
                  <c:v>2.67</c:v>
                </c:pt>
                <c:pt idx="2531">
                  <c:v>2.35</c:v>
                </c:pt>
                <c:pt idx="2532">
                  <c:v>3.07</c:v>
                </c:pt>
                <c:pt idx="2533">
                  <c:v>3.83</c:v>
                </c:pt>
                <c:pt idx="2534">
                  <c:v>1.77</c:v>
                </c:pt>
                <c:pt idx="2535">
                  <c:v>2.71</c:v>
                </c:pt>
                <c:pt idx="2536">
                  <c:v>1.22</c:v>
                </c:pt>
                <c:pt idx="2537">
                  <c:v>1.17</c:v>
                </c:pt>
                <c:pt idx="2538">
                  <c:v>1.36</c:v>
                </c:pt>
                <c:pt idx="2539">
                  <c:v>1.61</c:v>
                </c:pt>
                <c:pt idx="2540">
                  <c:v>2</c:v>
                </c:pt>
                <c:pt idx="2541">
                  <c:v>2.09</c:v>
                </c:pt>
                <c:pt idx="2542">
                  <c:v>1.53</c:v>
                </c:pt>
                <c:pt idx="2543">
                  <c:v>1.8</c:v>
                </c:pt>
                <c:pt idx="2544">
                  <c:v>2.87</c:v>
                </c:pt>
                <c:pt idx="2545">
                  <c:v>6.54</c:v>
                </c:pt>
                <c:pt idx="2546">
                  <c:v>1.96</c:v>
                </c:pt>
                <c:pt idx="2547">
                  <c:v>1.93</c:v>
                </c:pt>
                <c:pt idx="2548">
                  <c:v>2.5</c:v>
                </c:pt>
                <c:pt idx="2549">
                  <c:v>1.32</c:v>
                </c:pt>
                <c:pt idx="2550">
                  <c:v>2.65</c:v>
                </c:pt>
                <c:pt idx="2551">
                  <c:v>1.86</c:v>
                </c:pt>
                <c:pt idx="2552">
                  <c:v>1.87</c:v>
                </c:pt>
                <c:pt idx="2553">
                  <c:v>3.9</c:v>
                </c:pt>
                <c:pt idx="2554">
                  <c:v>12.3</c:v>
                </c:pt>
                <c:pt idx="2555">
                  <c:v>8.8000000000000007</c:v>
                </c:pt>
                <c:pt idx="2556">
                  <c:v>1.67</c:v>
                </c:pt>
                <c:pt idx="2557">
                  <c:v>2.25</c:v>
                </c:pt>
                <c:pt idx="2558">
                  <c:v>1.35</c:v>
                </c:pt>
                <c:pt idx="2559">
                  <c:v>1.35</c:v>
                </c:pt>
                <c:pt idx="2560">
                  <c:v>1.75</c:v>
                </c:pt>
                <c:pt idx="2561">
                  <c:v>4.0599999999999996</c:v>
                </c:pt>
                <c:pt idx="2562">
                  <c:v>12.45</c:v>
                </c:pt>
                <c:pt idx="2563">
                  <c:v>0.89</c:v>
                </c:pt>
                <c:pt idx="2564">
                  <c:v>1.1399999999999999</c:v>
                </c:pt>
                <c:pt idx="2565">
                  <c:v>2.86</c:v>
                </c:pt>
                <c:pt idx="2566">
                  <c:v>2.17</c:v>
                </c:pt>
                <c:pt idx="2567">
                  <c:v>2.75</c:v>
                </c:pt>
                <c:pt idx="2568">
                  <c:v>1.2</c:v>
                </c:pt>
                <c:pt idx="2569">
                  <c:v>3.6</c:v>
                </c:pt>
                <c:pt idx="2570">
                  <c:v>3.3</c:v>
                </c:pt>
                <c:pt idx="2571">
                  <c:v>2.71</c:v>
                </c:pt>
                <c:pt idx="2572">
                  <c:v>1.52</c:v>
                </c:pt>
                <c:pt idx="2573">
                  <c:v>2.35</c:v>
                </c:pt>
                <c:pt idx="2574">
                  <c:v>2.4700000000000002</c:v>
                </c:pt>
                <c:pt idx="2575">
                  <c:v>2.27</c:v>
                </c:pt>
                <c:pt idx="2576">
                  <c:v>2.4300000000000002</c:v>
                </c:pt>
                <c:pt idx="2577">
                  <c:v>2.2000000000000002</c:v>
                </c:pt>
                <c:pt idx="2578">
                  <c:v>2.12</c:v>
                </c:pt>
                <c:pt idx="2579">
                  <c:v>2.16</c:v>
                </c:pt>
                <c:pt idx="2580">
                  <c:v>1.56</c:v>
                </c:pt>
                <c:pt idx="2581">
                  <c:v>2.5099999999999998</c:v>
                </c:pt>
                <c:pt idx="2582">
                  <c:v>5.5</c:v>
                </c:pt>
                <c:pt idx="2583">
                  <c:v>5.3</c:v>
                </c:pt>
                <c:pt idx="2584">
                  <c:v>3.9</c:v>
                </c:pt>
                <c:pt idx="2585">
                  <c:v>1.19</c:v>
                </c:pt>
                <c:pt idx="2586">
                  <c:v>3.38</c:v>
                </c:pt>
                <c:pt idx="2587">
                  <c:v>2.4700000000000002</c:v>
                </c:pt>
                <c:pt idx="2588">
                  <c:v>1.7</c:v>
                </c:pt>
                <c:pt idx="2589">
                  <c:v>1.43</c:v>
                </c:pt>
                <c:pt idx="2590">
                  <c:v>1.29</c:v>
                </c:pt>
                <c:pt idx="2591">
                  <c:v>3.15</c:v>
                </c:pt>
                <c:pt idx="2592">
                  <c:v>2.5299999999999998</c:v>
                </c:pt>
                <c:pt idx="2593">
                  <c:v>2.57</c:v>
                </c:pt>
                <c:pt idx="2594">
                  <c:v>0.83</c:v>
                </c:pt>
                <c:pt idx="2595">
                  <c:v>2.9</c:v>
                </c:pt>
                <c:pt idx="2596">
                  <c:v>3.77</c:v>
                </c:pt>
                <c:pt idx="2597">
                  <c:v>4.1500000000000004</c:v>
                </c:pt>
                <c:pt idx="2598">
                  <c:v>1.06</c:v>
                </c:pt>
                <c:pt idx="2599">
                  <c:v>1.1599999999999999</c:v>
                </c:pt>
                <c:pt idx="2600">
                  <c:v>2.09</c:v>
                </c:pt>
                <c:pt idx="2601">
                  <c:v>1.72</c:v>
                </c:pt>
                <c:pt idx="2602">
                  <c:v>4.71</c:v>
                </c:pt>
                <c:pt idx="2603">
                  <c:v>3.68</c:v>
                </c:pt>
                <c:pt idx="2604">
                  <c:v>1.63</c:v>
                </c:pt>
                <c:pt idx="2605">
                  <c:v>2.63</c:v>
                </c:pt>
                <c:pt idx="2606">
                  <c:v>2.29</c:v>
                </c:pt>
                <c:pt idx="2607">
                  <c:v>2.2000000000000002</c:v>
                </c:pt>
                <c:pt idx="2608">
                  <c:v>2</c:v>
                </c:pt>
                <c:pt idx="2609">
                  <c:v>2.7</c:v>
                </c:pt>
                <c:pt idx="2610">
                  <c:v>1.5</c:v>
                </c:pt>
                <c:pt idx="2611">
                  <c:v>0.82</c:v>
                </c:pt>
                <c:pt idx="2612">
                  <c:v>1.1399999999999999</c:v>
                </c:pt>
                <c:pt idx="2613">
                  <c:v>1.37</c:v>
                </c:pt>
                <c:pt idx="2614">
                  <c:v>1.77</c:v>
                </c:pt>
                <c:pt idx="2615">
                  <c:v>2.3199999999999998</c:v>
                </c:pt>
                <c:pt idx="2616">
                  <c:v>1.01</c:v>
                </c:pt>
                <c:pt idx="2617">
                  <c:v>1.67</c:v>
                </c:pt>
                <c:pt idx="2618">
                  <c:v>1.43</c:v>
                </c:pt>
                <c:pt idx="2619">
                  <c:v>1.63</c:v>
                </c:pt>
                <c:pt idx="2620">
                  <c:v>1.1399999999999999</c:v>
                </c:pt>
                <c:pt idx="2621">
                  <c:v>3.15</c:v>
                </c:pt>
                <c:pt idx="2622">
                  <c:v>2.91</c:v>
                </c:pt>
                <c:pt idx="2623">
                  <c:v>2.54</c:v>
                </c:pt>
                <c:pt idx="2624">
                  <c:v>2.79</c:v>
                </c:pt>
                <c:pt idx="2625">
                  <c:v>1.52</c:v>
                </c:pt>
                <c:pt idx="2626">
                  <c:v>1.4</c:v>
                </c:pt>
                <c:pt idx="2627">
                  <c:v>1.21</c:v>
                </c:pt>
                <c:pt idx="2628">
                  <c:v>1.1100000000000001</c:v>
                </c:pt>
                <c:pt idx="2629">
                  <c:v>1.03</c:v>
                </c:pt>
                <c:pt idx="2630">
                  <c:v>1.73</c:v>
                </c:pt>
                <c:pt idx="2631">
                  <c:v>2.2999999999999998</c:v>
                </c:pt>
                <c:pt idx="2632">
                  <c:v>5.4</c:v>
                </c:pt>
                <c:pt idx="2633">
                  <c:v>1.4</c:v>
                </c:pt>
                <c:pt idx="2634">
                  <c:v>1.93</c:v>
                </c:pt>
                <c:pt idx="2635">
                  <c:v>1.74</c:v>
                </c:pt>
                <c:pt idx="2636">
                  <c:v>3.2</c:v>
                </c:pt>
                <c:pt idx="2637">
                  <c:v>5.35</c:v>
                </c:pt>
                <c:pt idx="2638">
                  <c:v>4.0199999999999996</c:v>
                </c:pt>
                <c:pt idx="2639">
                  <c:v>4.46</c:v>
                </c:pt>
                <c:pt idx="2640">
                  <c:v>1.35</c:v>
                </c:pt>
                <c:pt idx="2641">
                  <c:v>1.95</c:v>
                </c:pt>
                <c:pt idx="2642">
                  <c:v>1.82</c:v>
                </c:pt>
                <c:pt idx="2643">
                  <c:v>1.84</c:v>
                </c:pt>
                <c:pt idx="2644">
                  <c:v>1.64</c:v>
                </c:pt>
                <c:pt idx="2645">
                  <c:v>1.17</c:v>
                </c:pt>
                <c:pt idx="2646">
                  <c:v>1.0900000000000001</c:v>
                </c:pt>
                <c:pt idx="2647">
                  <c:v>1.18</c:v>
                </c:pt>
                <c:pt idx="2648">
                  <c:v>1.32</c:v>
                </c:pt>
                <c:pt idx="2649">
                  <c:v>1.1100000000000001</c:v>
                </c:pt>
                <c:pt idx="2650">
                  <c:v>1.1200000000000001</c:v>
                </c:pt>
                <c:pt idx="2651">
                  <c:v>1.43</c:v>
                </c:pt>
                <c:pt idx="2652">
                  <c:v>1.41</c:v>
                </c:pt>
                <c:pt idx="2653">
                  <c:v>3.39</c:v>
                </c:pt>
                <c:pt idx="2654">
                  <c:v>3.07</c:v>
                </c:pt>
                <c:pt idx="2655">
                  <c:v>1.02</c:v>
                </c:pt>
                <c:pt idx="2656">
                  <c:v>2.1</c:v>
                </c:pt>
                <c:pt idx="2657">
                  <c:v>2.37</c:v>
                </c:pt>
                <c:pt idx="2658">
                  <c:v>1.54</c:v>
                </c:pt>
                <c:pt idx="2659">
                  <c:v>2.0499999999999998</c:v>
                </c:pt>
                <c:pt idx="2660">
                  <c:v>2.44</c:v>
                </c:pt>
                <c:pt idx="2661">
                  <c:v>2.34</c:v>
                </c:pt>
                <c:pt idx="2662">
                  <c:v>3</c:v>
                </c:pt>
                <c:pt idx="2663">
                  <c:v>1.56</c:v>
                </c:pt>
                <c:pt idx="2664">
                  <c:v>1.42</c:v>
                </c:pt>
                <c:pt idx="2665">
                  <c:v>1.1499999999999999</c:v>
                </c:pt>
                <c:pt idx="2666">
                  <c:v>1.17</c:v>
                </c:pt>
                <c:pt idx="2667">
                  <c:v>8.5640000000000001</c:v>
                </c:pt>
                <c:pt idx="2668">
                  <c:v>2.5299999999999998</c:v>
                </c:pt>
                <c:pt idx="2669">
                  <c:v>3.37</c:v>
                </c:pt>
                <c:pt idx="2670">
                  <c:v>1.18</c:v>
                </c:pt>
                <c:pt idx="2671">
                  <c:v>1.7</c:v>
                </c:pt>
                <c:pt idx="2672">
                  <c:v>1.85</c:v>
                </c:pt>
                <c:pt idx="2673">
                  <c:v>1.99</c:v>
                </c:pt>
                <c:pt idx="2674">
                  <c:v>2.25</c:v>
                </c:pt>
                <c:pt idx="2675">
                  <c:v>1.96</c:v>
                </c:pt>
                <c:pt idx="2676">
                  <c:v>2.4900000000000002</c:v>
                </c:pt>
                <c:pt idx="2677">
                  <c:v>0.88</c:v>
                </c:pt>
                <c:pt idx="2678">
                  <c:v>2.41</c:v>
                </c:pt>
                <c:pt idx="2679">
                  <c:v>2.02</c:v>
                </c:pt>
                <c:pt idx="2680">
                  <c:v>2.61</c:v>
                </c:pt>
                <c:pt idx="2681">
                  <c:v>2.95</c:v>
                </c:pt>
                <c:pt idx="2682">
                  <c:v>0.74</c:v>
                </c:pt>
                <c:pt idx="2683">
                  <c:v>1.2</c:v>
                </c:pt>
                <c:pt idx="2684">
                  <c:v>2.66</c:v>
                </c:pt>
                <c:pt idx="2685">
                  <c:v>3.07</c:v>
                </c:pt>
                <c:pt idx="2686">
                  <c:v>1.97</c:v>
                </c:pt>
                <c:pt idx="2687">
                  <c:v>1.75</c:v>
                </c:pt>
                <c:pt idx="2688">
                  <c:v>1.52</c:v>
                </c:pt>
                <c:pt idx="2689">
                  <c:v>1.33</c:v>
                </c:pt>
                <c:pt idx="2690">
                  <c:v>1.9</c:v>
                </c:pt>
                <c:pt idx="2691">
                  <c:v>1.96</c:v>
                </c:pt>
                <c:pt idx="2692">
                  <c:v>8.16</c:v>
                </c:pt>
                <c:pt idx="2693">
                  <c:v>1.85</c:v>
                </c:pt>
                <c:pt idx="2694">
                  <c:v>3.1</c:v>
                </c:pt>
                <c:pt idx="2695">
                  <c:v>2.8</c:v>
                </c:pt>
                <c:pt idx="2696">
                  <c:v>3.06</c:v>
                </c:pt>
                <c:pt idx="2697">
                  <c:v>3.19</c:v>
                </c:pt>
                <c:pt idx="2698">
                  <c:v>2.72</c:v>
                </c:pt>
                <c:pt idx="2699">
                  <c:v>0.86</c:v>
                </c:pt>
                <c:pt idx="2700">
                  <c:v>1.24</c:v>
                </c:pt>
                <c:pt idx="2701">
                  <c:v>0.89</c:v>
                </c:pt>
                <c:pt idx="2702">
                  <c:v>1.38</c:v>
                </c:pt>
                <c:pt idx="2703">
                  <c:v>1.84</c:v>
                </c:pt>
                <c:pt idx="2704">
                  <c:v>1.31</c:v>
                </c:pt>
                <c:pt idx="2705">
                  <c:v>1.24</c:v>
                </c:pt>
                <c:pt idx="2706">
                  <c:v>1.46</c:v>
                </c:pt>
                <c:pt idx="2707">
                  <c:v>2.71</c:v>
                </c:pt>
                <c:pt idx="2708">
                  <c:v>1.57</c:v>
                </c:pt>
                <c:pt idx="2709">
                  <c:v>1.81</c:v>
                </c:pt>
                <c:pt idx="2710">
                  <c:v>1.84</c:v>
                </c:pt>
                <c:pt idx="2711">
                  <c:v>2.67</c:v>
                </c:pt>
                <c:pt idx="2712">
                  <c:v>3.43</c:v>
                </c:pt>
                <c:pt idx="2713">
                  <c:v>2.72</c:v>
                </c:pt>
                <c:pt idx="2714">
                  <c:v>2.85</c:v>
                </c:pt>
                <c:pt idx="2715">
                  <c:v>3.53</c:v>
                </c:pt>
                <c:pt idx="2716">
                  <c:v>4.3</c:v>
                </c:pt>
                <c:pt idx="2717">
                  <c:v>4.01</c:v>
                </c:pt>
                <c:pt idx="2718">
                  <c:v>1.486</c:v>
                </c:pt>
                <c:pt idx="2719">
                  <c:v>3.6789999999999998</c:v>
                </c:pt>
                <c:pt idx="2720">
                  <c:v>1.65</c:v>
                </c:pt>
                <c:pt idx="2721">
                  <c:v>2.1</c:v>
                </c:pt>
                <c:pt idx="2722">
                  <c:v>1.45</c:v>
                </c:pt>
                <c:pt idx="2723">
                  <c:v>2.52</c:v>
                </c:pt>
                <c:pt idx="2724">
                  <c:v>0.88</c:v>
                </c:pt>
                <c:pt idx="2725">
                  <c:v>1.45</c:v>
                </c:pt>
                <c:pt idx="2726">
                  <c:v>1.1599999999999999</c:v>
                </c:pt>
                <c:pt idx="2727">
                  <c:v>1.69</c:v>
                </c:pt>
                <c:pt idx="2728">
                  <c:v>2.0499999999999998</c:v>
                </c:pt>
                <c:pt idx="2729">
                  <c:v>1.55</c:v>
                </c:pt>
                <c:pt idx="2730">
                  <c:v>2.15</c:v>
                </c:pt>
                <c:pt idx="2731">
                  <c:v>2.04</c:v>
                </c:pt>
                <c:pt idx="2732">
                  <c:v>1.64</c:v>
                </c:pt>
                <c:pt idx="2733">
                  <c:v>1.46</c:v>
                </c:pt>
                <c:pt idx="2734">
                  <c:v>1.79</c:v>
                </c:pt>
                <c:pt idx="2735">
                  <c:v>1.3</c:v>
                </c:pt>
                <c:pt idx="2736">
                  <c:v>1.2</c:v>
                </c:pt>
                <c:pt idx="2737">
                  <c:v>3.26</c:v>
                </c:pt>
                <c:pt idx="2738">
                  <c:v>3.88</c:v>
                </c:pt>
                <c:pt idx="2739">
                  <c:v>1.1299999999999999</c:v>
                </c:pt>
                <c:pt idx="2740">
                  <c:v>1.41</c:v>
                </c:pt>
                <c:pt idx="2741">
                  <c:v>0.33600000000000002</c:v>
                </c:pt>
                <c:pt idx="2742">
                  <c:v>0.75</c:v>
                </c:pt>
                <c:pt idx="2743">
                  <c:v>1.94</c:v>
                </c:pt>
                <c:pt idx="2745">
                  <c:v>1.59</c:v>
                </c:pt>
                <c:pt idx="2746">
                  <c:v>1.91</c:v>
                </c:pt>
                <c:pt idx="2747">
                  <c:v>1.89</c:v>
                </c:pt>
                <c:pt idx="2748">
                  <c:v>1.78</c:v>
                </c:pt>
                <c:pt idx="2749">
                  <c:v>1.36</c:v>
                </c:pt>
                <c:pt idx="2750">
                  <c:v>2.09</c:v>
                </c:pt>
                <c:pt idx="2751">
                  <c:v>1.69</c:v>
                </c:pt>
                <c:pt idx="2752">
                  <c:v>1.36</c:v>
                </c:pt>
                <c:pt idx="2753">
                  <c:v>1.24</c:v>
                </c:pt>
                <c:pt idx="2754">
                  <c:v>1.03</c:v>
                </c:pt>
                <c:pt idx="2755">
                  <c:v>1.1000000000000001</c:v>
                </c:pt>
                <c:pt idx="2756">
                  <c:v>1.31</c:v>
                </c:pt>
                <c:pt idx="2757">
                  <c:v>1.45</c:v>
                </c:pt>
                <c:pt idx="2758">
                  <c:v>2.65</c:v>
                </c:pt>
                <c:pt idx="2759">
                  <c:v>1.07</c:v>
                </c:pt>
                <c:pt idx="2760">
                  <c:v>1.79</c:v>
                </c:pt>
                <c:pt idx="2761">
                  <c:v>1.39</c:v>
                </c:pt>
                <c:pt idx="2762">
                  <c:v>2.06</c:v>
                </c:pt>
                <c:pt idx="2763">
                  <c:v>0.75</c:v>
                </c:pt>
                <c:pt idx="2764">
                  <c:v>0.7</c:v>
                </c:pt>
                <c:pt idx="2765">
                  <c:v>1.66</c:v>
                </c:pt>
                <c:pt idx="2766">
                  <c:v>2.29</c:v>
                </c:pt>
                <c:pt idx="2767">
                  <c:v>4.3</c:v>
                </c:pt>
                <c:pt idx="2768">
                  <c:v>1.19</c:v>
                </c:pt>
                <c:pt idx="2769">
                  <c:v>1.27</c:v>
                </c:pt>
                <c:pt idx="2770">
                  <c:v>0.99</c:v>
                </c:pt>
                <c:pt idx="2771">
                  <c:v>1.1200000000000001</c:v>
                </c:pt>
                <c:pt idx="2772">
                  <c:v>1.32</c:v>
                </c:pt>
                <c:pt idx="2773">
                  <c:v>1.59</c:v>
                </c:pt>
                <c:pt idx="2774">
                  <c:v>1.32</c:v>
                </c:pt>
                <c:pt idx="2775">
                  <c:v>1.24</c:v>
                </c:pt>
                <c:pt idx="2776">
                  <c:v>1.1200000000000001</c:v>
                </c:pt>
                <c:pt idx="2777">
                  <c:v>1.1299999999999999</c:v>
                </c:pt>
                <c:pt idx="2778">
                  <c:v>2.73</c:v>
                </c:pt>
                <c:pt idx="2779">
                  <c:v>3.04</c:v>
                </c:pt>
                <c:pt idx="2780">
                  <c:v>1.39</c:v>
                </c:pt>
                <c:pt idx="2781">
                  <c:v>1.58</c:v>
                </c:pt>
                <c:pt idx="2782">
                  <c:v>1.03</c:v>
                </c:pt>
                <c:pt idx="2783">
                  <c:v>0.89</c:v>
                </c:pt>
                <c:pt idx="2784">
                  <c:v>0.81</c:v>
                </c:pt>
                <c:pt idx="2785">
                  <c:v>0.86</c:v>
                </c:pt>
                <c:pt idx="2786">
                  <c:v>1.51</c:v>
                </c:pt>
                <c:pt idx="2787">
                  <c:v>1.46</c:v>
                </c:pt>
                <c:pt idx="2788">
                  <c:v>13.9</c:v>
                </c:pt>
                <c:pt idx="2789">
                  <c:v>0.82</c:v>
                </c:pt>
                <c:pt idx="2790">
                  <c:v>0.79</c:v>
                </c:pt>
                <c:pt idx="2791">
                  <c:v>3.2</c:v>
                </c:pt>
                <c:pt idx="2792">
                  <c:v>3.54</c:v>
                </c:pt>
                <c:pt idx="2793">
                  <c:v>1</c:v>
                </c:pt>
                <c:pt idx="2794">
                  <c:v>1.1000000000000001</c:v>
                </c:pt>
                <c:pt idx="2795">
                  <c:v>1.29</c:v>
                </c:pt>
                <c:pt idx="2796">
                  <c:v>1.33</c:v>
                </c:pt>
                <c:pt idx="2797">
                  <c:v>1.6</c:v>
                </c:pt>
                <c:pt idx="2798">
                  <c:v>1.66</c:v>
                </c:pt>
                <c:pt idx="2799">
                  <c:v>1.03</c:v>
                </c:pt>
                <c:pt idx="2800">
                  <c:v>1.32</c:v>
                </c:pt>
                <c:pt idx="2801">
                  <c:v>3.5</c:v>
                </c:pt>
                <c:pt idx="2802">
                  <c:v>5.3</c:v>
                </c:pt>
                <c:pt idx="2803">
                  <c:v>2.46</c:v>
                </c:pt>
                <c:pt idx="2804">
                  <c:v>6.18</c:v>
                </c:pt>
                <c:pt idx="2805">
                  <c:v>0.93</c:v>
                </c:pt>
                <c:pt idx="2806">
                  <c:v>1.01</c:v>
                </c:pt>
                <c:pt idx="2807">
                  <c:v>0.88</c:v>
                </c:pt>
                <c:pt idx="2808">
                  <c:v>0.96</c:v>
                </c:pt>
                <c:pt idx="2809">
                  <c:v>1.43</c:v>
                </c:pt>
                <c:pt idx="2810">
                  <c:v>1.89</c:v>
                </c:pt>
                <c:pt idx="2811">
                  <c:v>4.0019999999999998</c:v>
                </c:pt>
                <c:pt idx="2812">
                  <c:v>13.11</c:v>
                </c:pt>
                <c:pt idx="2813">
                  <c:v>1.65</c:v>
                </c:pt>
                <c:pt idx="2814">
                  <c:v>1.49</c:v>
                </c:pt>
                <c:pt idx="2815">
                  <c:v>1.71</c:v>
                </c:pt>
                <c:pt idx="2816">
                  <c:v>2.15</c:v>
                </c:pt>
                <c:pt idx="2817">
                  <c:v>2.27</c:v>
                </c:pt>
                <c:pt idx="2818">
                  <c:v>1.22</c:v>
                </c:pt>
                <c:pt idx="2819">
                  <c:v>1.56</c:v>
                </c:pt>
                <c:pt idx="2820">
                  <c:v>1.38</c:v>
                </c:pt>
                <c:pt idx="2821">
                  <c:v>1.46</c:v>
                </c:pt>
                <c:pt idx="2822">
                  <c:v>1.25</c:v>
                </c:pt>
                <c:pt idx="2823">
                  <c:v>1.75</c:v>
                </c:pt>
                <c:pt idx="2824">
                  <c:v>1.42</c:v>
                </c:pt>
                <c:pt idx="2825">
                  <c:v>1.27</c:v>
                </c:pt>
                <c:pt idx="2826">
                  <c:v>1.72</c:v>
                </c:pt>
                <c:pt idx="2827">
                  <c:v>2.08</c:v>
                </c:pt>
                <c:pt idx="2828">
                  <c:v>4.66</c:v>
                </c:pt>
                <c:pt idx="2829">
                  <c:v>1.43</c:v>
                </c:pt>
                <c:pt idx="2830">
                  <c:v>0.85</c:v>
                </c:pt>
                <c:pt idx="2831">
                  <c:v>1.07</c:v>
                </c:pt>
                <c:pt idx="2833">
                  <c:v>0.82</c:v>
                </c:pt>
                <c:pt idx="2834">
                  <c:v>1.19</c:v>
                </c:pt>
                <c:pt idx="2835">
                  <c:v>14.46</c:v>
                </c:pt>
                <c:pt idx="2836">
                  <c:v>2.8380000000000001</c:v>
                </c:pt>
                <c:pt idx="2837">
                  <c:v>1.88</c:v>
                </c:pt>
                <c:pt idx="2838">
                  <c:v>3.27</c:v>
                </c:pt>
                <c:pt idx="2839">
                  <c:v>15.031000000000001</c:v>
                </c:pt>
                <c:pt idx="2840">
                  <c:v>4.3470000000000004</c:v>
                </c:pt>
                <c:pt idx="2841">
                  <c:v>1.71</c:v>
                </c:pt>
                <c:pt idx="2842">
                  <c:v>3.01</c:v>
                </c:pt>
                <c:pt idx="2843">
                  <c:v>1.21</c:v>
                </c:pt>
                <c:pt idx="2845">
                  <c:v>2.48</c:v>
                </c:pt>
                <c:pt idx="2847">
                  <c:v>2.31</c:v>
                </c:pt>
                <c:pt idx="2849">
                  <c:v>13.45</c:v>
                </c:pt>
                <c:pt idx="2850">
                  <c:v>10.8</c:v>
                </c:pt>
                <c:pt idx="2852">
                  <c:v>0.78</c:v>
                </c:pt>
                <c:pt idx="2853">
                  <c:v>0.73</c:v>
                </c:pt>
                <c:pt idx="2854">
                  <c:v>0.56999999999999995</c:v>
                </c:pt>
                <c:pt idx="2855">
                  <c:v>4.16</c:v>
                </c:pt>
                <c:pt idx="2856">
                  <c:v>12.89</c:v>
                </c:pt>
                <c:pt idx="2857">
                  <c:v>13.361000000000001</c:v>
                </c:pt>
                <c:pt idx="2858">
                  <c:v>9.98</c:v>
                </c:pt>
                <c:pt idx="2860">
                  <c:v>10.962</c:v>
                </c:pt>
                <c:pt idx="2861">
                  <c:v>12.22</c:v>
                </c:pt>
                <c:pt idx="2862">
                  <c:v>13.79</c:v>
                </c:pt>
                <c:pt idx="2863">
                  <c:v>12.11</c:v>
                </c:pt>
                <c:pt idx="2864">
                  <c:v>13.664</c:v>
                </c:pt>
                <c:pt idx="2865">
                  <c:v>3.25</c:v>
                </c:pt>
                <c:pt idx="2866">
                  <c:v>1.75</c:v>
                </c:pt>
                <c:pt idx="2867">
                  <c:v>0.76400000000000001</c:v>
                </c:pt>
                <c:pt idx="2868">
                  <c:v>0.66800000000000004</c:v>
                </c:pt>
                <c:pt idx="2869">
                  <c:v>1.1100000000000001</c:v>
                </c:pt>
                <c:pt idx="2870">
                  <c:v>12.834</c:v>
                </c:pt>
                <c:pt idx="2872">
                  <c:v>16.25</c:v>
                </c:pt>
                <c:pt idx="2873">
                  <c:v>12.67</c:v>
                </c:pt>
                <c:pt idx="2874">
                  <c:v>22.31</c:v>
                </c:pt>
                <c:pt idx="2875">
                  <c:v>2.73</c:v>
                </c:pt>
                <c:pt idx="2876">
                  <c:v>2.33</c:v>
                </c:pt>
                <c:pt idx="2877">
                  <c:v>2.14</c:v>
                </c:pt>
                <c:pt idx="2878">
                  <c:v>1.1200000000000001</c:v>
                </c:pt>
                <c:pt idx="2879">
                  <c:v>2.2400000000000002</c:v>
                </c:pt>
                <c:pt idx="2880">
                  <c:v>12.22</c:v>
                </c:pt>
                <c:pt idx="2881">
                  <c:v>1.86</c:v>
                </c:pt>
                <c:pt idx="2882">
                  <c:v>1.64</c:v>
                </c:pt>
                <c:pt idx="2883">
                  <c:v>1.34</c:v>
                </c:pt>
                <c:pt idx="2884">
                  <c:v>2.33</c:v>
                </c:pt>
                <c:pt idx="2885">
                  <c:v>0.40300000000000002</c:v>
                </c:pt>
                <c:pt idx="2886">
                  <c:v>0.497</c:v>
                </c:pt>
                <c:pt idx="2887">
                  <c:v>0.53</c:v>
                </c:pt>
                <c:pt idx="2888">
                  <c:v>0.54600000000000004</c:v>
                </c:pt>
                <c:pt idx="2889">
                  <c:v>0.74099999999999999</c:v>
                </c:pt>
                <c:pt idx="2890">
                  <c:v>1.58</c:v>
                </c:pt>
                <c:pt idx="2891">
                  <c:v>2.5099999999999998</c:v>
                </c:pt>
                <c:pt idx="2892">
                  <c:v>1.25</c:v>
                </c:pt>
                <c:pt idx="2893">
                  <c:v>1.5</c:v>
                </c:pt>
                <c:pt idx="2894">
                  <c:v>1.1100000000000001</c:v>
                </c:pt>
                <c:pt idx="2895">
                  <c:v>1.35</c:v>
                </c:pt>
                <c:pt idx="2896">
                  <c:v>18.489999999999998</c:v>
                </c:pt>
                <c:pt idx="2897">
                  <c:v>2.056</c:v>
                </c:pt>
                <c:pt idx="2898">
                  <c:v>2.7639999999999998</c:v>
                </c:pt>
                <c:pt idx="2899">
                  <c:v>10.76</c:v>
                </c:pt>
                <c:pt idx="2900">
                  <c:v>6.14</c:v>
                </c:pt>
                <c:pt idx="2901">
                  <c:v>2.62</c:v>
                </c:pt>
                <c:pt idx="2902">
                  <c:v>0.83699999999999997</c:v>
                </c:pt>
                <c:pt idx="2903">
                  <c:v>1.63</c:v>
                </c:pt>
                <c:pt idx="2904">
                  <c:v>6.2039999999999997</c:v>
                </c:pt>
                <c:pt idx="2905">
                  <c:v>2.3540000000000001</c:v>
                </c:pt>
                <c:pt idx="2907">
                  <c:v>4.2</c:v>
                </c:pt>
                <c:pt idx="2908">
                  <c:v>9.0570000000000004</c:v>
                </c:pt>
                <c:pt idx="2910">
                  <c:v>1.64</c:v>
                </c:pt>
                <c:pt idx="2911">
                  <c:v>5.52</c:v>
                </c:pt>
                <c:pt idx="2912">
                  <c:v>2.58</c:v>
                </c:pt>
                <c:pt idx="2913">
                  <c:v>3.77</c:v>
                </c:pt>
                <c:pt idx="2914">
                  <c:v>3.05</c:v>
                </c:pt>
                <c:pt idx="2915">
                  <c:v>3.3</c:v>
                </c:pt>
                <c:pt idx="2916">
                  <c:v>2.95</c:v>
                </c:pt>
                <c:pt idx="2917">
                  <c:v>2.85</c:v>
                </c:pt>
                <c:pt idx="2918">
                  <c:v>1.25</c:v>
                </c:pt>
                <c:pt idx="2919">
                  <c:v>2.25</c:v>
                </c:pt>
                <c:pt idx="2920">
                  <c:v>13.34</c:v>
                </c:pt>
                <c:pt idx="2921">
                  <c:v>3.05</c:v>
                </c:pt>
                <c:pt idx="2922">
                  <c:v>4.6500000000000004</c:v>
                </c:pt>
                <c:pt idx="2923">
                  <c:v>7.04</c:v>
                </c:pt>
                <c:pt idx="2924">
                  <c:v>14.44</c:v>
                </c:pt>
                <c:pt idx="2925">
                  <c:v>14.96</c:v>
                </c:pt>
                <c:pt idx="2926">
                  <c:v>3.22</c:v>
                </c:pt>
                <c:pt idx="2927">
                  <c:v>4.08</c:v>
                </c:pt>
                <c:pt idx="2928">
                  <c:v>3.06</c:v>
                </c:pt>
                <c:pt idx="2929">
                  <c:v>2.4900000000000002</c:v>
                </c:pt>
                <c:pt idx="2930">
                  <c:v>3.08</c:v>
                </c:pt>
                <c:pt idx="2931">
                  <c:v>2.0699999999999998</c:v>
                </c:pt>
                <c:pt idx="2932">
                  <c:v>2.71</c:v>
                </c:pt>
                <c:pt idx="2933">
                  <c:v>2.12</c:v>
                </c:pt>
                <c:pt idx="2934">
                  <c:v>1.88</c:v>
                </c:pt>
                <c:pt idx="2935">
                  <c:v>2.71</c:v>
                </c:pt>
                <c:pt idx="2936">
                  <c:v>2.04</c:v>
                </c:pt>
                <c:pt idx="2938">
                  <c:v>2.78</c:v>
                </c:pt>
                <c:pt idx="2939">
                  <c:v>2.5</c:v>
                </c:pt>
                <c:pt idx="2940">
                  <c:v>2.36</c:v>
                </c:pt>
                <c:pt idx="2941">
                  <c:v>3.21</c:v>
                </c:pt>
                <c:pt idx="2942">
                  <c:v>2.2799999999999998</c:v>
                </c:pt>
                <c:pt idx="2943">
                  <c:v>14.41</c:v>
                </c:pt>
                <c:pt idx="2944">
                  <c:v>11</c:v>
                </c:pt>
                <c:pt idx="2945">
                  <c:v>11.42</c:v>
                </c:pt>
                <c:pt idx="2946">
                  <c:v>2.68</c:v>
                </c:pt>
                <c:pt idx="2947">
                  <c:v>15.79</c:v>
                </c:pt>
                <c:pt idx="2948">
                  <c:v>7.72</c:v>
                </c:pt>
                <c:pt idx="2949">
                  <c:v>2.72</c:v>
                </c:pt>
                <c:pt idx="2950">
                  <c:v>2.5499999999999998</c:v>
                </c:pt>
                <c:pt idx="2951">
                  <c:v>1.6</c:v>
                </c:pt>
                <c:pt idx="2952">
                  <c:v>1.56</c:v>
                </c:pt>
                <c:pt idx="2953">
                  <c:v>11.65</c:v>
                </c:pt>
                <c:pt idx="2954">
                  <c:v>8.92</c:v>
                </c:pt>
                <c:pt idx="2955">
                  <c:v>9.59</c:v>
                </c:pt>
                <c:pt idx="2956">
                  <c:v>15.13</c:v>
                </c:pt>
                <c:pt idx="2957">
                  <c:v>7.14</c:v>
                </c:pt>
                <c:pt idx="2958">
                  <c:v>5.23</c:v>
                </c:pt>
                <c:pt idx="2959">
                  <c:v>2.3199999999999998</c:v>
                </c:pt>
                <c:pt idx="2960">
                  <c:v>6.04</c:v>
                </c:pt>
                <c:pt idx="2961">
                  <c:v>3.03</c:v>
                </c:pt>
                <c:pt idx="2962">
                  <c:v>2.17</c:v>
                </c:pt>
                <c:pt idx="2963">
                  <c:v>15.984</c:v>
                </c:pt>
                <c:pt idx="2964">
                  <c:v>1.71</c:v>
                </c:pt>
                <c:pt idx="2965">
                  <c:v>2.17</c:v>
                </c:pt>
                <c:pt idx="2966">
                  <c:v>2.58</c:v>
                </c:pt>
                <c:pt idx="2967">
                  <c:v>4.3</c:v>
                </c:pt>
                <c:pt idx="2968">
                  <c:v>4.7699999999999996</c:v>
                </c:pt>
                <c:pt idx="2969">
                  <c:v>1.59</c:v>
                </c:pt>
                <c:pt idx="2970">
                  <c:v>2.6</c:v>
                </c:pt>
                <c:pt idx="2971">
                  <c:v>2.73</c:v>
                </c:pt>
                <c:pt idx="2972">
                  <c:v>1.3</c:v>
                </c:pt>
                <c:pt idx="2973">
                  <c:v>1.64</c:v>
                </c:pt>
                <c:pt idx="2974">
                  <c:v>2.4900000000000002</c:v>
                </c:pt>
                <c:pt idx="2975">
                  <c:v>7.1</c:v>
                </c:pt>
                <c:pt idx="2976">
                  <c:v>9</c:v>
                </c:pt>
                <c:pt idx="2977">
                  <c:v>9.6999999999999993</c:v>
                </c:pt>
                <c:pt idx="2978">
                  <c:v>2.4700000000000002</c:v>
                </c:pt>
                <c:pt idx="2979">
                  <c:v>6.35</c:v>
                </c:pt>
                <c:pt idx="2980">
                  <c:v>2.69</c:v>
                </c:pt>
                <c:pt idx="2981">
                  <c:v>2.2000000000000002</c:v>
                </c:pt>
                <c:pt idx="2982">
                  <c:v>1.72</c:v>
                </c:pt>
                <c:pt idx="2983">
                  <c:v>1.46</c:v>
                </c:pt>
                <c:pt idx="2984">
                  <c:v>5.74</c:v>
                </c:pt>
                <c:pt idx="2985">
                  <c:v>2.67</c:v>
                </c:pt>
                <c:pt idx="2986">
                  <c:v>2.11</c:v>
                </c:pt>
                <c:pt idx="2987">
                  <c:v>2.1</c:v>
                </c:pt>
                <c:pt idx="2988">
                  <c:v>2.1</c:v>
                </c:pt>
                <c:pt idx="2989">
                  <c:v>1.84</c:v>
                </c:pt>
                <c:pt idx="2990">
                  <c:v>1.95</c:v>
                </c:pt>
                <c:pt idx="2991">
                  <c:v>1.66</c:v>
                </c:pt>
                <c:pt idx="2992">
                  <c:v>1.07</c:v>
                </c:pt>
                <c:pt idx="2993">
                  <c:v>3.18</c:v>
                </c:pt>
                <c:pt idx="2994">
                  <c:v>6.91</c:v>
                </c:pt>
                <c:pt idx="2995">
                  <c:v>1.96</c:v>
                </c:pt>
                <c:pt idx="2996">
                  <c:v>1.91</c:v>
                </c:pt>
                <c:pt idx="2997">
                  <c:v>0.96</c:v>
                </c:pt>
                <c:pt idx="2998">
                  <c:v>2.63</c:v>
                </c:pt>
                <c:pt idx="2999">
                  <c:v>1.99</c:v>
                </c:pt>
                <c:pt idx="3000">
                  <c:v>2.84</c:v>
                </c:pt>
                <c:pt idx="3001">
                  <c:v>2.08</c:v>
                </c:pt>
                <c:pt idx="3002">
                  <c:v>1.86</c:v>
                </c:pt>
                <c:pt idx="3003">
                  <c:v>2</c:v>
                </c:pt>
                <c:pt idx="3004">
                  <c:v>2.89</c:v>
                </c:pt>
                <c:pt idx="3005">
                  <c:v>3.17</c:v>
                </c:pt>
                <c:pt idx="3006">
                  <c:v>2.12</c:v>
                </c:pt>
                <c:pt idx="3007">
                  <c:v>3.01</c:v>
                </c:pt>
                <c:pt idx="3008">
                  <c:v>2.78</c:v>
                </c:pt>
                <c:pt idx="3009">
                  <c:v>2.57</c:v>
                </c:pt>
                <c:pt idx="3010">
                  <c:v>3.38</c:v>
                </c:pt>
                <c:pt idx="3011">
                  <c:v>2.2400000000000002</c:v>
                </c:pt>
                <c:pt idx="3012">
                  <c:v>2.36</c:v>
                </c:pt>
                <c:pt idx="3013">
                  <c:v>3.1</c:v>
                </c:pt>
                <c:pt idx="3014">
                  <c:v>1.41</c:v>
                </c:pt>
                <c:pt idx="3015">
                  <c:v>2.2599999999999998</c:v>
                </c:pt>
                <c:pt idx="3016">
                  <c:v>8.3729999999999993</c:v>
                </c:pt>
                <c:pt idx="3018">
                  <c:v>2.1</c:v>
                </c:pt>
                <c:pt idx="3019">
                  <c:v>1.23</c:v>
                </c:pt>
                <c:pt idx="3020">
                  <c:v>1.53</c:v>
                </c:pt>
                <c:pt idx="3021">
                  <c:v>2.71</c:v>
                </c:pt>
                <c:pt idx="3022">
                  <c:v>3.36</c:v>
                </c:pt>
                <c:pt idx="3023">
                  <c:v>1.57</c:v>
                </c:pt>
                <c:pt idx="3024">
                  <c:v>2.5</c:v>
                </c:pt>
                <c:pt idx="3025">
                  <c:v>2.12</c:v>
                </c:pt>
                <c:pt idx="3026">
                  <c:v>2.69</c:v>
                </c:pt>
                <c:pt idx="3027">
                  <c:v>7</c:v>
                </c:pt>
                <c:pt idx="3028">
                  <c:v>4</c:v>
                </c:pt>
                <c:pt idx="3029">
                  <c:v>11.99</c:v>
                </c:pt>
                <c:pt idx="3030">
                  <c:v>2.57</c:v>
                </c:pt>
                <c:pt idx="3031">
                  <c:v>2.93</c:v>
                </c:pt>
                <c:pt idx="3032">
                  <c:v>2.4300000000000002</c:v>
                </c:pt>
                <c:pt idx="3033">
                  <c:v>2.21</c:v>
                </c:pt>
                <c:pt idx="3034">
                  <c:v>1.59</c:v>
                </c:pt>
                <c:pt idx="3035">
                  <c:v>1.55</c:v>
                </c:pt>
                <c:pt idx="3036">
                  <c:v>1.59</c:v>
                </c:pt>
                <c:pt idx="3037">
                  <c:v>4.42</c:v>
                </c:pt>
                <c:pt idx="3038">
                  <c:v>2.73</c:v>
                </c:pt>
                <c:pt idx="3039">
                  <c:v>3.95</c:v>
                </c:pt>
                <c:pt idx="3040">
                  <c:v>4.63</c:v>
                </c:pt>
                <c:pt idx="3041">
                  <c:v>11.2</c:v>
                </c:pt>
                <c:pt idx="3042">
                  <c:v>4.29</c:v>
                </c:pt>
                <c:pt idx="3043">
                  <c:v>2.83</c:v>
                </c:pt>
                <c:pt idx="3044">
                  <c:v>2.2400000000000002</c:v>
                </c:pt>
                <c:pt idx="3045">
                  <c:v>2.67</c:v>
                </c:pt>
                <c:pt idx="3046">
                  <c:v>2.37</c:v>
                </c:pt>
                <c:pt idx="3047">
                  <c:v>3.61</c:v>
                </c:pt>
                <c:pt idx="3048">
                  <c:v>6.51</c:v>
                </c:pt>
                <c:pt idx="3049">
                  <c:v>9.8000000000000007</c:v>
                </c:pt>
                <c:pt idx="3051">
                  <c:v>1.72</c:v>
                </c:pt>
                <c:pt idx="3052">
                  <c:v>6.96</c:v>
                </c:pt>
                <c:pt idx="3053">
                  <c:v>2.68</c:v>
                </c:pt>
                <c:pt idx="3054">
                  <c:v>5.21</c:v>
                </c:pt>
                <c:pt idx="3055">
                  <c:v>3.09</c:v>
                </c:pt>
                <c:pt idx="3056">
                  <c:v>4.63</c:v>
                </c:pt>
                <c:pt idx="3057">
                  <c:v>3.64</c:v>
                </c:pt>
                <c:pt idx="3058">
                  <c:v>2.15</c:v>
                </c:pt>
                <c:pt idx="3059">
                  <c:v>2.25</c:v>
                </c:pt>
                <c:pt idx="3060">
                  <c:v>2.2599999999999998</c:v>
                </c:pt>
                <c:pt idx="3061">
                  <c:v>3.16</c:v>
                </c:pt>
                <c:pt idx="3062">
                  <c:v>2.19</c:v>
                </c:pt>
                <c:pt idx="3063">
                  <c:v>1.55</c:v>
                </c:pt>
                <c:pt idx="3064">
                  <c:v>2.4500000000000002</c:v>
                </c:pt>
                <c:pt idx="3065">
                  <c:v>2.64</c:v>
                </c:pt>
                <c:pt idx="3066">
                  <c:v>2.58</c:v>
                </c:pt>
                <c:pt idx="3067">
                  <c:v>2.79</c:v>
                </c:pt>
                <c:pt idx="3068">
                  <c:v>2.39</c:v>
                </c:pt>
                <c:pt idx="3069">
                  <c:v>2.39</c:v>
                </c:pt>
                <c:pt idx="3070">
                  <c:v>3.27</c:v>
                </c:pt>
                <c:pt idx="3071">
                  <c:v>2.5499999999999998</c:v>
                </c:pt>
                <c:pt idx="3072">
                  <c:v>2</c:v>
                </c:pt>
                <c:pt idx="3073">
                  <c:v>2</c:v>
                </c:pt>
                <c:pt idx="3074">
                  <c:v>2.78</c:v>
                </c:pt>
                <c:pt idx="3075">
                  <c:v>2.86</c:v>
                </c:pt>
                <c:pt idx="3076">
                  <c:v>2.94</c:v>
                </c:pt>
                <c:pt idx="3077">
                  <c:v>2.57</c:v>
                </c:pt>
                <c:pt idx="3078">
                  <c:v>2.63</c:v>
                </c:pt>
                <c:pt idx="3079">
                  <c:v>3.68</c:v>
                </c:pt>
                <c:pt idx="3080">
                  <c:v>2.2799999999999998</c:v>
                </c:pt>
                <c:pt idx="3081">
                  <c:v>4.21</c:v>
                </c:pt>
                <c:pt idx="3082">
                  <c:v>2.83</c:v>
                </c:pt>
                <c:pt idx="3083">
                  <c:v>2.79</c:v>
                </c:pt>
                <c:pt idx="3084">
                  <c:v>2.23</c:v>
                </c:pt>
                <c:pt idx="3085">
                  <c:v>2.63</c:v>
                </c:pt>
                <c:pt idx="3086">
                  <c:v>2.27</c:v>
                </c:pt>
                <c:pt idx="3087">
                  <c:v>1.1000000000000001</c:v>
                </c:pt>
                <c:pt idx="3088">
                  <c:v>1.98</c:v>
                </c:pt>
                <c:pt idx="3089">
                  <c:v>4.0199999999999996</c:v>
                </c:pt>
                <c:pt idx="3090">
                  <c:v>3.39</c:v>
                </c:pt>
                <c:pt idx="3091">
                  <c:v>2.39</c:v>
                </c:pt>
                <c:pt idx="3092">
                  <c:v>2.87</c:v>
                </c:pt>
                <c:pt idx="3093">
                  <c:v>2.1800000000000002</c:v>
                </c:pt>
                <c:pt idx="3094">
                  <c:v>3.81</c:v>
                </c:pt>
                <c:pt idx="3095">
                  <c:v>3.46</c:v>
                </c:pt>
                <c:pt idx="3096">
                  <c:v>2.37</c:v>
                </c:pt>
                <c:pt idx="3097">
                  <c:v>1.5</c:v>
                </c:pt>
                <c:pt idx="3098">
                  <c:v>2.84</c:v>
                </c:pt>
                <c:pt idx="3099">
                  <c:v>14.617000000000001</c:v>
                </c:pt>
                <c:pt idx="3100">
                  <c:v>1.71</c:v>
                </c:pt>
                <c:pt idx="3101">
                  <c:v>1.9</c:v>
                </c:pt>
                <c:pt idx="3102">
                  <c:v>1.99</c:v>
                </c:pt>
                <c:pt idx="3103">
                  <c:v>2.9</c:v>
                </c:pt>
                <c:pt idx="3104">
                  <c:v>1.9</c:v>
                </c:pt>
                <c:pt idx="3105">
                  <c:v>2.09</c:v>
                </c:pt>
                <c:pt idx="3106">
                  <c:v>2.65</c:v>
                </c:pt>
                <c:pt idx="3107">
                  <c:v>6.5</c:v>
                </c:pt>
                <c:pt idx="3108">
                  <c:v>1.32</c:v>
                </c:pt>
                <c:pt idx="3109">
                  <c:v>2.59</c:v>
                </c:pt>
                <c:pt idx="3110">
                  <c:v>1.44</c:v>
                </c:pt>
                <c:pt idx="3111">
                  <c:v>0.86</c:v>
                </c:pt>
                <c:pt idx="3112">
                  <c:v>3.31</c:v>
                </c:pt>
                <c:pt idx="3113">
                  <c:v>0.87</c:v>
                </c:pt>
                <c:pt idx="3114">
                  <c:v>3.64</c:v>
                </c:pt>
                <c:pt idx="3115">
                  <c:v>3.35</c:v>
                </c:pt>
                <c:pt idx="3116">
                  <c:v>2.15</c:v>
                </c:pt>
                <c:pt idx="3117">
                  <c:v>4.1900000000000004</c:v>
                </c:pt>
                <c:pt idx="3118">
                  <c:v>3.3</c:v>
                </c:pt>
                <c:pt idx="3119">
                  <c:v>1.65</c:v>
                </c:pt>
                <c:pt idx="3120">
                  <c:v>2.84</c:v>
                </c:pt>
                <c:pt idx="3121">
                  <c:v>2.29</c:v>
                </c:pt>
                <c:pt idx="3122">
                  <c:v>2.39</c:v>
                </c:pt>
                <c:pt idx="3123">
                  <c:v>1.74</c:v>
                </c:pt>
                <c:pt idx="3124">
                  <c:v>2.4300000000000002</c:v>
                </c:pt>
                <c:pt idx="3125">
                  <c:v>3.41</c:v>
                </c:pt>
                <c:pt idx="3126">
                  <c:v>1.32</c:v>
                </c:pt>
                <c:pt idx="3127">
                  <c:v>2.6</c:v>
                </c:pt>
                <c:pt idx="3128">
                  <c:v>3.16</c:v>
                </c:pt>
                <c:pt idx="3129">
                  <c:v>1.69</c:v>
                </c:pt>
                <c:pt idx="3130">
                  <c:v>1.31</c:v>
                </c:pt>
                <c:pt idx="3131">
                  <c:v>0.54</c:v>
                </c:pt>
                <c:pt idx="3132">
                  <c:v>1.95</c:v>
                </c:pt>
                <c:pt idx="3133">
                  <c:v>1.61</c:v>
                </c:pt>
                <c:pt idx="3134">
                  <c:v>1.41</c:v>
                </c:pt>
                <c:pt idx="3135">
                  <c:v>3.32</c:v>
                </c:pt>
                <c:pt idx="3136">
                  <c:v>2.2999999999999998</c:v>
                </c:pt>
                <c:pt idx="3137">
                  <c:v>2.13</c:v>
                </c:pt>
                <c:pt idx="3138">
                  <c:v>3.01</c:v>
                </c:pt>
                <c:pt idx="3139">
                  <c:v>2.31</c:v>
                </c:pt>
                <c:pt idx="3140">
                  <c:v>1.99</c:v>
                </c:pt>
                <c:pt idx="3141">
                  <c:v>1.05</c:v>
                </c:pt>
                <c:pt idx="3142">
                  <c:v>2.29</c:v>
                </c:pt>
                <c:pt idx="3143">
                  <c:v>3.73</c:v>
                </c:pt>
                <c:pt idx="3144">
                  <c:v>8.4</c:v>
                </c:pt>
                <c:pt idx="3145">
                  <c:v>1.38</c:v>
                </c:pt>
                <c:pt idx="3146">
                  <c:v>6.11</c:v>
                </c:pt>
                <c:pt idx="3147">
                  <c:v>3.18</c:v>
                </c:pt>
                <c:pt idx="3148">
                  <c:v>2.9</c:v>
                </c:pt>
                <c:pt idx="3149">
                  <c:v>2.21</c:v>
                </c:pt>
                <c:pt idx="3150">
                  <c:v>1.63</c:v>
                </c:pt>
                <c:pt idx="3151">
                  <c:v>1.89</c:v>
                </c:pt>
                <c:pt idx="3152">
                  <c:v>2.64</c:v>
                </c:pt>
                <c:pt idx="3153">
                  <c:v>4.45</c:v>
                </c:pt>
                <c:pt idx="3154">
                  <c:v>4.75</c:v>
                </c:pt>
                <c:pt idx="3155">
                  <c:v>1.83</c:v>
                </c:pt>
                <c:pt idx="3156">
                  <c:v>2.38</c:v>
                </c:pt>
                <c:pt idx="3157">
                  <c:v>2.56</c:v>
                </c:pt>
                <c:pt idx="3158">
                  <c:v>1.85</c:v>
                </c:pt>
                <c:pt idx="3159">
                  <c:v>2.9</c:v>
                </c:pt>
                <c:pt idx="3160">
                  <c:v>10.16</c:v>
                </c:pt>
                <c:pt idx="3161">
                  <c:v>3.15</c:v>
                </c:pt>
                <c:pt idx="3162">
                  <c:v>2.1</c:v>
                </c:pt>
                <c:pt idx="3163">
                  <c:v>1.99</c:v>
                </c:pt>
                <c:pt idx="3164">
                  <c:v>1.17</c:v>
                </c:pt>
                <c:pt idx="3165">
                  <c:v>3.22</c:v>
                </c:pt>
                <c:pt idx="3166">
                  <c:v>2.2599999999999998</c:v>
                </c:pt>
                <c:pt idx="3167">
                  <c:v>1.42</c:v>
                </c:pt>
                <c:pt idx="3168">
                  <c:v>2.58</c:v>
                </c:pt>
                <c:pt idx="3169">
                  <c:v>1.52</c:v>
                </c:pt>
                <c:pt idx="3170">
                  <c:v>2.96</c:v>
                </c:pt>
                <c:pt idx="3171">
                  <c:v>2.37</c:v>
                </c:pt>
                <c:pt idx="3172">
                  <c:v>2.4900000000000002</c:v>
                </c:pt>
                <c:pt idx="3173">
                  <c:v>1.95</c:v>
                </c:pt>
                <c:pt idx="3174">
                  <c:v>0.78</c:v>
                </c:pt>
                <c:pt idx="3175">
                  <c:v>2.0699999999999998</c:v>
                </c:pt>
                <c:pt idx="3176">
                  <c:v>2.71</c:v>
                </c:pt>
                <c:pt idx="3177">
                  <c:v>3.12</c:v>
                </c:pt>
                <c:pt idx="3178">
                  <c:v>3.52</c:v>
                </c:pt>
                <c:pt idx="3179">
                  <c:v>1.63</c:v>
                </c:pt>
                <c:pt idx="3180">
                  <c:v>2.5</c:v>
                </c:pt>
                <c:pt idx="3181">
                  <c:v>2.8</c:v>
                </c:pt>
                <c:pt idx="3182">
                  <c:v>2.57</c:v>
                </c:pt>
                <c:pt idx="3183">
                  <c:v>3.07</c:v>
                </c:pt>
                <c:pt idx="3184">
                  <c:v>2.1800000000000002</c:v>
                </c:pt>
                <c:pt idx="3185">
                  <c:v>2.6</c:v>
                </c:pt>
                <c:pt idx="3186">
                  <c:v>2.66</c:v>
                </c:pt>
                <c:pt idx="3187">
                  <c:v>2.6</c:v>
                </c:pt>
                <c:pt idx="3188">
                  <c:v>2.4</c:v>
                </c:pt>
                <c:pt idx="3189">
                  <c:v>4.7300000000000004</c:v>
                </c:pt>
                <c:pt idx="3190">
                  <c:v>2.7</c:v>
                </c:pt>
                <c:pt idx="3191">
                  <c:v>4.83</c:v>
                </c:pt>
                <c:pt idx="3192">
                  <c:v>2.94</c:v>
                </c:pt>
                <c:pt idx="3193">
                  <c:v>13.18</c:v>
                </c:pt>
                <c:pt idx="3194">
                  <c:v>2.69</c:v>
                </c:pt>
                <c:pt idx="3195">
                  <c:v>2.5</c:v>
                </c:pt>
                <c:pt idx="3196">
                  <c:v>6.54</c:v>
                </c:pt>
                <c:pt idx="3197">
                  <c:v>1.69</c:v>
                </c:pt>
                <c:pt idx="3198">
                  <c:v>2.44</c:v>
                </c:pt>
                <c:pt idx="3199">
                  <c:v>3.04</c:v>
                </c:pt>
                <c:pt idx="3200">
                  <c:v>5.38</c:v>
                </c:pt>
                <c:pt idx="3201">
                  <c:v>5.14</c:v>
                </c:pt>
                <c:pt idx="3202">
                  <c:v>3.01</c:v>
                </c:pt>
                <c:pt idx="3203">
                  <c:v>2.3540000000000001</c:v>
                </c:pt>
                <c:pt idx="3204">
                  <c:v>1</c:v>
                </c:pt>
                <c:pt idx="3206">
                  <c:v>2.42</c:v>
                </c:pt>
                <c:pt idx="3207">
                  <c:v>3.08</c:v>
                </c:pt>
                <c:pt idx="3208">
                  <c:v>7.37</c:v>
                </c:pt>
                <c:pt idx="3209">
                  <c:v>1.97</c:v>
                </c:pt>
                <c:pt idx="3210">
                  <c:v>3.36</c:v>
                </c:pt>
                <c:pt idx="3211">
                  <c:v>10.58</c:v>
                </c:pt>
                <c:pt idx="3212">
                  <c:v>12.15</c:v>
                </c:pt>
                <c:pt idx="3213">
                  <c:v>3.52</c:v>
                </c:pt>
                <c:pt idx="3214">
                  <c:v>9.76</c:v>
                </c:pt>
                <c:pt idx="3215">
                  <c:v>2.89</c:v>
                </c:pt>
                <c:pt idx="3216">
                  <c:v>2.2400000000000002</c:v>
                </c:pt>
                <c:pt idx="3217">
                  <c:v>1.71</c:v>
                </c:pt>
                <c:pt idx="3218">
                  <c:v>5.95</c:v>
                </c:pt>
                <c:pt idx="3219">
                  <c:v>2.09</c:v>
                </c:pt>
                <c:pt idx="3220">
                  <c:v>3.11</c:v>
                </c:pt>
                <c:pt idx="3221">
                  <c:v>10.18</c:v>
                </c:pt>
                <c:pt idx="3222">
                  <c:v>2.8</c:v>
                </c:pt>
                <c:pt idx="3223">
                  <c:v>9.2100000000000009</c:v>
                </c:pt>
                <c:pt idx="3224">
                  <c:v>6.14</c:v>
                </c:pt>
                <c:pt idx="3225">
                  <c:v>4.13</c:v>
                </c:pt>
                <c:pt idx="3226">
                  <c:v>3.68</c:v>
                </c:pt>
                <c:pt idx="3227">
                  <c:v>14.11</c:v>
                </c:pt>
                <c:pt idx="3228">
                  <c:v>18.181000000000001</c:v>
                </c:pt>
                <c:pt idx="3229">
                  <c:v>5.99</c:v>
                </c:pt>
                <c:pt idx="3230">
                  <c:v>2.84</c:v>
                </c:pt>
                <c:pt idx="3231">
                  <c:v>9.17</c:v>
                </c:pt>
                <c:pt idx="3232">
                  <c:v>8.1999999999999993</c:v>
                </c:pt>
                <c:pt idx="3233">
                  <c:v>2.61</c:v>
                </c:pt>
                <c:pt idx="3234">
                  <c:v>2.11</c:v>
                </c:pt>
                <c:pt idx="3235">
                  <c:v>13.17</c:v>
                </c:pt>
                <c:pt idx="3236">
                  <c:v>1.33</c:v>
                </c:pt>
                <c:pt idx="3237">
                  <c:v>2.93</c:v>
                </c:pt>
                <c:pt idx="3238">
                  <c:v>2.92</c:v>
                </c:pt>
                <c:pt idx="3239">
                  <c:v>1.88</c:v>
                </c:pt>
                <c:pt idx="3240">
                  <c:v>3.41</c:v>
                </c:pt>
                <c:pt idx="3241">
                  <c:v>3.41</c:v>
                </c:pt>
                <c:pt idx="3242">
                  <c:v>4.8499999999999996</c:v>
                </c:pt>
                <c:pt idx="3243">
                  <c:v>2.48</c:v>
                </c:pt>
                <c:pt idx="3244">
                  <c:v>9.67</c:v>
                </c:pt>
                <c:pt idx="3245">
                  <c:v>3.75</c:v>
                </c:pt>
                <c:pt idx="3246">
                  <c:v>2.9</c:v>
                </c:pt>
                <c:pt idx="3247">
                  <c:v>2.42</c:v>
                </c:pt>
                <c:pt idx="3248">
                  <c:v>16.559999999999999</c:v>
                </c:pt>
                <c:pt idx="3249">
                  <c:v>8.52</c:v>
                </c:pt>
                <c:pt idx="3250">
                  <c:v>8.41</c:v>
                </c:pt>
                <c:pt idx="3251">
                  <c:v>2.64</c:v>
                </c:pt>
                <c:pt idx="3252">
                  <c:v>2.63</c:v>
                </c:pt>
                <c:pt idx="3253">
                  <c:v>2.82</c:v>
                </c:pt>
                <c:pt idx="3254">
                  <c:v>12.19</c:v>
                </c:pt>
                <c:pt idx="3255">
                  <c:v>3.29</c:v>
                </c:pt>
                <c:pt idx="3256">
                  <c:v>10.63</c:v>
                </c:pt>
                <c:pt idx="3257">
                  <c:v>3.26</c:v>
                </c:pt>
                <c:pt idx="3258">
                  <c:v>2.5299999999999998</c:v>
                </c:pt>
                <c:pt idx="3259">
                  <c:v>3.34</c:v>
                </c:pt>
                <c:pt idx="3260">
                  <c:v>3.58</c:v>
                </c:pt>
                <c:pt idx="3261">
                  <c:v>12.33</c:v>
                </c:pt>
                <c:pt idx="3262">
                  <c:v>1.569</c:v>
                </c:pt>
                <c:pt idx="3263">
                  <c:v>13.88</c:v>
                </c:pt>
                <c:pt idx="3264">
                  <c:v>2.1800000000000002</c:v>
                </c:pt>
                <c:pt idx="3265">
                  <c:v>1.27</c:v>
                </c:pt>
                <c:pt idx="3266">
                  <c:v>2.82</c:v>
                </c:pt>
                <c:pt idx="3267">
                  <c:v>3.56</c:v>
                </c:pt>
                <c:pt idx="3268">
                  <c:v>2.95</c:v>
                </c:pt>
                <c:pt idx="3269">
                  <c:v>2.93</c:v>
                </c:pt>
                <c:pt idx="3270">
                  <c:v>1.96</c:v>
                </c:pt>
                <c:pt idx="3271">
                  <c:v>2.5</c:v>
                </c:pt>
                <c:pt idx="3272">
                  <c:v>3.32</c:v>
                </c:pt>
                <c:pt idx="3273">
                  <c:v>10.76</c:v>
                </c:pt>
                <c:pt idx="3274">
                  <c:v>4.57</c:v>
                </c:pt>
                <c:pt idx="3275">
                  <c:v>2.97</c:v>
                </c:pt>
                <c:pt idx="3276">
                  <c:v>3.24</c:v>
                </c:pt>
                <c:pt idx="3277">
                  <c:v>1.21</c:v>
                </c:pt>
                <c:pt idx="3278">
                  <c:v>1.62</c:v>
                </c:pt>
                <c:pt idx="3279">
                  <c:v>2.16</c:v>
                </c:pt>
                <c:pt idx="3280">
                  <c:v>1.1100000000000001</c:v>
                </c:pt>
                <c:pt idx="3281">
                  <c:v>5.27</c:v>
                </c:pt>
                <c:pt idx="3282">
                  <c:v>2.52</c:v>
                </c:pt>
                <c:pt idx="3283">
                  <c:v>3.1</c:v>
                </c:pt>
                <c:pt idx="3284">
                  <c:v>11.77</c:v>
                </c:pt>
                <c:pt idx="3285">
                  <c:v>3.07</c:v>
                </c:pt>
                <c:pt idx="3286">
                  <c:v>1.62</c:v>
                </c:pt>
                <c:pt idx="3287">
                  <c:v>2.46</c:v>
                </c:pt>
                <c:pt idx="3288">
                  <c:v>2.81</c:v>
                </c:pt>
                <c:pt idx="3289">
                  <c:v>1.91</c:v>
                </c:pt>
                <c:pt idx="3290">
                  <c:v>2.0099999999999998</c:v>
                </c:pt>
                <c:pt idx="3291">
                  <c:v>1.76</c:v>
                </c:pt>
                <c:pt idx="3292">
                  <c:v>1.26</c:v>
                </c:pt>
                <c:pt idx="3293">
                  <c:v>1.1200000000000001</c:v>
                </c:pt>
                <c:pt idx="3294">
                  <c:v>1.36</c:v>
                </c:pt>
                <c:pt idx="3295">
                  <c:v>2.48</c:v>
                </c:pt>
                <c:pt idx="3296">
                  <c:v>1.69</c:v>
                </c:pt>
                <c:pt idx="3297">
                  <c:v>2.12</c:v>
                </c:pt>
                <c:pt idx="3298">
                  <c:v>1.53</c:v>
                </c:pt>
                <c:pt idx="3299">
                  <c:v>2.27</c:v>
                </c:pt>
                <c:pt idx="3300">
                  <c:v>15.244</c:v>
                </c:pt>
                <c:pt idx="3301">
                  <c:v>3.06</c:v>
                </c:pt>
                <c:pt idx="3302">
                  <c:v>1.48</c:v>
                </c:pt>
                <c:pt idx="3303">
                  <c:v>2.0299999999999998</c:v>
                </c:pt>
                <c:pt idx="3304">
                  <c:v>12.68</c:v>
                </c:pt>
                <c:pt idx="3305">
                  <c:v>1.22</c:v>
                </c:pt>
                <c:pt idx="3306">
                  <c:v>1.64</c:v>
                </c:pt>
                <c:pt idx="3307">
                  <c:v>2.4300000000000002</c:v>
                </c:pt>
                <c:pt idx="3308">
                  <c:v>3.39</c:v>
                </c:pt>
                <c:pt idx="3309">
                  <c:v>6.64</c:v>
                </c:pt>
                <c:pt idx="3310">
                  <c:v>1.79</c:v>
                </c:pt>
                <c:pt idx="3311">
                  <c:v>2.92</c:v>
                </c:pt>
                <c:pt idx="3312">
                  <c:v>1.79</c:v>
                </c:pt>
                <c:pt idx="3313">
                  <c:v>10.760999999999999</c:v>
                </c:pt>
                <c:pt idx="3314">
                  <c:v>2.2999999999999998</c:v>
                </c:pt>
                <c:pt idx="3315">
                  <c:v>1.2</c:v>
                </c:pt>
                <c:pt idx="3316">
                  <c:v>1.4</c:v>
                </c:pt>
                <c:pt idx="3317">
                  <c:v>1.82</c:v>
                </c:pt>
                <c:pt idx="3318">
                  <c:v>1.82</c:v>
                </c:pt>
                <c:pt idx="3319">
                  <c:v>1.43</c:v>
                </c:pt>
                <c:pt idx="3320">
                  <c:v>3.17</c:v>
                </c:pt>
                <c:pt idx="3321">
                  <c:v>1.19</c:v>
                </c:pt>
                <c:pt idx="3322">
                  <c:v>1.28</c:v>
                </c:pt>
                <c:pt idx="3323">
                  <c:v>1.47</c:v>
                </c:pt>
                <c:pt idx="3324">
                  <c:v>1.68</c:v>
                </c:pt>
                <c:pt idx="3325">
                  <c:v>0.92</c:v>
                </c:pt>
                <c:pt idx="3326">
                  <c:v>1.121</c:v>
                </c:pt>
                <c:pt idx="3327">
                  <c:v>0.89</c:v>
                </c:pt>
                <c:pt idx="3328">
                  <c:v>2.89</c:v>
                </c:pt>
                <c:pt idx="3329">
                  <c:v>3.21</c:v>
                </c:pt>
                <c:pt idx="3330">
                  <c:v>0.78</c:v>
                </c:pt>
                <c:pt idx="3331">
                  <c:v>1.58</c:v>
                </c:pt>
                <c:pt idx="3332">
                  <c:v>13.02</c:v>
                </c:pt>
                <c:pt idx="3333">
                  <c:v>2.4300000000000002</c:v>
                </c:pt>
                <c:pt idx="3334">
                  <c:v>1.28</c:v>
                </c:pt>
                <c:pt idx="3335">
                  <c:v>2.5499999999999998</c:v>
                </c:pt>
                <c:pt idx="3336">
                  <c:v>2.12</c:v>
                </c:pt>
                <c:pt idx="3337">
                  <c:v>3.47</c:v>
                </c:pt>
                <c:pt idx="3338">
                  <c:v>3.72</c:v>
                </c:pt>
                <c:pt idx="3339">
                  <c:v>7.16</c:v>
                </c:pt>
                <c:pt idx="3340">
                  <c:v>3.49</c:v>
                </c:pt>
                <c:pt idx="3341">
                  <c:v>2.1800000000000002</c:v>
                </c:pt>
                <c:pt idx="3342">
                  <c:v>3.05</c:v>
                </c:pt>
                <c:pt idx="3343">
                  <c:v>1.96</c:v>
                </c:pt>
                <c:pt idx="3344">
                  <c:v>1.37</c:v>
                </c:pt>
                <c:pt idx="3345">
                  <c:v>2.11</c:v>
                </c:pt>
                <c:pt idx="3346">
                  <c:v>1.68</c:v>
                </c:pt>
                <c:pt idx="3347">
                  <c:v>1.3</c:v>
                </c:pt>
                <c:pt idx="3348">
                  <c:v>2.17</c:v>
                </c:pt>
                <c:pt idx="3349">
                  <c:v>2.39</c:v>
                </c:pt>
                <c:pt idx="3350">
                  <c:v>6.88</c:v>
                </c:pt>
                <c:pt idx="3351">
                  <c:v>15.872</c:v>
                </c:pt>
                <c:pt idx="3352">
                  <c:v>2.67</c:v>
                </c:pt>
                <c:pt idx="3353">
                  <c:v>2.74</c:v>
                </c:pt>
                <c:pt idx="3354">
                  <c:v>1.53</c:v>
                </c:pt>
                <c:pt idx="3355">
                  <c:v>1.6</c:v>
                </c:pt>
                <c:pt idx="3356">
                  <c:v>1.21</c:v>
                </c:pt>
                <c:pt idx="3357">
                  <c:v>1.1299999999999999</c:v>
                </c:pt>
                <c:pt idx="3358">
                  <c:v>2.85</c:v>
                </c:pt>
                <c:pt idx="3359">
                  <c:v>2</c:v>
                </c:pt>
                <c:pt idx="3360">
                  <c:v>3.54</c:v>
                </c:pt>
                <c:pt idx="3361">
                  <c:v>3.79</c:v>
                </c:pt>
                <c:pt idx="3362">
                  <c:v>1.94</c:v>
                </c:pt>
                <c:pt idx="3363">
                  <c:v>1.1399999999999999</c:v>
                </c:pt>
                <c:pt idx="3364">
                  <c:v>2.89</c:v>
                </c:pt>
                <c:pt idx="3365">
                  <c:v>1.1399999999999999</c:v>
                </c:pt>
                <c:pt idx="3366">
                  <c:v>10.42</c:v>
                </c:pt>
                <c:pt idx="3367">
                  <c:v>1.46</c:v>
                </c:pt>
                <c:pt idx="3368">
                  <c:v>3.01</c:v>
                </c:pt>
                <c:pt idx="3369">
                  <c:v>2.42</c:v>
                </c:pt>
                <c:pt idx="3370">
                  <c:v>2.37</c:v>
                </c:pt>
                <c:pt idx="3371">
                  <c:v>1.21</c:v>
                </c:pt>
                <c:pt idx="3372">
                  <c:v>1.93</c:v>
                </c:pt>
                <c:pt idx="3373">
                  <c:v>2.7</c:v>
                </c:pt>
                <c:pt idx="3374">
                  <c:v>3.55</c:v>
                </c:pt>
                <c:pt idx="3375">
                  <c:v>2.14</c:v>
                </c:pt>
                <c:pt idx="3376">
                  <c:v>2.12</c:v>
                </c:pt>
                <c:pt idx="3377">
                  <c:v>4.1100000000000003</c:v>
                </c:pt>
                <c:pt idx="3378">
                  <c:v>10.24</c:v>
                </c:pt>
                <c:pt idx="3379">
                  <c:v>9.0299999999999994</c:v>
                </c:pt>
                <c:pt idx="3380">
                  <c:v>5.1100000000000003</c:v>
                </c:pt>
                <c:pt idx="3381">
                  <c:v>2.76</c:v>
                </c:pt>
                <c:pt idx="3382">
                  <c:v>4</c:v>
                </c:pt>
                <c:pt idx="3383">
                  <c:v>5.35</c:v>
                </c:pt>
                <c:pt idx="3384">
                  <c:v>1.77</c:v>
                </c:pt>
                <c:pt idx="3385">
                  <c:v>2.4700000000000002</c:v>
                </c:pt>
                <c:pt idx="3386">
                  <c:v>6.09</c:v>
                </c:pt>
                <c:pt idx="3387">
                  <c:v>1.31</c:v>
                </c:pt>
                <c:pt idx="3388">
                  <c:v>1.77</c:v>
                </c:pt>
                <c:pt idx="3389">
                  <c:v>1.57</c:v>
                </c:pt>
                <c:pt idx="3390">
                  <c:v>1.87</c:v>
                </c:pt>
                <c:pt idx="3391">
                  <c:v>1.53</c:v>
                </c:pt>
                <c:pt idx="3392">
                  <c:v>1.84</c:v>
                </c:pt>
                <c:pt idx="3393">
                  <c:v>1.25</c:v>
                </c:pt>
                <c:pt idx="3394">
                  <c:v>5.63</c:v>
                </c:pt>
                <c:pt idx="3395">
                  <c:v>1.51</c:v>
                </c:pt>
                <c:pt idx="3396">
                  <c:v>2.11</c:v>
                </c:pt>
                <c:pt idx="3397">
                  <c:v>2.83</c:v>
                </c:pt>
                <c:pt idx="3398">
                  <c:v>2.36</c:v>
                </c:pt>
                <c:pt idx="3399">
                  <c:v>1.94</c:v>
                </c:pt>
                <c:pt idx="3400">
                  <c:v>1.7</c:v>
                </c:pt>
                <c:pt idx="3401">
                  <c:v>1.27</c:v>
                </c:pt>
                <c:pt idx="3402">
                  <c:v>2.06</c:v>
                </c:pt>
                <c:pt idx="3403">
                  <c:v>2.02</c:v>
                </c:pt>
                <c:pt idx="3404">
                  <c:v>2.02</c:v>
                </c:pt>
                <c:pt idx="3405">
                  <c:v>2.79</c:v>
                </c:pt>
                <c:pt idx="3406">
                  <c:v>2.73</c:v>
                </c:pt>
                <c:pt idx="3407">
                  <c:v>2.56</c:v>
                </c:pt>
                <c:pt idx="3408">
                  <c:v>2.73</c:v>
                </c:pt>
                <c:pt idx="3409">
                  <c:v>2.57</c:v>
                </c:pt>
                <c:pt idx="3410">
                  <c:v>2.23</c:v>
                </c:pt>
                <c:pt idx="3411">
                  <c:v>2.36</c:v>
                </c:pt>
                <c:pt idx="3412">
                  <c:v>1.38</c:v>
                </c:pt>
                <c:pt idx="3413">
                  <c:v>2.6</c:v>
                </c:pt>
                <c:pt idx="3414">
                  <c:v>2.2000000000000002</c:v>
                </c:pt>
                <c:pt idx="3415">
                  <c:v>17.07</c:v>
                </c:pt>
                <c:pt idx="3416">
                  <c:v>5.23</c:v>
                </c:pt>
                <c:pt idx="3417">
                  <c:v>1.6</c:v>
                </c:pt>
                <c:pt idx="3418">
                  <c:v>2.59</c:v>
                </c:pt>
                <c:pt idx="3419">
                  <c:v>1.68</c:v>
                </c:pt>
                <c:pt idx="3420">
                  <c:v>2.04</c:v>
                </c:pt>
                <c:pt idx="3421">
                  <c:v>2.48</c:v>
                </c:pt>
                <c:pt idx="3422">
                  <c:v>1.18</c:v>
                </c:pt>
                <c:pt idx="3423">
                  <c:v>1.7</c:v>
                </c:pt>
                <c:pt idx="3424">
                  <c:v>7.14</c:v>
                </c:pt>
                <c:pt idx="3425">
                  <c:v>1.97</c:v>
                </c:pt>
                <c:pt idx="3426">
                  <c:v>2.1800000000000002</c:v>
                </c:pt>
                <c:pt idx="3427">
                  <c:v>1.2</c:v>
                </c:pt>
                <c:pt idx="3428">
                  <c:v>1.27</c:v>
                </c:pt>
                <c:pt idx="3429">
                  <c:v>1.78</c:v>
                </c:pt>
                <c:pt idx="3430">
                  <c:v>1.68</c:v>
                </c:pt>
                <c:pt idx="3431">
                  <c:v>2.54</c:v>
                </c:pt>
                <c:pt idx="3432">
                  <c:v>1.69</c:v>
                </c:pt>
                <c:pt idx="3433">
                  <c:v>16.72</c:v>
                </c:pt>
                <c:pt idx="3434">
                  <c:v>8.35</c:v>
                </c:pt>
                <c:pt idx="3435">
                  <c:v>9.3000000000000007</c:v>
                </c:pt>
                <c:pt idx="3436">
                  <c:v>6.8</c:v>
                </c:pt>
                <c:pt idx="3437">
                  <c:v>4.87</c:v>
                </c:pt>
                <c:pt idx="3438">
                  <c:v>3.09</c:v>
                </c:pt>
                <c:pt idx="3439">
                  <c:v>3.24</c:v>
                </c:pt>
                <c:pt idx="3440">
                  <c:v>2.2799999999999998</c:v>
                </c:pt>
                <c:pt idx="3441">
                  <c:v>2.21</c:v>
                </c:pt>
                <c:pt idx="3442">
                  <c:v>2.9</c:v>
                </c:pt>
                <c:pt idx="3443">
                  <c:v>2.4</c:v>
                </c:pt>
                <c:pt idx="3444">
                  <c:v>2.4900000000000002</c:v>
                </c:pt>
                <c:pt idx="3445">
                  <c:v>1.63</c:v>
                </c:pt>
                <c:pt idx="3446">
                  <c:v>4.6399999999999997</c:v>
                </c:pt>
                <c:pt idx="3447">
                  <c:v>2.0499999999999998</c:v>
                </c:pt>
                <c:pt idx="3448">
                  <c:v>3.61</c:v>
                </c:pt>
                <c:pt idx="3449">
                  <c:v>13.49</c:v>
                </c:pt>
                <c:pt idx="3450">
                  <c:v>6.14</c:v>
                </c:pt>
                <c:pt idx="3451">
                  <c:v>2.78</c:v>
                </c:pt>
                <c:pt idx="3452">
                  <c:v>3.74</c:v>
                </c:pt>
                <c:pt idx="3453">
                  <c:v>1.99</c:v>
                </c:pt>
                <c:pt idx="3454">
                  <c:v>3.75</c:v>
                </c:pt>
                <c:pt idx="3455">
                  <c:v>3.94</c:v>
                </c:pt>
                <c:pt idx="3456">
                  <c:v>2.9</c:v>
                </c:pt>
                <c:pt idx="3457">
                  <c:v>1.43</c:v>
                </c:pt>
                <c:pt idx="3458">
                  <c:v>2.12</c:v>
                </c:pt>
                <c:pt idx="3459">
                  <c:v>1.93</c:v>
                </c:pt>
                <c:pt idx="3460">
                  <c:v>2.57</c:v>
                </c:pt>
                <c:pt idx="3461">
                  <c:v>2.66</c:v>
                </c:pt>
                <c:pt idx="3462">
                  <c:v>1.78</c:v>
                </c:pt>
                <c:pt idx="3463">
                  <c:v>1.23</c:v>
                </c:pt>
                <c:pt idx="3464">
                  <c:v>1.78</c:v>
                </c:pt>
                <c:pt idx="3465">
                  <c:v>1.23</c:v>
                </c:pt>
                <c:pt idx="3466">
                  <c:v>2.5</c:v>
                </c:pt>
                <c:pt idx="3467">
                  <c:v>1.52</c:v>
                </c:pt>
                <c:pt idx="3468">
                  <c:v>1.84</c:v>
                </c:pt>
                <c:pt idx="3469">
                  <c:v>1.1299999999999999</c:v>
                </c:pt>
                <c:pt idx="3470">
                  <c:v>1.76</c:v>
                </c:pt>
                <c:pt idx="3471">
                  <c:v>1.0900000000000001</c:v>
                </c:pt>
                <c:pt idx="3472">
                  <c:v>8.89</c:v>
                </c:pt>
                <c:pt idx="3473">
                  <c:v>6.41</c:v>
                </c:pt>
                <c:pt idx="3474">
                  <c:v>2.81</c:v>
                </c:pt>
                <c:pt idx="3475">
                  <c:v>3.03</c:v>
                </c:pt>
                <c:pt idx="3476">
                  <c:v>2.78</c:v>
                </c:pt>
                <c:pt idx="3477">
                  <c:v>1.54</c:v>
                </c:pt>
                <c:pt idx="3478">
                  <c:v>2.5299999999999998</c:v>
                </c:pt>
                <c:pt idx="3479">
                  <c:v>2.39</c:v>
                </c:pt>
                <c:pt idx="3480">
                  <c:v>1.49</c:v>
                </c:pt>
                <c:pt idx="3481">
                  <c:v>2.68</c:v>
                </c:pt>
                <c:pt idx="3482">
                  <c:v>9.4380000000000006</c:v>
                </c:pt>
                <c:pt idx="3483">
                  <c:v>9.2249999999999996</c:v>
                </c:pt>
                <c:pt idx="3484">
                  <c:v>1.64</c:v>
                </c:pt>
                <c:pt idx="3485">
                  <c:v>2.08</c:v>
                </c:pt>
                <c:pt idx="3486">
                  <c:v>1.37</c:v>
                </c:pt>
                <c:pt idx="3487">
                  <c:v>2.54</c:v>
                </c:pt>
                <c:pt idx="3488">
                  <c:v>2.0099999999999998</c:v>
                </c:pt>
                <c:pt idx="3489">
                  <c:v>2.5299999999999998</c:v>
                </c:pt>
                <c:pt idx="3490">
                  <c:v>1.77</c:v>
                </c:pt>
                <c:pt idx="3491">
                  <c:v>1.41</c:v>
                </c:pt>
                <c:pt idx="3492">
                  <c:v>2.11</c:v>
                </c:pt>
                <c:pt idx="3493">
                  <c:v>1.2</c:v>
                </c:pt>
                <c:pt idx="3494">
                  <c:v>1.22</c:v>
                </c:pt>
                <c:pt idx="3495">
                  <c:v>1.47</c:v>
                </c:pt>
                <c:pt idx="3496">
                  <c:v>15.323</c:v>
                </c:pt>
                <c:pt idx="3497">
                  <c:v>0.82</c:v>
                </c:pt>
                <c:pt idx="3498">
                  <c:v>2.6</c:v>
                </c:pt>
                <c:pt idx="3499">
                  <c:v>2.8</c:v>
                </c:pt>
                <c:pt idx="3500">
                  <c:v>2.06</c:v>
                </c:pt>
                <c:pt idx="3501">
                  <c:v>1.38</c:v>
                </c:pt>
                <c:pt idx="3502">
                  <c:v>1.5</c:v>
                </c:pt>
                <c:pt idx="3503">
                  <c:v>1.76</c:v>
                </c:pt>
                <c:pt idx="3504">
                  <c:v>1.91</c:v>
                </c:pt>
                <c:pt idx="3505">
                  <c:v>1.74</c:v>
                </c:pt>
                <c:pt idx="3506">
                  <c:v>2.25</c:v>
                </c:pt>
                <c:pt idx="3507">
                  <c:v>3.51</c:v>
                </c:pt>
                <c:pt idx="3508">
                  <c:v>2.6</c:v>
                </c:pt>
                <c:pt idx="3509">
                  <c:v>2.0670000000000002</c:v>
                </c:pt>
                <c:pt idx="3510">
                  <c:v>2.42</c:v>
                </c:pt>
                <c:pt idx="3511">
                  <c:v>3.8</c:v>
                </c:pt>
                <c:pt idx="3512">
                  <c:v>2.87</c:v>
                </c:pt>
                <c:pt idx="3513">
                  <c:v>1.42</c:v>
                </c:pt>
                <c:pt idx="3514">
                  <c:v>1.38</c:v>
                </c:pt>
                <c:pt idx="3515">
                  <c:v>3.07</c:v>
                </c:pt>
                <c:pt idx="3516">
                  <c:v>2.34</c:v>
                </c:pt>
                <c:pt idx="3517">
                  <c:v>2.31</c:v>
                </c:pt>
                <c:pt idx="3518">
                  <c:v>1.72</c:v>
                </c:pt>
                <c:pt idx="3519">
                  <c:v>1.59</c:v>
                </c:pt>
                <c:pt idx="3520">
                  <c:v>1.1100000000000001</c:v>
                </c:pt>
                <c:pt idx="3521">
                  <c:v>1.569</c:v>
                </c:pt>
                <c:pt idx="3523">
                  <c:v>2.13</c:v>
                </c:pt>
                <c:pt idx="3524">
                  <c:v>1.33</c:v>
                </c:pt>
                <c:pt idx="3525">
                  <c:v>1.37</c:v>
                </c:pt>
                <c:pt idx="3526">
                  <c:v>2.46</c:v>
                </c:pt>
                <c:pt idx="3527">
                  <c:v>2.09</c:v>
                </c:pt>
                <c:pt idx="3528">
                  <c:v>1.35</c:v>
                </c:pt>
                <c:pt idx="3529">
                  <c:v>1.45</c:v>
                </c:pt>
                <c:pt idx="3530">
                  <c:v>3.72</c:v>
                </c:pt>
                <c:pt idx="3531">
                  <c:v>2.67</c:v>
                </c:pt>
                <c:pt idx="3532">
                  <c:v>2.2200000000000002</c:v>
                </c:pt>
                <c:pt idx="3533">
                  <c:v>1.75</c:v>
                </c:pt>
                <c:pt idx="3534">
                  <c:v>3.51</c:v>
                </c:pt>
                <c:pt idx="3536">
                  <c:v>3.34</c:v>
                </c:pt>
                <c:pt idx="3537">
                  <c:v>3.08</c:v>
                </c:pt>
                <c:pt idx="3538">
                  <c:v>2.13</c:v>
                </c:pt>
                <c:pt idx="3539">
                  <c:v>5.93</c:v>
                </c:pt>
                <c:pt idx="3540">
                  <c:v>2.63</c:v>
                </c:pt>
                <c:pt idx="3541">
                  <c:v>2.63</c:v>
                </c:pt>
                <c:pt idx="3542">
                  <c:v>1.93</c:v>
                </c:pt>
                <c:pt idx="3543">
                  <c:v>2.2799999999999998</c:v>
                </c:pt>
                <c:pt idx="3544">
                  <c:v>1.85</c:v>
                </c:pt>
                <c:pt idx="3545">
                  <c:v>2.91</c:v>
                </c:pt>
                <c:pt idx="3546">
                  <c:v>3.42</c:v>
                </c:pt>
                <c:pt idx="3547">
                  <c:v>8.98</c:v>
                </c:pt>
                <c:pt idx="3548">
                  <c:v>5.59</c:v>
                </c:pt>
                <c:pt idx="3549">
                  <c:v>7.65</c:v>
                </c:pt>
                <c:pt idx="3550">
                  <c:v>4.21</c:v>
                </c:pt>
                <c:pt idx="3551">
                  <c:v>1.19</c:v>
                </c:pt>
                <c:pt idx="3552">
                  <c:v>2.3199999999999998</c:v>
                </c:pt>
                <c:pt idx="3553">
                  <c:v>3.13</c:v>
                </c:pt>
                <c:pt idx="3554">
                  <c:v>3</c:v>
                </c:pt>
                <c:pt idx="3555">
                  <c:v>5.5</c:v>
                </c:pt>
                <c:pt idx="3556">
                  <c:v>2.06</c:v>
                </c:pt>
                <c:pt idx="3557">
                  <c:v>4.38</c:v>
                </c:pt>
                <c:pt idx="3558">
                  <c:v>2.67</c:v>
                </c:pt>
                <c:pt idx="3559">
                  <c:v>2.29</c:v>
                </c:pt>
                <c:pt idx="3560">
                  <c:v>2.5499999999999998</c:v>
                </c:pt>
                <c:pt idx="3561">
                  <c:v>1.97</c:v>
                </c:pt>
                <c:pt idx="3562">
                  <c:v>2.66</c:v>
                </c:pt>
                <c:pt idx="3563">
                  <c:v>2.12</c:v>
                </c:pt>
                <c:pt idx="3564">
                  <c:v>3.38</c:v>
                </c:pt>
                <c:pt idx="3565">
                  <c:v>4.13</c:v>
                </c:pt>
                <c:pt idx="3566">
                  <c:v>2.35</c:v>
                </c:pt>
                <c:pt idx="3567">
                  <c:v>3.65</c:v>
                </c:pt>
                <c:pt idx="3568">
                  <c:v>2</c:v>
                </c:pt>
                <c:pt idx="3569">
                  <c:v>1.69</c:v>
                </c:pt>
                <c:pt idx="3570">
                  <c:v>2.0699999999999998</c:v>
                </c:pt>
                <c:pt idx="3571">
                  <c:v>0.99</c:v>
                </c:pt>
                <c:pt idx="3572">
                  <c:v>1.48</c:v>
                </c:pt>
                <c:pt idx="3574">
                  <c:v>2.77</c:v>
                </c:pt>
                <c:pt idx="3575">
                  <c:v>2.13</c:v>
                </c:pt>
                <c:pt idx="3576">
                  <c:v>4.6500000000000004</c:v>
                </c:pt>
                <c:pt idx="3577">
                  <c:v>1.96</c:v>
                </c:pt>
                <c:pt idx="3578">
                  <c:v>1.57</c:v>
                </c:pt>
                <c:pt idx="3579">
                  <c:v>1.48</c:v>
                </c:pt>
                <c:pt idx="3580">
                  <c:v>3.96</c:v>
                </c:pt>
                <c:pt idx="3581">
                  <c:v>2.62</c:v>
                </c:pt>
                <c:pt idx="3582">
                  <c:v>2.99</c:v>
                </c:pt>
                <c:pt idx="3583">
                  <c:v>2.72</c:v>
                </c:pt>
                <c:pt idx="3584">
                  <c:v>1.99</c:v>
                </c:pt>
                <c:pt idx="3585">
                  <c:v>2.67</c:v>
                </c:pt>
                <c:pt idx="3586">
                  <c:v>2.31</c:v>
                </c:pt>
                <c:pt idx="3587">
                  <c:v>2.25</c:v>
                </c:pt>
                <c:pt idx="3588">
                  <c:v>2.36</c:v>
                </c:pt>
                <c:pt idx="3589">
                  <c:v>2.12</c:v>
                </c:pt>
                <c:pt idx="3590">
                  <c:v>2.98</c:v>
                </c:pt>
                <c:pt idx="3591">
                  <c:v>2.36</c:v>
                </c:pt>
                <c:pt idx="3592">
                  <c:v>3.26</c:v>
                </c:pt>
                <c:pt idx="3593">
                  <c:v>2.0699999999999998</c:v>
                </c:pt>
                <c:pt idx="3594">
                  <c:v>2.21</c:v>
                </c:pt>
                <c:pt idx="3595">
                  <c:v>1.48</c:v>
                </c:pt>
                <c:pt idx="3596">
                  <c:v>2.6</c:v>
                </c:pt>
                <c:pt idx="3597">
                  <c:v>1.53</c:v>
                </c:pt>
                <c:pt idx="3598">
                  <c:v>2.54</c:v>
                </c:pt>
                <c:pt idx="3599">
                  <c:v>1.62</c:v>
                </c:pt>
                <c:pt idx="3600">
                  <c:v>2.97</c:v>
                </c:pt>
                <c:pt idx="3601">
                  <c:v>1.6</c:v>
                </c:pt>
                <c:pt idx="3602">
                  <c:v>2.7</c:v>
                </c:pt>
                <c:pt idx="3603">
                  <c:v>1.98</c:v>
                </c:pt>
                <c:pt idx="3604">
                  <c:v>1.36</c:v>
                </c:pt>
                <c:pt idx="3605">
                  <c:v>2.3199999999999998</c:v>
                </c:pt>
                <c:pt idx="3606">
                  <c:v>2.34</c:v>
                </c:pt>
                <c:pt idx="3607">
                  <c:v>1.7270000000000001</c:v>
                </c:pt>
                <c:pt idx="3608">
                  <c:v>1.282</c:v>
                </c:pt>
                <c:pt idx="3609">
                  <c:v>1.3029999999999999</c:v>
                </c:pt>
                <c:pt idx="3612">
                  <c:v>9.9760000000000009</c:v>
                </c:pt>
                <c:pt idx="3613">
                  <c:v>16.814</c:v>
                </c:pt>
                <c:pt idx="3644">
                  <c:v>14.907999999999999</c:v>
                </c:pt>
                <c:pt idx="3645">
                  <c:v>17.878</c:v>
                </c:pt>
                <c:pt idx="3646">
                  <c:v>16.588999999999999</c:v>
                </c:pt>
                <c:pt idx="3647">
                  <c:v>3.18</c:v>
                </c:pt>
                <c:pt idx="3648">
                  <c:v>12.733000000000001</c:v>
                </c:pt>
                <c:pt idx="3695">
                  <c:v>15.278</c:v>
                </c:pt>
                <c:pt idx="3696">
                  <c:v>14.010999999999999</c:v>
                </c:pt>
                <c:pt idx="3697">
                  <c:v>11.422000000000001</c:v>
                </c:pt>
                <c:pt idx="3698">
                  <c:v>12.250999999999999</c:v>
                </c:pt>
                <c:pt idx="3699">
                  <c:v>13.45</c:v>
                </c:pt>
                <c:pt idx="3700">
                  <c:v>12.666</c:v>
                </c:pt>
                <c:pt idx="3701">
                  <c:v>15.244</c:v>
                </c:pt>
                <c:pt idx="3702">
                  <c:v>18.045999999999999</c:v>
                </c:pt>
                <c:pt idx="3704">
                  <c:v>14.571999999999999</c:v>
                </c:pt>
                <c:pt idx="3705">
                  <c:v>6.18</c:v>
                </c:pt>
                <c:pt idx="3706">
                  <c:v>10.119999999999999</c:v>
                </c:pt>
                <c:pt idx="3707">
                  <c:v>10.548</c:v>
                </c:pt>
                <c:pt idx="3718">
                  <c:v>12.811999999999999</c:v>
                </c:pt>
                <c:pt idx="3719">
                  <c:v>17.295000000000002</c:v>
                </c:pt>
                <c:pt idx="3720">
                  <c:v>14.055999999999999</c:v>
                </c:pt>
                <c:pt idx="3721">
                  <c:v>12.285</c:v>
                </c:pt>
                <c:pt idx="3722">
                  <c:v>12.722</c:v>
                </c:pt>
                <c:pt idx="3723">
                  <c:v>12.407999999999999</c:v>
                </c:pt>
                <c:pt idx="3724">
                  <c:v>19.055</c:v>
                </c:pt>
                <c:pt idx="3725">
                  <c:v>14.404</c:v>
                </c:pt>
                <c:pt idx="3726">
                  <c:v>11.31</c:v>
                </c:pt>
                <c:pt idx="3731">
                  <c:v>13.675000000000001</c:v>
                </c:pt>
                <c:pt idx="3733">
                  <c:v>12.666</c:v>
                </c:pt>
                <c:pt idx="3734">
                  <c:v>9.0790000000000006</c:v>
                </c:pt>
                <c:pt idx="3737">
                  <c:v>10.817</c:v>
                </c:pt>
                <c:pt idx="3738">
                  <c:v>7.69</c:v>
                </c:pt>
                <c:pt idx="3739">
                  <c:v>11.29</c:v>
                </c:pt>
                <c:pt idx="3740">
                  <c:v>1.0860000000000001</c:v>
                </c:pt>
                <c:pt idx="3741">
                  <c:v>1.056</c:v>
                </c:pt>
                <c:pt idx="3742">
                  <c:v>0.77200000000000002</c:v>
                </c:pt>
                <c:pt idx="3743">
                  <c:v>0.91800000000000004</c:v>
                </c:pt>
                <c:pt idx="3744">
                  <c:v>1.0449999999999999</c:v>
                </c:pt>
                <c:pt idx="3745">
                  <c:v>1.127</c:v>
                </c:pt>
                <c:pt idx="3746">
                  <c:v>0.752</c:v>
                </c:pt>
                <c:pt idx="3752">
                  <c:v>12.666</c:v>
                </c:pt>
                <c:pt idx="3753">
                  <c:v>15.244</c:v>
                </c:pt>
                <c:pt idx="3754">
                  <c:v>14.975</c:v>
                </c:pt>
                <c:pt idx="3755">
                  <c:v>18.045999999999999</c:v>
                </c:pt>
                <c:pt idx="3756">
                  <c:v>13.384</c:v>
                </c:pt>
                <c:pt idx="3764">
                  <c:v>16.623000000000001</c:v>
                </c:pt>
                <c:pt idx="3765">
                  <c:v>12.106</c:v>
                </c:pt>
                <c:pt idx="3766">
                  <c:v>14.907999999999999</c:v>
                </c:pt>
                <c:pt idx="3767">
                  <c:v>16.029</c:v>
                </c:pt>
                <c:pt idx="3768">
                  <c:v>17.126999999999999</c:v>
                </c:pt>
                <c:pt idx="3769">
                  <c:v>12.744999999999999</c:v>
                </c:pt>
                <c:pt idx="3770">
                  <c:v>10.760999999999999</c:v>
                </c:pt>
                <c:pt idx="3771">
                  <c:v>11.433</c:v>
                </c:pt>
                <c:pt idx="3772">
                  <c:v>10.536</c:v>
                </c:pt>
                <c:pt idx="3773">
                  <c:v>12.442</c:v>
                </c:pt>
                <c:pt idx="3774">
                  <c:v>15.792999999999999</c:v>
                </c:pt>
                <c:pt idx="3775">
                  <c:v>15.009</c:v>
                </c:pt>
                <c:pt idx="3776">
                  <c:v>11.882</c:v>
                </c:pt>
                <c:pt idx="3777">
                  <c:v>16.140999999999998</c:v>
                </c:pt>
                <c:pt idx="3778">
                  <c:v>15.693</c:v>
                </c:pt>
                <c:pt idx="3779">
                  <c:v>20.399999999999999</c:v>
                </c:pt>
                <c:pt idx="3780">
                  <c:v>16.510999999999999</c:v>
                </c:pt>
                <c:pt idx="3781">
                  <c:v>20.905000000000001</c:v>
                </c:pt>
                <c:pt idx="3782">
                  <c:v>14.773</c:v>
                </c:pt>
                <c:pt idx="3783">
                  <c:v>13.898999999999999</c:v>
                </c:pt>
                <c:pt idx="3784">
                  <c:v>10.760999999999999</c:v>
                </c:pt>
                <c:pt idx="3785">
                  <c:v>15.356</c:v>
                </c:pt>
                <c:pt idx="3786">
                  <c:v>10.423999999999999</c:v>
                </c:pt>
                <c:pt idx="3787">
                  <c:v>13.675000000000001</c:v>
                </c:pt>
                <c:pt idx="3788">
                  <c:v>9.9760000000000009</c:v>
                </c:pt>
                <c:pt idx="3789">
                  <c:v>13.675000000000001</c:v>
                </c:pt>
                <c:pt idx="3790">
                  <c:v>9.7520000000000007</c:v>
                </c:pt>
                <c:pt idx="3791">
                  <c:v>13.563000000000001</c:v>
                </c:pt>
                <c:pt idx="3792">
                  <c:v>14.571999999999999</c:v>
                </c:pt>
                <c:pt idx="3793">
                  <c:v>15.468</c:v>
                </c:pt>
                <c:pt idx="3794">
                  <c:v>12.218</c:v>
                </c:pt>
                <c:pt idx="3795">
                  <c:v>8.9670000000000005</c:v>
                </c:pt>
                <c:pt idx="3796">
                  <c:v>15.468</c:v>
                </c:pt>
                <c:pt idx="3797">
                  <c:v>16.140999999999998</c:v>
                </c:pt>
                <c:pt idx="3798">
                  <c:v>13.563000000000001</c:v>
                </c:pt>
                <c:pt idx="3799">
                  <c:v>17.149999999999999</c:v>
                </c:pt>
                <c:pt idx="3800">
                  <c:v>9.5280000000000005</c:v>
                </c:pt>
                <c:pt idx="3801">
                  <c:v>10.087999999999999</c:v>
                </c:pt>
                <c:pt idx="3802">
                  <c:v>12.497999999999999</c:v>
                </c:pt>
                <c:pt idx="3803">
                  <c:v>15.805</c:v>
                </c:pt>
                <c:pt idx="3804">
                  <c:v>12.666</c:v>
                </c:pt>
                <c:pt idx="3805">
                  <c:v>17.373999999999999</c:v>
                </c:pt>
                <c:pt idx="3806">
                  <c:v>5.7169999999999996</c:v>
                </c:pt>
                <c:pt idx="3807">
                  <c:v>11.19</c:v>
                </c:pt>
                <c:pt idx="3808">
                  <c:v>11.994</c:v>
                </c:pt>
                <c:pt idx="3809">
                  <c:v>15.468</c:v>
                </c:pt>
                <c:pt idx="3810">
                  <c:v>13.675000000000001</c:v>
                </c:pt>
                <c:pt idx="3811">
                  <c:v>12.218</c:v>
                </c:pt>
                <c:pt idx="3812">
                  <c:v>12.811999999999999</c:v>
                </c:pt>
                <c:pt idx="3813">
                  <c:v>11.209</c:v>
                </c:pt>
                <c:pt idx="3814">
                  <c:v>13.473000000000001</c:v>
                </c:pt>
                <c:pt idx="3815">
                  <c:v>12.644</c:v>
                </c:pt>
                <c:pt idx="3816">
                  <c:v>14.122999999999999</c:v>
                </c:pt>
                <c:pt idx="3817">
                  <c:v>17.71</c:v>
                </c:pt>
                <c:pt idx="3818">
                  <c:v>16.814</c:v>
                </c:pt>
                <c:pt idx="3819">
                  <c:v>20.960999999999999</c:v>
                </c:pt>
                <c:pt idx="3820">
                  <c:v>12.285</c:v>
                </c:pt>
                <c:pt idx="3821">
                  <c:v>17.597999999999999</c:v>
                </c:pt>
                <c:pt idx="3822">
                  <c:v>13.451000000000001</c:v>
                </c:pt>
                <c:pt idx="3823">
                  <c:v>14.571999999999999</c:v>
                </c:pt>
                <c:pt idx="3824">
                  <c:v>17.71</c:v>
                </c:pt>
                <c:pt idx="3825">
                  <c:v>13.451000000000001</c:v>
                </c:pt>
                <c:pt idx="3826">
                  <c:v>13.271000000000001</c:v>
                </c:pt>
                <c:pt idx="3827">
                  <c:v>16.477</c:v>
                </c:pt>
                <c:pt idx="3828">
                  <c:v>15.603</c:v>
                </c:pt>
                <c:pt idx="3829">
                  <c:v>12.89</c:v>
                </c:pt>
                <c:pt idx="3830">
                  <c:v>12.005000000000001</c:v>
                </c:pt>
                <c:pt idx="3831">
                  <c:v>16.388000000000002</c:v>
                </c:pt>
                <c:pt idx="3832">
                  <c:v>11.99</c:v>
                </c:pt>
                <c:pt idx="3833">
                  <c:v>13.787000000000001</c:v>
                </c:pt>
                <c:pt idx="3834">
                  <c:v>10.782999999999999</c:v>
                </c:pt>
                <c:pt idx="3835">
                  <c:v>15.468</c:v>
                </c:pt>
                <c:pt idx="3836">
                  <c:v>11.994</c:v>
                </c:pt>
                <c:pt idx="3837">
                  <c:v>13.563000000000001</c:v>
                </c:pt>
                <c:pt idx="3838">
                  <c:v>13.597</c:v>
                </c:pt>
                <c:pt idx="3839">
                  <c:v>8.6310000000000002</c:v>
                </c:pt>
                <c:pt idx="3840">
                  <c:v>15.917</c:v>
                </c:pt>
                <c:pt idx="3841">
                  <c:v>17.363</c:v>
                </c:pt>
                <c:pt idx="3842">
                  <c:v>10.760999999999999</c:v>
                </c:pt>
                <c:pt idx="3843">
                  <c:v>17.934000000000001</c:v>
                </c:pt>
                <c:pt idx="3844">
                  <c:v>11.209</c:v>
                </c:pt>
                <c:pt idx="3845">
                  <c:v>14.571999999999999</c:v>
                </c:pt>
                <c:pt idx="3846">
                  <c:v>14.874000000000001</c:v>
                </c:pt>
                <c:pt idx="3847">
                  <c:v>13.002000000000001</c:v>
                </c:pt>
                <c:pt idx="3848">
                  <c:v>13.787000000000001</c:v>
                </c:pt>
                <c:pt idx="3849">
                  <c:v>14.234999999999999</c:v>
                </c:pt>
                <c:pt idx="3850">
                  <c:v>14.907999999999999</c:v>
                </c:pt>
                <c:pt idx="3851">
                  <c:v>12.33</c:v>
                </c:pt>
                <c:pt idx="3853">
                  <c:v>12.576000000000001</c:v>
                </c:pt>
                <c:pt idx="3854">
                  <c:v>10.423999999999999</c:v>
                </c:pt>
                <c:pt idx="3855">
                  <c:v>12.778</c:v>
                </c:pt>
                <c:pt idx="3856">
                  <c:v>12.778</c:v>
                </c:pt>
                <c:pt idx="3857">
                  <c:v>13.159000000000001</c:v>
                </c:pt>
                <c:pt idx="3858">
                  <c:v>12.63</c:v>
                </c:pt>
                <c:pt idx="3860">
                  <c:v>3.5760000000000001</c:v>
                </c:pt>
                <c:pt idx="3861">
                  <c:v>1.81</c:v>
                </c:pt>
                <c:pt idx="3862">
                  <c:v>16.814</c:v>
                </c:pt>
                <c:pt idx="3863">
                  <c:v>12.442</c:v>
                </c:pt>
                <c:pt idx="3864">
                  <c:v>12.183999999999999</c:v>
                </c:pt>
                <c:pt idx="3865">
                  <c:v>13.675000000000001</c:v>
                </c:pt>
                <c:pt idx="3866">
                  <c:v>14.24</c:v>
                </c:pt>
                <c:pt idx="3867">
                  <c:v>12.038</c:v>
                </c:pt>
                <c:pt idx="3869">
                  <c:v>17.71</c:v>
                </c:pt>
                <c:pt idx="3870">
                  <c:v>14.907999999999999</c:v>
                </c:pt>
                <c:pt idx="3871">
                  <c:v>10.536</c:v>
                </c:pt>
                <c:pt idx="3872">
                  <c:v>11.769</c:v>
                </c:pt>
                <c:pt idx="3873">
                  <c:v>16.029</c:v>
                </c:pt>
                <c:pt idx="3874">
                  <c:v>8.6869999999999994</c:v>
                </c:pt>
                <c:pt idx="3875">
                  <c:v>11.545</c:v>
                </c:pt>
                <c:pt idx="3876">
                  <c:v>9.8640000000000008</c:v>
                </c:pt>
                <c:pt idx="3877">
                  <c:v>15.805</c:v>
                </c:pt>
                <c:pt idx="3878">
                  <c:v>14.795999999999999</c:v>
                </c:pt>
                <c:pt idx="3879">
                  <c:v>15.805</c:v>
                </c:pt>
                <c:pt idx="3880">
                  <c:v>14.247</c:v>
                </c:pt>
                <c:pt idx="3881">
                  <c:v>12.464</c:v>
                </c:pt>
                <c:pt idx="3882">
                  <c:v>15.693</c:v>
                </c:pt>
                <c:pt idx="3883">
                  <c:v>12.89</c:v>
                </c:pt>
                <c:pt idx="3884">
                  <c:v>14.795999999999999</c:v>
                </c:pt>
                <c:pt idx="3885">
                  <c:v>12.442</c:v>
                </c:pt>
                <c:pt idx="3886">
                  <c:v>14.907999999999999</c:v>
                </c:pt>
                <c:pt idx="3887">
                  <c:v>13.047000000000001</c:v>
                </c:pt>
                <c:pt idx="3888">
                  <c:v>13.227</c:v>
                </c:pt>
                <c:pt idx="3889">
                  <c:v>14.46</c:v>
                </c:pt>
                <c:pt idx="3890">
                  <c:v>15.917</c:v>
                </c:pt>
                <c:pt idx="3891">
                  <c:v>15.244</c:v>
                </c:pt>
                <c:pt idx="3892">
                  <c:v>14.234999999999999</c:v>
                </c:pt>
                <c:pt idx="3893">
                  <c:v>20.512</c:v>
                </c:pt>
                <c:pt idx="3894">
                  <c:v>15.468</c:v>
                </c:pt>
                <c:pt idx="3895">
                  <c:v>21.632999999999999</c:v>
                </c:pt>
                <c:pt idx="3896">
                  <c:v>18.719000000000001</c:v>
                </c:pt>
                <c:pt idx="3897">
                  <c:v>12.666</c:v>
                </c:pt>
                <c:pt idx="3899">
                  <c:v>11.198</c:v>
                </c:pt>
                <c:pt idx="3900">
                  <c:v>16.018000000000001</c:v>
                </c:pt>
                <c:pt idx="3901">
                  <c:v>18.158999999999999</c:v>
                </c:pt>
                <c:pt idx="3902">
                  <c:v>11.657</c:v>
                </c:pt>
                <c:pt idx="3903">
                  <c:v>10.558999999999999</c:v>
                </c:pt>
                <c:pt idx="3904">
                  <c:v>13.898999999999999</c:v>
                </c:pt>
                <c:pt idx="3905">
                  <c:v>16.364999999999998</c:v>
                </c:pt>
                <c:pt idx="3906">
                  <c:v>11.657</c:v>
                </c:pt>
                <c:pt idx="3907">
                  <c:v>18.271000000000001</c:v>
                </c:pt>
                <c:pt idx="3908">
                  <c:v>11.545</c:v>
                </c:pt>
                <c:pt idx="3909">
                  <c:v>16.376000000000001</c:v>
                </c:pt>
                <c:pt idx="3910">
                  <c:v>17.901</c:v>
                </c:pt>
                <c:pt idx="3911">
                  <c:v>17.71</c:v>
                </c:pt>
                <c:pt idx="3913">
                  <c:v>13.787000000000001</c:v>
                </c:pt>
                <c:pt idx="3914">
                  <c:v>13.45</c:v>
                </c:pt>
                <c:pt idx="3915">
                  <c:v>12.778</c:v>
                </c:pt>
                <c:pt idx="3916">
                  <c:v>12.823</c:v>
                </c:pt>
                <c:pt idx="3917">
                  <c:v>11.433</c:v>
                </c:pt>
                <c:pt idx="3919">
                  <c:v>10.468</c:v>
                </c:pt>
                <c:pt idx="3920">
                  <c:v>16.7</c:v>
                </c:pt>
                <c:pt idx="3921">
                  <c:v>15.278</c:v>
                </c:pt>
                <c:pt idx="3925">
                  <c:v>2.0299999999999998</c:v>
                </c:pt>
                <c:pt idx="3926">
                  <c:v>12.778</c:v>
                </c:pt>
                <c:pt idx="3927">
                  <c:v>11.131</c:v>
                </c:pt>
                <c:pt idx="3930">
                  <c:v>15.805</c:v>
                </c:pt>
                <c:pt idx="3931">
                  <c:v>14.010999999999999</c:v>
                </c:pt>
                <c:pt idx="3932">
                  <c:v>12.78</c:v>
                </c:pt>
                <c:pt idx="3933">
                  <c:v>23.202999999999999</c:v>
                </c:pt>
                <c:pt idx="3958">
                  <c:v>2.0419999999999998</c:v>
                </c:pt>
              </c:numCache>
            </c:numRef>
          </c:xVal>
          <c:yVal>
            <c:numRef>
              <c:f>'static-exo'!$R$2:$R$3973</c:f>
              <c:numCache>
                <c:formatCode>General</c:formatCode>
                <c:ptCount val="3972"/>
                <c:pt idx="0">
                  <c:v>19</c:v>
                </c:pt>
                <c:pt idx="1">
                  <c:v>29.79</c:v>
                </c:pt>
                <c:pt idx="2">
                  <c:v>11</c:v>
                </c:pt>
                <c:pt idx="3">
                  <c:v>0.93</c:v>
                </c:pt>
                <c:pt idx="4">
                  <c:v>1.1299999999999999</c:v>
                </c:pt>
                <c:pt idx="5">
                  <c:v>8.5</c:v>
                </c:pt>
                <c:pt idx="7">
                  <c:v>10.64</c:v>
                </c:pt>
                <c:pt idx="8">
                  <c:v>4.9000000000000004</c:v>
                </c:pt>
                <c:pt idx="9">
                  <c:v>4.9000000000000004</c:v>
                </c:pt>
                <c:pt idx="11">
                  <c:v>0.28000000000000003</c:v>
                </c:pt>
                <c:pt idx="15">
                  <c:v>0.12</c:v>
                </c:pt>
                <c:pt idx="17">
                  <c:v>1.41</c:v>
                </c:pt>
                <c:pt idx="18">
                  <c:v>18.11</c:v>
                </c:pt>
                <c:pt idx="19">
                  <c:v>22.03</c:v>
                </c:pt>
                <c:pt idx="20">
                  <c:v>1.23</c:v>
                </c:pt>
                <c:pt idx="21">
                  <c:v>1.23</c:v>
                </c:pt>
                <c:pt idx="22">
                  <c:v>1.23</c:v>
                </c:pt>
                <c:pt idx="24">
                  <c:v>1.2</c:v>
                </c:pt>
                <c:pt idx="25">
                  <c:v>0.94</c:v>
                </c:pt>
                <c:pt idx="26">
                  <c:v>0.94</c:v>
                </c:pt>
                <c:pt idx="27">
                  <c:v>0.94</c:v>
                </c:pt>
                <c:pt idx="28">
                  <c:v>0.94</c:v>
                </c:pt>
                <c:pt idx="29">
                  <c:v>0.94</c:v>
                </c:pt>
                <c:pt idx="30">
                  <c:v>5.2</c:v>
                </c:pt>
                <c:pt idx="31">
                  <c:v>0.96</c:v>
                </c:pt>
                <c:pt idx="32">
                  <c:v>0.96</c:v>
                </c:pt>
                <c:pt idx="33">
                  <c:v>0.96</c:v>
                </c:pt>
                <c:pt idx="34">
                  <c:v>2.2999999999999998</c:v>
                </c:pt>
                <c:pt idx="35">
                  <c:v>1.89</c:v>
                </c:pt>
                <c:pt idx="36">
                  <c:v>10.5</c:v>
                </c:pt>
                <c:pt idx="37">
                  <c:v>10.3</c:v>
                </c:pt>
                <c:pt idx="38">
                  <c:v>11</c:v>
                </c:pt>
                <c:pt idx="39">
                  <c:v>11</c:v>
                </c:pt>
                <c:pt idx="41">
                  <c:v>32.35</c:v>
                </c:pt>
                <c:pt idx="42">
                  <c:v>0.86</c:v>
                </c:pt>
                <c:pt idx="43">
                  <c:v>8.9499999999999993</c:v>
                </c:pt>
                <c:pt idx="44">
                  <c:v>14.7</c:v>
                </c:pt>
                <c:pt idx="45">
                  <c:v>71.02</c:v>
                </c:pt>
                <c:pt idx="46">
                  <c:v>71.02</c:v>
                </c:pt>
                <c:pt idx="47">
                  <c:v>17.3</c:v>
                </c:pt>
                <c:pt idx="48">
                  <c:v>1.08</c:v>
                </c:pt>
                <c:pt idx="49">
                  <c:v>11</c:v>
                </c:pt>
                <c:pt idx="50">
                  <c:v>10.33</c:v>
                </c:pt>
                <c:pt idx="51">
                  <c:v>7.6</c:v>
                </c:pt>
                <c:pt idx="54">
                  <c:v>0.71</c:v>
                </c:pt>
                <c:pt idx="55">
                  <c:v>0.71</c:v>
                </c:pt>
                <c:pt idx="56">
                  <c:v>0.91</c:v>
                </c:pt>
                <c:pt idx="57">
                  <c:v>0.52</c:v>
                </c:pt>
                <c:pt idx="58">
                  <c:v>19.170000000000002</c:v>
                </c:pt>
                <c:pt idx="59">
                  <c:v>0.74</c:v>
                </c:pt>
                <c:pt idx="63">
                  <c:v>1.1100000000000001</c:v>
                </c:pt>
                <c:pt idx="64">
                  <c:v>0.79</c:v>
                </c:pt>
                <c:pt idx="65">
                  <c:v>1.37</c:v>
                </c:pt>
                <c:pt idx="66">
                  <c:v>1.1200000000000001</c:v>
                </c:pt>
                <c:pt idx="67">
                  <c:v>1.01</c:v>
                </c:pt>
                <c:pt idx="68">
                  <c:v>1.21</c:v>
                </c:pt>
                <c:pt idx="69">
                  <c:v>1.19</c:v>
                </c:pt>
                <c:pt idx="70">
                  <c:v>1.59</c:v>
                </c:pt>
                <c:pt idx="71">
                  <c:v>1</c:v>
                </c:pt>
                <c:pt idx="72">
                  <c:v>1.65</c:v>
                </c:pt>
                <c:pt idx="73">
                  <c:v>0.91</c:v>
                </c:pt>
                <c:pt idx="76">
                  <c:v>1.95</c:v>
                </c:pt>
                <c:pt idx="77">
                  <c:v>1.1399999999999999</c:v>
                </c:pt>
                <c:pt idx="78">
                  <c:v>1.61</c:v>
                </c:pt>
                <c:pt idx="79">
                  <c:v>0.86</c:v>
                </c:pt>
                <c:pt idx="80">
                  <c:v>0.86</c:v>
                </c:pt>
                <c:pt idx="81">
                  <c:v>1.19</c:v>
                </c:pt>
                <c:pt idx="82">
                  <c:v>1.79</c:v>
                </c:pt>
                <c:pt idx="83">
                  <c:v>1.08</c:v>
                </c:pt>
                <c:pt idx="84">
                  <c:v>1.78</c:v>
                </c:pt>
                <c:pt idx="85">
                  <c:v>0.9</c:v>
                </c:pt>
                <c:pt idx="86">
                  <c:v>1.56</c:v>
                </c:pt>
                <c:pt idx="87">
                  <c:v>1.17</c:v>
                </c:pt>
                <c:pt idx="88">
                  <c:v>1.19</c:v>
                </c:pt>
                <c:pt idx="89">
                  <c:v>1.02</c:v>
                </c:pt>
                <c:pt idx="90">
                  <c:v>0.83</c:v>
                </c:pt>
                <c:pt idx="91">
                  <c:v>0.83</c:v>
                </c:pt>
                <c:pt idx="92">
                  <c:v>0.77</c:v>
                </c:pt>
                <c:pt idx="93">
                  <c:v>0.96</c:v>
                </c:pt>
                <c:pt idx="94">
                  <c:v>0.79</c:v>
                </c:pt>
                <c:pt idx="96">
                  <c:v>0.27</c:v>
                </c:pt>
                <c:pt idx="97">
                  <c:v>0.01</c:v>
                </c:pt>
                <c:pt idx="98">
                  <c:v>0.56999999999999995</c:v>
                </c:pt>
                <c:pt idx="99">
                  <c:v>1.39</c:v>
                </c:pt>
                <c:pt idx="100">
                  <c:v>0.98</c:v>
                </c:pt>
                <c:pt idx="101">
                  <c:v>0.98</c:v>
                </c:pt>
                <c:pt idx="102">
                  <c:v>1.59</c:v>
                </c:pt>
                <c:pt idx="105">
                  <c:v>0.21</c:v>
                </c:pt>
                <c:pt idx="106">
                  <c:v>0.21</c:v>
                </c:pt>
                <c:pt idx="107">
                  <c:v>0.4</c:v>
                </c:pt>
                <c:pt idx="108">
                  <c:v>0.4</c:v>
                </c:pt>
                <c:pt idx="109">
                  <c:v>0.22</c:v>
                </c:pt>
                <c:pt idx="110">
                  <c:v>0.19</c:v>
                </c:pt>
                <c:pt idx="111">
                  <c:v>0.69</c:v>
                </c:pt>
                <c:pt idx="115">
                  <c:v>0.38</c:v>
                </c:pt>
                <c:pt idx="116">
                  <c:v>0.28999999999999998</c:v>
                </c:pt>
                <c:pt idx="117">
                  <c:v>0.28999999999999998</c:v>
                </c:pt>
                <c:pt idx="118">
                  <c:v>0.9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0.12</c:v>
                </c:pt>
                <c:pt idx="130">
                  <c:v>0.12</c:v>
                </c:pt>
                <c:pt idx="131">
                  <c:v>0.44</c:v>
                </c:pt>
                <c:pt idx="132">
                  <c:v>0.55000000000000004</c:v>
                </c:pt>
                <c:pt idx="133">
                  <c:v>0.43</c:v>
                </c:pt>
                <c:pt idx="134">
                  <c:v>0.28000000000000003</c:v>
                </c:pt>
                <c:pt idx="135">
                  <c:v>0.61</c:v>
                </c:pt>
                <c:pt idx="136">
                  <c:v>0.49</c:v>
                </c:pt>
                <c:pt idx="137">
                  <c:v>0.49</c:v>
                </c:pt>
                <c:pt idx="138">
                  <c:v>0.39</c:v>
                </c:pt>
                <c:pt idx="139">
                  <c:v>0.41</c:v>
                </c:pt>
                <c:pt idx="140">
                  <c:v>0.5</c:v>
                </c:pt>
                <c:pt idx="141">
                  <c:v>0.46</c:v>
                </c:pt>
                <c:pt idx="143">
                  <c:v>0.5</c:v>
                </c:pt>
                <c:pt idx="144">
                  <c:v>0.28999999999999998</c:v>
                </c:pt>
                <c:pt idx="145">
                  <c:v>0.28999999999999998</c:v>
                </c:pt>
                <c:pt idx="146">
                  <c:v>0.28999999999999998</c:v>
                </c:pt>
                <c:pt idx="147">
                  <c:v>0.31</c:v>
                </c:pt>
                <c:pt idx="155">
                  <c:v>0.69</c:v>
                </c:pt>
                <c:pt idx="156">
                  <c:v>0.69</c:v>
                </c:pt>
                <c:pt idx="157">
                  <c:v>0.69</c:v>
                </c:pt>
                <c:pt idx="158">
                  <c:v>0.69</c:v>
                </c:pt>
                <c:pt idx="159">
                  <c:v>0.54</c:v>
                </c:pt>
                <c:pt idx="160">
                  <c:v>0.43</c:v>
                </c:pt>
                <c:pt idx="163">
                  <c:v>0.53</c:v>
                </c:pt>
                <c:pt idx="164">
                  <c:v>0.77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70">
                  <c:v>0.61</c:v>
                </c:pt>
                <c:pt idx="171">
                  <c:v>0.61</c:v>
                </c:pt>
                <c:pt idx="172">
                  <c:v>0.61</c:v>
                </c:pt>
                <c:pt idx="176">
                  <c:v>0.56000000000000005</c:v>
                </c:pt>
                <c:pt idx="177">
                  <c:v>0.42</c:v>
                </c:pt>
                <c:pt idx="178">
                  <c:v>1.17</c:v>
                </c:pt>
                <c:pt idx="179">
                  <c:v>0.68</c:v>
                </c:pt>
                <c:pt idx="180">
                  <c:v>0.68</c:v>
                </c:pt>
                <c:pt idx="181">
                  <c:v>0.7</c:v>
                </c:pt>
                <c:pt idx="182">
                  <c:v>1.56</c:v>
                </c:pt>
                <c:pt idx="183">
                  <c:v>1.56</c:v>
                </c:pt>
                <c:pt idx="184">
                  <c:v>1.82</c:v>
                </c:pt>
                <c:pt idx="185">
                  <c:v>1.07</c:v>
                </c:pt>
                <c:pt idx="186">
                  <c:v>1.24</c:v>
                </c:pt>
                <c:pt idx="187">
                  <c:v>0.87</c:v>
                </c:pt>
                <c:pt idx="188">
                  <c:v>0.87</c:v>
                </c:pt>
                <c:pt idx="189">
                  <c:v>0.75</c:v>
                </c:pt>
                <c:pt idx="190">
                  <c:v>0.82</c:v>
                </c:pt>
                <c:pt idx="191">
                  <c:v>1.39</c:v>
                </c:pt>
                <c:pt idx="192">
                  <c:v>0.69</c:v>
                </c:pt>
                <c:pt idx="193">
                  <c:v>1.21</c:v>
                </c:pt>
                <c:pt idx="194">
                  <c:v>1.1100000000000001</c:v>
                </c:pt>
                <c:pt idx="195">
                  <c:v>0.96</c:v>
                </c:pt>
                <c:pt idx="196">
                  <c:v>1.38</c:v>
                </c:pt>
                <c:pt idx="197">
                  <c:v>0.92</c:v>
                </c:pt>
                <c:pt idx="198">
                  <c:v>0.87</c:v>
                </c:pt>
                <c:pt idx="199">
                  <c:v>0.9</c:v>
                </c:pt>
                <c:pt idx="200">
                  <c:v>1.1000000000000001</c:v>
                </c:pt>
                <c:pt idx="201">
                  <c:v>1.3</c:v>
                </c:pt>
                <c:pt idx="202">
                  <c:v>0.87</c:v>
                </c:pt>
                <c:pt idx="203">
                  <c:v>1.31</c:v>
                </c:pt>
                <c:pt idx="204">
                  <c:v>1.39</c:v>
                </c:pt>
                <c:pt idx="205">
                  <c:v>1.19</c:v>
                </c:pt>
                <c:pt idx="206">
                  <c:v>1.79</c:v>
                </c:pt>
                <c:pt idx="207">
                  <c:v>1.73</c:v>
                </c:pt>
                <c:pt idx="208">
                  <c:v>3.82</c:v>
                </c:pt>
                <c:pt idx="209">
                  <c:v>1</c:v>
                </c:pt>
                <c:pt idx="210">
                  <c:v>0.88</c:v>
                </c:pt>
                <c:pt idx="211">
                  <c:v>0.92</c:v>
                </c:pt>
                <c:pt idx="212">
                  <c:v>1.62</c:v>
                </c:pt>
                <c:pt idx="214">
                  <c:v>1.94</c:v>
                </c:pt>
                <c:pt idx="215">
                  <c:v>2.0499999999999998</c:v>
                </c:pt>
                <c:pt idx="216">
                  <c:v>1.53</c:v>
                </c:pt>
                <c:pt idx="217">
                  <c:v>1.1000000000000001</c:v>
                </c:pt>
                <c:pt idx="218">
                  <c:v>0.95</c:v>
                </c:pt>
                <c:pt idx="219">
                  <c:v>0.95</c:v>
                </c:pt>
                <c:pt idx="220">
                  <c:v>1.32</c:v>
                </c:pt>
                <c:pt idx="221">
                  <c:v>1.4</c:v>
                </c:pt>
                <c:pt idx="222">
                  <c:v>2.06</c:v>
                </c:pt>
                <c:pt idx="223">
                  <c:v>1.1200000000000001</c:v>
                </c:pt>
                <c:pt idx="224">
                  <c:v>1.7</c:v>
                </c:pt>
                <c:pt idx="225">
                  <c:v>1.04</c:v>
                </c:pt>
                <c:pt idx="226">
                  <c:v>0.89</c:v>
                </c:pt>
                <c:pt idx="227">
                  <c:v>1.21</c:v>
                </c:pt>
                <c:pt idx="228">
                  <c:v>0.62</c:v>
                </c:pt>
                <c:pt idx="229">
                  <c:v>1.01</c:v>
                </c:pt>
                <c:pt idx="230">
                  <c:v>1.47</c:v>
                </c:pt>
                <c:pt idx="231">
                  <c:v>1.85</c:v>
                </c:pt>
                <c:pt idx="232">
                  <c:v>1.62</c:v>
                </c:pt>
                <c:pt idx="233">
                  <c:v>1.86</c:v>
                </c:pt>
                <c:pt idx="234">
                  <c:v>1.88</c:v>
                </c:pt>
                <c:pt idx="235">
                  <c:v>2.5499999999999998</c:v>
                </c:pt>
                <c:pt idx="236">
                  <c:v>2</c:v>
                </c:pt>
                <c:pt idx="237">
                  <c:v>1.57</c:v>
                </c:pt>
                <c:pt idx="238">
                  <c:v>1.32</c:v>
                </c:pt>
                <c:pt idx="239">
                  <c:v>1.04</c:v>
                </c:pt>
                <c:pt idx="240">
                  <c:v>1.1000000000000001</c:v>
                </c:pt>
                <c:pt idx="241">
                  <c:v>1.54</c:v>
                </c:pt>
                <c:pt idx="242">
                  <c:v>1.17</c:v>
                </c:pt>
                <c:pt idx="243">
                  <c:v>0.89</c:v>
                </c:pt>
                <c:pt idx="244">
                  <c:v>0.93</c:v>
                </c:pt>
                <c:pt idx="245">
                  <c:v>0.92</c:v>
                </c:pt>
                <c:pt idx="246">
                  <c:v>1.24</c:v>
                </c:pt>
                <c:pt idx="247">
                  <c:v>1.0900000000000001</c:v>
                </c:pt>
                <c:pt idx="248">
                  <c:v>1.02</c:v>
                </c:pt>
                <c:pt idx="249">
                  <c:v>0.9</c:v>
                </c:pt>
                <c:pt idx="250">
                  <c:v>0.69</c:v>
                </c:pt>
                <c:pt idx="251">
                  <c:v>1.2</c:v>
                </c:pt>
                <c:pt idx="252">
                  <c:v>1.17</c:v>
                </c:pt>
                <c:pt idx="253">
                  <c:v>1.1100000000000001</c:v>
                </c:pt>
                <c:pt idx="254">
                  <c:v>2.04</c:v>
                </c:pt>
                <c:pt idx="255">
                  <c:v>1.74</c:v>
                </c:pt>
                <c:pt idx="256">
                  <c:v>0.92</c:v>
                </c:pt>
                <c:pt idx="257">
                  <c:v>1.07</c:v>
                </c:pt>
                <c:pt idx="258">
                  <c:v>1.4</c:v>
                </c:pt>
                <c:pt idx="259">
                  <c:v>1.06</c:v>
                </c:pt>
                <c:pt idx="260">
                  <c:v>1.87</c:v>
                </c:pt>
                <c:pt idx="261">
                  <c:v>1.1000000000000001</c:v>
                </c:pt>
                <c:pt idx="262">
                  <c:v>1.02</c:v>
                </c:pt>
                <c:pt idx="263">
                  <c:v>0.98</c:v>
                </c:pt>
                <c:pt idx="264">
                  <c:v>1.43</c:v>
                </c:pt>
                <c:pt idx="265">
                  <c:v>1.1000000000000001</c:v>
                </c:pt>
                <c:pt idx="266">
                  <c:v>1.62</c:v>
                </c:pt>
                <c:pt idx="267">
                  <c:v>0.93</c:v>
                </c:pt>
                <c:pt idx="268">
                  <c:v>2.2599999999999998</c:v>
                </c:pt>
                <c:pt idx="269">
                  <c:v>1.71</c:v>
                </c:pt>
                <c:pt idx="270">
                  <c:v>1.48</c:v>
                </c:pt>
                <c:pt idx="271">
                  <c:v>0.81</c:v>
                </c:pt>
                <c:pt idx="272">
                  <c:v>0.85</c:v>
                </c:pt>
                <c:pt idx="273">
                  <c:v>1.31</c:v>
                </c:pt>
                <c:pt idx="274">
                  <c:v>0.85</c:v>
                </c:pt>
                <c:pt idx="275">
                  <c:v>0.87</c:v>
                </c:pt>
                <c:pt idx="276">
                  <c:v>1.1200000000000001</c:v>
                </c:pt>
                <c:pt idx="277">
                  <c:v>1.44</c:v>
                </c:pt>
                <c:pt idx="278">
                  <c:v>1.05</c:v>
                </c:pt>
                <c:pt idx="279">
                  <c:v>1.1000000000000001</c:v>
                </c:pt>
                <c:pt idx="280">
                  <c:v>1.04</c:v>
                </c:pt>
                <c:pt idx="281">
                  <c:v>1.04</c:v>
                </c:pt>
                <c:pt idx="282">
                  <c:v>0.56999999999999995</c:v>
                </c:pt>
                <c:pt idx="283">
                  <c:v>1.46</c:v>
                </c:pt>
                <c:pt idx="284">
                  <c:v>1.66</c:v>
                </c:pt>
                <c:pt idx="285">
                  <c:v>0.93</c:v>
                </c:pt>
                <c:pt idx="286">
                  <c:v>1.07</c:v>
                </c:pt>
                <c:pt idx="287">
                  <c:v>2.11</c:v>
                </c:pt>
                <c:pt idx="288">
                  <c:v>1.31</c:v>
                </c:pt>
                <c:pt idx="289">
                  <c:v>1.84</c:v>
                </c:pt>
                <c:pt idx="290">
                  <c:v>1.44</c:v>
                </c:pt>
                <c:pt idx="291">
                  <c:v>1.75</c:v>
                </c:pt>
                <c:pt idx="292">
                  <c:v>0.88</c:v>
                </c:pt>
                <c:pt idx="293">
                  <c:v>0.81</c:v>
                </c:pt>
                <c:pt idx="294">
                  <c:v>1.88</c:v>
                </c:pt>
                <c:pt idx="295">
                  <c:v>1.0900000000000001</c:v>
                </c:pt>
                <c:pt idx="296">
                  <c:v>1.56</c:v>
                </c:pt>
                <c:pt idx="298">
                  <c:v>10.06</c:v>
                </c:pt>
                <c:pt idx="299">
                  <c:v>1.04</c:v>
                </c:pt>
                <c:pt idx="300">
                  <c:v>1.1100000000000001</c:v>
                </c:pt>
                <c:pt idx="301">
                  <c:v>1.1100000000000001</c:v>
                </c:pt>
                <c:pt idx="302">
                  <c:v>1.1100000000000001</c:v>
                </c:pt>
                <c:pt idx="303">
                  <c:v>1.1100000000000001</c:v>
                </c:pt>
                <c:pt idx="304">
                  <c:v>1.1100000000000001</c:v>
                </c:pt>
                <c:pt idx="305">
                  <c:v>1.1100000000000001</c:v>
                </c:pt>
                <c:pt idx="306">
                  <c:v>0.86</c:v>
                </c:pt>
                <c:pt idx="307">
                  <c:v>1.23</c:v>
                </c:pt>
                <c:pt idx="308">
                  <c:v>0.82</c:v>
                </c:pt>
                <c:pt idx="309">
                  <c:v>10.3</c:v>
                </c:pt>
                <c:pt idx="310">
                  <c:v>9.82</c:v>
                </c:pt>
                <c:pt idx="311">
                  <c:v>9.82</c:v>
                </c:pt>
                <c:pt idx="314">
                  <c:v>4.55</c:v>
                </c:pt>
                <c:pt idx="315">
                  <c:v>0.88</c:v>
                </c:pt>
                <c:pt idx="316">
                  <c:v>0.73</c:v>
                </c:pt>
                <c:pt idx="319">
                  <c:v>0.74</c:v>
                </c:pt>
                <c:pt idx="320">
                  <c:v>1.97</c:v>
                </c:pt>
                <c:pt idx="321">
                  <c:v>11</c:v>
                </c:pt>
                <c:pt idx="322">
                  <c:v>1.1000000000000001</c:v>
                </c:pt>
                <c:pt idx="323">
                  <c:v>2.66</c:v>
                </c:pt>
                <c:pt idx="324">
                  <c:v>1.29</c:v>
                </c:pt>
                <c:pt idx="325">
                  <c:v>1.29</c:v>
                </c:pt>
                <c:pt idx="326">
                  <c:v>1.1000000000000001</c:v>
                </c:pt>
                <c:pt idx="327">
                  <c:v>1.62</c:v>
                </c:pt>
                <c:pt idx="329">
                  <c:v>1.79</c:v>
                </c:pt>
                <c:pt idx="332">
                  <c:v>0.79</c:v>
                </c:pt>
                <c:pt idx="333">
                  <c:v>5.74</c:v>
                </c:pt>
                <c:pt idx="334">
                  <c:v>1.05</c:v>
                </c:pt>
                <c:pt idx="335">
                  <c:v>1.05</c:v>
                </c:pt>
                <c:pt idx="336">
                  <c:v>1.07</c:v>
                </c:pt>
                <c:pt idx="339">
                  <c:v>1.22</c:v>
                </c:pt>
                <c:pt idx="340">
                  <c:v>20.9</c:v>
                </c:pt>
                <c:pt idx="341">
                  <c:v>0.9</c:v>
                </c:pt>
                <c:pt idx="342">
                  <c:v>8.0299999999999994</c:v>
                </c:pt>
                <c:pt idx="343">
                  <c:v>1.45</c:v>
                </c:pt>
                <c:pt idx="344">
                  <c:v>1.5</c:v>
                </c:pt>
                <c:pt idx="345">
                  <c:v>0.53</c:v>
                </c:pt>
                <c:pt idx="346">
                  <c:v>0.53</c:v>
                </c:pt>
                <c:pt idx="347">
                  <c:v>25.11</c:v>
                </c:pt>
                <c:pt idx="348">
                  <c:v>0.76</c:v>
                </c:pt>
                <c:pt idx="349">
                  <c:v>2.14</c:v>
                </c:pt>
                <c:pt idx="350">
                  <c:v>1.55</c:v>
                </c:pt>
                <c:pt idx="351">
                  <c:v>1.2</c:v>
                </c:pt>
                <c:pt idx="354">
                  <c:v>1.34</c:v>
                </c:pt>
                <c:pt idx="355">
                  <c:v>1.34</c:v>
                </c:pt>
                <c:pt idx="356">
                  <c:v>4.8899999999999997</c:v>
                </c:pt>
                <c:pt idx="357">
                  <c:v>4.8899999999999997</c:v>
                </c:pt>
                <c:pt idx="358">
                  <c:v>1.1100000000000001</c:v>
                </c:pt>
                <c:pt idx="359">
                  <c:v>20.58</c:v>
                </c:pt>
                <c:pt idx="361">
                  <c:v>2.06</c:v>
                </c:pt>
                <c:pt idx="362">
                  <c:v>1.0900000000000001</c:v>
                </c:pt>
                <c:pt idx="365">
                  <c:v>10.09</c:v>
                </c:pt>
                <c:pt idx="366">
                  <c:v>9.1199999999999992</c:v>
                </c:pt>
                <c:pt idx="367">
                  <c:v>1.07</c:v>
                </c:pt>
                <c:pt idx="369">
                  <c:v>0.74</c:v>
                </c:pt>
                <c:pt idx="370">
                  <c:v>1.05</c:v>
                </c:pt>
                <c:pt idx="371">
                  <c:v>1.05</c:v>
                </c:pt>
                <c:pt idx="372">
                  <c:v>1.05</c:v>
                </c:pt>
                <c:pt idx="373">
                  <c:v>11.02</c:v>
                </c:pt>
                <c:pt idx="374">
                  <c:v>1.2</c:v>
                </c:pt>
                <c:pt idx="375">
                  <c:v>1.2</c:v>
                </c:pt>
                <c:pt idx="376">
                  <c:v>1.32</c:v>
                </c:pt>
                <c:pt idx="377">
                  <c:v>0.76</c:v>
                </c:pt>
                <c:pt idx="378">
                  <c:v>0.76</c:v>
                </c:pt>
                <c:pt idx="379">
                  <c:v>0.85</c:v>
                </c:pt>
                <c:pt idx="381">
                  <c:v>0.85</c:v>
                </c:pt>
                <c:pt idx="382">
                  <c:v>4.4400000000000004</c:v>
                </c:pt>
                <c:pt idx="383">
                  <c:v>1.08</c:v>
                </c:pt>
                <c:pt idx="384">
                  <c:v>2.39</c:v>
                </c:pt>
                <c:pt idx="385">
                  <c:v>38.409999999999997</c:v>
                </c:pt>
                <c:pt idx="386">
                  <c:v>1.34</c:v>
                </c:pt>
                <c:pt idx="387">
                  <c:v>1.0900000000000001</c:v>
                </c:pt>
                <c:pt idx="393">
                  <c:v>1.22</c:v>
                </c:pt>
                <c:pt idx="394">
                  <c:v>1.22</c:v>
                </c:pt>
                <c:pt idx="398">
                  <c:v>3.78</c:v>
                </c:pt>
                <c:pt idx="399">
                  <c:v>1.07</c:v>
                </c:pt>
                <c:pt idx="400">
                  <c:v>0.88</c:v>
                </c:pt>
                <c:pt idx="401">
                  <c:v>1.67</c:v>
                </c:pt>
                <c:pt idx="402">
                  <c:v>1.67</c:v>
                </c:pt>
                <c:pt idx="403">
                  <c:v>1.25</c:v>
                </c:pt>
                <c:pt idx="404">
                  <c:v>11.47</c:v>
                </c:pt>
                <c:pt idx="405">
                  <c:v>2.34</c:v>
                </c:pt>
                <c:pt idx="406">
                  <c:v>12.4</c:v>
                </c:pt>
                <c:pt idx="411">
                  <c:v>1.03</c:v>
                </c:pt>
                <c:pt idx="412">
                  <c:v>1.47</c:v>
                </c:pt>
                <c:pt idx="413">
                  <c:v>1.47</c:v>
                </c:pt>
                <c:pt idx="414">
                  <c:v>1.04</c:v>
                </c:pt>
                <c:pt idx="415">
                  <c:v>4.63</c:v>
                </c:pt>
                <c:pt idx="416">
                  <c:v>1.04</c:v>
                </c:pt>
                <c:pt idx="418">
                  <c:v>0.99</c:v>
                </c:pt>
                <c:pt idx="419">
                  <c:v>1.05</c:v>
                </c:pt>
                <c:pt idx="420">
                  <c:v>10.52</c:v>
                </c:pt>
                <c:pt idx="421">
                  <c:v>5.38</c:v>
                </c:pt>
                <c:pt idx="428">
                  <c:v>5.01</c:v>
                </c:pt>
                <c:pt idx="429">
                  <c:v>2.29</c:v>
                </c:pt>
                <c:pt idx="430">
                  <c:v>2.29</c:v>
                </c:pt>
                <c:pt idx="431">
                  <c:v>1.21</c:v>
                </c:pt>
                <c:pt idx="432">
                  <c:v>1.34</c:v>
                </c:pt>
                <c:pt idx="433">
                  <c:v>1.34</c:v>
                </c:pt>
                <c:pt idx="434">
                  <c:v>1.48</c:v>
                </c:pt>
                <c:pt idx="435">
                  <c:v>3.86</c:v>
                </c:pt>
                <c:pt idx="436">
                  <c:v>1.41</c:v>
                </c:pt>
                <c:pt idx="437">
                  <c:v>1.44</c:v>
                </c:pt>
                <c:pt idx="438">
                  <c:v>4.67</c:v>
                </c:pt>
                <c:pt idx="439">
                  <c:v>0.96</c:v>
                </c:pt>
                <c:pt idx="440">
                  <c:v>1.1499999999999999</c:v>
                </c:pt>
                <c:pt idx="441">
                  <c:v>5.14</c:v>
                </c:pt>
                <c:pt idx="442">
                  <c:v>0.86</c:v>
                </c:pt>
                <c:pt idx="443">
                  <c:v>0.86</c:v>
                </c:pt>
                <c:pt idx="444">
                  <c:v>1.28</c:v>
                </c:pt>
                <c:pt idx="445">
                  <c:v>0.85</c:v>
                </c:pt>
                <c:pt idx="446">
                  <c:v>1.32</c:v>
                </c:pt>
                <c:pt idx="447">
                  <c:v>2.2999999999999998</c:v>
                </c:pt>
                <c:pt idx="448">
                  <c:v>2.2999999999999998</c:v>
                </c:pt>
                <c:pt idx="449">
                  <c:v>5.03</c:v>
                </c:pt>
                <c:pt idx="450">
                  <c:v>1.38</c:v>
                </c:pt>
                <c:pt idx="451">
                  <c:v>1.38</c:v>
                </c:pt>
                <c:pt idx="452">
                  <c:v>0.95</c:v>
                </c:pt>
                <c:pt idx="453">
                  <c:v>0.95</c:v>
                </c:pt>
                <c:pt idx="454">
                  <c:v>2.16</c:v>
                </c:pt>
                <c:pt idx="455">
                  <c:v>0.72</c:v>
                </c:pt>
                <c:pt idx="456">
                  <c:v>1.9</c:v>
                </c:pt>
                <c:pt idx="457">
                  <c:v>4.5</c:v>
                </c:pt>
                <c:pt idx="458">
                  <c:v>50.3</c:v>
                </c:pt>
                <c:pt idx="459">
                  <c:v>1.1200000000000001</c:v>
                </c:pt>
                <c:pt idx="460">
                  <c:v>1.1200000000000001</c:v>
                </c:pt>
                <c:pt idx="461">
                  <c:v>2.13</c:v>
                </c:pt>
                <c:pt idx="462">
                  <c:v>2.13</c:v>
                </c:pt>
                <c:pt idx="463">
                  <c:v>3.49</c:v>
                </c:pt>
                <c:pt idx="464">
                  <c:v>3.49</c:v>
                </c:pt>
                <c:pt idx="469">
                  <c:v>1.48</c:v>
                </c:pt>
                <c:pt idx="470">
                  <c:v>1.72</c:v>
                </c:pt>
                <c:pt idx="471">
                  <c:v>0.75</c:v>
                </c:pt>
                <c:pt idx="472">
                  <c:v>1.76</c:v>
                </c:pt>
                <c:pt idx="473">
                  <c:v>1.76</c:v>
                </c:pt>
                <c:pt idx="475">
                  <c:v>1.1100000000000001</c:v>
                </c:pt>
                <c:pt idx="478">
                  <c:v>0.97</c:v>
                </c:pt>
                <c:pt idx="479">
                  <c:v>0.97</c:v>
                </c:pt>
                <c:pt idx="480">
                  <c:v>0.95</c:v>
                </c:pt>
                <c:pt idx="481">
                  <c:v>1.93</c:v>
                </c:pt>
                <c:pt idx="483">
                  <c:v>4.5</c:v>
                </c:pt>
                <c:pt idx="484">
                  <c:v>1.51</c:v>
                </c:pt>
                <c:pt idx="485">
                  <c:v>1.51</c:v>
                </c:pt>
                <c:pt idx="486">
                  <c:v>1.0900000000000001</c:v>
                </c:pt>
                <c:pt idx="487">
                  <c:v>21.66</c:v>
                </c:pt>
                <c:pt idx="490">
                  <c:v>1.24</c:v>
                </c:pt>
                <c:pt idx="491">
                  <c:v>13.58</c:v>
                </c:pt>
                <c:pt idx="492">
                  <c:v>2.4700000000000002</c:v>
                </c:pt>
                <c:pt idx="493">
                  <c:v>1.01</c:v>
                </c:pt>
                <c:pt idx="494">
                  <c:v>1.55</c:v>
                </c:pt>
                <c:pt idx="495">
                  <c:v>13.5</c:v>
                </c:pt>
                <c:pt idx="496">
                  <c:v>1.75</c:v>
                </c:pt>
                <c:pt idx="497">
                  <c:v>4.1900000000000004</c:v>
                </c:pt>
                <c:pt idx="498">
                  <c:v>0.7</c:v>
                </c:pt>
                <c:pt idx="499">
                  <c:v>1.18</c:v>
                </c:pt>
                <c:pt idx="500">
                  <c:v>0.78</c:v>
                </c:pt>
                <c:pt idx="501">
                  <c:v>0.78</c:v>
                </c:pt>
                <c:pt idx="503">
                  <c:v>3.26</c:v>
                </c:pt>
                <c:pt idx="504">
                  <c:v>3.26</c:v>
                </c:pt>
                <c:pt idx="505">
                  <c:v>1.08</c:v>
                </c:pt>
                <c:pt idx="506">
                  <c:v>1.63</c:v>
                </c:pt>
                <c:pt idx="508">
                  <c:v>4.0599999999999996</c:v>
                </c:pt>
                <c:pt idx="509">
                  <c:v>3.13</c:v>
                </c:pt>
                <c:pt idx="510">
                  <c:v>8.1300000000000008</c:v>
                </c:pt>
                <c:pt idx="511">
                  <c:v>4.16</c:v>
                </c:pt>
                <c:pt idx="512">
                  <c:v>1.05</c:v>
                </c:pt>
                <c:pt idx="513">
                  <c:v>4.71</c:v>
                </c:pt>
                <c:pt idx="514">
                  <c:v>0.79</c:v>
                </c:pt>
                <c:pt idx="515">
                  <c:v>0.79</c:v>
                </c:pt>
                <c:pt idx="516">
                  <c:v>0.79</c:v>
                </c:pt>
                <c:pt idx="517">
                  <c:v>1.5</c:v>
                </c:pt>
                <c:pt idx="518">
                  <c:v>1.23</c:v>
                </c:pt>
                <c:pt idx="519">
                  <c:v>1.23</c:v>
                </c:pt>
                <c:pt idx="520">
                  <c:v>2</c:v>
                </c:pt>
                <c:pt idx="524">
                  <c:v>5.13</c:v>
                </c:pt>
                <c:pt idx="526">
                  <c:v>0.75</c:v>
                </c:pt>
                <c:pt idx="527">
                  <c:v>1.1399999999999999</c:v>
                </c:pt>
                <c:pt idx="528">
                  <c:v>1.1399999999999999</c:v>
                </c:pt>
                <c:pt idx="529">
                  <c:v>1.45</c:v>
                </c:pt>
                <c:pt idx="530">
                  <c:v>1.53</c:v>
                </c:pt>
                <c:pt idx="532">
                  <c:v>0.74</c:v>
                </c:pt>
                <c:pt idx="535">
                  <c:v>4.41</c:v>
                </c:pt>
                <c:pt idx="536">
                  <c:v>1.48</c:v>
                </c:pt>
                <c:pt idx="537">
                  <c:v>1.42</c:v>
                </c:pt>
                <c:pt idx="538">
                  <c:v>1.73</c:v>
                </c:pt>
                <c:pt idx="539">
                  <c:v>1.31</c:v>
                </c:pt>
                <c:pt idx="544">
                  <c:v>4.92</c:v>
                </c:pt>
                <c:pt idx="545">
                  <c:v>4.92</c:v>
                </c:pt>
                <c:pt idx="546">
                  <c:v>1.03</c:v>
                </c:pt>
                <c:pt idx="547">
                  <c:v>6.43</c:v>
                </c:pt>
                <c:pt idx="548">
                  <c:v>6.43</c:v>
                </c:pt>
                <c:pt idx="549">
                  <c:v>2.59</c:v>
                </c:pt>
                <c:pt idx="551">
                  <c:v>1.33</c:v>
                </c:pt>
                <c:pt idx="552">
                  <c:v>1.19</c:v>
                </c:pt>
                <c:pt idx="553">
                  <c:v>1.1000000000000001</c:v>
                </c:pt>
                <c:pt idx="554">
                  <c:v>1.1000000000000001</c:v>
                </c:pt>
                <c:pt idx="555">
                  <c:v>0.78</c:v>
                </c:pt>
                <c:pt idx="556">
                  <c:v>1.33</c:v>
                </c:pt>
                <c:pt idx="558">
                  <c:v>6.12</c:v>
                </c:pt>
                <c:pt idx="563">
                  <c:v>1.1100000000000001</c:v>
                </c:pt>
                <c:pt idx="564">
                  <c:v>0.89</c:v>
                </c:pt>
                <c:pt idx="565">
                  <c:v>0.89</c:v>
                </c:pt>
                <c:pt idx="571">
                  <c:v>51.1</c:v>
                </c:pt>
                <c:pt idx="572">
                  <c:v>0.76</c:v>
                </c:pt>
                <c:pt idx="573">
                  <c:v>4.9800000000000004</c:v>
                </c:pt>
                <c:pt idx="574">
                  <c:v>1.19</c:v>
                </c:pt>
                <c:pt idx="576">
                  <c:v>1.07</c:v>
                </c:pt>
                <c:pt idx="577">
                  <c:v>4.92</c:v>
                </c:pt>
                <c:pt idx="578">
                  <c:v>1.1299999999999999</c:v>
                </c:pt>
                <c:pt idx="580">
                  <c:v>1.1599999999999999</c:v>
                </c:pt>
                <c:pt idx="581">
                  <c:v>5.27</c:v>
                </c:pt>
                <c:pt idx="582">
                  <c:v>1.51</c:v>
                </c:pt>
                <c:pt idx="584">
                  <c:v>2.04</c:v>
                </c:pt>
                <c:pt idx="585">
                  <c:v>0.73</c:v>
                </c:pt>
                <c:pt idx="586">
                  <c:v>0.73</c:v>
                </c:pt>
                <c:pt idx="587">
                  <c:v>0.73</c:v>
                </c:pt>
                <c:pt idx="588">
                  <c:v>0.73</c:v>
                </c:pt>
                <c:pt idx="589">
                  <c:v>0.85</c:v>
                </c:pt>
                <c:pt idx="590">
                  <c:v>0.85</c:v>
                </c:pt>
                <c:pt idx="593">
                  <c:v>9.83</c:v>
                </c:pt>
                <c:pt idx="594">
                  <c:v>0.93</c:v>
                </c:pt>
                <c:pt idx="597">
                  <c:v>1.1100000000000001</c:v>
                </c:pt>
                <c:pt idx="598">
                  <c:v>1.1100000000000001</c:v>
                </c:pt>
                <c:pt idx="599">
                  <c:v>0.69</c:v>
                </c:pt>
                <c:pt idx="600">
                  <c:v>1.27</c:v>
                </c:pt>
                <c:pt idx="601">
                  <c:v>1.21</c:v>
                </c:pt>
                <c:pt idx="602">
                  <c:v>0.85</c:v>
                </c:pt>
                <c:pt idx="603">
                  <c:v>1.91</c:v>
                </c:pt>
                <c:pt idx="604">
                  <c:v>0.78</c:v>
                </c:pt>
                <c:pt idx="605">
                  <c:v>0.78</c:v>
                </c:pt>
                <c:pt idx="606">
                  <c:v>0.78</c:v>
                </c:pt>
                <c:pt idx="607">
                  <c:v>0.78</c:v>
                </c:pt>
                <c:pt idx="608">
                  <c:v>0.78</c:v>
                </c:pt>
                <c:pt idx="609">
                  <c:v>0.78</c:v>
                </c:pt>
                <c:pt idx="610">
                  <c:v>2.9</c:v>
                </c:pt>
                <c:pt idx="611">
                  <c:v>1.03</c:v>
                </c:pt>
                <c:pt idx="612">
                  <c:v>1.61</c:v>
                </c:pt>
                <c:pt idx="613">
                  <c:v>1.61</c:v>
                </c:pt>
                <c:pt idx="614">
                  <c:v>54.92</c:v>
                </c:pt>
                <c:pt idx="615">
                  <c:v>1.07</c:v>
                </c:pt>
                <c:pt idx="619">
                  <c:v>2.94</c:v>
                </c:pt>
                <c:pt idx="622">
                  <c:v>4.0999999999999996</c:v>
                </c:pt>
                <c:pt idx="623">
                  <c:v>1.85</c:v>
                </c:pt>
                <c:pt idx="624">
                  <c:v>1.1299999999999999</c:v>
                </c:pt>
                <c:pt idx="625">
                  <c:v>1.54</c:v>
                </c:pt>
                <c:pt idx="626">
                  <c:v>1.93</c:v>
                </c:pt>
                <c:pt idx="628">
                  <c:v>1.07</c:v>
                </c:pt>
                <c:pt idx="629">
                  <c:v>1.64</c:v>
                </c:pt>
                <c:pt idx="630">
                  <c:v>1.53</c:v>
                </c:pt>
                <c:pt idx="631">
                  <c:v>10.9</c:v>
                </c:pt>
                <c:pt idx="632">
                  <c:v>0.73</c:v>
                </c:pt>
                <c:pt idx="633">
                  <c:v>0.73</c:v>
                </c:pt>
                <c:pt idx="634">
                  <c:v>1.53</c:v>
                </c:pt>
                <c:pt idx="635">
                  <c:v>12.73</c:v>
                </c:pt>
                <c:pt idx="637">
                  <c:v>71.23</c:v>
                </c:pt>
                <c:pt idx="638">
                  <c:v>1.3</c:v>
                </c:pt>
                <c:pt idx="639">
                  <c:v>40</c:v>
                </c:pt>
                <c:pt idx="641">
                  <c:v>0.83</c:v>
                </c:pt>
                <c:pt idx="642">
                  <c:v>1.18</c:v>
                </c:pt>
                <c:pt idx="643">
                  <c:v>0.94</c:v>
                </c:pt>
                <c:pt idx="644">
                  <c:v>0.87</c:v>
                </c:pt>
                <c:pt idx="646">
                  <c:v>1</c:v>
                </c:pt>
                <c:pt idx="650">
                  <c:v>1.03</c:v>
                </c:pt>
                <c:pt idx="651">
                  <c:v>1.48</c:v>
                </c:pt>
                <c:pt idx="652">
                  <c:v>0.69</c:v>
                </c:pt>
                <c:pt idx="653">
                  <c:v>0.45</c:v>
                </c:pt>
                <c:pt idx="654">
                  <c:v>6.48</c:v>
                </c:pt>
                <c:pt idx="655">
                  <c:v>0.85</c:v>
                </c:pt>
                <c:pt idx="656">
                  <c:v>0.95</c:v>
                </c:pt>
                <c:pt idx="657">
                  <c:v>10.76</c:v>
                </c:pt>
                <c:pt idx="658">
                  <c:v>1.1299999999999999</c:v>
                </c:pt>
                <c:pt idx="659">
                  <c:v>1.1299999999999999</c:v>
                </c:pt>
                <c:pt idx="660">
                  <c:v>1.61</c:v>
                </c:pt>
                <c:pt idx="661">
                  <c:v>0.91</c:v>
                </c:pt>
                <c:pt idx="662">
                  <c:v>4.4000000000000004</c:v>
                </c:pt>
                <c:pt idx="663">
                  <c:v>1.75</c:v>
                </c:pt>
                <c:pt idx="667">
                  <c:v>0.87</c:v>
                </c:pt>
                <c:pt idx="668">
                  <c:v>0.87</c:v>
                </c:pt>
                <c:pt idx="669">
                  <c:v>0.87</c:v>
                </c:pt>
                <c:pt idx="670">
                  <c:v>10.220000000000001</c:v>
                </c:pt>
                <c:pt idx="672">
                  <c:v>0.84</c:v>
                </c:pt>
                <c:pt idx="673">
                  <c:v>4.45</c:v>
                </c:pt>
                <c:pt idx="674">
                  <c:v>4.45</c:v>
                </c:pt>
                <c:pt idx="675">
                  <c:v>1.97</c:v>
                </c:pt>
                <c:pt idx="677">
                  <c:v>5.39</c:v>
                </c:pt>
                <c:pt idx="678">
                  <c:v>5.39</c:v>
                </c:pt>
                <c:pt idx="679">
                  <c:v>1.38</c:v>
                </c:pt>
                <c:pt idx="680">
                  <c:v>1.38</c:v>
                </c:pt>
                <c:pt idx="681">
                  <c:v>1.38</c:v>
                </c:pt>
                <c:pt idx="682">
                  <c:v>1.38</c:v>
                </c:pt>
                <c:pt idx="683">
                  <c:v>1.38</c:v>
                </c:pt>
                <c:pt idx="684">
                  <c:v>1.38</c:v>
                </c:pt>
                <c:pt idx="690">
                  <c:v>0.91</c:v>
                </c:pt>
                <c:pt idx="691">
                  <c:v>0.91</c:v>
                </c:pt>
                <c:pt idx="692">
                  <c:v>1.49</c:v>
                </c:pt>
                <c:pt idx="693">
                  <c:v>2.56</c:v>
                </c:pt>
                <c:pt idx="694">
                  <c:v>2.56</c:v>
                </c:pt>
                <c:pt idx="695">
                  <c:v>2.41</c:v>
                </c:pt>
                <c:pt idx="696">
                  <c:v>1.1000000000000001</c:v>
                </c:pt>
                <c:pt idx="703">
                  <c:v>8.56</c:v>
                </c:pt>
                <c:pt idx="704">
                  <c:v>1.21</c:v>
                </c:pt>
                <c:pt idx="708">
                  <c:v>0.82</c:v>
                </c:pt>
                <c:pt idx="709">
                  <c:v>1.42</c:v>
                </c:pt>
                <c:pt idx="710">
                  <c:v>1.42</c:v>
                </c:pt>
                <c:pt idx="711">
                  <c:v>0.92</c:v>
                </c:pt>
                <c:pt idx="712">
                  <c:v>1</c:v>
                </c:pt>
                <c:pt idx="713">
                  <c:v>1.02</c:v>
                </c:pt>
                <c:pt idx="714">
                  <c:v>5.14</c:v>
                </c:pt>
                <c:pt idx="715">
                  <c:v>1</c:v>
                </c:pt>
                <c:pt idx="716">
                  <c:v>1.6</c:v>
                </c:pt>
                <c:pt idx="717">
                  <c:v>1.32</c:v>
                </c:pt>
                <c:pt idx="723">
                  <c:v>0.94</c:v>
                </c:pt>
                <c:pt idx="725">
                  <c:v>1.08</c:v>
                </c:pt>
                <c:pt idx="726">
                  <c:v>1.08</c:v>
                </c:pt>
                <c:pt idx="727">
                  <c:v>5.4</c:v>
                </c:pt>
                <c:pt idx="728">
                  <c:v>5.4</c:v>
                </c:pt>
                <c:pt idx="729">
                  <c:v>7.3</c:v>
                </c:pt>
                <c:pt idx="730">
                  <c:v>7.3</c:v>
                </c:pt>
                <c:pt idx="731">
                  <c:v>22.39</c:v>
                </c:pt>
                <c:pt idx="732">
                  <c:v>2.0499999999999998</c:v>
                </c:pt>
                <c:pt idx="733">
                  <c:v>5.01</c:v>
                </c:pt>
                <c:pt idx="734">
                  <c:v>1.02</c:v>
                </c:pt>
                <c:pt idx="735">
                  <c:v>1.42</c:v>
                </c:pt>
                <c:pt idx="736">
                  <c:v>1.42</c:v>
                </c:pt>
                <c:pt idx="737">
                  <c:v>1.02</c:v>
                </c:pt>
                <c:pt idx="741">
                  <c:v>4.0599999999999996</c:v>
                </c:pt>
                <c:pt idx="742">
                  <c:v>4.0599999999999996</c:v>
                </c:pt>
                <c:pt idx="743">
                  <c:v>1.52</c:v>
                </c:pt>
                <c:pt idx="744">
                  <c:v>9.09</c:v>
                </c:pt>
                <c:pt idx="745">
                  <c:v>5.14</c:v>
                </c:pt>
                <c:pt idx="746">
                  <c:v>1.01</c:v>
                </c:pt>
                <c:pt idx="747">
                  <c:v>10.64</c:v>
                </c:pt>
                <c:pt idx="748">
                  <c:v>13.2</c:v>
                </c:pt>
                <c:pt idx="749">
                  <c:v>2.57</c:v>
                </c:pt>
                <c:pt idx="750">
                  <c:v>2.57</c:v>
                </c:pt>
                <c:pt idx="751">
                  <c:v>8.31</c:v>
                </c:pt>
                <c:pt idx="752">
                  <c:v>0.77</c:v>
                </c:pt>
                <c:pt idx="753">
                  <c:v>0.83</c:v>
                </c:pt>
                <c:pt idx="755">
                  <c:v>1.1200000000000001</c:v>
                </c:pt>
                <c:pt idx="758">
                  <c:v>21.4</c:v>
                </c:pt>
                <c:pt idx="759">
                  <c:v>1.1299999999999999</c:v>
                </c:pt>
                <c:pt idx="760">
                  <c:v>1.55</c:v>
                </c:pt>
                <c:pt idx="761">
                  <c:v>1.55</c:v>
                </c:pt>
                <c:pt idx="762">
                  <c:v>0.95</c:v>
                </c:pt>
                <c:pt idx="763">
                  <c:v>1.02</c:v>
                </c:pt>
                <c:pt idx="764">
                  <c:v>1.19</c:v>
                </c:pt>
                <c:pt idx="769">
                  <c:v>1.02</c:v>
                </c:pt>
                <c:pt idx="770">
                  <c:v>0.97</c:v>
                </c:pt>
                <c:pt idx="771">
                  <c:v>4.96</c:v>
                </c:pt>
                <c:pt idx="772">
                  <c:v>1.46</c:v>
                </c:pt>
                <c:pt idx="773">
                  <c:v>1.22</c:v>
                </c:pt>
                <c:pt idx="774">
                  <c:v>1.04</c:v>
                </c:pt>
                <c:pt idx="775">
                  <c:v>1.53</c:v>
                </c:pt>
                <c:pt idx="776">
                  <c:v>1.53</c:v>
                </c:pt>
                <c:pt idx="777">
                  <c:v>2.58</c:v>
                </c:pt>
                <c:pt idx="781">
                  <c:v>1.23</c:v>
                </c:pt>
                <c:pt idx="782">
                  <c:v>3.4</c:v>
                </c:pt>
                <c:pt idx="783">
                  <c:v>3.4</c:v>
                </c:pt>
                <c:pt idx="784">
                  <c:v>1.58</c:v>
                </c:pt>
                <c:pt idx="785">
                  <c:v>1.37</c:v>
                </c:pt>
                <c:pt idx="786">
                  <c:v>7.47</c:v>
                </c:pt>
                <c:pt idx="787">
                  <c:v>0.97</c:v>
                </c:pt>
                <c:pt idx="788">
                  <c:v>0.78</c:v>
                </c:pt>
                <c:pt idx="789">
                  <c:v>0.78</c:v>
                </c:pt>
                <c:pt idx="790">
                  <c:v>0.78</c:v>
                </c:pt>
                <c:pt idx="791">
                  <c:v>1.05</c:v>
                </c:pt>
                <c:pt idx="792">
                  <c:v>1.04</c:v>
                </c:pt>
                <c:pt idx="793">
                  <c:v>0.91</c:v>
                </c:pt>
                <c:pt idx="794">
                  <c:v>13</c:v>
                </c:pt>
                <c:pt idx="795">
                  <c:v>5.26</c:v>
                </c:pt>
                <c:pt idx="799">
                  <c:v>0.94</c:v>
                </c:pt>
                <c:pt idx="800">
                  <c:v>1.19</c:v>
                </c:pt>
                <c:pt idx="802">
                  <c:v>0.71</c:v>
                </c:pt>
                <c:pt idx="803">
                  <c:v>1.38</c:v>
                </c:pt>
                <c:pt idx="804">
                  <c:v>1.46</c:v>
                </c:pt>
                <c:pt idx="805">
                  <c:v>1.02</c:v>
                </c:pt>
                <c:pt idx="806">
                  <c:v>1.88</c:v>
                </c:pt>
                <c:pt idx="807">
                  <c:v>1.39</c:v>
                </c:pt>
                <c:pt idx="808">
                  <c:v>8.8000000000000007</c:v>
                </c:pt>
                <c:pt idx="809">
                  <c:v>1.55</c:v>
                </c:pt>
                <c:pt idx="810">
                  <c:v>0.79</c:v>
                </c:pt>
                <c:pt idx="811">
                  <c:v>2.2000000000000002</c:v>
                </c:pt>
                <c:pt idx="812">
                  <c:v>1.1000000000000001</c:v>
                </c:pt>
                <c:pt idx="813">
                  <c:v>1.75</c:v>
                </c:pt>
                <c:pt idx="816">
                  <c:v>1.67</c:v>
                </c:pt>
                <c:pt idx="817">
                  <c:v>1.1399999999999999</c:v>
                </c:pt>
                <c:pt idx="818">
                  <c:v>1.1399999999999999</c:v>
                </c:pt>
                <c:pt idx="819">
                  <c:v>1.58</c:v>
                </c:pt>
                <c:pt idx="821">
                  <c:v>1</c:v>
                </c:pt>
                <c:pt idx="822">
                  <c:v>1</c:v>
                </c:pt>
                <c:pt idx="823">
                  <c:v>4.2</c:v>
                </c:pt>
                <c:pt idx="825">
                  <c:v>5.08</c:v>
                </c:pt>
                <c:pt idx="826">
                  <c:v>5.08</c:v>
                </c:pt>
                <c:pt idx="827">
                  <c:v>41.01</c:v>
                </c:pt>
                <c:pt idx="828">
                  <c:v>0.84</c:v>
                </c:pt>
                <c:pt idx="829">
                  <c:v>4.75</c:v>
                </c:pt>
                <c:pt idx="830">
                  <c:v>51.1</c:v>
                </c:pt>
                <c:pt idx="831">
                  <c:v>1.94</c:v>
                </c:pt>
                <c:pt idx="832">
                  <c:v>0.74</c:v>
                </c:pt>
                <c:pt idx="833">
                  <c:v>4.5999999999999996</c:v>
                </c:pt>
                <c:pt idx="834">
                  <c:v>1.01</c:v>
                </c:pt>
                <c:pt idx="835">
                  <c:v>0.93</c:v>
                </c:pt>
                <c:pt idx="836">
                  <c:v>0.98</c:v>
                </c:pt>
                <c:pt idx="837">
                  <c:v>0.83</c:v>
                </c:pt>
                <c:pt idx="838">
                  <c:v>5.52</c:v>
                </c:pt>
                <c:pt idx="839">
                  <c:v>5.52</c:v>
                </c:pt>
                <c:pt idx="841">
                  <c:v>11.6</c:v>
                </c:pt>
                <c:pt idx="844">
                  <c:v>0.72</c:v>
                </c:pt>
                <c:pt idx="845">
                  <c:v>0.65</c:v>
                </c:pt>
                <c:pt idx="846">
                  <c:v>1.07</c:v>
                </c:pt>
                <c:pt idx="847">
                  <c:v>1.07</c:v>
                </c:pt>
                <c:pt idx="848">
                  <c:v>1.07</c:v>
                </c:pt>
                <c:pt idx="850">
                  <c:v>1.4</c:v>
                </c:pt>
                <c:pt idx="851">
                  <c:v>1.4</c:v>
                </c:pt>
                <c:pt idx="852">
                  <c:v>1.4</c:v>
                </c:pt>
                <c:pt idx="853">
                  <c:v>1.4</c:v>
                </c:pt>
                <c:pt idx="854">
                  <c:v>1.4</c:v>
                </c:pt>
                <c:pt idx="855">
                  <c:v>0.75</c:v>
                </c:pt>
                <c:pt idx="856">
                  <c:v>0.75</c:v>
                </c:pt>
                <c:pt idx="859">
                  <c:v>0.78</c:v>
                </c:pt>
                <c:pt idx="860">
                  <c:v>0.78</c:v>
                </c:pt>
                <c:pt idx="861">
                  <c:v>0.78</c:v>
                </c:pt>
                <c:pt idx="865">
                  <c:v>1.77</c:v>
                </c:pt>
                <c:pt idx="866">
                  <c:v>8.93</c:v>
                </c:pt>
                <c:pt idx="867">
                  <c:v>8.69</c:v>
                </c:pt>
                <c:pt idx="868">
                  <c:v>5.92</c:v>
                </c:pt>
                <c:pt idx="869">
                  <c:v>5.92</c:v>
                </c:pt>
                <c:pt idx="872">
                  <c:v>5.77</c:v>
                </c:pt>
                <c:pt idx="874">
                  <c:v>0.54</c:v>
                </c:pt>
                <c:pt idx="875">
                  <c:v>7.83</c:v>
                </c:pt>
                <c:pt idx="876">
                  <c:v>0.89</c:v>
                </c:pt>
                <c:pt idx="877">
                  <c:v>5.34</c:v>
                </c:pt>
                <c:pt idx="878">
                  <c:v>1.04</c:v>
                </c:pt>
                <c:pt idx="880">
                  <c:v>1.1299999999999999</c:v>
                </c:pt>
                <c:pt idx="886">
                  <c:v>0.98</c:v>
                </c:pt>
                <c:pt idx="887">
                  <c:v>1.22</c:v>
                </c:pt>
                <c:pt idx="888">
                  <c:v>0.73</c:v>
                </c:pt>
                <c:pt idx="889">
                  <c:v>0.71</c:v>
                </c:pt>
                <c:pt idx="890">
                  <c:v>0.49</c:v>
                </c:pt>
                <c:pt idx="891">
                  <c:v>0.91</c:v>
                </c:pt>
                <c:pt idx="892">
                  <c:v>1.81</c:v>
                </c:pt>
                <c:pt idx="893">
                  <c:v>1.76</c:v>
                </c:pt>
                <c:pt idx="894">
                  <c:v>5.15</c:v>
                </c:pt>
                <c:pt idx="895">
                  <c:v>0.71</c:v>
                </c:pt>
                <c:pt idx="896">
                  <c:v>1.23</c:v>
                </c:pt>
                <c:pt idx="897">
                  <c:v>1.24</c:v>
                </c:pt>
                <c:pt idx="898">
                  <c:v>0.84</c:v>
                </c:pt>
                <c:pt idx="899">
                  <c:v>0.88</c:v>
                </c:pt>
                <c:pt idx="900">
                  <c:v>0.67</c:v>
                </c:pt>
                <c:pt idx="901">
                  <c:v>0.51</c:v>
                </c:pt>
                <c:pt idx="902">
                  <c:v>0.51</c:v>
                </c:pt>
                <c:pt idx="903">
                  <c:v>0.73</c:v>
                </c:pt>
                <c:pt idx="904">
                  <c:v>0.71</c:v>
                </c:pt>
                <c:pt idx="905">
                  <c:v>1.01</c:v>
                </c:pt>
                <c:pt idx="906">
                  <c:v>0.67</c:v>
                </c:pt>
                <c:pt idx="907">
                  <c:v>0.68</c:v>
                </c:pt>
                <c:pt idx="908">
                  <c:v>0.6</c:v>
                </c:pt>
                <c:pt idx="909">
                  <c:v>0.59</c:v>
                </c:pt>
                <c:pt idx="910">
                  <c:v>0.39</c:v>
                </c:pt>
                <c:pt idx="911">
                  <c:v>0.4</c:v>
                </c:pt>
                <c:pt idx="912">
                  <c:v>0.65</c:v>
                </c:pt>
                <c:pt idx="913">
                  <c:v>0.66</c:v>
                </c:pt>
                <c:pt idx="914">
                  <c:v>0.78</c:v>
                </c:pt>
                <c:pt idx="915">
                  <c:v>0.36</c:v>
                </c:pt>
                <c:pt idx="916">
                  <c:v>0.78</c:v>
                </c:pt>
                <c:pt idx="917">
                  <c:v>0.74</c:v>
                </c:pt>
                <c:pt idx="918">
                  <c:v>0.75</c:v>
                </c:pt>
                <c:pt idx="919">
                  <c:v>3.85</c:v>
                </c:pt>
                <c:pt idx="920">
                  <c:v>0.46</c:v>
                </c:pt>
                <c:pt idx="921">
                  <c:v>0.46</c:v>
                </c:pt>
                <c:pt idx="922">
                  <c:v>0.46</c:v>
                </c:pt>
                <c:pt idx="923">
                  <c:v>0.46</c:v>
                </c:pt>
                <c:pt idx="924">
                  <c:v>0.66</c:v>
                </c:pt>
                <c:pt idx="925">
                  <c:v>0.66</c:v>
                </c:pt>
                <c:pt idx="926">
                  <c:v>0.66</c:v>
                </c:pt>
                <c:pt idx="927">
                  <c:v>0.44</c:v>
                </c:pt>
                <c:pt idx="928">
                  <c:v>0.86</c:v>
                </c:pt>
                <c:pt idx="929">
                  <c:v>0.86</c:v>
                </c:pt>
                <c:pt idx="930">
                  <c:v>0.86</c:v>
                </c:pt>
                <c:pt idx="931">
                  <c:v>0.86</c:v>
                </c:pt>
                <c:pt idx="932">
                  <c:v>0.86</c:v>
                </c:pt>
                <c:pt idx="933">
                  <c:v>0.88</c:v>
                </c:pt>
                <c:pt idx="934">
                  <c:v>0.45</c:v>
                </c:pt>
                <c:pt idx="935">
                  <c:v>0.99</c:v>
                </c:pt>
                <c:pt idx="936">
                  <c:v>0.68</c:v>
                </c:pt>
                <c:pt idx="937">
                  <c:v>0.68</c:v>
                </c:pt>
                <c:pt idx="938">
                  <c:v>0.33</c:v>
                </c:pt>
                <c:pt idx="939">
                  <c:v>0.55000000000000004</c:v>
                </c:pt>
                <c:pt idx="940">
                  <c:v>0.63</c:v>
                </c:pt>
                <c:pt idx="941">
                  <c:v>0.63</c:v>
                </c:pt>
                <c:pt idx="942">
                  <c:v>0.63</c:v>
                </c:pt>
                <c:pt idx="943">
                  <c:v>0.56999999999999995</c:v>
                </c:pt>
                <c:pt idx="944">
                  <c:v>0.68</c:v>
                </c:pt>
                <c:pt idx="945">
                  <c:v>0.44</c:v>
                </c:pt>
                <c:pt idx="946">
                  <c:v>0.45</c:v>
                </c:pt>
                <c:pt idx="947">
                  <c:v>0.61</c:v>
                </c:pt>
                <c:pt idx="948">
                  <c:v>0.53</c:v>
                </c:pt>
                <c:pt idx="949">
                  <c:v>0.63</c:v>
                </c:pt>
                <c:pt idx="950">
                  <c:v>0.63</c:v>
                </c:pt>
                <c:pt idx="951">
                  <c:v>0.57999999999999996</c:v>
                </c:pt>
                <c:pt idx="952">
                  <c:v>0.57999999999999996</c:v>
                </c:pt>
                <c:pt idx="953">
                  <c:v>0.57999999999999996</c:v>
                </c:pt>
                <c:pt idx="954">
                  <c:v>0.66</c:v>
                </c:pt>
                <c:pt idx="955">
                  <c:v>0.88</c:v>
                </c:pt>
                <c:pt idx="956">
                  <c:v>0.95</c:v>
                </c:pt>
                <c:pt idx="957">
                  <c:v>0.95</c:v>
                </c:pt>
                <c:pt idx="958">
                  <c:v>0.83</c:v>
                </c:pt>
                <c:pt idx="959">
                  <c:v>0.66</c:v>
                </c:pt>
                <c:pt idx="960">
                  <c:v>0.66</c:v>
                </c:pt>
                <c:pt idx="961">
                  <c:v>0.91</c:v>
                </c:pt>
                <c:pt idx="962">
                  <c:v>2.57</c:v>
                </c:pt>
                <c:pt idx="963">
                  <c:v>0.69</c:v>
                </c:pt>
                <c:pt idx="964">
                  <c:v>0.76</c:v>
                </c:pt>
                <c:pt idx="965">
                  <c:v>2.2000000000000002</c:v>
                </c:pt>
                <c:pt idx="966">
                  <c:v>0.8</c:v>
                </c:pt>
                <c:pt idx="967">
                  <c:v>0.8</c:v>
                </c:pt>
                <c:pt idx="968">
                  <c:v>0.8</c:v>
                </c:pt>
                <c:pt idx="969">
                  <c:v>1.61</c:v>
                </c:pt>
                <c:pt idx="970">
                  <c:v>1.83</c:v>
                </c:pt>
                <c:pt idx="971">
                  <c:v>0.87</c:v>
                </c:pt>
                <c:pt idx="972">
                  <c:v>0.92</c:v>
                </c:pt>
                <c:pt idx="973">
                  <c:v>0.66</c:v>
                </c:pt>
                <c:pt idx="974">
                  <c:v>0.98</c:v>
                </c:pt>
                <c:pt idx="975">
                  <c:v>0.98</c:v>
                </c:pt>
                <c:pt idx="976">
                  <c:v>1.72</c:v>
                </c:pt>
                <c:pt idx="977">
                  <c:v>0.87</c:v>
                </c:pt>
                <c:pt idx="978">
                  <c:v>0.87</c:v>
                </c:pt>
                <c:pt idx="979">
                  <c:v>0.84</c:v>
                </c:pt>
                <c:pt idx="980">
                  <c:v>0.68</c:v>
                </c:pt>
                <c:pt idx="981">
                  <c:v>1.42</c:v>
                </c:pt>
                <c:pt idx="982">
                  <c:v>0.86</c:v>
                </c:pt>
                <c:pt idx="983">
                  <c:v>1.21</c:v>
                </c:pt>
                <c:pt idx="984">
                  <c:v>0.89</c:v>
                </c:pt>
                <c:pt idx="985">
                  <c:v>0.77</c:v>
                </c:pt>
                <c:pt idx="986">
                  <c:v>0.41</c:v>
                </c:pt>
                <c:pt idx="987">
                  <c:v>0.41</c:v>
                </c:pt>
                <c:pt idx="988">
                  <c:v>0.72</c:v>
                </c:pt>
                <c:pt idx="989">
                  <c:v>1.07</c:v>
                </c:pt>
                <c:pt idx="990">
                  <c:v>0.8</c:v>
                </c:pt>
                <c:pt idx="991">
                  <c:v>0.97</c:v>
                </c:pt>
                <c:pt idx="992">
                  <c:v>0.97</c:v>
                </c:pt>
                <c:pt idx="993">
                  <c:v>0.97</c:v>
                </c:pt>
                <c:pt idx="994">
                  <c:v>0.78</c:v>
                </c:pt>
                <c:pt idx="995">
                  <c:v>0.91</c:v>
                </c:pt>
                <c:pt idx="996">
                  <c:v>0.98</c:v>
                </c:pt>
                <c:pt idx="997">
                  <c:v>0.92</c:v>
                </c:pt>
                <c:pt idx="998">
                  <c:v>0.92</c:v>
                </c:pt>
                <c:pt idx="999">
                  <c:v>0.92</c:v>
                </c:pt>
                <c:pt idx="1000">
                  <c:v>0.92</c:v>
                </c:pt>
                <c:pt idx="1001">
                  <c:v>1.19</c:v>
                </c:pt>
                <c:pt idx="1002">
                  <c:v>1.19</c:v>
                </c:pt>
                <c:pt idx="1003">
                  <c:v>0.87</c:v>
                </c:pt>
                <c:pt idx="1004">
                  <c:v>0.87</c:v>
                </c:pt>
                <c:pt idx="1005">
                  <c:v>0.86</c:v>
                </c:pt>
                <c:pt idx="1006">
                  <c:v>0.86</c:v>
                </c:pt>
                <c:pt idx="1007">
                  <c:v>0.86</c:v>
                </c:pt>
                <c:pt idx="1008">
                  <c:v>0.91</c:v>
                </c:pt>
                <c:pt idx="1009">
                  <c:v>0.91</c:v>
                </c:pt>
                <c:pt idx="1010">
                  <c:v>0.84</c:v>
                </c:pt>
                <c:pt idx="1011">
                  <c:v>0.81</c:v>
                </c:pt>
                <c:pt idx="1012">
                  <c:v>0.98</c:v>
                </c:pt>
                <c:pt idx="1013">
                  <c:v>1.28</c:v>
                </c:pt>
                <c:pt idx="1014">
                  <c:v>0.99</c:v>
                </c:pt>
                <c:pt idx="1015">
                  <c:v>0.99</c:v>
                </c:pt>
                <c:pt idx="1016">
                  <c:v>1.54</c:v>
                </c:pt>
                <c:pt idx="1017">
                  <c:v>0.93</c:v>
                </c:pt>
                <c:pt idx="1018">
                  <c:v>0.78</c:v>
                </c:pt>
                <c:pt idx="1019">
                  <c:v>0.68</c:v>
                </c:pt>
                <c:pt idx="1020">
                  <c:v>0.68</c:v>
                </c:pt>
                <c:pt idx="1021">
                  <c:v>0.79</c:v>
                </c:pt>
                <c:pt idx="1022">
                  <c:v>0.88</c:v>
                </c:pt>
                <c:pt idx="1023">
                  <c:v>0.88</c:v>
                </c:pt>
                <c:pt idx="1024">
                  <c:v>0.91</c:v>
                </c:pt>
                <c:pt idx="1025">
                  <c:v>0.76</c:v>
                </c:pt>
                <c:pt idx="1026">
                  <c:v>1.18</c:v>
                </c:pt>
                <c:pt idx="1027">
                  <c:v>1.08</c:v>
                </c:pt>
                <c:pt idx="1028">
                  <c:v>0.76</c:v>
                </c:pt>
                <c:pt idx="1029">
                  <c:v>0.93</c:v>
                </c:pt>
                <c:pt idx="1030">
                  <c:v>0.86</c:v>
                </c:pt>
                <c:pt idx="1031">
                  <c:v>0.71</c:v>
                </c:pt>
                <c:pt idx="1032">
                  <c:v>0.65</c:v>
                </c:pt>
                <c:pt idx="1033">
                  <c:v>0.65</c:v>
                </c:pt>
                <c:pt idx="1034">
                  <c:v>0.85</c:v>
                </c:pt>
                <c:pt idx="1035">
                  <c:v>0.82</c:v>
                </c:pt>
                <c:pt idx="1036">
                  <c:v>0.65</c:v>
                </c:pt>
                <c:pt idx="1037">
                  <c:v>1.2</c:v>
                </c:pt>
                <c:pt idx="1038">
                  <c:v>1.27</c:v>
                </c:pt>
                <c:pt idx="1039">
                  <c:v>0.97</c:v>
                </c:pt>
                <c:pt idx="1040">
                  <c:v>0.72</c:v>
                </c:pt>
                <c:pt idx="1041">
                  <c:v>1.33</c:v>
                </c:pt>
                <c:pt idx="1042">
                  <c:v>1.01</c:v>
                </c:pt>
                <c:pt idx="1043">
                  <c:v>1.19</c:v>
                </c:pt>
                <c:pt idx="1044">
                  <c:v>1.19</c:v>
                </c:pt>
                <c:pt idx="1045">
                  <c:v>1.19</c:v>
                </c:pt>
                <c:pt idx="1046">
                  <c:v>0.56999999999999995</c:v>
                </c:pt>
                <c:pt idx="1047">
                  <c:v>1.02</c:v>
                </c:pt>
                <c:pt idx="1048">
                  <c:v>0.95</c:v>
                </c:pt>
                <c:pt idx="1049">
                  <c:v>1.0900000000000001</c:v>
                </c:pt>
                <c:pt idx="1050">
                  <c:v>0.99</c:v>
                </c:pt>
                <c:pt idx="1051">
                  <c:v>0.99</c:v>
                </c:pt>
                <c:pt idx="1052">
                  <c:v>0.84</c:v>
                </c:pt>
                <c:pt idx="1053">
                  <c:v>0.84</c:v>
                </c:pt>
                <c:pt idx="1054">
                  <c:v>1.7</c:v>
                </c:pt>
                <c:pt idx="1055">
                  <c:v>0.91</c:v>
                </c:pt>
                <c:pt idx="1056">
                  <c:v>0.89</c:v>
                </c:pt>
                <c:pt idx="1057">
                  <c:v>0.65</c:v>
                </c:pt>
                <c:pt idx="1058">
                  <c:v>0.79</c:v>
                </c:pt>
                <c:pt idx="1059">
                  <c:v>0.79</c:v>
                </c:pt>
                <c:pt idx="1060">
                  <c:v>1.39</c:v>
                </c:pt>
                <c:pt idx="1061">
                  <c:v>0.95</c:v>
                </c:pt>
                <c:pt idx="1062">
                  <c:v>1.1599999999999999</c:v>
                </c:pt>
                <c:pt idx="1063">
                  <c:v>0.74</c:v>
                </c:pt>
                <c:pt idx="1064">
                  <c:v>0.74</c:v>
                </c:pt>
                <c:pt idx="1065">
                  <c:v>0.74</c:v>
                </c:pt>
                <c:pt idx="1066">
                  <c:v>1.38</c:v>
                </c:pt>
                <c:pt idx="1067">
                  <c:v>1.59</c:v>
                </c:pt>
                <c:pt idx="1068">
                  <c:v>0.36</c:v>
                </c:pt>
                <c:pt idx="1069">
                  <c:v>0.36</c:v>
                </c:pt>
                <c:pt idx="1070">
                  <c:v>0.36</c:v>
                </c:pt>
                <c:pt idx="1071">
                  <c:v>1.1599999999999999</c:v>
                </c:pt>
                <c:pt idx="1072">
                  <c:v>1.1599999999999999</c:v>
                </c:pt>
                <c:pt idx="1073">
                  <c:v>0.54</c:v>
                </c:pt>
                <c:pt idx="1074">
                  <c:v>0.54</c:v>
                </c:pt>
                <c:pt idx="1075">
                  <c:v>0.75</c:v>
                </c:pt>
                <c:pt idx="1076">
                  <c:v>0.37</c:v>
                </c:pt>
                <c:pt idx="1077">
                  <c:v>1.39</c:v>
                </c:pt>
                <c:pt idx="1078">
                  <c:v>1.39</c:v>
                </c:pt>
                <c:pt idx="1079">
                  <c:v>0.92</c:v>
                </c:pt>
                <c:pt idx="1080">
                  <c:v>1.25</c:v>
                </c:pt>
                <c:pt idx="1081">
                  <c:v>0.94</c:v>
                </c:pt>
                <c:pt idx="1082">
                  <c:v>0.69</c:v>
                </c:pt>
                <c:pt idx="1083">
                  <c:v>0.69</c:v>
                </c:pt>
                <c:pt idx="1084">
                  <c:v>0.92</c:v>
                </c:pt>
                <c:pt idx="1085">
                  <c:v>1.57</c:v>
                </c:pt>
                <c:pt idx="1086">
                  <c:v>0.28999999999999998</c:v>
                </c:pt>
                <c:pt idx="1087">
                  <c:v>0.81</c:v>
                </c:pt>
                <c:pt idx="1088">
                  <c:v>0.49</c:v>
                </c:pt>
                <c:pt idx="1089">
                  <c:v>0.82</c:v>
                </c:pt>
                <c:pt idx="1090">
                  <c:v>1.1000000000000001</c:v>
                </c:pt>
                <c:pt idx="1091">
                  <c:v>0.67</c:v>
                </c:pt>
                <c:pt idx="1092">
                  <c:v>0.67</c:v>
                </c:pt>
                <c:pt idx="1093">
                  <c:v>0.69</c:v>
                </c:pt>
                <c:pt idx="1094">
                  <c:v>0.78</c:v>
                </c:pt>
                <c:pt idx="1095">
                  <c:v>0.5</c:v>
                </c:pt>
                <c:pt idx="1096">
                  <c:v>1.31</c:v>
                </c:pt>
                <c:pt idx="1097">
                  <c:v>1.1299999999999999</c:v>
                </c:pt>
                <c:pt idx="1098">
                  <c:v>0.52</c:v>
                </c:pt>
                <c:pt idx="1099">
                  <c:v>1.69</c:v>
                </c:pt>
                <c:pt idx="1100">
                  <c:v>1.65</c:v>
                </c:pt>
                <c:pt idx="1101">
                  <c:v>0.85</c:v>
                </c:pt>
                <c:pt idx="1102">
                  <c:v>0.47</c:v>
                </c:pt>
                <c:pt idx="1103">
                  <c:v>0.47</c:v>
                </c:pt>
                <c:pt idx="1104">
                  <c:v>0.98</c:v>
                </c:pt>
                <c:pt idx="1105">
                  <c:v>0.7</c:v>
                </c:pt>
                <c:pt idx="1106">
                  <c:v>0.7</c:v>
                </c:pt>
                <c:pt idx="1107">
                  <c:v>0.7</c:v>
                </c:pt>
                <c:pt idx="1108">
                  <c:v>0.7</c:v>
                </c:pt>
                <c:pt idx="1109">
                  <c:v>0.78</c:v>
                </c:pt>
                <c:pt idx="1110">
                  <c:v>0.78</c:v>
                </c:pt>
                <c:pt idx="1111">
                  <c:v>1.45</c:v>
                </c:pt>
                <c:pt idx="1112">
                  <c:v>0.89</c:v>
                </c:pt>
                <c:pt idx="1113">
                  <c:v>0.77</c:v>
                </c:pt>
                <c:pt idx="1114">
                  <c:v>0.77</c:v>
                </c:pt>
                <c:pt idx="1115">
                  <c:v>0.99</c:v>
                </c:pt>
                <c:pt idx="1116">
                  <c:v>0.81</c:v>
                </c:pt>
                <c:pt idx="1117">
                  <c:v>0.84</c:v>
                </c:pt>
                <c:pt idx="1118">
                  <c:v>0.74</c:v>
                </c:pt>
                <c:pt idx="1119">
                  <c:v>0.73</c:v>
                </c:pt>
                <c:pt idx="1120">
                  <c:v>0.73</c:v>
                </c:pt>
                <c:pt idx="1121">
                  <c:v>0.85</c:v>
                </c:pt>
                <c:pt idx="1122">
                  <c:v>0.97</c:v>
                </c:pt>
                <c:pt idx="1123">
                  <c:v>1.61</c:v>
                </c:pt>
                <c:pt idx="1124">
                  <c:v>0.86</c:v>
                </c:pt>
                <c:pt idx="1125">
                  <c:v>0.28999999999999998</c:v>
                </c:pt>
                <c:pt idx="1126">
                  <c:v>1.28</c:v>
                </c:pt>
                <c:pt idx="1127">
                  <c:v>0.76</c:v>
                </c:pt>
                <c:pt idx="1128">
                  <c:v>0.94</c:v>
                </c:pt>
                <c:pt idx="1129">
                  <c:v>0.82</c:v>
                </c:pt>
                <c:pt idx="1130">
                  <c:v>0.61</c:v>
                </c:pt>
                <c:pt idx="1131">
                  <c:v>0.79</c:v>
                </c:pt>
                <c:pt idx="1132">
                  <c:v>0.79</c:v>
                </c:pt>
                <c:pt idx="1133">
                  <c:v>0.79</c:v>
                </c:pt>
                <c:pt idx="1134">
                  <c:v>0.79</c:v>
                </c:pt>
                <c:pt idx="1135">
                  <c:v>0.62</c:v>
                </c:pt>
                <c:pt idx="1136">
                  <c:v>1.07</c:v>
                </c:pt>
                <c:pt idx="1137">
                  <c:v>0.32</c:v>
                </c:pt>
                <c:pt idx="1138">
                  <c:v>1.02</c:v>
                </c:pt>
                <c:pt idx="1139">
                  <c:v>0.86</c:v>
                </c:pt>
                <c:pt idx="1140">
                  <c:v>1.51</c:v>
                </c:pt>
                <c:pt idx="1141">
                  <c:v>1.51</c:v>
                </c:pt>
                <c:pt idx="1142">
                  <c:v>0.9</c:v>
                </c:pt>
                <c:pt idx="1143">
                  <c:v>0.95</c:v>
                </c:pt>
                <c:pt idx="1144">
                  <c:v>1.2</c:v>
                </c:pt>
                <c:pt idx="1145">
                  <c:v>0.7</c:v>
                </c:pt>
                <c:pt idx="1146">
                  <c:v>0.56000000000000005</c:v>
                </c:pt>
                <c:pt idx="1147">
                  <c:v>0.56000000000000005</c:v>
                </c:pt>
                <c:pt idx="1148">
                  <c:v>0.56000000000000005</c:v>
                </c:pt>
                <c:pt idx="1149">
                  <c:v>0.84</c:v>
                </c:pt>
                <c:pt idx="1150">
                  <c:v>0.78</c:v>
                </c:pt>
                <c:pt idx="1151">
                  <c:v>0.84</c:v>
                </c:pt>
                <c:pt idx="1152">
                  <c:v>0.84</c:v>
                </c:pt>
                <c:pt idx="1153">
                  <c:v>0.84</c:v>
                </c:pt>
                <c:pt idx="1154">
                  <c:v>1.05</c:v>
                </c:pt>
                <c:pt idx="1155">
                  <c:v>1.44</c:v>
                </c:pt>
                <c:pt idx="1156">
                  <c:v>0.62</c:v>
                </c:pt>
                <c:pt idx="1157">
                  <c:v>0.62</c:v>
                </c:pt>
                <c:pt idx="1158">
                  <c:v>0.74</c:v>
                </c:pt>
                <c:pt idx="1159">
                  <c:v>0.74</c:v>
                </c:pt>
                <c:pt idx="1160">
                  <c:v>0.85</c:v>
                </c:pt>
                <c:pt idx="1161">
                  <c:v>0.85</c:v>
                </c:pt>
                <c:pt idx="1162">
                  <c:v>0.85</c:v>
                </c:pt>
                <c:pt idx="1163">
                  <c:v>1.38</c:v>
                </c:pt>
                <c:pt idx="1164">
                  <c:v>1.38</c:v>
                </c:pt>
                <c:pt idx="1165">
                  <c:v>2.97</c:v>
                </c:pt>
                <c:pt idx="1166">
                  <c:v>0.56999999999999995</c:v>
                </c:pt>
                <c:pt idx="1167">
                  <c:v>0.64</c:v>
                </c:pt>
                <c:pt idx="1168">
                  <c:v>0.59</c:v>
                </c:pt>
                <c:pt idx="1169">
                  <c:v>1.58</c:v>
                </c:pt>
                <c:pt idx="1170">
                  <c:v>0.45</c:v>
                </c:pt>
                <c:pt idx="1171">
                  <c:v>1.29</c:v>
                </c:pt>
                <c:pt idx="1172">
                  <c:v>0.76</c:v>
                </c:pt>
                <c:pt idx="1173">
                  <c:v>0.73</c:v>
                </c:pt>
                <c:pt idx="1174">
                  <c:v>0.45</c:v>
                </c:pt>
                <c:pt idx="1175">
                  <c:v>0.56999999999999995</c:v>
                </c:pt>
                <c:pt idx="1176">
                  <c:v>0.56999999999999995</c:v>
                </c:pt>
                <c:pt idx="1177">
                  <c:v>0.55000000000000004</c:v>
                </c:pt>
                <c:pt idx="1178">
                  <c:v>2.19</c:v>
                </c:pt>
                <c:pt idx="1179">
                  <c:v>0.81</c:v>
                </c:pt>
                <c:pt idx="1180">
                  <c:v>0.38</c:v>
                </c:pt>
                <c:pt idx="1181">
                  <c:v>0.63</c:v>
                </c:pt>
                <c:pt idx="1182">
                  <c:v>0.62</c:v>
                </c:pt>
                <c:pt idx="1183">
                  <c:v>0.86</c:v>
                </c:pt>
                <c:pt idx="1184">
                  <c:v>0.86</c:v>
                </c:pt>
                <c:pt idx="1185">
                  <c:v>0.86</c:v>
                </c:pt>
                <c:pt idx="1186">
                  <c:v>0.73</c:v>
                </c:pt>
                <c:pt idx="1187">
                  <c:v>0.73</c:v>
                </c:pt>
                <c:pt idx="1188">
                  <c:v>0.96</c:v>
                </c:pt>
                <c:pt idx="1189">
                  <c:v>1.1200000000000001</c:v>
                </c:pt>
                <c:pt idx="1190">
                  <c:v>1.36</c:v>
                </c:pt>
                <c:pt idx="1191">
                  <c:v>0.73</c:v>
                </c:pt>
                <c:pt idx="1192">
                  <c:v>0.73</c:v>
                </c:pt>
                <c:pt idx="1193">
                  <c:v>1.63</c:v>
                </c:pt>
                <c:pt idx="1194">
                  <c:v>1.63</c:v>
                </c:pt>
                <c:pt idx="1195">
                  <c:v>0.73</c:v>
                </c:pt>
                <c:pt idx="1196">
                  <c:v>0.84</c:v>
                </c:pt>
                <c:pt idx="1197">
                  <c:v>1.67</c:v>
                </c:pt>
                <c:pt idx="1198">
                  <c:v>0.68</c:v>
                </c:pt>
                <c:pt idx="1199">
                  <c:v>0.49</c:v>
                </c:pt>
                <c:pt idx="1200">
                  <c:v>0.96</c:v>
                </c:pt>
                <c:pt idx="1201">
                  <c:v>0.93</c:v>
                </c:pt>
                <c:pt idx="1202">
                  <c:v>0.43</c:v>
                </c:pt>
                <c:pt idx="1203">
                  <c:v>0.33</c:v>
                </c:pt>
                <c:pt idx="1204">
                  <c:v>0.33</c:v>
                </c:pt>
                <c:pt idx="1205">
                  <c:v>0.33</c:v>
                </c:pt>
                <c:pt idx="1206">
                  <c:v>0.33</c:v>
                </c:pt>
                <c:pt idx="1207">
                  <c:v>1.06</c:v>
                </c:pt>
                <c:pt idx="1208">
                  <c:v>0.98</c:v>
                </c:pt>
                <c:pt idx="1209">
                  <c:v>1.56</c:v>
                </c:pt>
                <c:pt idx="1210">
                  <c:v>1.56</c:v>
                </c:pt>
                <c:pt idx="1211">
                  <c:v>0.76</c:v>
                </c:pt>
                <c:pt idx="1212">
                  <c:v>1.28</c:v>
                </c:pt>
                <c:pt idx="1213">
                  <c:v>0.74</c:v>
                </c:pt>
                <c:pt idx="1214">
                  <c:v>0.74</c:v>
                </c:pt>
                <c:pt idx="1215">
                  <c:v>0.87</c:v>
                </c:pt>
                <c:pt idx="1216">
                  <c:v>0.87</c:v>
                </c:pt>
                <c:pt idx="1217">
                  <c:v>0.87</c:v>
                </c:pt>
                <c:pt idx="1218">
                  <c:v>0.63</c:v>
                </c:pt>
                <c:pt idx="1219">
                  <c:v>0.42</c:v>
                </c:pt>
                <c:pt idx="1220">
                  <c:v>0.42</c:v>
                </c:pt>
                <c:pt idx="1221">
                  <c:v>0.93</c:v>
                </c:pt>
                <c:pt idx="1222">
                  <c:v>0.93</c:v>
                </c:pt>
                <c:pt idx="1223">
                  <c:v>0.51</c:v>
                </c:pt>
                <c:pt idx="1224">
                  <c:v>0.76</c:v>
                </c:pt>
                <c:pt idx="1225">
                  <c:v>1.4</c:v>
                </c:pt>
                <c:pt idx="1226">
                  <c:v>0.26</c:v>
                </c:pt>
                <c:pt idx="1227">
                  <c:v>0.32</c:v>
                </c:pt>
                <c:pt idx="1228">
                  <c:v>0.31</c:v>
                </c:pt>
                <c:pt idx="1229">
                  <c:v>0.62</c:v>
                </c:pt>
                <c:pt idx="1230">
                  <c:v>0.62</c:v>
                </c:pt>
                <c:pt idx="1231">
                  <c:v>0.28000000000000003</c:v>
                </c:pt>
                <c:pt idx="1232">
                  <c:v>0.42</c:v>
                </c:pt>
                <c:pt idx="1233">
                  <c:v>4.47</c:v>
                </c:pt>
                <c:pt idx="1234">
                  <c:v>1.57</c:v>
                </c:pt>
                <c:pt idx="1235">
                  <c:v>2.63</c:v>
                </c:pt>
                <c:pt idx="1236">
                  <c:v>1.46</c:v>
                </c:pt>
                <c:pt idx="1237">
                  <c:v>1.21</c:v>
                </c:pt>
                <c:pt idx="1238">
                  <c:v>2.69</c:v>
                </c:pt>
                <c:pt idx="1239">
                  <c:v>2.37</c:v>
                </c:pt>
                <c:pt idx="1240">
                  <c:v>1.52</c:v>
                </c:pt>
                <c:pt idx="1241">
                  <c:v>1.78</c:v>
                </c:pt>
                <c:pt idx="1242">
                  <c:v>1.36</c:v>
                </c:pt>
                <c:pt idx="1243">
                  <c:v>1.65</c:v>
                </c:pt>
                <c:pt idx="1244">
                  <c:v>1.91</c:v>
                </c:pt>
                <c:pt idx="1245">
                  <c:v>1.83</c:v>
                </c:pt>
                <c:pt idx="1246">
                  <c:v>1.93</c:v>
                </c:pt>
                <c:pt idx="1247">
                  <c:v>1.56</c:v>
                </c:pt>
                <c:pt idx="1248">
                  <c:v>1.64</c:v>
                </c:pt>
                <c:pt idx="1249">
                  <c:v>1.7</c:v>
                </c:pt>
                <c:pt idx="1250">
                  <c:v>1.6</c:v>
                </c:pt>
                <c:pt idx="1251">
                  <c:v>1.73</c:v>
                </c:pt>
                <c:pt idx="1252">
                  <c:v>1.73</c:v>
                </c:pt>
                <c:pt idx="1253">
                  <c:v>1.81</c:v>
                </c:pt>
                <c:pt idx="1254">
                  <c:v>1.46</c:v>
                </c:pt>
                <c:pt idx="1255">
                  <c:v>2.36</c:v>
                </c:pt>
                <c:pt idx="1259">
                  <c:v>1.01</c:v>
                </c:pt>
                <c:pt idx="1260">
                  <c:v>1.01</c:v>
                </c:pt>
                <c:pt idx="1261">
                  <c:v>1.24</c:v>
                </c:pt>
                <c:pt idx="1262">
                  <c:v>1.52</c:v>
                </c:pt>
                <c:pt idx="1264">
                  <c:v>1.26</c:v>
                </c:pt>
                <c:pt idx="1265">
                  <c:v>1.26</c:v>
                </c:pt>
                <c:pt idx="1266">
                  <c:v>1.03</c:v>
                </c:pt>
                <c:pt idx="1273">
                  <c:v>1.75</c:v>
                </c:pt>
                <c:pt idx="1274">
                  <c:v>1.1299999999999999</c:v>
                </c:pt>
                <c:pt idx="1275">
                  <c:v>1.74</c:v>
                </c:pt>
                <c:pt idx="1276">
                  <c:v>0.88</c:v>
                </c:pt>
                <c:pt idx="1277">
                  <c:v>0.88</c:v>
                </c:pt>
                <c:pt idx="1278">
                  <c:v>0.97</c:v>
                </c:pt>
                <c:pt idx="1279">
                  <c:v>0.97</c:v>
                </c:pt>
                <c:pt idx="1280">
                  <c:v>0.86</c:v>
                </c:pt>
                <c:pt idx="1281">
                  <c:v>1.2</c:v>
                </c:pt>
                <c:pt idx="1282">
                  <c:v>1.2</c:v>
                </c:pt>
                <c:pt idx="1283">
                  <c:v>1.2</c:v>
                </c:pt>
                <c:pt idx="1284">
                  <c:v>1.2</c:v>
                </c:pt>
                <c:pt idx="1285">
                  <c:v>1.2</c:v>
                </c:pt>
                <c:pt idx="1286">
                  <c:v>1.2</c:v>
                </c:pt>
                <c:pt idx="1287">
                  <c:v>1.2</c:v>
                </c:pt>
                <c:pt idx="1288">
                  <c:v>1.2</c:v>
                </c:pt>
                <c:pt idx="1289">
                  <c:v>0.96</c:v>
                </c:pt>
                <c:pt idx="1290">
                  <c:v>0.2</c:v>
                </c:pt>
                <c:pt idx="1291">
                  <c:v>0.2</c:v>
                </c:pt>
                <c:pt idx="1292">
                  <c:v>1.52</c:v>
                </c:pt>
                <c:pt idx="1293">
                  <c:v>1.52</c:v>
                </c:pt>
                <c:pt idx="1294">
                  <c:v>1.52</c:v>
                </c:pt>
                <c:pt idx="1295">
                  <c:v>1.52</c:v>
                </c:pt>
                <c:pt idx="1296">
                  <c:v>0.91</c:v>
                </c:pt>
                <c:pt idx="1297">
                  <c:v>0.28999999999999998</c:v>
                </c:pt>
                <c:pt idx="1298">
                  <c:v>1.06</c:v>
                </c:pt>
                <c:pt idx="1299">
                  <c:v>1.06</c:v>
                </c:pt>
                <c:pt idx="1300">
                  <c:v>1.49</c:v>
                </c:pt>
                <c:pt idx="1301">
                  <c:v>1.49</c:v>
                </c:pt>
                <c:pt idx="1302">
                  <c:v>1.49</c:v>
                </c:pt>
                <c:pt idx="1303">
                  <c:v>1.51</c:v>
                </c:pt>
                <c:pt idx="1304">
                  <c:v>0.88</c:v>
                </c:pt>
                <c:pt idx="1305">
                  <c:v>1.57</c:v>
                </c:pt>
                <c:pt idx="1306">
                  <c:v>1.17</c:v>
                </c:pt>
                <c:pt idx="1307">
                  <c:v>3.39</c:v>
                </c:pt>
                <c:pt idx="1308">
                  <c:v>1.06</c:v>
                </c:pt>
                <c:pt idx="1309">
                  <c:v>0.74</c:v>
                </c:pt>
                <c:pt idx="1310">
                  <c:v>0.7</c:v>
                </c:pt>
                <c:pt idx="1311">
                  <c:v>0.78</c:v>
                </c:pt>
                <c:pt idx="1312">
                  <c:v>0.56999999999999995</c:v>
                </c:pt>
                <c:pt idx="1313">
                  <c:v>1.56</c:v>
                </c:pt>
                <c:pt idx="1314">
                  <c:v>1.56</c:v>
                </c:pt>
                <c:pt idx="1315">
                  <c:v>0.82</c:v>
                </c:pt>
                <c:pt idx="1316">
                  <c:v>0.88</c:v>
                </c:pt>
                <c:pt idx="1317">
                  <c:v>0.91</c:v>
                </c:pt>
                <c:pt idx="1318">
                  <c:v>0.76</c:v>
                </c:pt>
                <c:pt idx="1319">
                  <c:v>0.84</c:v>
                </c:pt>
                <c:pt idx="1320">
                  <c:v>1.81</c:v>
                </c:pt>
                <c:pt idx="1321">
                  <c:v>1</c:v>
                </c:pt>
                <c:pt idx="1322">
                  <c:v>1</c:v>
                </c:pt>
                <c:pt idx="1323">
                  <c:v>0.87</c:v>
                </c:pt>
                <c:pt idx="1324">
                  <c:v>0.88</c:v>
                </c:pt>
                <c:pt idx="1325">
                  <c:v>0.67</c:v>
                </c:pt>
                <c:pt idx="1326">
                  <c:v>0.76</c:v>
                </c:pt>
                <c:pt idx="1327">
                  <c:v>0.76</c:v>
                </c:pt>
                <c:pt idx="1328">
                  <c:v>0.76</c:v>
                </c:pt>
                <c:pt idx="1329">
                  <c:v>0.76</c:v>
                </c:pt>
                <c:pt idx="1330">
                  <c:v>0.76</c:v>
                </c:pt>
                <c:pt idx="1331">
                  <c:v>0.8</c:v>
                </c:pt>
                <c:pt idx="1332">
                  <c:v>0.86</c:v>
                </c:pt>
                <c:pt idx="1333">
                  <c:v>0.68</c:v>
                </c:pt>
                <c:pt idx="1334">
                  <c:v>0.89</c:v>
                </c:pt>
                <c:pt idx="1335">
                  <c:v>0.78</c:v>
                </c:pt>
                <c:pt idx="1336">
                  <c:v>1.1299999999999999</c:v>
                </c:pt>
                <c:pt idx="1337">
                  <c:v>0.75</c:v>
                </c:pt>
                <c:pt idx="1338">
                  <c:v>0.82</c:v>
                </c:pt>
                <c:pt idx="1339">
                  <c:v>0.87</c:v>
                </c:pt>
                <c:pt idx="1340">
                  <c:v>0.77</c:v>
                </c:pt>
                <c:pt idx="1341">
                  <c:v>1.44</c:v>
                </c:pt>
                <c:pt idx="1342">
                  <c:v>1.44</c:v>
                </c:pt>
                <c:pt idx="1343">
                  <c:v>0.76</c:v>
                </c:pt>
                <c:pt idx="1344">
                  <c:v>1.1200000000000001</c:v>
                </c:pt>
                <c:pt idx="1345">
                  <c:v>0.71</c:v>
                </c:pt>
                <c:pt idx="1346">
                  <c:v>0.92</c:v>
                </c:pt>
                <c:pt idx="1347">
                  <c:v>0.8</c:v>
                </c:pt>
                <c:pt idx="1348">
                  <c:v>0.97</c:v>
                </c:pt>
                <c:pt idx="1349">
                  <c:v>0.89</c:v>
                </c:pt>
                <c:pt idx="1350">
                  <c:v>0.78</c:v>
                </c:pt>
                <c:pt idx="1351">
                  <c:v>0.83</c:v>
                </c:pt>
                <c:pt idx="1352">
                  <c:v>0.74</c:v>
                </c:pt>
                <c:pt idx="1353">
                  <c:v>1.35</c:v>
                </c:pt>
                <c:pt idx="1354">
                  <c:v>1.35</c:v>
                </c:pt>
                <c:pt idx="1355">
                  <c:v>1.35</c:v>
                </c:pt>
                <c:pt idx="1356">
                  <c:v>0.96</c:v>
                </c:pt>
                <c:pt idx="1357">
                  <c:v>1.08</c:v>
                </c:pt>
                <c:pt idx="1358">
                  <c:v>0.72</c:v>
                </c:pt>
                <c:pt idx="1359">
                  <c:v>0.9</c:v>
                </c:pt>
                <c:pt idx="1360">
                  <c:v>1.1100000000000001</c:v>
                </c:pt>
                <c:pt idx="1361">
                  <c:v>0.82</c:v>
                </c:pt>
                <c:pt idx="1362">
                  <c:v>1.04</c:v>
                </c:pt>
                <c:pt idx="1363">
                  <c:v>1.1299999999999999</c:v>
                </c:pt>
                <c:pt idx="1364">
                  <c:v>1.1299999999999999</c:v>
                </c:pt>
                <c:pt idx="1365">
                  <c:v>0.7</c:v>
                </c:pt>
                <c:pt idx="1366">
                  <c:v>0.49</c:v>
                </c:pt>
                <c:pt idx="1367">
                  <c:v>0.89</c:v>
                </c:pt>
                <c:pt idx="1368">
                  <c:v>0.89</c:v>
                </c:pt>
                <c:pt idx="1369">
                  <c:v>1.1299999999999999</c:v>
                </c:pt>
                <c:pt idx="1370">
                  <c:v>1.1299999999999999</c:v>
                </c:pt>
                <c:pt idx="1371">
                  <c:v>1.73</c:v>
                </c:pt>
                <c:pt idx="1372">
                  <c:v>1.03</c:v>
                </c:pt>
                <c:pt idx="1373">
                  <c:v>0.69</c:v>
                </c:pt>
                <c:pt idx="1374">
                  <c:v>1.34</c:v>
                </c:pt>
                <c:pt idx="1375">
                  <c:v>0.94</c:v>
                </c:pt>
                <c:pt idx="1376">
                  <c:v>1.2</c:v>
                </c:pt>
                <c:pt idx="1377">
                  <c:v>1.1000000000000001</c:v>
                </c:pt>
                <c:pt idx="1378">
                  <c:v>0.69</c:v>
                </c:pt>
                <c:pt idx="1379">
                  <c:v>0.72</c:v>
                </c:pt>
                <c:pt idx="1380">
                  <c:v>1.04</c:v>
                </c:pt>
                <c:pt idx="1381">
                  <c:v>1.04</c:v>
                </c:pt>
                <c:pt idx="1382">
                  <c:v>1.04</c:v>
                </c:pt>
                <c:pt idx="1383">
                  <c:v>1.04</c:v>
                </c:pt>
                <c:pt idx="1384">
                  <c:v>0.99</c:v>
                </c:pt>
                <c:pt idx="1385">
                  <c:v>1.07</c:v>
                </c:pt>
                <c:pt idx="1386">
                  <c:v>0.7</c:v>
                </c:pt>
                <c:pt idx="1387">
                  <c:v>1.1399999999999999</c:v>
                </c:pt>
                <c:pt idx="1388">
                  <c:v>0.79</c:v>
                </c:pt>
                <c:pt idx="1389">
                  <c:v>0.93</c:v>
                </c:pt>
                <c:pt idx="1390">
                  <c:v>0.93</c:v>
                </c:pt>
                <c:pt idx="1391">
                  <c:v>0.98</c:v>
                </c:pt>
                <c:pt idx="1392">
                  <c:v>0.93</c:v>
                </c:pt>
                <c:pt idx="1393">
                  <c:v>1.01</c:v>
                </c:pt>
                <c:pt idx="1394">
                  <c:v>0.98</c:v>
                </c:pt>
                <c:pt idx="1395">
                  <c:v>1.41</c:v>
                </c:pt>
                <c:pt idx="1396">
                  <c:v>1.41</c:v>
                </c:pt>
                <c:pt idx="1397">
                  <c:v>1.41</c:v>
                </c:pt>
                <c:pt idx="1398">
                  <c:v>1.41</c:v>
                </c:pt>
                <c:pt idx="1399">
                  <c:v>1.32</c:v>
                </c:pt>
                <c:pt idx="1400">
                  <c:v>0.81</c:v>
                </c:pt>
                <c:pt idx="1401">
                  <c:v>1.32</c:v>
                </c:pt>
                <c:pt idx="1402">
                  <c:v>1</c:v>
                </c:pt>
                <c:pt idx="1403">
                  <c:v>1</c:v>
                </c:pt>
                <c:pt idx="1404">
                  <c:v>0.56999999999999995</c:v>
                </c:pt>
                <c:pt idx="1405">
                  <c:v>0.54</c:v>
                </c:pt>
                <c:pt idx="1406">
                  <c:v>0.74</c:v>
                </c:pt>
                <c:pt idx="1407">
                  <c:v>1.02</c:v>
                </c:pt>
                <c:pt idx="1408">
                  <c:v>0.92</c:v>
                </c:pt>
                <c:pt idx="1409">
                  <c:v>1.36</c:v>
                </c:pt>
                <c:pt idx="1410">
                  <c:v>2.19</c:v>
                </c:pt>
                <c:pt idx="1411">
                  <c:v>2.19</c:v>
                </c:pt>
                <c:pt idx="1412">
                  <c:v>1.1599999999999999</c:v>
                </c:pt>
                <c:pt idx="1413">
                  <c:v>0.84</c:v>
                </c:pt>
                <c:pt idx="1414">
                  <c:v>1.1399999999999999</c:v>
                </c:pt>
                <c:pt idx="1415">
                  <c:v>0.77</c:v>
                </c:pt>
                <c:pt idx="1416">
                  <c:v>1.28</c:v>
                </c:pt>
                <c:pt idx="1417">
                  <c:v>1.1399999999999999</c:v>
                </c:pt>
                <c:pt idx="1418">
                  <c:v>0.66</c:v>
                </c:pt>
                <c:pt idx="1419">
                  <c:v>0.66</c:v>
                </c:pt>
                <c:pt idx="1420">
                  <c:v>0.94</c:v>
                </c:pt>
                <c:pt idx="1421">
                  <c:v>1.08</c:v>
                </c:pt>
                <c:pt idx="1422">
                  <c:v>0.49</c:v>
                </c:pt>
                <c:pt idx="1423">
                  <c:v>1.32</c:v>
                </c:pt>
                <c:pt idx="1424">
                  <c:v>1.32</c:v>
                </c:pt>
                <c:pt idx="1425">
                  <c:v>0.82</c:v>
                </c:pt>
                <c:pt idx="1426">
                  <c:v>1.03</c:v>
                </c:pt>
                <c:pt idx="1427">
                  <c:v>1</c:v>
                </c:pt>
                <c:pt idx="1428">
                  <c:v>1.2</c:v>
                </c:pt>
                <c:pt idx="1429">
                  <c:v>1.2</c:v>
                </c:pt>
                <c:pt idx="1430">
                  <c:v>1.21</c:v>
                </c:pt>
                <c:pt idx="1431">
                  <c:v>0.92</c:v>
                </c:pt>
                <c:pt idx="1432">
                  <c:v>0.63</c:v>
                </c:pt>
                <c:pt idx="1433">
                  <c:v>0.79</c:v>
                </c:pt>
                <c:pt idx="1434">
                  <c:v>0.99</c:v>
                </c:pt>
                <c:pt idx="1435">
                  <c:v>1</c:v>
                </c:pt>
                <c:pt idx="1436">
                  <c:v>1.06</c:v>
                </c:pt>
                <c:pt idx="1437">
                  <c:v>1.06</c:v>
                </c:pt>
                <c:pt idx="1438">
                  <c:v>1.06</c:v>
                </c:pt>
                <c:pt idx="1439">
                  <c:v>1.06</c:v>
                </c:pt>
                <c:pt idx="1440">
                  <c:v>1.06</c:v>
                </c:pt>
                <c:pt idx="1441">
                  <c:v>1.06</c:v>
                </c:pt>
                <c:pt idx="1442">
                  <c:v>1.1499999999999999</c:v>
                </c:pt>
                <c:pt idx="1443">
                  <c:v>1.1499999999999999</c:v>
                </c:pt>
                <c:pt idx="1444">
                  <c:v>1.34</c:v>
                </c:pt>
                <c:pt idx="1445">
                  <c:v>0.91</c:v>
                </c:pt>
                <c:pt idx="1446">
                  <c:v>0.94</c:v>
                </c:pt>
                <c:pt idx="1447">
                  <c:v>1.1499999999999999</c:v>
                </c:pt>
                <c:pt idx="1448">
                  <c:v>1.41</c:v>
                </c:pt>
                <c:pt idx="1449">
                  <c:v>0.68</c:v>
                </c:pt>
                <c:pt idx="1450">
                  <c:v>1.17</c:v>
                </c:pt>
                <c:pt idx="1451">
                  <c:v>0.82</c:v>
                </c:pt>
                <c:pt idx="1452">
                  <c:v>0.84</c:v>
                </c:pt>
                <c:pt idx="1453">
                  <c:v>1.06</c:v>
                </c:pt>
                <c:pt idx="1454">
                  <c:v>1.1599999999999999</c:v>
                </c:pt>
                <c:pt idx="1455">
                  <c:v>1.1599999999999999</c:v>
                </c:pt>
                <c:pt idx="1456">
                  <c:v>0.7</c:v>
                </c:pt>
                <c:pt idx="1457">
                  <c:v>1.1499999999999999</c:v>
                </c:pt>
                <c:pt idx="1458">
                  <c:v>1.54</c:v>
                </c:pt>
                <c:pt idx="1459">
                  <c:v>1.17</c:v>
                </c:pt>
                <c:pt idx="1460">
                  <c:v>0.83</c:v>
                </c:pt>
                <c:pt idx="1461">
                  <c:v>1.73</c:v>
                </c:pt>
                <c:pt idx="1462">
                  <c:v>0.93</c:v>
                </c:pt>
                <c:pt idx="1463">
                  <c:v>0.93</c:v>
                </c:pt>
                <c:pt idx="1464">
                  <c:v>0.97</c:v>
                </c:pt>
                <c:pt idx="1465">
                  <c:v>1.17</c:v>
                </c:pt>
                <c:pt idx="1466">
                  <c:v>0.84</c:v>
                </c:pt>
                <c:pt idx="1467">
                  <c:v>0.84</c:v>
                </c:pt>
                <c:pt idx="1468">
                  <c:v>0.74</c:v>
                </c:pt>
                <c:pt idx="1469">
                  <c:v>1.59</c:v>
                </c:pt>
                <c:pt idx="1470">
                  <c:v>0.89</c:v>
                </c:pt>
                <c:pt idx="1471">
                  <c:v>0.9</c:v>
                </c:pt>
                <c:pt idx="1472">
                  <c:v>0.34</c:v>
                </c:pt>
                <c:pt idx="1473">
                  <c:v>0.94</c:v>
                </c:pt>
                <c:pt idx="1474">
                  <c:v>0.93</c:v>
                </c:pt>
                <c:pt idx="1475">
                  <c:v>0.95</c:v>
                </c:pt>
                <c:pt idx="1476">
                  <c:v>0.91</c:v>
                </c:pt>
                <c:pt idx="1477">
                  <c:v>1</c:v>
                </c:pt>
                <c:pt idx="1478">
                  <c:v>1</c:v>
                </c:pt>
                <c:pt idx="1479">
                  <c:v>0.69</c:v>
                </c:pt>
                <c:pt idx="1480">
                  <c:v>0.69</c:v>
                </c:pt>
                <c:pt idx="1481">
                  <c:v>0.81</c:v>
                </c:pt>
                <c:pt idx="1482">
                  <c:v>1.04</c:v>
                </c:pt>
                <c:pt idx="1483">
                  <c:v>0.83</c:v>
                </c:pt>
                <c:pt idx="1484">
                  <c:v>0.9</c:v>
                </c:pt>
                <c:pt idx="1485">
                  <c:v>0.81</c:v>
                </c:pt>
                <c:pt idx="1486">
                  <c:v>0.94</c:v>
                </c:pt>
                <c:pt idx="1487">
                  <c:v>0.68</c:v>
                </c:pt>
                <c:pt idx="1488">
                  <c:v>1.84</c:v>
                </c:pt>
                <c:pt idx="1489">
                  <c:v>0.92</c:v>
                </c:pt>
                <c:pt idx="1490">
                  <c:v>0.91</c:v>
                </c:pt>
                <c:pt idx="1491">
                  <c:v>0.67</c:v>
                </c:pt>
                <c:pt idx="1492">
                  <c:v>0.67</c:v>
                </c:pt>
                <c:pt idx="1493">
                  <c:v>0.67</c:v>
                </c:pt>
                <c:pt idx="1494">
                  <c:v>0.73</c:v>
                </c:pt>
                <c:pt idx="1495">
                  <c:v>1.07</c:v>
                </c:pt>
                <c:pt idx="1496">
                  <c:v>0.96</c:v>
                </c:pt>
                <c:pt idx="1497">
                  <c:v>0.77</c:v>
                </c:pt>
                <c:pt idx="1498">
                  <c:v>0.77</c:v>
                </c:pt>
                <c:pt idx="1499">
                  <c:v>0.96</c:v>
                </c:pt>
                <c:pt idx="1500">
                  <c:v>0.75</c:v>
                </c:pt>
                <c:pt idx="1501">
                  <c:v>0.7</c:v>
                </c:pt>
                <c:pt idx="1502">
                  <c:v>1.1399999999999999</c:v>
                </c:pt>
                <c:pt idx="1503">
                  <c:v>0.77</c:v>
                </c:pt>
                <c:pt idx="1504">
                  <c:v>1.01</c:v>
                </c:pt>
                <c:pt idx="1505">
                  <c:v>1.21</c:v>
                </c:pt>
                <c:pt idx="1506">
                  <c:v>1.21</c:v>
                </c:pt>
                <c:pt idx="1507">
                  <c:v>0.72</c:v>
                </c:pt>
                <c:pt idx="1508">
                  <c:v>0.85</c:v>
                </c:pt>
                <c:pt idx="1509">
                  <c:v>0.53</c:v>
                </c:pt>
                <c:pt idx="1510">
                  <c:v>0.88</c:v>
                </c:pt>
                <c:pt idx="1511">
                  <c:v>1.43</c:v>
                </c:pt>
                <c:pt idx="1512">
                  <c:v>1.43</c:v>
                </c:pt>
                <c:pt idx="1513">
                  <c:v>1.03</c:v>
                </c:pt>
                <c:pt idx="1514">
                  <c:v>1</c:v>
                </c:pt>
                <c:pt idx="1515">
                  <c:v>0.71</c:v>
                </c:pt>
                <c:pt idx="1516">
                  <c:v>1.95</c:v>
                </c:pt>
                <c:pt idx="1517">
                  <c:v>1.28</c:v>
                </c:pt>
                <c:pt idx="1518">
                  <c:v>1.45</c:v>
                </c:pt>
                <c:pt idx="1519">
                  <c:v>1.45</c:v>
                </c:pt>
                <c:pt idx="1520">
                  <c:v>0.89</c:v>
                </c:pt>
                <c:pt idx="1521">
                  <c:v>0.56999999999999995</c:v>
                </c:pt>
                <c:pt idx="1522">
                  <c:v>0.84</c:v>
                </c:pt>
                <c:pt idx="1523">
                  <c:v>1.35</c:v>
                </c:pt>
                <c:pt idx="1524">
                  <c:v>0.79</c:v>
                </c:pt>
                <c:pt idx="1525">
                  <c:v>1.18</c:v>
                </c:pt>
                <c:pt idx="1526">
                  <c:v>0.86</c:v>
                </c:pt>
                <c:pt idx="1527">
                  <c:v>0.75</c:v>
                </c:pt>
                <c:pt idx="1528">
                  <c:v>0.82</c:v>
                </c:pt>
                <c:pt idx="1529">
                  <c:v>1.23</c:v>
                </c:pt>
                <c:pt idx="1530">
                  <c:v>1.61</c:v>
                </c:pt>
                <c:pt idx="1531">
                  <c:v>1.61</c:v>
                </c:pt>
                <c:pt idx="1532">
                  <c:v>0.76</c:v>
                </c:pt>
                <c:pt idx="1533">
                  <c:v>1.95</c:v>
                </c:pt>
                <c:pt idx="1534">
                  <c:v>0.89</c:v>
                </c:pt>
                <c:pt idx="1535">
                  <c:v>0.82</c:v>
                </c:pt>
                <c:pt idx="1536">
                  <c:v>1.04</c:v>
                </c:pt>
                <c:pt idx="1537">
                  <c:v>0.86</c:v>
                </c:pt>
                <c:pt idx="1538">
                  <c:v>1.02</c:v>
                </c:pt>
                <c:pt idx="1539">
                  <c:v>0.97</c:v>
                </c:pt>
                <c:pt idx="1540">
                  <c:v>0.75</c:v>
                </c:pt>
                <c:pt idx="1541">
                  <c:v>0.81</c:v>
                </c:pt>
                <c:pt idx="1542">
                  <c:v>1.0900000000000001</c:v>
                </c:pt>
                <c:pt idx="1543">
                  <c:v>1.0900000000000001</c:v>
                </c:pt>
                <c:pt idx="1544">
                  <c:v>1.1399999999999999</c:v>
                </c:pt>
                <c:pt idx="1545">
                  <c:v>1.3</c:v>
                </c:pt>
                <c:pt idx="1546">
                  <c:v>1.05</c:v>
                </c:pt>
                <c:pt idx="1547">
                  <c:v>0.99</c:v>
                </c:pt>
                <c:pt idx="1548">
                  <c:v>1.07</c:v>
                </c:pt>
                <c:pt idx="1549">
                  <c:v>0.87</c:v>
                </c:pt>
                <c:pt idx="1550">
                  <c:v>0.93</c:v>
                </c:pt>
                <c:pt idx="1551">
                  <c:v>1.0900000000000001</c:v>
                </c:pt>
                <c:pt idx="1552">
                  <c:v>1.06</c:v>
                </c:pt>
                <c:pt idx="1553">
                  <c:v>1.1599999999999999</c:v>
                </c:pt>
                <c:pt idx="1554">
                  <c:v>0.84</c:v>
                </c:pt>
                <c:pt idx="1555">
                  <c:v>0.84</c:v>
                </c:pt>
                <c:pt idx="1556">
                  <c:v>0.72</c:v>
                </c:pt>
                <c:pt idx="1557">
                  <c:v>0.81</c:v>
                </c:pt>
                <c:pt idx="1558">
                  <c:v>0.83</c:v>
                </c:pt>
                <c:pt idx="1559">
                  <c:v>1.21</c:v>
                </c:pt>
                <c:pt idx="1560">
                  <c:v>0.92</c:v>
                </c:pt>
                <c:pt idx="1561">
                  <c:v>0.71</c:v>
                </c:pt>
                <c:pt idx="1562">
                  <c:v>0.97</c:v>
                </c:pt>
                <c:pt idx="1563">
                  <c:v>0.72</c:v>
                </c:pt>
                <c:pt idx="1564">
                  <c:v>0.9</c:v>
                </c:pt>
                <c:pt idx="1565">
                  <c:v>1.17</c:v>
                </c:pt>
                <c:pt idx="1566">
                  <c:v>1.48</c:v>
                </c:pt>
                <c:pt idx="1567">
                  <c:v>0.53</c:v>
                </c:pt>
                <c:pt idx="1568">
                  <c:v>0.53</c:v>
                </c:pt>
                <c:pt idx="1569">
                  <c:v>0.7</c:v>
                </c:pt>
                <c:pt idx="1570">
                  <c:v>1.24</c:v>
                </c:pt>
                <c:pt idx="1571">
                  <c:v>1.04</c:v>
                </c:pt>
                <c:pt idx="1572">
                  <c:v>0.61</c:v>
                </c:pt>
                <c:pt idx="1573">
                  <c:v>1.03</c:v>
                </c:pt>
                <c:pt idx="1574">
                  <c:v>0.81</c:v>
                </c:pt>
                <c:pt idx="1575">
                  <c:v>0.75</c:v>
                </c:pt>
                <c:pt idx="1576">
                  <c:v>1.06</c:v>
                </c:pt>
                <c:pt idx="1577">
                  <c:v>0.76</c:v>
                </c:pt>
                <c:pt idx="1578">
                  <c:v>1.38</c:v>
                </c:pt>
                <c:pt idx="1579">
                  <c:v>0.7</c:v>
                </c:pt>
                <c:pt idx="1580">
                  <c:v>0.7</c:v>
                </c:pt>
                <c:pt idx="1581">
                  <c:v>0.92</c:v>
                </c:pt>
                <c:pt idx="1582">
                  <c:v>0.94</c:v>
                </c:pt>
                <c:pt idx="1583">
                  <c:v>1.1499999999999999</c:v>
                </c:pt>
                <c:pt idx="1584">
                  <c:v>1.21</c:v>
                </c:pt>
                <c:pt idx="1585">
                  <c:v>0.8</c:v>
                </c:pt>
                <c:pt idx="1586">
                  <c:v>0.93</c:v>
                </c:pt>
                <c:pt idx="1587">
                  <c:v>0.98</c:v>
                </c:pt>
                <c:pt idx="1588">
                  <c:v>1.08</c:v>
                </c:pt>
                <c:pt idx="1589">
                  <c:v>1.1000000000000001</c:v>
                </c:pt>
                <c:pt idx="1590">
                  <c:v>1.94</c:v>
                </c:pt>
                <c:pt idx="1591">
                  <c:v>1.22</c:v>
                </c:pt>
                <c:pt idx="1592">
                  <c:v>1.22</c:v>
                </c:pt>
                <c:pt idx="1593">
                  <c:v>1.22</c:v>
                </c:pt>
                <c:pt idx="1594">
                  <c:v>1.22</c:v>
                </c:pt>
                <c:pt idx="1595">
                  <c:v>1.22</c:v>
                </c:pt>
                <c:pt idx="1596">
                  <c:v>0.99</c:v>
                </c:pt>
                <c:pt idx="1597">
                  <c:v>0.82</c:v>
                </c:pt>
                <c:pt idx="1598">
                  <c:v>0.8</c:v>
                </c:pt>
                <c:pt idx="1599">
                  <c:v>0.75</c:v>
                </c:pt>
                <c:pt idx="1600">
                  <c:v>1.22</c:v>
                </c:pt>
                <c:pt idx="1601">
                  <c:v>1.19</c:v>
                </c:pt>
                <c:pt idx="1602">
                  <c:v>1.02</c:v>
                </c:pt>
                <c:pt idx="1603">
                  <c:v>0.95</c:v>
                </c:pt>
                <c:pt idx="1604">
                  <c:v>0.74</c:v>
                </c:pt>
                <c:pt idx="1605">
                  <c:v>0.51</c:v>
                </c:pt>
                <c:pt idx="1606">
                  <c:v>1.26</c:v>
                </c:pt>
                <c:pt idx="1607">
                  <c:v>1.26</c:v>
                </c:pt>
                <c:pt idx="1608">
                  <c:v>1.08</c:v>
                </c:pt>
                <c:pt idx="1609">
                  <c:v>1</c:v>
                </c:pt>
                <c:pt idx="1610">
                  <c:v>0.89</c:v>
                </c:pt>
                <c:pt idx="1611">
                  <c:v>1.25</c:v>
                </c:pt>
                <c:pt idx="1612">
                  <c:v>0.76</c:v>
                </c:pt>
                <c:pt idx="1613">
                  <c:v>0.9</c:v>
                </c:pt>
                <c:pt idx="1614">
                  <c:v>0.82</c:v>
                </c:pt>
                <c:pt idx="1615">
                  <c:v>0.9</c:v>
                </c:pt>
                <c:pt idx="1616">
                  <c:v>1.48</c:v>
                </c:pt>
                <c:pt idx="1617">
                  <c:v>1.57</c:v>
                </c:pt>
                <c:pt idx="1618">
                  <c:v>0.64</c:v>
                </c:pt>
                <c:pt idx="1619">
                  <c:v>0.64</c:v>
                </c:pt>
                <c:pt idx="1620">
                  <c:v>0.64</c:v>
                </c:pt>
                <c:pt idx="1621">
                  <c:v>0.96</c:v>
                </c:pt>
                <c:pt idx="1622">
                  <c:v>0.8</c:v>
                </c:pt>
                <c:pt idx="1623">
                  <c:v>0.74</c:v>
                </c:pt>
                <c:pt idx="1624">
                  <c:v>0.94</c:v>
                </c:pt>
                <c:pt idx="1625">
                  <c:v>1.77</c:v>
                </c:pt>
                <c:pt idx="1626">
                  <c:v>0.83</c:v>
                </c:pt>
                <c:pt idx="1627">
                  <c:v>0.83</c:v>
                </c:pt>
                <c:pt idx="1628">
                  <c:v>0.69</c:v>
                </c:pt>
                <c:pt idx="1629">
                  <c:v>0.82</c:v>
                </c:pt>
                <c:pt idx="1630">
                  <c:v>1.21</c:v>
                </c:pt>
                <c:pt idx="1631">
                  <c:v>1.28</c:v>
                </c:pt>
                <c:pt idx="1632">
                  <c:v>0.51</c:v>
                </c:pt>
                <c:pt idx="1633">
                  <c:v>0.51</c:v>
                </c:pt>
                <c:pt idx="1634">
                  <c:v>0.98</c:v>
                </c:pt>
                <c:pt idx="1635">
                  <c:v>0.89</c:v>
                </c:pt>
                <c:pt idx="1636">
                  <c:v>1.0900000000000001</c:v>
                </c:pt>
                <c:pt idx="1637">
                  <c:v>1.1000000000000001</c:v>
                </c:pt>
                <c:pt idx="1638">
                  <c:v>0.75</c:v>
                </c:pt>
                <c:pt idx="1639">
                  <c:v>0.75</c:v>
                </c:pt>
                <c:pt idx="1640">
                  <c:v>0.75</c:v>
                </c:pt>
                <c:pt idx="1641">
                  <c:v>1.1200000000000001</c:v>
                </c:pt>
                <c:pt idx="1642">
                  <c:v>1.36</c:v>
                </c:pt>
                <c:pt idx="1643">
                  <c:v>0.87</c:v>
                </c:pt>
                <c:pt idx="1644">
                  <c:v>0.99</c:v>
                </c:pt>
                <c:pt idx="1645">
                  <c:v>0.77</c:v>
                </c:pt>
                <c:pt idx="1646">
                  <c:v>1.36</c:v>
                </c:pt>
                <c:pt idx="1647">
                  <c:v>1.36</c:v>
                </c:pt>
                <c:pt idx="1648">
                  <c:v>1.36</c:v>
                </c:pt>
                <c:pt idx="1649">
                  <c:v>1.08</c:v>
                </c:pt>
                <c:pt idx="1650">
                  <c:v>0.77</c:v>
                </c:pt>
                <c:pt idx="1651">
                  <c:v>0.98</c:v>
                </c:pt>
                <c:pt idx="1652">
                  <c:v>0.8</c:v>
                </c:pt>
                <c:pt idx="1653">
                  <c:v>0.98</c:v>
                </c:pt>
                <c:pt idx="1654">
                  <c:v>0.69</c:v>
                </c:pt>
                <c:pt idx="1655">
                  <c:v>0.76</c:v>
                </c:pt>
                <c:pt idx="1656">
                  <c:v>1.2</c:v>
                </c:pt>
                <c:pt idx="1657">
                  <c:v>1.0900000000000001</c:v>
                </c:pt>
                <c:pt idx="1658">
                  <c:v>1.1499999999999999</c:v>
                </c:pt>
                <c:pt idx="1659">
                  <c:v>1.36</c:v>
                </c:pt>
                <c:pt idx="1660">
                  <c:v>1.36</c:v>
                </c:pt>
                <c:pt idx="1661">
                  <c:v>1.36</c:v>
                </c:pt>
                <c:pt idx="1662">
                  <c:v>3.38</c:v>
                </c:pt>
                <c:pt idx="1663">
                  <c:v>1.23</c:v>
                </c:pt>
                <c:pt idx="1664">
                  <c:v>1.0900000000000001</c:v>
                </c:pt>
                <c:pt idx="1665">
                  <c:v>0.91</c:v>
                </c:pt>
                <c:pt idx="1666">
                  <c:v>2.17</c:v>
                </c:pt>
                <c:pt idx="1667">
                  <c:v>1.36</c:v>
                </c:pt>
                <c:pt idx="1668">
                  <c:v>1.21</c:v>
                </c:pt>
                <c:pt idx="1669">
                  <c:v>0.92</c:v>
                </c:pt>
                <c:pt idx="1670">
                  <c:v>1.1599999999999999</c:v>
                </c:pt>
                <c:pt idx="1671">
                  <c:v>1.33</c:v>
                </c:pt>
                <c:pt idx="1672">
                  <c:v>1.55</c:v>
                </c:pt>
                <c:pt idx="1673">
                  <c:v>1.55</c:v>
                </c:pt>
                <c:pt idx="1674">
                  <c:v>1.32</c:v>
                </c:pt>
                <c:pt idx="1675">
                  <c:v>0.83</c:v>
                </c:pt>
                <c:pt idx="1676">
                  <c:v>0.89</c:v>
                </c:pt>
                <c:pt idx="1677">
                  <c:v>1.25</c:v>
                </c:pt>
                <c:pt idx="1678">
                  <c:v>0.79</c:v>
                </c:pt>
                <c:pt idx="1679">
                  <c:v>1.28</c:v>
                </c:pt>
                <c:pt idx="1680">
                  <c:v>0.98</c:v>
                </c:pt>
                <c:pt idx="1681">
                  <c:v>0.94</c:v>
                </c:pt>
                <c:pt idx="1682">
                  <c:v>1.29</c:v>
                </c:pt>
                <c:pt idx="1683">
                  <c:v>1.17</c:v>
                </c:pt>
                <c:pt idx="1684">
                  <c:v>1.64</c:v>
                </c:pt>
                <c:pt idx="1685">
                  <c:v>1.64</c:v>
                </c:pt>
                <c:pt idx="1686">
                  <c:v>0.93</c:v>
                </c:pt>
                <c:pt idx="1687">
                  <c:v>0.8</c:v>
                </c:pt>
                <c:pt idx="1688">
                  <c:v>0.93</c:v>
                </c:pt>
                <c:pt idx="1689">
                  <c:v>1.28</c:v>
                </c:pt>
                <c:pt idx="1690">
                  <c:v>0.97</c:v>
                </c:pt>
                <c:pt idx="1691">
                  <c:v>0.89</c:v>
                </c:pt>
                <c:pt idx="1692">
                  <c:v>0.83</c:v>
                </c:pt>
                <c:pt idx="1693">
                  <c:v>0.99</c:v>
                </c:pt>
                <c:pt idx="1694">
                  <c:v>2</c:v>
                </c:pt>
                <c:pt idx="1695">
                  <c:v>0.91</c:v>
                </c:pt>
                <c:pt idx="1696">
                  <c:v>1.1299999999999999</c:v>
                </c:pt>
                <c:pt idx="1697">
                  <c:v>1.1299999999999999</c:v>
                </c:pt>
                <c:pt idx="1698">
                  <c:v>1.1299999999999999</c:v>
                </c:pt>
                <c:pt idx="1699">
                  <c:v>1.79</c:v>
                </c:pt>
                <c:pt idx="1700">
                  <c:v>0.81</c:v>
                </c:pt>
                <c:pt idx="1701">
                  <c:v>0.82</c:v>
                </c:pt>
                <c:pt idx="1702">
                  <c:v>1</c:v>
                </c:pt>
                <c:pt idx="1703">
                  <c:v>0.81</c:v>
                </c:pt>
                <c:pt idx="1704">
                  <c:v>0.96</c:v>
                </c:pt>
                <c:pt idx="1705">
                  <c:v>0.97</c:v>
                </c:pt>
                <c:pt idx="1706">
                  <c:v>1.08</c:v>
                </c:pt>
                <c:pt idx="1707">
                  <c:v>0.34</c:v>
                </c:pt>
                <c:pt idx="1708">
                  <c:v>0.8</c:v>
                </c:pt>
                <c:pt idx="1709">
                  <c:v>1.03</c:v>
                </c:pt>
                <c:pt idx="1710">
                  <c:v>1.03</c:v>
                </c:pt>
                <c:pt idx="1711">
                  <c:v>0.88</c:v>
                </c:pt>
                <c:pt idx="1712">
                  <c:v>1.4</c:v>
                </c:pt>
                <c:pt idx="1713">
                  <c:v>1.4</c:v>
                </c:pt>
                <c:pt idx="1714">
                  <c:v>0.92</c:v>
                </c:pt>
                <c:pt idx="1715">
                  <c:v>0.85</c:v>
                </c:pt>
                <c:pt idx="1716">
                  <c:v>0.59</c:v>
                </c:pt>
                <c:pt idx="1717">
                  <c:v>0.75</c:v>
                </c:pt>
                <c:pt idx="1718">
                  <c:v>1.1200000000000001</c:v>
                </c:pt>
                <c:pt idx="1719">
                  <c:v>0.79</c:v>
                </c:pt>
                <c:pt idx="1720">
                  <c:v>0.7</c:v>
                </c:pt>
                <c:pt idx="1721">
                  <c:v>0.54</c:v>
                </c:pt>
                <c:pt idx="1722">
                  <c:v>1.18</c:v>
                </c:pt>
                <c:pt idx="1723">
                  <c:v>1.18</c:v>
                </c:pt>
                <c:pt idx="1724">
                  <c:v>1.18</c:v>
                </c:pt>
                <c:pt idx="1725">
                  <c:v>1.18</c:v>
                </c:pt>
                <c:pt idx="1726">
                  <c:v>0.74</c:v>
                </c:pt>
                <c:pt idx="1727">
                  <c:v>0.53</c:v>
                </c:pt>
                <c:pt idx="1728">
                  <c:v>0.53</c:v>
                </c:pt>
                <c:pt idx="1729">
                  <c:v>0.87</c:v>
                </c:pt>
                <c:pt idx="1730">
                  <c:v>1.4</c:v>
                </c:pt>
                <c:pt idx="1731">
                  <c:v>0.73</c:v>
                </c:pt>
                <c:pt idx="1732">
                  <c:v>0.91</c:v>
                </c:pt>
                <c:pt idx="1733">
                  <c:v>1.74</c:v>
                </c:pt>
                <c:pt idx="1734">
                  <c:v>1.03</c:v>
                </c:pt>
                <c:pt idx="1735">
                  <c:v>0.99</c:v>
                </c:pt>
                <c:pt idx="1736">
                  <c:v>0.69</c:v>
                </c:pt>
                <c:pt idx="1737">
                  <c:v>1.43</c:v>
                </c:pt>
                <c:pt idx="1738">
                  <c:v>1.43</c:v>
                </c:pt>
                <c:pt idx="1739">
                  <c:v>0.94</c:v>
                </c:pt>
                <c:pt idx="1740">
                  <c:v>0.69</c:v>
                </c:pt>
                <c:pt idx="1741">
                  <c:v>0.9</c:v>
                </c:pt>
                <c:pt idx="1742">
                  <c:v>0.92</c:v>
                </c:pt>
                <c:pt idx="1743">
                  <c:v>0.91</c:v>
                </c:pt>
                <c:pt idx="1744">
                  <c:v>0.74</c:v>
                </c:pt>
                <c:pt idx="1745">
                  <c:v>1.3</c:v>
                </c:pt>
                <c:pt idx="1746">
                  <c:v>1.3</c:v>
                </c:pt>
                <c:pt idx="1747">
                  <c:v>0.67</c:v>
                </c:pt>
                <c:pt idx="1748">
                  <c:v>1.05</c:v>
                </c:pt>
                <c:pt idx="1749">
                  <c:v>0.93</c:v>
                </c:pt>
                <c:pt idx="1750">
                  <c:v>1.18</c:v>
                </c:pt>
                <c:pt idx="1751">
                  <c:v>1.18</c:v>
                </c:pt>
                <c:pt idx="1752">
                  <c:v>1.42</c:v>
                </c:pt>
                <c:pt idx="1753">
                  <c:v>0.72</c:v>
                </c:pt>
                <c:pt idx="1754">
                  <c:v>0.9</c:v>
                </c:pt>
                <c:pt idx="1755">
                  <c:v>0.93</c:v>
                </c:pt>
                <c:pt idx="1756">
                  <c:v>1.1299999999999999</c:v>
                </c:pt>
                <c:pt idx="1757">
                  <c:v>1.55</c:v>
                </c:pt>
                <c:pt idx="1758">
                  <c:v>1.21</c:v>
                </c:pt>
                <c:pt idx="1759">
                  <c:v>0.79</c:v>
                </c:pt>
                <c:pt idx="1760">
                  <c:v>1.04</c:v>
                </c:pt>
                <c:pt idx="1761">
                  <c:v>1.28</c:v>
                </c:pt>
                <c:pt idx="1762">
                  <c:v>1.27</c:v>
                </c:pt>
                <c:pt idx="1763">
                  <c:v>1.27</c:v>
                </c:pt>
                <c:pt idx="1764">
                  <c:v>0.53</c:v>
                </c:pt>
                <c:pt idx="1765">
                  <c:v>0.53</c:v>
                </c:pt>
                <c:pt idx="1766">
                  <c:v>0.67</c:v>
                </c:pt>
                <c:pt idx="1767">
                  <c:v>1.1599999999999999</c:v>
                </c:pt>
                <c:pt idx="1768">
                  <c:v>0.72</c:v>
                </c:pt>
                <c:pt idx="1769">
                  <c:v>1.24</c:v>
                </c:pt>
                <c:pt idx="1770">
                  <c:v>0.83</c:v>
                </c:pt>
                <c:pt idx="1771">
                  <c:v>0.78</c:v>
                </c:pt>
                <c:pt idx="1772">
                  <c:v>0.9</c:v>
                </c:pt>
                <c:pt idx="1773">
                  <c:v>0.79</c:v>
                </c:pt>
                <c:pt idx="1774">
                  <c:v>0.72</c:v>
                </c:pt>
                <c:pt idx="1775">
                  <c:v>1.35</c:v>
                </c:pt>
                <c:pt idx="1776">
                  <c:v>1.35</c:v>
                </c:pt>
                <c:pt idx="1777">
                  <c:v>1.83</c:v>
                </c:pt>
                <c:pt idx="1778">
                  <c:v>0.79</c:v>
                </c:pt>
                <c:pt idx="1779">
                  <c:v>0.74</c:v>
                </c:pt>
                <c:pt idx="1780">
                  <c:v>0.72</c:v>
                </c:pt>
                <c:pt idx="1781">
                  <c:v>1.79</c:v>
                </c:pt>
                <c:pt idx="1782">
                  <c:v>1.05</c:v>
                </c:pt>
                <c:pt idx="1783">
                  <c:v>1.05</c:v>
                </c:pt>
                <c:pt idx="1784">
                  <c:v>0.6</c:v>
                </c:pt>
                <c:pt idx="1785">
                  <c:v>0.6</c:v>
                </c:pt>
                <c:pt idx="1786">
                  <c:v>1.08</c:v>
                </c:pt>
                <c:pt idx="1787">
                  <c:v>0.99</c:v>
                </c:pt>
                <c:pt idx="1788">
                  <c:v>0.8</c:v>
                </c:pt>
                <c:pt idx="1789">
                  <c:v>0.8</c:v>
                </c:pt>
                <c:pt idx="1790">
                  <c:v>1.29</c:v>
                </c:pt>
                <c:pt idx="1791">
                  <c:v>1.29</c:v>
                </c:pt>
                <c:pt idx="1792">
                  <c:v>0.83</c:v>
                </c:pt>
                <c:pt idx="1793">
                  <c:v>0.83</c:v>
                </c:pt>
                <c:pt idx="1794">
                  <c:v>0.97</c:v>
                </c:pt>
                <c:pt idx="1795">
                  <c:v>1.33</c:v>
                </c:pt>
                <c:pt idx="1796">
                  <c:v>0.81</c:v>
                </c:pt>
                <c:pt idx="1797">
                  <c:v>1.78</c:v>
                </c:pt>
                <c:pt idx="1798">
                  <c:v>0.97</c:v>
                </c:pt>
                <c:pt idx="1799">
                  <c:v>0.82</c:v>
                </c:pt>
                <c:pt idx="1800">
                  <c:v>0.67</c:v>
                </c:pt>
                <c:pt idx="1801">
                  <c:v>0.79</c:v>
                </c:pt>
                <c:pt idx="1802">
                  <c:v>0.44</c:v>
                </c:pt>
                <c:pt idx="1803">
                  <c:v>0.44</c:v>
                </c:pt>
                <c:pt idx="1804">
                  <c:v>0.44</c:v>
                </c:pt>
                <c:pt idx="1805">
                  <c:v>0.94</c:v>
                </c:pt>
                <c:pt idx="1806">
                  <c:v>0.94</c:v>
                </c:pt>
                <c:pt idx="1807">
                  <c:v>1.72</c:v>
                </c:pt>
                <c:pt idx="1808">
                  <c:v>1.44</c:v>
                </c:pt>
                <c:pt idx="1809">
                  <c:v>0.74</c:v>
                </c:pt>
                <c:pt idx="1810">
                  <c:v>1.29</c:v>
                </c:pt>
                <c:pt idx="1811">
                  <c:v>1.03</c:v>
                </c:pt>
                <c:pt idx="1812">
                  <c:v>0.77</c:v>
                </c:pt>
                <c:pt idx="1813">
                  <c:v>0.61</c:v>
                </c:pt>
                <c:pt idx="1814">
                  <c:v>0.61</c:v>
                </c:pt>
                <c:pt idx="1815">
                  <c:v>0.61</c:v>
                </c:pt>
                <c:pt idx="1816">
                  <c:v>0.61</c:v>
                </c:pt>
                <c:pt idx="1817">
                  <c:v>0.74</c:v>
                </c:pt>
                <c:pt idx="1818">
                  <c:v>1.3</c:v>
                </c:pt>
                <c:pt idx="1819">
                  <c:v>1.3</c:v>
                </c:pt>
                <c:pt idx="1820">
                  <c:v>0.98</c:v>
                </c:pt>
                <c:pt idx="1821">
                  <c:v>1.1000000000000001</c:v>
                </c:pt>
                <c:pt idx="1822">
                  <c:v>0.85</c:v>
                </c:pt>
                <c:pt idx="1823">
                  <c:v>0.92</c:v>
                </c:pt>
                <c:pt idx="1824">
                  <c:v>2.5499999999999998</c:v>
                </c:pt>
                <c:pt idx="1825">
                  <c:v>1.23</c:v>
                </c:pt>
                <c:pt idx="1826">
                  <c:v>1.27</c:v>
                </c:pt>
                <c:pt idx="1827">
                  <c:v>1.1200000000000001</c:v>
                </c:pt>
                <c:pt idx="1828">
                  <c:v>1.18</c:v>
                </c:pt>
                <c:pt idx="1829">
                  <c:v>1.18</c:v>
                </c:pt>
                <c:pt idx="1830">
                  <c:v>0.96</c:v>
                </c:pt>
                <c:pt idx="1831">
                  <c:v>2.0499999999999998</c:v>
                </c:pt>
                <c:pt idx="1832">
                  <c:v>1.29</c:v>
                </c:pt>
                <c:pt idx="1833">
                  <c:v>1.29</c:v>
                </c:pt>
                <c:pt idx="1834">
                  <c:v>0.78</c:v>
                </c:pt>
                <c:pt idx="1835">
                  <c:v>1.1000000000000001</c:v>
                </c:pt>
                <c:pt idx="1836">
                  <c:v>0.87</c:v>
                </c:pt>
                <c:pt idx="1837">
                  <c:v>1.1499999999999999</c:v>
                </c:pt>
                <c:pt idx="1838">
                  <c:v>0.8</c:v>
                </c:pt>
                <c:pt idx="1839">
                  <c:v>1.07</c:v>
                </c:pt>
                <c:pt idx="1840">
                  <c:v>1.1200000000000001</c:v>
                </c:pt>
                <c:pt idx="1841">
                  <c:v>1.1499999999999999</c:v>
                </c:pt>
                <c:pt idx="1842">
                  <c:v>1.35</c:v>
                </c:pt>
                <c:pt idx="1843">
                  <c:v>0.79</c:v>
                </c:pt>
                <c:pt idx="1844">
                  <c:v>0.79</c:v>
                </c:pt>
                <c:pt idx="1845">
                  <c:v>0.79</c:v>
                </c:pt>
                <c:pt idx="1846">
                  <c:v>0.6</c:v>
                </c:pt>
                <c:pt idx="1847">
                  <c:v>0.92</c:v>
                </c:pt>
                <c:pt idx="1848">
                  <c:v>1.27</c:v>
                </c:pt>
                <c:pt idx="1849">
                  <c:v>0.8</c:v>
                </c:pt>
                <c:pt idx="1850">
                  <c:v>0.75</c:v>
                </c:pt>
                <c:pt idx="1851">
                  <c:v>0.84</c:v>
                </c:pt>
                <c:pt idx="1852">
                  <c:v>1.1499999999999999</c:v>
                </c:pt>
                <c:pt idx="1853">
                  <c:v>1.02</c:v>
                </c:pt>
                <c:pt idx="1854">
                  <c:v>0.72</c:v>
                </c:pt>
                <c:pt idx="1855">
                  <c:v>1.01</c:v>
                </c:pt>
                <c:pt idx="1856">
                  <c:v>1.27</c:v>
                </c:pt>
                <c:pt idx="1857">
                  <c:v>1.27</c:v>
                </c:pt>
                <c:pt idx="1858">
                  <c:v>1.27</c:v>
                </c:pt>
                <c:pt idx="1859">
                  <c:v>0.79</c:v>
                </c:pt>
                <c:pt idx="1860">
                  <c:v>1.42</c:v>
                </c:pt>
                <c:pt idx="1861">
                  <c:v>1.23</c:v>
                </c:pt>
                <c:pt idx="1862">
                  <c:v>0.75</c:v>
                </c:pt>
                <c:pt idx="1863">
                  <c:v>1.07</c:v>
                </c:pt>
                <c:pt idx="1864">
                  <c:v>0.95</c:v>
                </c:pt>
                <c:pt idx="1865">
                  <c:v>1.02</c:v>
                </c:pt>
                <c:pt idx="1866">
                  <c:v>1.01</c:v>
                </c:pt>
                <c:pt idx="1867">
                  <c:v>1.36</c:v>
                </c:pt>
                <c:pt idx="1868">
                  <c:v>1.07</c:v>
                </c:pt>
                <c:pt idx="1869">
                  <c:v>1.36</c:v>
                </c:pt>
                <c:pt idx="1870">
                  <c:v>1.36</c:v>
                </c:pt>
                <c:pt idx="1871">
                  <c:v>0.72</c:v>
                </c:pt>
                <c:pt idx="1872">
                  <c:v>1.03</c:v>
                </c:pt>
                <c:pt idx="1873">
                  <c:v>1.1299999999999999</c:v>
                </c:pt>
                <c:pt idx="1874">
                  <c:v>1.19</c:v>
                </c:pt>
                <c:pt idx="1875">
                  <c:v>2.04</c:v>
                </c:pt>
                <c:pt idx="1876">
                  <c:v>1.32</c:v>
                </c:pt>
                <c:pt idx="1877">
                  <c:v>1.0900000000000001</c:v>
                </c:pt>
                <c:pt idx="1878">
                  <c:v>0.9</c:v>
                </c:pt>
                <c:pt idx="1879">
                  <c:v>0.96</c:v>
                </c:pt>
                <c:pt idx="1880">
                  <c:v>0.43</c:v>
                </c:pt>
                <c:pt idx="1881">
                  <c:v>1.24</c:v>
                </c:pt>
                <c:pt idx="1882">
                  <c:v>1.24</c:v>
                </c:pt>
                <c:pt idx="1883">
                  <c:v>0.96</c:v>
                </c:pt>
                <c:pt idx="1884">
                  <c:v>1</c:v>
                </c:pt>
                <c:pt idx="1885">
                  <c:v>1.44</c:v>
                </c:pt>
                <c:pt idx="1886">
                  <c:v>1.27</c:v>
                </c:pt>
                <c:pt idx="1887">
                  <c:v>1.05</c:v>
                </c:pt>
                <c:pt idx="1888">
                  <c:v>1.26</c:v>
                </c:pt>
                <c:pt idx="1889">
                  <c:v>0.75</c:v>
                </c:pt>
                <c:pt idx="1890">
                  <c:v>0.95</c:v>
                </c:pt>
                <c:pt idx="1891">
                  <c:v>0.93</c:v>
                </c:pt>
                <c:pt idx="1892">
                  <c:v>1.1000000000000001</c:v>
                </c:pt>
                <c:pt idx="1893">
                  <c:v>1.98</c:v>
                </c:pt>
                <c:pt idx="1894">
                  <c:v>1.98</c:v>
                </c:pt>
                <c:pt idx="1895">
                  <c:v>0.68</c:v>
                </c:pt>
                <c:pt idx="1896">
                  <c:v>0.99</c:v>
                </c:pt>
                <c:pt idx="1897">
                  <c:v>2.06</c:v>
                </c:pt>
                <c:pt idx="1898">
                  <c:v>0.94</c:v>
                </c:pt>
                <c:pt idx="1899">
                  <c:v>0.86</c:v>
                </c:pt>
                <c:pt idx="1900">
                  <c:v>0.6</c:v>
                </c:pt>
                <c:pt idx="1901">
                  <c:v>0.62</c:v>
                </c:pt>
                <c:pt idx="1902">
                  <c:v>1.01</c:v>
                </c:pt>
                <c:pt idx="1903">
                  <c:v>0.94</c:v>
                </c:pt>
                <c:pt idx="1904">
                  <c:v>0.74</c:v>
                </c:pt>
                <c:pt idx="1905">
                  <c:v>1.21</c:v>
                </c:pt>
                <c:pt idx="1906">
                  <c:v>1.21</c:v>
                </c:pt>
                <c:pt idx="1907">
                  <c:v>0.67</c:v>
                </c:pt>
                <c:pt idx="1908">
                  <c:v>0.74</c:v>
                </c:pt>
                <c:pt idx="1909">
                  <c:v>1</c:v>
                </c:pt>
                <c:pt idx="1910">
                  <c:v>0.95</c:v>
                </c:pt>
                <c:pt idx="1911">
                  <c:v>1.01</c:v>
                </c:pt>
                <c:pt idx="1912">
                  <c:v>1.01</c:v>
                </c:pt>
                <c:pt idx="1913">
                  <c:v>0.71</c:v>
                </c:pt>
                <c:pt idx="1914">
                  <c:v>1.02</c:v>
                </c:pt>
                <c:pt idx="1915">
                  <c:v>0.82</c:v>
                </c:pt>
                <c:pt idx="1916">
                  <c:v>1.05</c:v>
                </c:pt>
                <c:pt idx="1917">
                  <c:v>1.05</c:v>
                </c:pt>
                <c:pt idx="1918">
                  <c:v>0.89</c:v>
                </c:pt>
                <c:pt idx="1919">
                  <c:v>1.47</c:v>
                </c:pt>
                <c:pt idx="1920">
                  <c:v>1.47</c:v>
                </c:pt>
                <c:pt idx="1921">
                  <c:v>0.76</c:v>
                </c:pt>
                <c:pt idx="1922">
                  <c:v>0.93</c:v>
                </c:pt>
                <c:pt idx="1923">
                  <c:v>1.25</c:v>
                </c:pt>
                <c:pt idx="1924">
                  <c:v>1.0900000000000001</c:v>
                </c:pt>
                <c:pt idx="1925">
                  <c:v>1.04</c:v>
                </c:pt>
                <c:pt idx="1926">
                  <c:v>1.28</c:v>
                </c:pt>
                <c:pt idx="1927">
                  <c:v>0.96</c:v>
                </c:pt>
                <c:pt idx="1928">
                  <c:v>0.78</c:v>
                </c:pt>
                <c:pt idx="1929">
                  <c:v>1.06</c:v>
                </c:pt>
                <c:pt idx="1930">
                  <c:v>0.98</c:v>
                </c:pt>
                <c:pt idx="1931">
                  <c:v>0.85</c:v>
                </c:pt>
                <c:pt idx="1932">
                  <c:v>0.85</c:v>
                </c:pt>
                <c:pt idx="1933">
                  <c:v>0.85</c:v>
                </c:pt>
                <c:pt idx="1934">
                  <c:v>0.81</c:v>
                </c:pt>
                <c:pt idx="1935">
                  <c:v>0.75</c:v>
                </c:pt>
                <c:pt idx="1936">
                  <c:v>0.84</c:v>
                </c:pt>
                <c:pt idx="1937">
                  <c:v>1.4</c:v>
                </c:pt>
                <c:pt idx="1938">
                  <c:v>0.92</c:v>
                </c:pt>
                <c:pt idx="1939">
                  <c:v>1.1200000000000001</c:v>
                </c:pt>
                <c:pt idx="1940">
                  <c:v>1.1200000000000001</c:v>
                </c:pt>
                <c:pt idx="1941">
                  <c:v>1.63</c:v>
                </c:pt>
                <c:pt idx="1942">
                  <c:v>1.31</c:v>
                </c:pt>
                <c:pt idx="1943">
                  <c:v>0.9</c:v>
                </c:pt>
                <c:pt idx="1944">
                  <c:v>0.95</c:v>
                </c:pt>
                <c:pt idx="1945">
                  <c:v>0.95</c:v>
                </c:pt>
                <c:pt idx="1946">
                  <c:v>0.95</c:v>
                </c:pt>
                <c:pt idx="1947">
                  <c:v>0.87</c:v>
                </c:pt>
                <c:pt idx="1948">
                  <c:v>0.99</c:v>
                </c:pt>
                <c:pt idx="1949">
                  <c:v>0.72</c:v>
                </c:pt>
                <c:pt idx="1950">
                  <c:v>1.29</c:v>
                </c:pt>
                <c:pt idx="1951">
                  <c:v>0.94</c:v>
                </c:pt>
                <c:pt idx="1952">
                  <c:v>1.04</c:v>
                </c:pt>
                <c:pt idx="1953">
                  <c:v>1.27</c:v>
                </c:pt>
                <c:pt idx="1954">
                  <c:v>0.95</c:v>
                </c:pt>
                <c:pt idx="1955">
                  <c:v>0.81</c:v>
                </c:pt>
                <c:pt idx="1956">
                  <c:v>0.78</c:v>
                </c:pt>
                <c:pt idx="1957">
                  <c:v>0.99</c:v>
                </c:pt>
                <c:pt idx="1958">
                  <c:v>0.94</c:v>
                </c:pt>
                <c:pt idx="1959">
                  <c:v>0.94</c:v>
                </c:pt>
                <c:pt idx="1960">
                  <c:v>0.94</c:v>
                </c:pt>
                <c:pt idx="1961">
                  <c:v>0.94</c:v>
                </c:pt>
                <c:pt idx="1962">
                  <c:v>0.94</c:v>
                </c:pt>
                <c:pt idx="1963">
                  <c:v>1</c:v>
                </c:pt>
                <c:pt idx="1964">
                  <c:v>1.3</c:v>
                </c:pt>
                <c:pt idx="1965">
                  <c:v>1.72</c:v>
                </c:pt>
                <c:pt idx="1966">
                  <c:v>0.74</c:v>
                </c:pt>
                <c:pt idx="1967">
                  <c:v>0.81</c:v>
                </c:pt>
                <c:pt idx="1968">
                  <c:v>0.86</c:v>
                </c:pt>
                <c:pt idx="1969">
                  <c:v>0.93</c:v>
                </c:pt>
                <c:pt idx="1970">
                  <c:v>0.85</c:v>
                </c:pt>
                <c:pt idx="1971">
                  <c:v>1.22</c:v>
                </c:pt>
                <c:pt idx="1972">
                  <c:v>0.99</c:v>
                </c:pt>
                <c:pt idx="1973">
                  <c:v>0.83</c:v>
                </c:pt>
                <c:pt idx="1974">
                  <c:v>0.83</c:v>
                </c:pt>
                <c:pt idx="1975">
                  <c:v>1.28</c:v>
                </c:pt>
                <c:pt idx="1976">
                  <c:v>1.29</c:v>
                </c:pt>
                <c:pt idx="1977">
                  <c:v>0.67</c:v>
                </c:pt>
                <c:pt idx="1978">
                  <c:v>0.97</c:v>
                </c:pt>
                <c:pt idx="1979">
                  <c:v>1.22</c:v>
                </c:pt>
                <c:pt idx="1980">
                  <c:v>1.41</c:v>
                </c:pt>
                <c:pt idx="1981">
                  <c:v>1.07</c:v>
                </c:pt>
                <c:pt idx="1982">
                  <c:v>1.95</c:v>
                </c:pt>
                <c:pt idx="1983">
                  <c:v>1.88</c:v>
                </c:pt>
                <c:pt idx="1984">
                  <c:v>0.91</c:v>
                </c:pt>
                <c:pt idx="1985">
                  <c:v>0.72</c:v>
                </c:pt>
                <c:pt idx="1986">
                  <c:v>0.72</c:v>
                </c:pt>
                <c:pt idx="1987">
                  <c:v>0.71</c:v>
                </c:pt>
                <c:pt idx="1988">
                  <c:v>0.76</c:v>
                </c:pt>
                <c:pt idx="1989">
                  <c:v>0.93</c:v>
                </c:pt>
                <c:pt idx="1990">
                  <c:v>0.96</c:v>
                </c:pt>
                <c:pt idx="1991">
                  <c:v>1.25</c:v>
                </c:pt>
                <c:pt idx="1992">
                  <c:v>1.04</c:v>
                </c:pt>
                <c:pt idx="1993">
                  <c:v>0.69</c:v>
                </c:pt>
                <c:pt idx="1994">
                  <c:v>1.32</c:v>
                </c:pt>
                <c:pt idx="1995">
                  <c:v>1.03</c:v>
                </c:pt>
                <c:pt idx="1996">
                  <c:v>0.77</c:v>
                </c:pt>
                <c:pt idx="1997">
                  <c:v>0.89</c:v>
                </c:pt>
                <c:pt idx="1998">
                  <c:v>0.89</c:v>
                </c:pt>
                <c:pt idx="1999">
                  <c:v>0.88</c:v>
                </c:pt>
                <c:pt idx="2000">
                  <c:v>0.88</c:v>
                </c:pt>
                <c:pt idx="2001">
                  <c:v>1.27</c:v>
                </c:pt>
                <c:pt idx="2002">
                  <c:v>0.88</c:v>
                </c:pt>
                <c:pt idx="2003">
                  <c:v>1.51</c:v>
                </c:pt>
                <c:pt idx="2004">
                  <c:v>0.86</c:v>
                </c:pt>
                <c:pt idx="2005">
                  <c:v>1.1100000000000001</c:v>
                </c:pt>
                <c:pt idx="2006">
                  <c:v>0.67</c:v>
                </c:pt>
                <c:pt idx="2007">
                  <c:v>0.77</c:v>
                </c:pt>
                <c:pt idx="2008">
                  <c:v>1.03</c:v>
                </c:pt>
                <c:pt idx="2009">
                  <c:v>0.8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0.69</c:v>
                </c:pt>
                <c:pt idx="2016">
                  <c:v>0.81</c:v>
                </c:pt>
                <c:pt idx="2017">
                  <c:v>0.99</c:v>
                </c:pt>
                <c:pt idx="2018">
                  <c:v>0.99</c:v>
                </c:pt>
                <c:pt idx="2019">
                  <c:v>0.99</c:v>
                </c:pt>
                <c:pt idx="2020">
                  <c:v>0.99</c:v>
                </c:pt>
                <c:pt idx="2021">
                  <c:v>1.65</c:v>
                </c:pt>
                <c:pt idx="2022">
                  <c:v>0.74</c:v>
                </c:pt>
                <c:pt idx="2023">
                  <c:v>0.8</c:v>
                </c:pt>
                <c:pt idx="2024">
                  <c:v>0.93</c:v>
                </c:pt>
                <c:pt idx="2025">
                  <c:v>1.18</c:v>
                </c:pt>
                <c:pt idx="2026">
                  <c:v>0.97</c:v>
                </c:pt>
                <c:pt idx="2027">
                  <c:v>0.84</c:v>
                </c:pt>
                <c:pt idx="2028">
                  <c:v>0.62</c:v>
                </c:pt>
                <c:pt idx="2029">
                  <c:v>0.62</c:v>
                </c:pt>
                <c:pt idx="2030">
                  <c:v>1.1100000000000001</c:v>
                </c:pt>
                <c:pt idx="2031">
                  <c:v>1.22</c:v>
                </c:pt>
                <c:pt idx="2032">
                  <c:v>0.78</c:v>
                </c:pt>
                <c:pt idx="2033">
                  <c:v>0.81</c:v>
                </c:pt>
                <c:pt idx="2034">
                  <c:v>0.81</c:v>
                </c:pt>
                <c:pt idx="2035">
                  <c:v>1.06</c:v>
                </c:pt>
                <c:pt idx="2036">
                  <c:v>0.95</c:v>
                </c:pt>
                <c:pt idx="2037">
                  <c:v>1.17</c:v>
                </c:pt>
                <c:pt idx="2038">
                  <c:v>0.79</c:v>
                </c:pt>
                <c:pt idx="2039">
                  <c:v>0.82</c:v>
                </c:pt>
                <c:pt idx="2040">
                  <c:v>0.81</c:v>
                </c:pt>
                <c:pt idx="2041">
                  <c:v>0.81</c:v>
                </c:pt>
                <c:pt idx="2042">
                  <c:v>1.02</c:v>
                </c:pt>
                <c:pt idx="2043">
                  <c:v>1.1100000000000001</c:v>
                </c:pt>
                <c:pt idx="2044">
                  <c:v>1.05</c:v>
                </c:pt>
                <c:pt idx="2045">
                  <c:v>0.99</c:v>
                </c:pt>
                <c:pt idx="2046">
                  <c:v>0.9</c:v>
                </c:pt>
                <c:pt idx="2047">
                  <c:v>0.73</c:v>
                </c:pt>
                <c:pt idx="2048">
                  <c:v>0.81</c:v>
                </c:pt>
                <c:pt idx="2049">
                  <c:v>0.93</c:v>
                </c:pt>
                <c:pt idx="2050">
                  <c:v>1.19</c:v>
                </c:pt>
                <c:pt idx="2051">
                  <c:v>1.4</c:v>
                </c:pt>
                <c:pt idx="2052">
                  <c:v>1.04</c:v>
                </c:pt>
                <c:pt idx="2053">
                  <c:v>1.04</c:v>
                </c:pt>
                <c:pt idx="2054">
                  <c:v>1.04</c:v>
                </c:pt>
                <c:pt idx="2055">
                  <c:v>0.89</c:v>
                </c:pt>
                <c:pt idx="2056">
                  <c:v>1.39</c:v>
                </c:pt>
                <c:pt idx="2057">
                  <c:v>0.95</c:v>
                </c:pt>
                <c:pt idx="2058">
                  <c:v>1</c:v>
                </c:pt>
                <c:pt idx="2059">
                  <c:v>1.08</c:v>
                </c:pt>
                <c:pt idx="2060">
                  <c:v>0.92</c:v>
                </c:pt>
                <c:pt idx="2061">
                  <c:v>1.06</c:v>
                </c:pt>
                <c:pt idx="2062">
                  <c:v>0.74</c:v>
                </c:pt>
                <c:pt idx="2063">
                  <c:v>0.86</c:v>
                </c:pt>
                <c:pt idx="2064">
                  <c:v>0.7</c:v>
                </c:pt>
                <c:pt idx="2065">
                  <c:v>0.62</c:v>
                </c:pt>
                <c:pt idx="2066">
                  <c:v>0.62</c:v>
                </c:pt>
                <c:pt idx="2067">
                  <c:v>2.15</c:v>
                </c:pt>
                <c:pt idx="2068">
                  <c:v>1.23</c:v>
                </c:pt>
                <c:pt idx="2069">
                  <c:v>0.3</c:v>
                </c:pt>
                <c:pt idx="2070">
                  <c:v>0.91</c:v>
                </c:pt>
                <c:pt idx="2071">
                  <c:v>1.1299999999999999</c:v>
                </c:pt>
                <c:pt idx="2072">
                  <c:v>0.91</c:v>
                </c:pt>
                <c:pt idx="2073">
                  <c:v>1.75</c:v>
                </c:pt>
                <c:pt idx="2074">
                  <c:v>1.22</c:v>
                </c:pt>
                <c:pt idx="2075">
                  <c:v>0.99</c:v>
                </c:pt>
                <c:pt idx="2076">
                  <c:v>1.25</c:v>
                </c:pt>
                <c:pt idx="2077">
                  <c:v>0.66</c:v>
                </c:pt>
                <c:pt idx="2078">
                  <c:v>0.66</c:v>
                </c:pt>
                <c:pt idx="2079">
                  <c:v>1.1599999999999999</c:v>
                </c:pt>
                <c:pt idx="2080">
                  <c:v>1.1599999999999999</c:v>
                </c:pt>
                <c:pt idx="2081">
                  <c:v>1.28</c:v>
                </c:pt>
                <c:pt idx="2082">
                  <c:v>0.77</c:v>
                </c:pt>
                <c:pt idx="2083">
                  <c:v>1.08</c:v>
                </c:pt>
                <c:pt idx="2084">
                  <c:v>0.8</c:v>
                </c:pt>
                <c:pt idx="2085">
                  <c:v>0.92</c:v>
                </c:pt>
                <c:pt idx="2086">
                  <c:v>1.39</c:v>
                </c:pt>
                <c:pt idx="2087">
                  <c:v>1.0900000000000001</c:v>
                </c:pt>
                <c:pt idx="2088">
                  <c:v>0.99</c:v>
                </c:pt>
                <c:pt idx="2089">
                  <c:v>0.65</c:v>
                </c:pt>
                <c:pt idx="2090">
                  <c:v>0.88</c:v>
                </c:pt>
                <c:pt idx="2091">
                  <c:v>0.88</c:v>
                </c:pt>
                <c:pt idx="2092">
                  <c:v>0.82</c:v>
                </c:pt>
                <c:pt idx="2093">
                  <c:v>1.07</c:v>
                </c:pt>
                <c:pt idx="2094">
                  <c:v>1.36</c:v>
                </c:pt>
                <c:pt idx="2095">
                  <c:v>1.31</c:v>
                </c:pt>
                <c:pt idx="2096">
                  <c:v>0.76</c:v>
                </c:pt>
                <c:pt idx="2097">
                  <c:v>0.82</c:v>
                </c:pt>
                <c:pt idx="2098">
                  <c:v>0.86</c:v>
                </c:pt>
                <c:pt idx="2099">
                  <c:v>1.21</c:v>
                </c:pt>
                <c:pt idx="2100">
                  <c:v>0.72</c:v>
                </c:pt>
                <c:pt idx="2101">
                  <c:v>1.27</c:v>
                </c:pt>
                <c:pt idx="2102">
                  <c:v>0.81</c:v>
                </c:pt>
                <c:pt idx="2103">
                  <c:v>0.81</c:v>
                </c:pt>
                <c:pt idx="2104">
                  <c:v>0.87</c:v>
                </c:pt>
                <c:pt idx="2105">
                  <c:v>0.93</c:v>
                </c:pt>
                <c:pt idx="2106">
                  <c:v>0.94</c:v>
                </c:pt>
                <c:pt idx="2107">
                  <c:v>1.1200000000000001</c:v>
                </c:pt>
                <c:pt idx="2108">
                  <c:v>0.76</c:v>
                </c:pt>
                <c:pt idx="2109">
                  <c:v>1.05</c:v>
                </c:pt>
                <c:pt idx="2110">
                  <c:v>1.34</c:v>
                </c:pt>
                <c:pt idx="2111">
                  <c:v>1.22</c:v>
                </c:pt>
                <c:pt idx="2112">
                  <c:v>1.65</c:v>
                </c:pt>
                <c:pt idx="2113">
                  <c:v>1</c:v>
                </c:pt>
                <c:pt idx="2114">
                  <c:v>0.96</c:v>
                </c:pt>
                <c:pt idx="2115">
                  <c:v>0.96</c:v>
                </c:pt>
                <c:pt idx="2116">
                  <c:v>1.23</c:v>
                </c:pt>
                <c:pt idx="2117">
                  <c:v>1.24</c:v>
                </c:pt>
                <c:pt idx="2118">
                  <c:v>1.5</c:v>
                </c:pt>
                <c:pt idx="2119">
                  <c:v>1</c:v>
                </c:pt>
                <c:pt idx="2120">
                  <c:v>0.47</c:v>
                </c:pt>
                <c:pt idx="2121">
                  <c:v>0.94</c:v>
                </c:pt>
                <c:pt idx="2122">
                  <c:v>1.85</c:v>
                </c:pt>
                <c:pt idx="2123">
                  <c:v>0.84</c:v>
                </c:pt>
                <c:pt idx="2124">
                  <c:v>0.52</c:v>
                </c:pt>
                <c:pt idx="2125">
                  <c:v>1.01</c:v>
                </c:pt>
                <c:pt idx="2126">
                  <c:v>0.92</c:v>
                </c:pt>
                <c:pt idx="2127">
                  <c:v>0.92</c:v>
                </c:pt>
                <c:pt idx="2128">
                  <c:v>0.63</c:v>
                </c:pt>
                <c:pt idx="2129">
                  <c:v>0.95</c:v>
                </c:pt>
                <c:pt idx="2130">
                  <c:v>1.19</c:v>
                </c:pt>
                <c:pt idx="2131">
                  <c:v>1.32</c:v>
                </c:pt>
                <c:pt idx="2132">
                  <c:v>0.89</c:v>
                </c:pt>
                <c:pt idx="2133">
                  <c:v>0.85</c:v>
                </c:pt>
                <c:pt idx="2134">
                  <c:v>1.02</c:v>
                </c:pt>
                <c:pt idx="2135">
                  <c:v>1.02</c:v>
                </c:pt>
                <c:pt idx="2136">
                  <c:v>0.95</c:v>
                </c:pt>
                <c:pt idx="2137">
                  <c:v>1.18</c:v>
                </c:pt>
                <c:pt idx="2138">
                  <c:v>1.1499999999999999</c:v>
                </c:pt>
                <c:pt idx="2139">
                  <c:v>1.1499999999999999</c:v>
                </c:pt>
                <c:pt idx="2140">
                  <c:v>1.1499999999999999</c:v>
                </c:pt>
                <c:pt idx="2141">
                  <c:v>1.43</c:v>
                </c:pt>
                <c:pt idx="2142">
                  <c:v>1.19</c:v>
                </c:pt>
                <c:pt idx="2143">
                  <c:v>1.19</c:v>
                </c:pt>
                <c:pt idx="2144">
                  <c:v>0.84</c:v>
                </c:pt>
                <c:pt idx="2145">
                  <c:v>0.84</c:v>
                </c:pt>
                <c:pt idx="2146">
                  <c:v>0.88</c:v>
                </c:pt>
                <c:pt idx="2147">
                  <c:v>0.86</c:v>
                </c:pt>
                <c:pt idx="2148">
                  <c:v>1.02</c:v>
                </c:pt>
                <c:pt idx="2149">
                  <c:v>0.26</c:v>
                </c:pt>
                <c:pt idx="2150">
                  <c:v>1.79</c:v>
                </c:pt>
                <c:pt idx="2151">
                  <c:v>0.25</c:v>
                </c:pt>
                <c:pt idx="2152">
                  <c:v>0.77</c:v>
                </c:pt>
                <c:pt idx="2153">
                  <c:v>0.77</c:v>
                </c:pt>
                <c:pt idx="2154">
                  <c:v>0.33</c:v>
                </c:pt>
                <c:pt idx="2155">
                  <c:v>0.5</c:v>
                </c:pt>
                <c:pt idx="2156">
                  <c:v>0.38</c:v>
                </c:pt>
                <c:pt idx="2157">
                  <c:v>0.69</c:v>
                </c:pt>
                <c:pt idx="2158">
                  <c:v>1.18</c:v>
                </c:pt>
                <c:pt idx="2159">
                  <c:v>1.03</c:v>
                </c:pt>
                <c:pt idx="2160">
                  <c:v>1.1000000000000001</c:v>
                </c:pt>
                <c:pt idx="2161">
                  <c:v>2.89</c:v>
                </c:pt>
                <c:pt idx="2162">
                  <c:v>0.74</c:v>
                </c:pt>
                <c:pt idx="2163">
                  <c:v>0.74</c:v>
                </c:pt>
                <c:pt idx="2164">
                  <c:v>0.74</c:v>
                </c:pt>
                <c:pt idx="2165">
                  <c:v>0.73</c:v>
                </c:pt>
                <c:pt idx="2166">
                  <c:v>0.73</c:v>
                </c:pt>
                <c:pt idx="2167">
                  <c:v>0.73</c:v>
                </c:pt>
                <c:pt idx="2168">
                  <c:v>0.73</c:v>
                </c:pt>
                <c:pt idx="2169">
                  <c:v>1.1100000000000001</c:v>
                </c:pt>
                <c:pt idx="2170">
                  <c:v>1.1100000000000001</c:v>
                </c:pt>
                <c:pt idx="2171">
                  <c:v>0.76</c:v>
                </c:pt>
                <c:pt idx="2172">
                  <c:v>0.76</c:v>
                </c:pt>
                <c:pt idx="2173">
                  <c:v>0.76</c:v>
                </c:pt>
                <c:pt idx="2174">
                  <c:v>0.76</c:v>
                </c:pt>
                <c:pt idx="2175">
                  <c:v>0.76</c:v>
                </c:pt>
                <c:pt idx="2176">
                  <c:v>1.05</c:v>
                </c:pt>
                <c:pt idx="2177">
                  <c:v>1.03</c:v>
                </c:pt>
                <c:pt idx="2178">
                  <c:v>1.03</c:v>
                </c:pt>
                <c:pt idx="2179">
                  <c:v>0.84</c:v>
                </c:pt>
                <c:pt idx="2180">
                  <c:v>0.84</c:v>
                </c:pt>
                <c:pt idx="2181">
                  <c:v>0.84</c:v>
                </c:pt>
                <c:pt idx="2182">
                  <c:v>1.08</c:v>
                </c:pt>
                <c:pt idx="2183">
                  <c:v>1.08</c:v>
                </c:pt>
                <c:pt idx="2184">
                  <c:v>1.08</c:v>
                </c:pt>
                <c:pt idx="2185">
                  <c:v>1.08</c:v>
                </c:pt>
                <c:pt idx="2186">
                  <c:v>0.95</c:v>
                </c:pt>
                <c:pt idx="2187">
                  <c:v>0.95</c:v>
                </c:pt>
                <c:pt idx="2188">
                  <c:v>0.62</c:v>
                </c:pt>
                <c:pt idx="2189">
                  <c:v>0.62</c:v>
                </c:pt>
                <c:pt idx="2190">
                  <c:v>0.62</c:v>
                </c:pt>
                <c:pt idx="2191">
                  <c:v>1.01</c:v>
                </c:pt>
                <c:pt idx="2192">
                  <c:v>1.01</c:v>
                </c:pt>
                <c:pt idx="2193">
                  <c:v>0.89</c:v>
                </c:pt>
                <c:pt idx="2194">
                  <c:v>0.89</c:v>
                </c:pt>
                <c:pt idx="2195">
                  <c:v>0.89</c:v>
                </c:pt>
                <c:pt idx="2196">
                  <c:v>0.89</c:v>
                </c:pt>
                <c:pt idx="2197">
                  <c:v>1.05</c:v>
                </c:pt>
                <c:pt idx="2198">
                  <c:v>1.05</c:v>
                </c:pt>
                <c:pt idx="2199">
                  <c:v>1.07</c:v>
                </c:pt>
                <c:pt idx="2200">
                  <c:v>1.07</c:v>
                </c:pt>
                <c:pt idx="2201">
                  <c:v>1.07</c:v>
                </c:pt>
                <c:pt idx="2202">
                  <c:v>0.76</c:v>
                </c:pt>
                <c:pt idx="2203">
                  <c:v>0.76</c:v>
                </c:pt>
                <c:pt idx="2204">
                  <c:v>1.1100000000000001</c:v>
                </c:pt>
                <c:pt idx="2205">
                  <c:v>1.1100000000000001</c:v>
                </c:pt>
                <c:pt idx="2206">
                  <c:v>1.1100000000000001</c:v>
                </c:pt>
                <c:pt idx="2207">
                  <c:v>1.06</c:v>
                </c:pt>
                <c:pt idx="2208">
                  <c:v>1.06</c:v>
                </c:pt>
                <c:pt idx="2209">
                  <c:v>0.75</c:v>
                </c:pt>
                <c:pt idx="2210">
                  <c:v>0.75</c:v>
                </c:pt>
                <c:pt idx="2211">
                  <c:v>1.1499999999999999</c:v>
                </c:pt>
                <c:pt idx="2212">
                  <c:v>1.1499999999999999</c:v>
                </c:pt>
                <c:pt idx="2213">
                  <c:v>0.96</c:v>
                </c:pt>
                <c:pt idx="2214">
                  <c:v>0.96</c:v>
                </c:pt>
                <c:pt idx="2215">
                  <c:v>0.87</c:v>
                </c:pt>
                <c:pt idx="2216">
                  <c:v>0.87</c:v>
                </c:pt>
                <c:pt idx="2217">
                  <c:v>0.87</c:v>
                </c:pt>
                <c:pt idx="2218">
                  <c:v>0.81</c:v>
                </c:pt>
                <c:pt idx="2219">
                  <c:v>0.81</c:v>
                </c:pt>
                <c:pt idx="2220">
                  <c:v>0.52</c:v>
                </c:pt>
                <c:pt idx="2221">
                  <c:v>0.52</c:v>
                </c:pt>
                <c:pt idx="2222">
                  <c:v>0.52</c:v>
                </c:pt>
                <c:pt idx="2223">
                  <c:v>0.52</c:v>
                </c:pt>
                <c:pt idx="2224">
                  <c:v>0.52</c:v>
                </c:pt>
                <c:pt idx="2225">
                  <c:v>1.29</c:v>
                </c:pt>
                <c:pt idx="2226">
                  <c:v>1.29</c:v>
                </c:pt>
                <c:pt idx="2227">
                  <c:v>1.1399999999999999</c:v>
                </c:pt>
                <c:pt idx="2228">
                  <c:v>1.1399999999999999</c:v>
                </c:pt>
                <c:pt idx="2229">
                  <c:v>0.75</c:v>
                </c:pt>
                <c:pt idx="2230">
                  <c:v>0.75</c:v>
                </c:pt>
                <c:pt idx="2231">
                  <c:v>0.86</c:v>
                </c:pt>
                <c:pt idx="2232">
                  <c:v>0.86</c:v>
                </c:pt>
                <c:pt idx="2233">
                  <c:v>0.86</c:v>
                </c:pt>
                <c:pt idx="2234">
                  <c:v>0.8</c:v>
                </c:pt>
                <c:pt idx="2235">
                  <c:v>0.8</c:v>
                </c:pt>
                <c:pt idx="2236">
                  <c:v>0.79</c:v>
                </c:pt>
                <c:pt idx="2237">
                  <c:v>0.79</c:v>
                </c:pt>
                <c:pt idx="2238">
                  <c:v>0.79</c:v>
                </c:pt>
                <c:pt idx="2239">
                  <c:v>1.01</c:v>
                </c:pt>
                <c:pt idx="2240">
                  <c:v>1.01</c:v>
                </c:pt>
                <c:pt idx="2241">
                  <c:v>1.01</c:v>
                </c:pt>
                <c:pt idx="2242">
                  <c:v>1.1499999999999999</c:v>
                </c:pt>
                <c:pt idx="2243">
                  <c:v>1.1499999999999999</c:v>
                </c:pt>
                <c:pt idx="2244">
                  <c:v>1.02</c:v>
                </c:pt>
                <c:pt idx="2245">
                  <c:v>1.02</c:v>
                </c:pt>
                <c:pt idx="2246">
                  <c:v>1.02</c:v>
                </c:pt>
                <c:pt idx="2247">
                  <c:v>0.78</c:v>
                </c:pt>
                <c:pt idx="2248">
                  <c:v>0.78</c:v>
                </c:pt>
                <c:pt idx="2249">
                  <c:v>0.78</c:v>
                </c:pt>
                <c:pt idx="2250">
                  <c:v>0.78</c:v>
                </c:pt>
                <c:pt idx="2251">
                  <c:v>1.1200000000000001</c:v>
                </c:pt>
                <c:pt idx="2252">
                  <c:v>1.1200000000000001</c:v>
                </c:pt>
                <c:pt idx="2253">
                  <c:v>1.1200000000000001</c:v>
                </c:pt>
                <c:pt idx="2254">
                  <c:v>1.1200000000000001</c:v>
                </c:pt>
                <c:pt idx="2255">
                  <c:v>0.94</c:v>
                </c:pt>
                <c:pt idx="2256">
                  <c:v>0.94</c:v>
                </c:pt>
                <c:pt idx="2257">
                  <c:v>0.94</c:v>
                </c:pt>
                <c:pt idx="2258">
                  <c:v>0.97</c:v>
                </c:pt>
                <c:pt idx="2259">
                  <c:v>0.97</c:v>
                </c:pt>
                <c:pt idx="2260">
                  <c:v>0.96</c:v>
                </c:pt>
                <c:pt idx="2261">
                  <c:v>0.96</c:v>
                </c:pt>
                <c:pt idx="2262">
                  <c:v>0.96</c:v>
                </c:pt>
                <c:pt idx="2263">
                  <c:v>0.96</c:v>
                </c:pt>
                <c:pt idx="2264">
                  <c:v>0.96</c:v>
                </c:pt>
                <c:pt idx="2265">
                  <c:v>0.96</c:v>
                </c:pt>
                <c:pt idx="2266">
                  <c:v>0.94</c:v>
                </c:pt>
                <c:pt idx="2267">
                  <c:v>0.94</c:v>
                </c:pt>
                <c:pt idx="2268">
                  <c:v>1.23</c:v>
                </c:pt>
                <c:pt idx="2269">
                  <c:v>1.23</c:v>
                </c:pt>
                <c:pt idx="2270">
                  <c:v>0.67</c:v>
                </c:pt>
                <c:pt idx="2271">
                  <c:v>0.67</c:v>
                </c:pt>
                <c:pt idx="2272">
                  <c:v>1.1100000000000001</c:v>
                </c:pt>
                <c:pt idx="2273">
                  <c:v>1.1100000000000001</c:v>
                </c:pt>
                <c:pt idx="2274">
                  <c:v>1.1100000000000001</c:v>
                </c:pt>
                <c:pt idx="2275">
                  <c:v>1.24</c:v>
                </c:pt>
                <c:pt idx="2276">
                  <c:v>1.24</c:v>
                </c:pt>
                <c:pt idx="2277">
                  <c:v>0.55000000000000004</c:v>
                </c:pt>
                <c:pt idx="2278">
                  <c:v>0.55000000000000004</c:v>
                </c:pt>
                <c:pt idx="2279">
                  <c:v>1.19</c:v>
                </c:pt>
                <c:pt idx="2280">
                  <c:v>1.19</c:v>
                </c:pt>
                <c:pt idx="2281">
                  <c:v>1.19</c:v>
                </c:pt>
                <c:pt idx="2282">
                  <c:v>1.59</c:v>
                </c:pt>
                <c:pt idx="2283">
                  <c:v>1.59</c:v>
                </c:pt>
                <c:pt idx="2284">
                  <c:v>1.59</c:v>
                </c:pt>
                <c:pt idx="2285">
                  <c:v>1.31</c:v>
                </c:pt>
                <c:pt idx="2286">
                  <c:v>1.31</c:v>
                </c:pt>
                <c:pt idx="2287">
                  <c:v>1.31</c:v>
                </c:pt>
                <c:pt idx="2288">
                  <c:v>1.31</c:v>
                </c:pt>
                <c:pt idx="2289">
                  <c:v>0.94</c:v>
                </c:pt>
                <c:pt idx="2290">
                  <c:v>0.94</c:v>
                </c:pt>
                <c:pt idx="2291">
                  <c:v>1.9</c:v>
                </c:pt>
                <c:pt idx="2292">
                  <c:v>0.65</c:v>
                </c:pt>
                <c:pt idx="2293">
                  <c:v>0.65</c:v>
                </c:pt>
                <c:pt idx="2294">
                  <c:v>0.82</c:v>
                </c:pt>
                <c:pt idx="2295">
                  <c:v>0.82</c:v>
                </c:pt>
                <c:pt idx="2296">
                  <c:v>1.46</c:v>
                </c:pt>
                <c:pt idx="2297">
                  <c:v>1.46</c:v>
                </c:pt>
                <c:pt idx="2298">
                  <c:v>1.2</c:v>
                </c:pt>
                <c:pt idx="2299">
                  <c:v>1.2</c:v>
                </c:pt>
                <c:pt idx="2300">
                  <c:v>1.35</c:v>
                </c:pt>
                <c:pt idx="2301">
                  <c:v>1.35</c:v>
                </c:pt>
                <c:pt idx="2302">
                  <c:v>1.03</c:v>
                </c:pt>
                <c:pt idx="2303">
                  <c:v>1.03</c:v>
                </c:pt>
                <c:pt idx="2304">
                  <c:v>1.03</c:v>
                </c:pt>
                <c:pt idx="2305">
                  <c:v>1.03</c:v>
                </c:pt>
                <c:pt idx="2306">
                  <c:v>1.26</c:v>
                </c:pt>
                <c:pt idx="2307">
                  <c:v>1.26</c:v>
                </c:pt>
                <c:pt idx="2308">
                  <c:v>1.8</c:v>
                </c:pt>
                <c:pt idx="2309">
                  <c:v>1.8</c:v>
                </c:pt>
                <c:pt idx="2310">
                  <c:v>1.8</c:v>
                </c:pt>
                <c:pt idx="2311">
                  <c:v>1.06</c:v>
                </c:pt>
                <c:pt idx="2312">
                  <c:v>1.06</c:v>
                </c:pt>
                <c:pt idx="2313">
                  <c:v>1.06</c:v>
                </c:pt>
                <c:pt idx="2314">
                  <c:v>1.49</c:v>
                </c:pt>
                <c:pt idx="2315">
                  <c:v>1.49</c:v>
                </c:pt>
                <c:pt idx="2316">
                  <c:v>1.49</c:v>
                </c:pt>
                <c:pt idx="2317">
                  <c:v>0.98</c:v>
                </c:pt>
                <c:pt idx="2318">
                  <c:v>0.67</c:v>
                </c:pt>
                <c:pt idx="2319">
                  <c:v>0.67</c:v>
                </c:pt>
                <c:pt idx="2320">
                  <c:v>0.67</c:v>
                </c:pt>
                <c:pt idx="2321">
                  <c:v>0.67</c:v>
                </c:pt>
                <c:pt idx="2322">
                  <c:v>0.82</c:v>
                </c:pt>
                <c:pt idx="2323">
                  <c:v>0.82</c:v>
                </c:pt>
                <c:pt idx="2324">
                  <c:v>0.82</c:v>
                </c:pt>
                <c:pt idx="2325">
                  <c:v>0.82</c:v>
                </c:pt>
                <c:pt idx="2326">
                  <c:v>0.87</c:v>
                </c:pt>
                <c:pt idx="2327">
                  <c:v>0.87</c:v>
                </c:pt>
                <c:pt idx="2328">
                  <c:v>0.87</c:v>
                </c:pt>
                <c:pt idx="2329">
                  <c:v>1.72</c:v>
                </c:pt>
                <c:pt idx="2330">
                  <c:v>1.72</c:v>
                </c:pt>
                <c:pt idx="2331">
                  <c:v>1.72</c:v>
                </c:pt>
                <c:pt idx="2332">
                  <c:v>1.72</c:v>
                </c:pt>
                <c:pt idx="2333">
                  <c:v>0.68</c:v>
                </c:pt>
                <c:pt idx="2334">
                  <c:v>0.68</c:v>
                </c:pt>
                <c:pt idx="2335">
                  <c:v>0.68</c:v>
                </c:pt>
                <c:pt idx="2336">
                  <c:v>0.68</c:v>
                </c:pt>
                <c:pt idx="2337">
                  <c:v>0.48</c:v>
                </c:pt>
                <c:pt idx="2338">
                  <c:v>0.48</c:v>
                </c:pt>
                <c:pt idx="2339">
                  <c:v>0.8</c:v>
                </c:pt>
                <c:pt idx="2340">
                  <c:v>0.8</c:v>
                </c:pt>
                <c:pt idx="2341">
                  <c:v>0.8</c:v>
                </c:pt>
                <c:pt idx="2342">
                  <c:v>1.0900000000000001</c:v>
                </c:pt>
                <c:pt idx="2343">
                  <c:v>1.0900000000000001</c:v>
                </c:pt>
                <c:pt idx="2344">
                  <c:v>1.01</c:v>
                </c:pt>
                <c:pt idx="2345">
                  <c:v>1.01</c:v>
                </c:pt>
                <c:pt idx="2346">
                  <c:v>1.01</c:v>
                </c:pt>
                <c:pt idx="2347">
                  <c:v>0.73</c:v>
                </c:pt>
                <c:pt idx="2348">
                  <c:v>0.73</c:v>
                </c:pt>
                <c:pt idx="2349">
                  <c:v>0.73</c:v>
                </c:pt>
                <c:pt idx="2350">
                  <c:v>1.55</c:v>
                </c:pt>
                <c:pt idx="2351">
                  <c:v>1.55</c:v>
                </c:pt>
                <c:pt idx="2352">
                  <c:v>1.55</c:v>
                </c:pt>
                <c:pt idx="2353">
                  <c:v>0.82</c:v>
                </c:pt>
                <c:pt idx="2354">
                  <c:v>0.82</c:v>
                </c:pt>
                <c:pt idx="2355">
                  <c:v>0.49</c:v>
                </c:pt>
                <c:pt idx="2356">
                  <c:v>0.49</c:v>
                </c:pt>
                <c:pt idx="2357">
                  <c:v>0.97</c:v>
                </c:pt>
                <c:pt idx="2358">
                  <c:v>0.97</c:v>
                </c:pt>
                <c:pt idx="2359">
                  <c:v>0.76</c:v>
                </c:pt>
                <c:pt idx="2360">
                  <c:v>0.76</c:v>
                </c:pt>
                <c:pt idx="2361">
                  <c:v>1.1100000000000001</c:v>
                </c:pt>
                <c:pt idx="2362">
                  <c:v>1.1100000000000001</c:v>
                </c:pt>
                <c:pt idx="2363">
                  <c:v>0.55000000000000004</c:v>
                </c:pt>
                <c:pt idx="2364">
                  <c:v>0.55000000000000004</c:v>
                </c:pt>
                <c:pt idx="2365">
                  <c:v>0.55000000000000004</c:v>
                </c:pt>
                <c:pt idx="2366">
                  <c:v>0.55000000000000004</c:v>
                </c:pt>
                <c:pt idx="2367">
                  <c:v>0.51</c:v>
                </c:pt>
                <c:pt idx="2368">
                  <c:v>0.51</c:v>
                </c:pt>
                <c:pt idx="2369">
                  <c:v>0.72</c:v>
                </c:pt>
                <c:pt idx="2370">
                  <c:v>0.72</c:v>
                </c:pt>
                <c:pt idx="2371">
                  <c:v>1.43</c:v>
                </c:pt>
                <c:pt idx="2372">
                  <c:v>1.43</c:v>
                </c:pt>
                <c:pt idx="2373">
                  <c:v>1.43</c:v>
                </c:pt>
                <c:pt idx="2374">
                  <c:v>1.43</c:v>
                </c:pt>
                <c:pt idx="2375">
                  <c:v>1.43</c:v>
                </c:pt>
                <c:pt idx="2376">
                  <c:v>0.76</c:v>
                </c:pt>
                <c:pt idx="2377">
                  <c:v>0.76</c:v>
                </c:pt>
                <c:pt idx="2378">
                  <c:v>1.29</c:v>
                </c:pt>
                <c:pt idx="2379">
                  <c:v>1.29</c:v>
                </c:pt>
                <c:pt idx="2380">
                  <c:v>1.29</c:v>
                </c:pt>
                <c:pt idx="2381">
                  <c:v>1.29</c:v>
                </c:pt>
                <c:pt idx="2382">
                  <c:v>0.74</c:v>
                </c:pt>
                <c:pt idx="2383">
                  <c:v>0.74</c:v>
                </c:pt>
                <c:pt idx="2384">
                  <c:v>0.67</c:v>
                </c:pt>
                <c:pt idx="2385">
                  <c:v>0.67</c:v>
                </c:pt>
                <c:pt idx="2386">
                  <c:v>0.85</c:v>
                </c:pt>
                <c:pt idx="2387">
                  <c:v>0.85</c:v>
                </c:pt>
                <c:pt idx="2388">
                  <c:v>0.84</c:v>
                </c:pt>
                <c:pt idx="2389">
                  <c:v>0.84</c:v>
                </c:pt>
                <c:pt idx="2390">
                  <c:v>0.8</c:v>
                </c:pt>
                <c:pt idx="2391">
                  <c:v>0.8</c:v>
                </c:pt>
                <c:pt idx="2392">
                  <c:v>0.8</c:v>
                </c:pt>
                <c:pt idx="2393">
                  <c:v>0.8</c:v>
                </c:pt>
                <c:pt idx="2394">
                  <c:v>0.8</c:v>
                </c:pt>
                <c:pt idx="2395">
                  <c:v>0.8</c:v>
                </c:pt>
                <c:pt idx="2396">
                  <c:v>0.8</c:v>
                </c:pt>
                <c:pt idx="2397">
                  <c:v>0.83</c:v>
                </c:pt>
                <c:pt idx="2398">
                  <c:v>0.83</c:v>
                </c:pt>
                <c:pt idx="2399">
                  <c:v>0.77</c:v>
                </c:pt>
                <c:pt idx="2400">
                  <c:v>0.77</c:v>
                </c:pt>
                <c:pt idx="2401">
                  <c:v>0.77</c:v>
                </c:pt>
                <c:pt idx="2402">
                  <c:v>0.83</c:v>
                </c:pt>
                <c:pt idx="2403">
                  <c:v>0.83</c:v>
                </c:pt>
                <c:pt idx="2404">
                  <c:v>0.48</c:v>
                </c:pt>
                <c:pt idx="2405">
                  <c:v>0.48</c:v>
                </c:pt>
                <c:pt idx="2406">
                  <c:v>0.48</c:v>
                </c:pt>
                <c:pt idx="2407">
                  <c:v>1.31</c:v>
                </c:pt>
                <c:pt idx="2408">
                  <c:v>1.31</c:v>
                </c:pt>
                <c:pt idx="2409">
                  <c:v>1.31</c:v>
                </c:pt>
                <c:pt idx="2410">
                  <c:v>0.81</c:v>
                </c:pt>
                <c:pt idx="2411">
                  <c:v>0.81</c:v>
                </c:pt>
                <c:pt idx="2412">
                  <c:v>0.81</c:v>
                </c:pt>
                <c:pt idx="2413">
                  <c:v>0.89</c:v>
                </c:pt>
                <c:pt idx="2414">
                  <c:v>0.89</c:v>
                </c:pt>
                <c:pt idx="2415">
                  <c:v>0.89</c:v>
                </c:pt>
                <c:pt idx="2416">
                  <c:v>0.89</c:v>
                </c:pt>
                <c:pt idx="2417">
                  <c:v>0.55000000000000004</c:v>
                </c:pt>
                <c:pt idx="2418">
                  <c:v>0.55000000000000004</c:v>
                </c:pt>
                <c:pt idx="2419">
                  <c:v>0.79</c:v>
                </c:pt>
                <c:pt idx="2420">
                  <c:v>0.79</c:v>
                </c:pt>
                <c:pt idx="2421">
                  <c:v>0.79</c:v>
                </c:pt>
                <c:pt idx="2422">
                  <c:v>0.91</c:v>
                </c:pt>
                <c:pt idx="2423">
                  <c:v>0.91</c:v>
                </c:pt>
                <c:pt idx="2424">
                  <c:v>0.91</c:v>
                </c:pt>
                <c:pt idx="2425">
                  <c:v>0.93</c:v>
                </c:pt>
                <c:pt idx="2426">
                  <c:v>0.93</c:v>
                </c:pt>
                <c:pt idx="2427">
                  <c:v>0.93</c:v>
                </c:pt>
                <c:pt idx="2428">
                  <c:v>1.3</c:v>
                </c:pt>
                <c:pt idx="2429">
                  <c:v>1.3</c:v>
                </c:pt>
                <c:pt idx="2430">
                  <c:v>1.3</c:v>
                </c:pt>
                <c:pt idx="2431">
                  <c:v>1.3</c:v>
                </c:pt>
                <c:pt idx="2432">
                  <c:v>1.04</c:v>
                </c:pt>
                <c:pt idx="2433">
                  <c:v>1.04</c:v>
                </c:pt>
                <c:pt idx="2434">
                  <c:v>1.04</c:v>
                </c:pt>
                <c:pt idx="2435">
                  <c:v>0.92</c:v>
                </c:pt>
                <c:pt idx="2436">
                  <c:v>0.92</c:v>
                </c:pt>
                <c:pt idx="2437">
                  <c:v>0.9</c:v>
                </c:pt>
                <c:pt idx="2438">
                  <c:v>0.9</c:v>
                </c:pt>
                <c:pt idx="2439">
                  <c:v>0.51</c:v>
                </c:pt>
                <c:pt idx="2440">
                  <c:v>0.51</c:v>
                </c:pt>
                <c:pt idx="2441">
                  <c:v>0.51</c:v>
                </c:pt>
                <c:pt idx="2442">
                  <c:v>0.51</c:v>
                </c:pt>
                <c:pt idx="2443">
                  <c:v>0.86</c:v>
                </c:pt>
                <c:pt idx="2444">
                  <c:v>0.86</c:v>
                </c:pt>
                <c:pt idx="2445">
                  <c:v>0.79</c:v>
                </c:pt>
                <c:pt idx="2446">
                  <c:v>0.79</c:v>
                </c:pt>
                <c:pt idx="2447">
                  <c:v>0.88</c:v>
                </c:pt>
                <c:pt idx="2448">
                  <c:v>0.88</c:v>
                </c:pt>
                <c:pt idx="2449">
                  <c:v>0.79</c:v>
                </c:pt>
                <c:pt idx="2450">
                  <c:v>0.79</c:v>
                </c:pt>
                <c:pt idx="2451">
                  <c:v>1.55</c:v>
                </c:pt>
                <c:pt idx="2452">
                  <c:v>1.55</c:v>
                </c:pt>
                <c:pt idx="2453">
                  <c:v>1.1000000000000001</c:v>
                </c:pt>
                <c:pt idx="2454">
                  <c:v>1.1000000000000001</c:v>
                </c:pt>
                <c:pt idx="2455">
                  <c:v>1.1000000000000001</c:v>
                </c:pt>
                <c:pt idx="2456">
                  <c:v>1.1000000000000001</c:v>
                </c:pt>
                <c:pt idx="2457">
                  <c:v>1.03</c:v>
                </c:pt>
                <c:pt idx="2458">
                  <c:v>1.03</c:v>
                </c:pt>
                <c:pt idx="2459">
                  <c:v>0.56000000000000005</c:v>
                </c:pt>
                <c:pt idx="2460">
                  <c:v>0.56000000000000005</c:v>
                </c:pt>
                <c:pt idx="2461">
                  <c:v>0.56000000000000005</c:v>
                </c:pt>
                <c:pt idx="2462">
                  <c:v>1.27</c:v>
                </c:pt>
                <c:pt idx="2463">
                  <c:v>1.27</c:v>
                </c:pt>
                <c:pt idx="2464">
                  <c:v>0.96</c:v>
                </c:pt>
                <c:pt idx="2465">
                  <c:v>0.96</c:v>
                </c:pt>
                <c:pt idx="2466">
                  <c:v>0.59</c:v>
                </c:pt>
                <c:pt idx="2467">
                  <c:v>0.59</c:v>
                </c:pt>
                <c:pt idx="2468">
                  <c:v>1.46</c:v>
                </c:pt>
                <c:pt idx="2469">
                  <c:v>1.46</c:v>
                </c:pt>
                <c:pt idx="2470">
                  <c:v>0.87</c:v>
                </c:pt>
                <c:pt idx="2471">
                  <c:v>0.87</c:v>
                </c:pt>
                <c:pt idx="2472">
                  <c:v>0.87</c:v>
                </c:pt>
                <c:pt idx="2473">
                  <c:v>0.93</c:v>
                </c:pt>
                <c:pt idx="2474">
                  <c:v>0.93</c:v>
                </c:pt>
                <c:pt idx="2475">
                  <c:v>0.93</c:v>
                </c:pt>
                <c:pt idx="2476">
                  <c:v>0.81</c:v>
                </c:pt>
                <c:pt idx="2477">
                  <c:v>0.81</c:v>
                </c:pt>
                <c:pt idx="2478">
                  <c:v>1.01</c:v>
                </c:pt>
                <c:pt idx="2479">
                  <c:v>1.01</c:v>
                </c:pt>
                <c:pt idx="2480">
                  <c:v>1.38</c:v>
                </c:pt>
                <c:pt idx="2481">
                  <c:v>1.38</c:v>
                </c:pt>
                <c:pt idx="2482">
                  <c:v>1.38</c:v>
                </c:pt>
                <c:pt idx="2483">
                  <c:v>1.05</c:v>
                </c:pt>
                <c:pt idx="2484">
                  <c:v>1.05</c:v>
                </c:pt>
                <c:pt idx="2485">
                  <c:v>1.05</c:v>
                </c:pt>
                <c:pt idx="2486">
                  <c:v>1.65</c:v>
                </c:pt>
                <c:pt idx="2487">
                  <c:v>1.65</c:v>
                </c:pt>
                <c:pt idx="2488">
                  <c:v>2.94</c:v>
                </c:pt>
                <c:pt idx="2489">
                  <c:v>2.94</c:v>
                </c:pt>
                <c:pt idx="2490">
                  <c:v>1.75</c:v>
                </c:pt>
                <c:pt idx="2491">
                  <c:v>1.75</c:v>
                </c:pt>
                <c:pt idx="2492">
                  <c:v>1.75</c:v>
                </c:pt>
                <c:pt idx="2493">
                  <c:v>0.7</c:v>
                </c:pt>
                <c:pt idx="2494">
                  <c:v>0.7</c:v>
                </c:pt>
                <c:pt idx="2495">
                  <c:v>0.89</c:v>
                </c:pt>
                <c:pt idx="2496">
                  <c:v>0.89</c:v>
                </c:pt>
                <c:pt idx="2497">
                  <c:v>0.9</c:v>
                </c:pt>
                <c:pt idx="2498">
                  <c:v>0.9</c:v>
                </c:pt>
                <c:pt idx="2499">
                  <c:v>0.9</c:v>
                </c:pt>
                <c:pt idx="2500">
                  <c:v>0.9</c:v>
                </c:pt>
                <c:pt idx="2501">
                  <c:v>0.9</c:v>
                </c:pt>
                <c:pt idx="2502">
                  <c:v>0.9</c:v>
                </c:pt>
                <c:pt idx="2503">
                  <c:v>0.56999999999999995</c:v>
                </c:pt>
                <c:pt idx="2504">
                  <c:v>0.56999999999999995</c:v>
                </c:pt>
                <c:pt idx="2505">
                  <c:v>0.81</c:v>
                </c:pt>
                <c:pt idx="2506">
                  <c:v>0.81</c:v>
                </c:pt>
                <c:pt idx="2507">
                  <c:v>0.81</c:v>
                </c:pt>
                <c:pt idx="2508">
                  <c:v>0.81</c:v>
                </c:pt>
                <c:pt idx="2509">
                  <c:v>0.86</c:v>
                </c:pt>
                <c:pt idx="2510">
                  <c:v>0.86</c:v>
                </c:pt>
                <c:pt idx="2511">
                  <c:v>0.86</c:v>
                </c:pt>
                <c:pt idx="2512">
                  <c:v>0.86</c:v>
                </c:pt>
                <c:pt idx="2513">
                  <c:v>1.03</c:v>
                </c:pt>
                <c:pt idx="2514">
                  <c:v>1.03</c:v>
                </c:pt>
                <c:pt idx="2515">
                  <c:v>1.0900000000000001</c:v>
                </c:pt>
                <c:pt idx="2516">
                  <c:v>1.0900000000000001</c:v>
                </c:pt>
                <c:pt idx="2517">
                  <c:v>1.0900000000000001</c:v>
                </c:pt>
                <c:pt idx="2518">
                  <c:v>1</c:v>
                </c:pt>
                <c:pt idx="2519">
                  <c:v>1</c:v>
                </c:pt>
                <c:pt idx="2520">
                  <c:v>1</c:v>
                </c:pt>
                <c:pt idx="2521">
                  <c:v>0.93</c:v>
                </c:pt>
                <c:pt idx="2522">
                  <c:v>0.93</c:v>
                </c:pt>
                <c:pt idx="2523">
                  <c:v>0.74</c:v>
                </c:pt>
                <c:pt idx="2524">
                  <c:v>0.74</c:v>
                </c:pt>
                <c:pt idx="2525">
                  <c:v>1.02</c:v>
                </c:pt>
                <c:pt idx="2526">
                  <c:v>1.02</c:v>
                </c:pt>
                <c:pt idx="2527">
                  <c:v>0.83</c:v>
                </c:pt>
                <c:pt idx="2528">
                  <c:v>0.83</c:v>
                </c:pt>
                <c:pt idx="2529">
                  <c:v>0.83</c:v>
                </c:pt>
                <c:pt idx="2530">
                  <c:v>0.83</c:v>
                </c:pt>
                <c:pt idx="2531">
                  <c:v>0.83</c:v>
                </c:pt>
                <c:pt idx="2532">
                  <c:v>0.96</c:v>
                </c:pt>
                <c:pt idx="2533">
                  <c:v>0.96</c:v>
                </c:pt>
                <c:pt idx="2534">
                  <c:v>0.98</c:v>
                </c:pt>
                <c:pt idx="2535">
                  <c:v>0.98</c:v>
                </c:pt>
                <c:pt idx="2536">
                  <c:v>0.9</c:v>
                </c:pt>
                <c:pt idx="2537">
                  <c:v>0.9</c:v>
                </c:pt>
                <c:pt idx="2538">
                  <c:v>0.9</c:v>
                </c:pt>
                <c:pt idx="2539">
                  <c:v>0.48</c:v>
                </c:pt>
                <c:pt idx="2540">
                  <c:v>0.48</c:v>
                </c:pt>
                <c:pt idx="2541">
                  <c:v>0.48</c:v>
                </c:pt>
                <c:pt idx="2542">
                  <c:v>0.48</c:v>
                </c:pt>
                <c:pt idx="2543">
                  <c:v>0.48</c:v>
                </c:pt>
                <c:pt idx="2544">
                  <c:v>0.92</c:v>
                </c:pt>
                <c:pt idx="2545">
                  <c:v>0.92</c:v>
                </c:pt>
                <c:pt idx="2546">
                  <c:v>0.57999999999999996</c:v>
                </c:pt>
                <c:pt idx="2547">
                  <c:v>0.57999999999999996</c:v>
                </c:pt>
                <c:pt idx="2548">
                  <c:v>0.57999999999999996</c:v>
                </c:pt>
                <c:pt idx="2549">
                  <c:v>1.03</c:v>
                </c:pt>
                <c:pt idx="2550">
                  <c:v>1.03</c:v>
                </c:pt>
                <c:pt idx="2551">
                  <c:v>1.03</c:v>
                </c:pt>
                <c:pt idx="2552">
                  <c:v>1.03</c:v>
                </c:pt>
                <c:pt idx="2553">
                  <c:v>0.95</c:v>
                </c:pt>
                <c:pt idx="2554">
                  <c:v>0.95</c:v>
                </c:pt>
                <c:pt idx="2555">
                  <c:v>0.95</c:v>
                </c:pt>
                <c:pt idx="2556">
                  <c:v>0.9</c:v>
                </c:pt>
                <c:pt idx="2557">
                  <c:v>0.9</c:v>
                </c:pt>
                <c:pt idx="2558">
                  <c:v>0.9</c:v>
                </c:pt>
                <c:pt idx="2559">
                  <c:v>0.9</c:v>
                </c:pt>
                <c:pt idx="2560">
                  <c:v>0.9</c:v>
                </c:pt>
                <c:pt idx="2561">
                  <c:v>1.22</c:v>
                </c:pt>
                <c:pt idx="2562">
                  <c:v>1.22</c:v>
                </c:pt>
                <c:pt idx="2563">
                  <c:v>0.48</c:v>
                </c:pt>
                <c:pt idx="2564">
                  <c:v>0.48</c:v>
                </c:pt>
                <c:pt idx="2565">
                  <c:v>0.69</c:v>
                </c:pt>
                <c:pt idx="2566">
                  <c:v>0.69</c:v>
                </c:pt>
                <c:pt idx="2567">
                  <c:v>0.69</c:v>
                </c:pt>
                <c:pt idx="2568">
                  <c:v>0.69</c:v>
                </c:pt>
                <c:pt idx="2569">
                  <c:v>0.79</c:v>
                </c:pt>
                <c:pt idx="2570">
                  <c:v>0.79</c:v>
                </c:pt>
                <c:pt idx="2571">
                  <c:v>0.79</c:v>
                </c:pt>
                <c:pt idx="2572">
                  <c:v>0.72</c:v>
                </c:pt>
                <c:pt idx="2573">
                  <c:v>0.72</c:v>
                </c:pt>
                <c:pt idx="2574">
                  <c:v>0.72</c:v>
                </c:pt>
                <c:pt idx="2575">
                  <c:v>0.72</c:v>
                </c:pt>
                <c:pt idx="2576">
                  <c:v>0.81</c:v>
                </c:pt>
                <c:pt idx="2577">
                  <c:v>0.81</c:v>
                </c:pt>
                <c:pt idx="2578">
                  <c:v>0.94</c:v>
                </c:pt>
                <c:pt idx="2579">
                  <c:v>0.94</c:v>
                </c:pt>
                <c:pt idx="2580">
                  <c:v>0.72</c:v>
                </c:pt>
                <c:pt idx="2581">
                  <c:v>0.72</c:v>
                </c:pt>
                <c:pt idx="2582">
                  <c:v>1.22</c:v>
                </c:pt>
                <c:pt idx="2583">
                  <c:v>1.22</c:v>
                </c:pt>
                <c:pt idx="2584">
                  <c:v>1.22</c:v>
                </c:pt>
                <c:pt idx="2585">
                  <c:v>0.88</c:v>
                </c:pt>
                <c:pt idx="2586">
                  <c:v>0.88</c:v>
                </c:pt>
                <c:pt idx="2587">
                  <c:v>0.88</c:v>
                </c:pt>
                <c:pt idx="2588">
                  <c:v>1.19</c:v>
                </c:pt>
                <c:pt idx="2589">
                  <c:v>1.19</c:v>
                </c:pt>
                <c:pt idx="2590">
                  <c:v>1.47</c:v>
                </c:pt>
                <c:pt idx="2591">
                  <c:v>1.47</c:v>
                </c:pt>
                <c:pt idx="2592">
                  <c:v>1.54</c:v>
                </c:pt>
                <c:pt idx="2593">
                  <c:v>1.54</c:v>
                </c:pt>
                <c:pt idx="2594">
                  <c:v>0.95</c:v>
                </c:pt>
                <c:pt idx="2595">
                  <c:v>0.95</c:v>
                </c:pt>
                <c:pt idx="2596">
                  <c:v>1.04</c:v>
                </c:pt>
                <c:pt idx="2597">
                  <c:v>1.04</c:v>
                </c:pt>
                <c:pt idx="2598">
                  <c:v>0.52</c:v>
                </c:pt>
                <c:pt idx="2599">
                  <c:v>0.52</c:v>
                </c:pt>
                <c:pt idx="2600">
                  <c:v>0.94</c:v>
                </c:pt>
                <c:pt idx="2601">
                  <c:v>0.94</c:v>
                </c:pt>
                <c:pt idx="2602">
                  <c:v>1.19</c:v>
                </c:pt>
                <c:pt idx="2603">
                  <c:v>1.19</c:v>
                </c:pt>
                <c:pt idx="2604">
                  <c:v>0.9</c:v>
                </c:pt>
                <c:pt idx="2605">
                  <c:v>0.9</c:v>
                </c:pt>
                <c:pt idx="2606">
                  <c:v>0.9</c:v>
                </c:pt>
                <c:pt idx="2607">
                  <c:v>0.53</c:v>
                </c:pt>
                <c:pt idx="2608">
                  <c:v>0.53</c:v>
                </c:pt>
                <c:pt idx="2609">
                  <c:v>0.53</c:v>
                </c:pt>
                <c:pt idx="2610">
                  <c:v>0.53</c:v>
                </c:pt>
                <c:pt idx="2611">
                  <c:v>0.53</c:v>
                </c:pt>
                <c:pt idx="2612">
                  <c:v>1.1100000000000001</c:v>
                </c:pt>
                <c:pt idx="2613">
                  <c:v>1.1100000000000001</c:v>
                </c:pt>
                <c:pt idx="2614">
                  <c:v>1.19</c:v>
                </c:pt>
                <c:pt idx="2615">
                  <c:v>1.19</c:v>
                </c:pt>
                <c:pt idx="2616">
                  <c:v>0.89</c:v>
                </c:pt>
                <c:pt idx="2617">
                  <c:v>0.89</c:v>
                </c:pt>
                <c:pt idx="2618">
                  <c:v>1.18</c:v>
                </c:pt>
                <c:pt idx="2619">
                  <c:v>1.18</c:v>
                </c:pt>
                <c:pt idx="2620">
                  <c:v>0.84</c:v>
                </c:pt>
                <c:pt idx="2621">
                  <c:v>0.84</c:v>
                </c:pt>
                <c:pt idx="2622">
                  <c:v>1</c:v>
                </c:pt>
                <c:pt idx="2623">
                  <c:v>1</c:v>
                </c:pt>
                <c:pt idx="2624">
                  <c:v>1</c:v>
                </c:pt>
                <c:pt idx="2625">
                  <c:v>0.8</c:v>
                </c:pt>
                <c:pt idx="2626">
                  <c:v>0.8</c:v>
                </c:pt>
                <c:pt idx="2627">
                  <c:v>0.8</c:v>
                </c:pt>
                <c:pt idx="2628">
                  <c:v>0.49</c:v>
                </c:pt>
                <c:pt idx="2629">
                  <c:v>0.49</c:v>
                </c:pt>
                <c:pt idx="2630">
                  <c:v>0.49</c:v>
                </c:pt>
                <c:pt idx="2631">
                  <c:v>1</c:v>
                </c:pt>
                <c:pt idx="2632">
                  <c:v>1</c:v>
                </c:pt>
                <c:pt idx="2633">
                  <c:v>0.52</c:v>
                </c:pt>
                <c:pt idx="2634">
                  <c:v>0.52</c:v>
                </c:pt>
                <c:pt idx="2635">
                  <c:v>1.82</c:v>
                </c:pt>
                <c:pt idx="2636">
                  <c:v>1.82</c:v>
                </c:pt>
                <c:pt idx="2637">
                  <c:v>1.82</c:v>
                </c:pt>
                <c:pt idx="2638">
                  <c:v>1.82</c:v>
                </c:pt>
                <c:pt idx="2639">
                  <c:v>1.82</c:v>
                </c:pt>
                <c:pt idx="2640">
                  <c:v>0.72</c:v>
                </c:pt>
                <c:pt idx="2641">
                  <c:v>0.72</c:v>
                </c:pt>
                <c:pt idx="2642">
                  <c:v>0.49</c:v>
                </c:pt>
                <c:pt idx="2643">
                  <c:v>0.49</c:v>
                </c:pt>
                <c:pt idx="2644">
                  <c:v>0.49</c:v>
                </c:pt>
                <c:pt idx="2645">
                  <c:v>0.72</c:v>
                </c:pt>
                <c:pt idx="2646">
                  <c:v>0.72</c:v>
                </c:pt>
                <c:pt idx="2647">
                  <c:v>0.72</c:v>
                </c:pt>
                <c:pt idx="2648">
                  <c:v>0.53</c:v>
                </c:pt>
                <c:pt idx="2649">
                  <c:v>0.53</c:v>
                </c:pt>
                <c:pt idx="2650">
                  <c:v>1.07</c:v>
                </c:pt>
                <c:pt idx="2651">
                  <c:v>1.07</c:v>
                </c:pt>
                <c:pt idx="2652">
                  <c:v>1.07</c:v>
                </c:pt>
                <c:pt idx="2653">
                  <c:v>1.85</c:v>
                </c:pt>
                <c:pt idx="2654">
                  <c:v>1.85</c:v>
                </c:pt>
                <c:pt idx="2655">
                  <c:v>1.3</c:v>
                </c:pt>
                <c:pt idx="2656">
                  <c:v>1.3</c:v>
                </c:pt>
                <c:pt idx="2657">
                  <c:v>1.3</c:v>
                </c:pt>
                <c:pt idx="2658">
                  <c:v>1.76</c:v>
                </c:pt>
                <c:pt idx="2659">
                  <c:v>1.76</c:v>
                </c:pt>
                <c:pt idx="2660">
                  <c:v>1.74</c:v>
                </c:pt>
                <c:pt idx="2661">
                  <c:v>1.74</c:v>
                </c:pt>
                <c:pt idx="2662">
                  <c:v>1.74</c:v>
                </c:pt>
                <c:pt idx="2663">
                  <c:v>1.74</c:v>
                </c:pt>
                <c:pt idx="2664">
                  <c:v>0.8</c:v>
                </c:pt>
                <c:pt idx="2665">
                  <c:v>0.8</c:v>
                </c:pt>
                <c:pt idx="2666">
                  <c:v>0.8</c:v>
                </c:pt>
                <c:pt idx="2667">
                  <c:v>1.1599999999999999</c:v>
                </c:pt>
                <c:pt idx="2668">
                  <c:v>1.85</c:v>
                </c:pt>
                <c:pt idx="2669">
                  <c:v>1.85</c:v>
                </c:pt>
                <c:pt idx="2670">
                  <c:v>1.02</c:v>
                </c:pt>
                <c:pt idx="2671">
                  <c:v>1.02</c:v>
                </c:pt>
                <c:pt idx="2672">
                  <c:v>1.02</c:v>
                </c:pt>
                <c:pt idx="2673">
                  <c:v>1.02</c:v>
                </c:pt>
                <c:pt idx="2674">
                  <c:v>1.47</c:v>
                </c:pt>
                <c:pt idx="2675">
                  <c:v>1.47</c:v>
                </c:pt>
                <c:pt idx="2676">
                  <c:v>1.47</c:v>
                </c:pt>
                <c:pt idx="2677">
                  <c:v>1.47</c:v>
                </c:pt>
                <c:pt idx="2678">
                  <c:v>1.43</c:v>
                </c:pt>
                <c:pt idx="2679">
                  <c:v>1.43</c:v>
                </c:pt>
                <c:pt idx="2680">
                  <c:v>0.98</c:v>
                </c:pt>
                <c:pt idx="2681">
                  <c:v>0.98</c:v>
                </c:pt>
                <c:pt idx="2682">
                  <c:v>0.62</c:v>
                </c:pt>
                <c:pt idx="2683">
                  <c:v>0.62</c:v>
                </c:pt>
                <c:pt idx="2684">
                  <c:v>1.02</c:v>
                </c:pt>
                <c:pt idx="2685">
                  <c:v>1.02</c:v>
                </c:pt>
                <c:pt idx="2686">
                  <c:v>1</c:v>
                </c:pt>
                <c:pt idx="2687">
                  <c:v>1</c:v>
                </c:pt>
                <c:pt idx="2688">
                  <c:v>1.36</c:v>
                </c:pt>
                <c:pt idx="2689">
                  <c:v>1.36</c:v>
                </c:pt>
                <c:pt idx="2690">
                  <c:v>0.93</c:v>
                </c:pt>
                <c:pt idx="2691">
                  <c:v>0.93</c:v>
                </c:pt>
                <c:pt idx="2692">
                  <c:v>1.03</c:v>
                </c:pt>
                <c:pt idx="2693">
                  <c:v>1.53</c:v>
                </c:pt>
                <c:pt idx="2694">
                  <c:v>1.53</c:v>
                </c:pt>
                <c:pt idx="2695">
                  <c:v>1.53</c:v>
                </c:pt>
                <c:pt idx="2696">
                  <c:v>0.85</c:v>
                </c:pt>
                <c:pt idx="2697">
                  <c:v>0.85</c:v>
                </c:pt>
                <c:pt idx="2698">
                  <c:v>0.85</c:v>
                </c:pt>
                <c:pt idx="2699">
                  <c:v>0.78</c:v>
                </c:pt>
                <c:pt idx="2700">
                  <c:v>0.78</c:v>
                </c:pt>
                <c:pt idx="2701">
                  <c:v>0.5</c:v>
                </c:pt>
                <c:pt idx="2702">
                  <c:v>0.5</c:v>
                </c:pt>
                <c:pt idx="2703">
                  <c:v>0.67</c:v>
                </c:pt>
                <c:pt idx="2704">
                  <c:v>0.67</c:v>
                </c:pt>
                <c:pt idx="2705">
                  <c:v>0.67</c:v>
                </c:pt>
                <c:pt idx="2706">
                  <c:v>1.07</c:v>
                </c:pt>
                <c:pt idx="2707">
                  <c:v>1.07</c:v>
                </c:pt>
                <c:pt idx="2708">
                  <c:v>1.33</c:v>
                </c:pt>
                <c:pt idx="2709">
                  <c:v>1.33</c:v>
                </c:pt>
                <c:pt idx="2710">
                  <c:v>0.83</c:v>
                </c:pt>
                <c:pt idx="2711">
                  <c:v>0.83</c:v>
                </c:pt>
                <c:pt idx="2712">
                  <c:v>0.83</c:v>
                </c:pt>
                <c:pt idx="2713">
                  <c:v>0.95</c:v>
                </c:pt>
                <c:pt idx="2714">
                  <c:v>0.95</c:v>
                </c:pt>
                <c:pt idx="2715">
                  <c:v>1.0900000000000001</c:v>
                </c:pt>
                <c:pt idx="2716">
                  <c:v>1.0900000000000001</c:v>
                </c:pt>
                <c:pt idx="2717">
                  <c:v>1.0900000000000001</c:v>
                </c:pt>
                <c:pt idx="2718">
                  <c:v>1.63</c:v>
                </c:pt>
                <c:pt idx="2719">
                  <c:v>1.63</c:v>
                </c:pt>
                <c:pt idx="2720">
                  <c:v>1.06</c:v>
                </c:pt>
                <c:pt idx="2721">
                  <c:v>1.06</c:v>
                </c:pt>
                <c:pt idx="2722">
                  <c:v>1.34</c:v>
                </c:pt>
                <c:pt idx="2723">
                  <c:v>1.34</c:v>
                </c:pt>
                <c:pt idx="2724">
                  <c:v>0.72</c:v>
                </c:pt>
                <c:pt idx="2725">
                  <c:v>0.72</c:v>
                </c:pt>
                <c:pt idx="2726">
                  <c:v>1.49</c:v>
                </c:pt>
                <c:pt idx="2727">
                  <c:v>1.49</c:v>
                </c:pt>
                <c:pt idx="2728">
                  <c:v>1.49</c:v>
                </c:pt>
                <c:pt idx="2729">
                  <c:v>1.28</c:v>
                </c:pt>
                <c:pt idx="2730">
                  <c:v>1.28</c:v>
                </c:pt>
                <c:pt idx="2731">
                  <c:v>1.05</c:v>
                </c:pt>
                <c:pt idx="2732">
                  <c:v>1.05</c:v>
                </c:pt>
                <c:pt idx="2733">
                  <c:v>1.05</c:v>
                </c:pt>
                <c:pt idx="2734">
                  <c:v>1.05</c:v>
                </c:pt>
                <c:pt idx="2735">
                  <c:v>0.69</c:v>
                </c:pt>
                <c:pt idx="2736">
                  <c:v>0.69</c:v>
                </c:pt>
                <c:pt idx="2737">
                  <c:v>2.02</c:v>
                </c:pt>
                <c:pt idx="2738">
                  <c:v>2.02</c:v>
                </c:pt>
                <c:pt idx="2739">
                  <c:v>0.47</c:v>
                </c:pt>
                <c:pt idx="2740">
                  <c:v>0.47</c:v>
                </c:pt>
                <c:pt idx="2741">
                  <c:v>0.79</c:v>
                </c:pt>
                <c:pt idx="2742">
                  <c:v>0.79</c:v>
                </c:pt>
                <c:pt idx="2743">
                  <c:v>0.79</c:v>
                </c:pt>
                <c:pt idx="2744">
                  <c:v>0.79</c:v>
                </c:pt>
                <c:pt idx="2745">
                  <c:v>0.9</c:v>
                </c:pt>
                <c:pt idx="2746">
                  <c:v>0.9</c:v>
                </c:pt>
                <c:pt idx="2747">
                  <c:v>0.99</c:v>
                </c:pt>
                <c:pt idx="2748">
                  <c:v>0.99</c:v>
                </c:pt>
                <c:pt idx="2749">
                  <c:v>1.1399999999999999</c:v>
                </c:pt>
                <c:pt idx="2750">
                  <c:v>1.1399999999999999</c:v>
                </c:pt>
                <c:pt idx="2751">
                  <c:v>1.1399999999999999</c:v>
                </c:pt>
                <c:pt idx="2752">
                  <c:v>0.84</c:v>
                </c:pt>
                <c:pt idx="2753">
                  <c:v>0.84</c:v>
                </c:pt>
                <c:pt idx="2754">
                  <c:v>0.91</c:v>
                </c:pt>
                <c:pt idx="2755">
                  <c:v>0.91</c:v>
                </c:pt>
                <c:pt idx="2756">
                  <c:v>0.91</c:v>
                </c:pt>
                <c:pt idx="2757">
                  <c:v>0.84</c:v>
                </c:pt>
                <c:pt idx="2758">
                  <c:v>0.84</c:v>
                </c:pt>
                <c:pt idx="2759">
                  <c:v>1.18</c:v>
                </c:pt>
                <c:pt idx="2760">
                  <c:v>1.18</c:v>
                </c:pt>
                <c:pt idx="2761">
                  <c:v>1.22</c:v>
                </c:pt>
                <c:pt idx="2762">
                  <c:v>1.22</c:v>
                </c:pt>
                <c:pt idx="2763">
                  <c:v>0.67</c:v>
                </c:pt>
                <c:pt idx="2764">
                  <c:v>0.67</c:v>
                </c:pt>
                <c:pt idx="2765">
                  <c:v>1.31</c:v>
                </c:pt>
                <c:pt idx="2766">
                  <c:v>1.31</c:v>
                </c:pt>
                <c:pt idx="2767">
                  <c:v>1.75</c:v>
                </c:pt>
                <c:pt idx="2768">
                  <c:v>1.22</c:v>
                </c:pt>
                <c:pt idx="2769">
                  <c:v>1.22</c:v>
                </c:pt>
                <c:pt idx="2770">
                  <c:v>1.57</c:v>
                </c:pt>
                <c:pt idx="2771">
                  <c:v>1.57</c:v>
                </c:pt>
                <c:pt idx="2772">
                  <c:v>0.94</c:v>
                </c:pt>
                <c:pt idx="2773">
                  <c:v>0.94</c:v>
                </c:pt>
                <c:pt idx="2774">
                  <c:v>0.67</c:v>
                </c:pt>
                <c:pt idx="2775">
                  <c:v>0.67</c:v>
                </c:pt>
                <c:pt idx="2776">
                  <c:v>0.88</c:v>
                </c:pt>
                <c:pt idx="2777">
                  <c:v>0.88</c:v>
                </c:pt>
                <c:pt idx="2778">
                  <c:v>1.1299999999999999</c:v>
                </c:pt>
                <c:pt idx="2779">
                  <c:v>1.1299999999999999</c:v>
                </c:pt>
                <c:pt idx="2780">
                  <c:v>0.77</c:v>
                </c:pt>
                <c:pt idx="2781">
                  <c:v>0.77</c:v>
                </c:pt>
                <c:pt idx="2782">
                  <c:v>1.05</c:v>
                </c:pt>
                <c:pt idx="2783">
                  <c:v>1.05</c:v>
                </c:pt>
                <c:pt idx="2784">
                  <c:v>0.59</c:v>
                </c:pt>
                <c:pt idx="2785">
                  <c:v>0.59</c:v>
                </c:pt>
                <c:pt idx="2786">
                  <c:v>0.79</c:v>
                </c:pt>
                <c:pt idx="2787">
                  <c:v>0.79</c:v>
                </c:pt>
                <c:pt idx="2788">
                  <c:v>1.4</c:v>
                </c:pt>
                <c:pt idx="2789">
                  <c:v>0.78</c:v>
                </c:pt>
                <c:pt idx="2790">
                  <c:v>0.78</c:v>
                </c:pt>
                <c:pt idx="2791">
                  <c:v>3.57</c:v>
                </c:pt>
                <c:pt idx="2792">
                  <c:v>3.57</c:v>
                </c:pt>
                <c:pt idx="2793">
                  <c:v>1.1299999999999999</c:v>
                </c:pt>
                <c:pt idx="2794">
                  <c:v>1.1299999999999999</c:v>
                </c:pt>
                <c:pt idx="2795">
                  <c:v>1.38</c:v>
                </c:pt>
                <c:pt idx="2796">
                  <c:v>1.38</c:v>
                </c:pt>
                <c:pt idx="2797">
                  <c:v>1.1299999999999999</c:v>
                </c:pt>
                <c:pt idx="2798">
                  <c:v>1.1299999999999999</c:v>
                </c:pt>
                <c:pt idx="2799">
                  <c:v>0.56000000000000005</c:v>
                </c:pt>
                <c:pt idx="2800">
                  <c:v>0.56000000000000005</c:v>
                </c:pt>
                <c:pt idx="2801">
                  <c:v>1.17</c:v>
                </c:pt>
                <c:pt idx="2802">
                  <c:v>1.17</c:v>
                </c:pt>
                <c:pt idx="2803">
                  <c:v>0.77</c:v>
                </c:pt>
                <c:pt idx="2804">
                  <c:v>0.77</c:v>
                </c:pt>
                <c:pt idx="2805">
                  <c:v>0.61</c:v>
                </c:pt>
                <c:pt idx="2806">
                  <c:v>0.61</c:v>
                </c:pt>
                <c:pt idx="2807">
                  <c:v>0.61</c:v>
                </c:pt>
                <c:pt idx="2808">
                  <c:v>0.68</c:v>
                </c:pt>
                <c:pt idx="2809">
                  <c:v>0.68</c:v>
                </c:pt>
                <c:pt idx="2810">
                  <c:v>0.68</c:v>
                </c:pt>
                <c:pt idx="2811">
                  <c:v>1.49</c:v>
                </c:pt>
                <c:pt idx="2812">
                  <c:v>2.13</c:v>
                </c:pt>
                <c:pt idx="2813">
                  <c:v>1.1499999999999999</c:v>
                </c:pt>
                <c:pt idx="2814">
                  <c:v>1.1499999999999999</c:v>
                </c:pt>
                <c:pt idx="2815">
                  <c:v>1.33</c:v>
                </c:pt>
                <c:pt idx="2816">
                  <c:v>1.33</c:v>
                </c:pt>
                <c:pt idx="2817">
                  <c:v>1.33</c:v>
                </c:pt>
                <c:pt idx="2818">
                  <c:v>1.26</c:v>
                </c:pt>
                <c:pt idx="2819">
                  <c:v>1.26</c:v>
                </c:pt>
                <c:pt idx="2820">
                  <c:v>1.26</c:v>
                </c:pt>
                <c:pt idx="2821">
                  <c:v>1.26</c:v>
                </c:pt>
                <c:pt idx="2822">
                  <c:v>1.33</c:v>
                </c:pt>
                <c:pt idx="2823">
                  <c:v>1.33</c:v>
                </c:pt>
                <c:pt idx="2824">
                  <c:v>1.33</c:v>
                </c:pt>
                <c:pt idx="2825">
                  <c:v>0.88</c:v>
                </c:pt>
                <c:pt idx="2826">
                  <c:v>0.88</c:v>
                </c:pt>
                <c:pt idx="2827">
                  <c:v>0.89</c:v>
                </c:pt>
                <c:pt idx="2828">
                  <c:v>0.89</c:v>
                </c:pt>
                <c:pt idx="2829">
                  <c:v>1.07</c:v>
                </c:pt>
                <c:pt idx="2830">
                  <c:v>1.07</c:v>
                </c:pt>
                <c:pt idx="2831">
                  <c:v>1.01</c:v>
                </c:pt>
                <c:pt idx="2832">
                  <c:v>1.01</c:v>
                </c:pt>
                <c:pt idx="2833">
                  <c:v>1.23</c:v>
                </c:pt>
                <c:pt idx="2834">
                  <c:v>0.89</c:v>
                </c:pt>
                <c:pt idx="2835">
                  <c:v>1.29</c:v>
                </c:pt>
                <c:pt idx="2836">
                  <c:v>1.35</c:v>
                </c:pt>
                <c:pt idx="2837">
                  <c:v>0.79</c:v>
                </c:pt>
                <c:pt idx="2838">
                  <c:v>0.79</c:v>
                </c:pt>
                <c:pt idx="2839">
                  <c:v>1.29</c:v>
                </c:pt>
                <c:pt idx="2840">
                  <c:v>0.78</c:v>
                </c:pt>
                <c:pt idx="2841">
                  <c:v>0.95</c:v>
                </c:pt>
                <c:pt idx="2842">
                  <c:v>0.95</c:v>
                </c:pt>
                <c:pt idx="2843">
                  <c:v>0.64</c:v>
                </c:pt>
                <c:pt idx="2844">
                  <c:v>0.64</c:v>
                </c:pt>
                <c:pt idx="2845">
                  <c:v>1.07</c:v>
                </c:pt>
                <c:pt idx="2846">
                  <c:v>1.07</c:v>
                </c:pt>
                <c:pt idx="2847">
                  <c:v>0.81</c:v>
                </c:pt>
                <c:pt idx="2848">
                  <c:v>0.81</c:v>
                </c:pt>
                <c:pt idx="2849">
                  <c:v>1.0900000000000001</c:v>
                </c:pt>
                <c:pt idx="2850">
                  <c:v>1.74</c:v>
                </c:pt>
                <c:pt idx="2851">
                  <c:v>1.74</c:v>
                </c:pt>
                <c:pt idx="2852">
                  <c:v>0.17</c:v>
                </c:pt>
                <c:pt idx="2853">
                  <c:v>0.17</c:v>
                </c:pt>
                <c:pt idx="2854">
                  <c:v>0.17</c:v>
                </c:pt>
                <c:pt idx="2855">
                  <c:v>0.76</c:v>
                </c:pt>
                <c:pt idx="2856">
                  <c:v>1.24</c:v>
                </c:pt>
                <c:pt idx="2857">
                  <c:v>0.95</c:v>
                </c:pt>
                <c:pt idx="2858">
                  <c:v>0.94</c:v>
                </c:pt>
                <c:pt idx="2859">
                  <c:v>0.94</c:v>
                </c:pt>
                <c:pt idx="2860">
                  <c:v>0.86</c:v>
                </c:pt>
                <c:pt idx="2861">
                  <c:v>0.92</c:v>
                </c:pt>
                <c:pt idx="2862">
                  <c:v>1.35</c:v>
                </c:pt>
                <c:pt idx="2863">
                  <c:v>0.8</c:v>
                </c:pt>
                <c:pt idx="2864">
                  <c:v>1.42</c:v>
                </c:pt>
                <c:pt idx="2865">
                  <c:v>1.49</c:v>
                </c:pt>
                <c:pt idx="2866">
                  <c:v>1.49</c:v>
                </c:pt>
                <c:pt idx="2867">
                  <c:v>1.0900000000000001</c:v>
                </c:pt>
                <c:pt idx="2868">
                  <c:v>1.0900000000000001</c:v>
                </c:pt>
                <c:pt idx="2869">
                  <c:v>1.0900000000000001</c:v>
                </c:pt>
                <c:pt idx="2870">
                  <c:v>4.0599999999999996</c:v>
                </c:pt>
                <c:pt idx="2871">
                  <c:v>4.0599999999999996</c:v>
                </c:pt>
                <c:pt idx="2872">
                  <c:v>2.2599999999999998</c:v>
                </c:pt>
                <c:pt idx="2873">
                  <c:v>1.38</c:v>
                </c:pt>
                <c:pt idx="2874">
                  <c:v>3.21</c:v>
                </c:pt>
                <c:pt idx="2875">
                  <c:v>0.7</c:v>
                </c:pt>
                <c:pt idx="2876">
                  <c:v>0.7</c:v>
                </c:pt>
                <c:pt idx="2877">
                  <c:v>0.68</c:v>
                </c:pt>
                <c:pt idx="2878">
                  <c:v>0.52</c:v>
                </c:pt>
                <c:pt idx="2879">
                  <c:v>0.87</c:v>
                </c:pt>
                <c:pt idx="2880">
                  <c:v>1.35</c:v>
                </c:pt>
                <c:pt idx="2881">
                  <c:v>0.56000000000000005</c:v>
                </c:pt>
                <c:pt idx="2882">
                  <c:v>0.55000000000000004</c:v>
                </c:pt>
                <c:pt idx="2883">
                  <c:v>0.6</c:v>
                </c:pt>
                <c:pt idx="2884">
                  <c:v>0.71</c:v>
                </c:pt>
                <c:pt idx="2885">
                  <c:v>0.75</c:v>
                </c:pt>
                <c:pt idx="2886">
                  <c:v>0.75</c:v>
                </c:pt>
                <c:pt idx="2887">
                  <c:v>0.75</c:v>
                </c:pt>
                <c:pt idx="2888">
                  <c:v>0.75</c:v>
                </c:pt>
                <c:pt idx="2889">
                  <c:v>0.75</c:v>
                </c:pt>
                <c:pt idx="2890">
                  <c:v>0.21</c:v>
                </c:pt>
                <c:pt idx="2891">
                  <c:v>0.21</c:v>
                </c:pt>
                <c:pt idx="2892">
                  <c:v>0.21</c:v>
                </c:pt>
                <c:pt idx="2893">
                  <c:v>0.24</c:v>
                </c:pt>
                <c:pt idx="2894">
                  <c:v>0.24</c:v>
                </c:pt>
                <c:pt idx="2895">
                  <c:v>0.24</c:v>
                </c:pt>
                <c:pt idx="2896">
                  <c:v>1.05</c:v>
                </c:pt>
                <c:pt idx="2897">
                  <c:v>1.47</c:v>
                </c:pt>
                <c:pt idx="2898">
                  <c:v>1.47</c:v>
                </c:pt>
                <c:pt idx="2899">
                  <c:v>0.55000000000000004</c:v>
                </c:pt>
                <c:pt idx="2900">
                  <c:v>1.57</c:v>
                </c:pt>
                <c:pt idx="2901">
                  <c:v>1.57</c:v>
                </c:pt>
                <c:pt idx="2902">
                  <c:v>1.57</c:v>
                </c:pt>
                <c:pt idx="2903">
                  <c:v>1.1100000000000001</c:v>
                </c:pt>
                <c:pt idx="2904">
                  <c:v>0.83</c:v>
                </c:pt>
                <c:pt idx="2905">
                  <c:v>1.05</c:v>
                </c:pt>
                <c:pt idx="2906">
                  <c:v>1.05</c:v>
                </c:pt>
                <c:pt idx="2907">
                  <c:v>1.03</c:v>
                </c:pt>
                <c:pt idx="2908">
                  <c:v>0.79</c:v>
                </c:pt>
                <c:pt idx="2909">
                  <c:v>0.79</c:v>
                </c:pt>
                <c:pt idx="2910">
                  <c:v>0.79</c:v>
                </c:pt>
                <c:pt idx="2911">
                  <c:v>1.24</c:v>
                </c:pt>
                <c:pt idx="2912">
                  <c:v>0.91</c:v>
                </c:pt>
                <c:pt idx="2913">
                  <c:v>2.04</c:v>
                </c:pt>
                <c:pt idx="2914">
                  <c:v>0.9</c:v>
                </c:pt>
                <c:pt idx="2915">
                  <c:v>1.59</c:v>
                </c:pt>
                <c:pt idx="2916">
                  <c:v>1.29</c:v>
                </c:pt>
                <c:pt idx="2917">
                  <c:v>1.05</c:v>
                </c:pt>
                <c:pt idx="2918">
                  <c:v>1.05</c:v>
                </c:pt>
                <c:pt idx="2919">
                  <c:v>1.37</c:v>
                </c:pt>
                <c:pt idx="2920">
                  <c:v>0.87</c:v>
                </c:pt>
                <c:pt idx="2921">
                  <c:v>0.94</c:v>
                </c:pt>
                <c:pt idx="2922">
                  <c:v>0.94</c:v>
                </c:pt>
                <c:pt idx="2923">
                  <c:v>0.94</c:v>
                </c:pt>
                <c:pt idx="2924">
                  <c:v>1.66</c:v>
                </c:pt>
                <c:pt idx="2925">
                  <c:v>1.8</c:v>
                </c:pt>
                <c:pt idx="2926">
                  <c:v>0.78</c:v>
                </c:pt>
                <c:pt idx="2927">
                  <c:v>1.34</c:v>
                </c:pt>
                <c:pt idx="2928">
                  <c:v>1.08</c:v>
                </c:pt>
                <c:pt idx="2929">
                  <c:v>0.79</c:v>
                </c:pt>
                <c:pt idx="2930">
                  <c:v>1.0900000000000001</c:v>
                </c:pt>
                <c:pt idx="2931">
                  <c:v>0.79</c:v>
                </c:pt>
                <c:pt idx="2932">
                  <c:v>0.8</c:v>
                </c:pt>
                <c:pt idx="2933">
                  <c:v>0.81</c:v>
                </c:pt>
                <c:pt idx="2934">
                  <c:v>0.89</c:v>
                </c:pt>
                <c:pt idx="2935">
                  <c:v>0.89</c:v>
                </c:pt>
                <c:pt idx="2936">
                  <c:v>0.89</c:v>
                </c:pt>
                <c:pt idx="2937">
                  <c:v>0.89</c:v>
                </c:pt>
                <c:pt idx="2938">
                  <c:v>1.34</c:v>
                </c:pt>
                <c:pt idx="2939">
                  <c:v>1.0900000000000001</c:v>
                </c:pt>
                <c:pt idx="2940">
                  <c:v>0.72</c:v>
                </c:pt>
                <c:pt idx="2941">
                  <c:v>1.47</c:v>
                </c:pt>
                <c:pt idx="2942">
                  <c:v>0.87</c:v>
                </c:pt>
                <c:pt idx="2943">
                  <c:v>1.0900000000000001</c:v>
                </c:pt>
                <c:pt idx="2944">
                  <c:v>0.75</c:v>
                </c:pt>
                <c:pt idx="2945">
                  <c:v>0.88</c:v>
                </c:pt>
                <c:pt idx="2946">
                  <c:v>0.88</c:v>
                </c:pt>
                <c:pt idx="2947">
                  <c:v>1.0900000000000001</c:v>
                </c:pt>
                <c:pt idx="2948">
                  <c:v>0.76</c:v>
                </c:pt>
                <c:pt idx="2949">
                  <c:v>0.56000000000000005</c:v>
                </c:pt>
                <c:pt idx="2950">
                  <c:v>0.56000000000000005</c:v>
                </c:pt>
                <c:pt idx="2951">
                  <c:v>0.56000000000000005</c:v>
                </c:pt>
                <c:pt idx="2952">
                  <c:v>0.56000000000000005</c:v>
                </c:pt>
                <c:pt idx="2953">
                  <c:v>1.1200000000000001</c:v>
                </c:pt>
                <c:pt idx="2954">
                  <c:v>1.03</c:v>
                </c:pt>
                <c:pt idx="2955">
                  <c:v>0.91</c:v>
                </c:pt>
                <c:pt idx="2956">
                  <c:v>1.54</c:v>
                </c:pt>
                <c:pt idx="2957">
                  <c:v>1.26</c:v>
                </c:pt>
                <c:pt idx="2958">
                  <c:v>0.83</c:v>
                </c:pt>
                <c:pt idx="2959">
                  <c:v>0.82</c:v>
                </c:pt>
                <c:pt idx="2960">
                  <c:v>1.1100000000000001</c:v>
                </c:pt>
                <c:pt idx="2961">
                  <c:v>0.96</c:v>
                </c:pt>
                <c:pt idx="2962">
                  <c:v>0.83</c:v>
                </c:pt>
                <c:pt idx="2963">
                  <c:v>1.79</c:v>
                </c:pt>
                <c:pt idx="2964">
                  <c:v>1.58</c:v>
                </c:pt>
                <c:pt idx="2965">
                  <c:v>1.58</c:v>
                </c:pt>
                <c:pt idx="2966">
                  <c:v>1.03</c:v>
                </c:pt>
                <c:pt idx="2967">
                  <c:v>1.04</c:v>
                </c:pt>
                <c:pt idx="2968">
                  <c:v>1.22</c:v>
                </c:pt>
                <c:pt idx="2969">
                  <c:v>0.33</c:v>
                </c:pt>
                <c:pt idx="2970">
                  <c:v>0.53</c:v>
                </c:pt>
                <c:pt idx="2971">
                  <c:v>1.19</c:v>
                </c:pt>
                <c:pt idx="2972">
                  <c:v>1.32</c:v>
                </c:pt>
                <c:pt idx="2973">
                  <c:v>1.25</c:v>
                </c:pt>
                <c:pt idx="2974">
                  <c:v>1.2</c:v>
                </c:pt>
                <c:pt idx="2975">
                  <c:v>0.94</c:v>
                </c:pt>
                <c:pt idx="2976">
                  <c:v>0.94</c:v>
                </c:pt>
                <c:pt idx="2977">
                  <c:v>0.94</c:v>
                </c:pt>
                <c:pt idx="2978">
                  <c:v>1.41</c:v>
                </c:pt>
                <c:pt idx="2979">
                  <c:v>1.2</c:v>
                </c:pt>
                <c:pt idx="2980">
                  <c:v>1.3</c:v>
                </c:pt>
                <c:pt idx="2981">
                  <c:v>1.06</c:v>
                </c:pt>
                <c:pt idx="2982">
                  <c:v>1.44</c:v>
                </c:pt>
                <c:pt idx="2983">
                  <c:v>0.83</c:v>
                </c:pt>
                <c:pt idx="2984">
                  <c:v>2.02</c:v>
                </c:pt>
                <c:pt idx="2985">
                  <c:v>0.98</c:v>
                </c:pt>
                <c:pt idx="2986">
                  <c:v>0.88</c:v>
                </c:pt>
                <c:pt idx="2987">
                  <c:v>0.8</c:v>
                </c:pt>
                <c:pt idx="2988">
                  <c:v>0.56000000000000005</c:v>
                </c:pt>
                <c:pt idx="2989">
                  <c:v>0.56000000000000005</c:v>
                </c:pt>
                <c:pt idx="2990">
                  <c:v>0.56000000000000005</c:v>
                </c:pt>
                <c:pt idx="2991">
                  <c:v>1.0900000000000001</c:v>
                </c:pt>
                <c:pt idx="2992">
                  <c:v>1.0900000000000001</c:v>
                </c:pt>
                <c:pt idx="2993">
                  <c:v>1.46</c:v>
                </c:pt>
                <c:pt idx="2994">
                  <c:v>1.98</c:v>
                </c:pt>
                <c:pt idx="2995">
                  <c:v>0.86</c:v>
                </c:pt>
                <c:pt idx="2996">
                  <c:v>1.1000000000000001</c:v>
                </c:pt>
                <c:pt idx="2997">
                  <c:v>1.1000000000000001</c:v>
                </c:pt>
                <c:pt idx="2998">
                  <c:v>1.1499999999999999</c:v>
                </c:pt>
                <c:pt idx="2999">
                  <c:v>1.1399999999999999</c:v>
                </c:pt>
                <c:pt idx="3000">
                  <c:v>1.45</c:v>
                </c:pt>
                <c:pt idx="3001">
                  <c:v>1.06</c:v>
                </c:pt>
                <c:pt idx="3002">
                  <c:v>1.1399999999999999</c:v>
                </c:pt>
                <c:pt idx="3003">
                  <c:v>1.1399999999999999</c:v>
                </c:pt>
                <c:pt idx="3004">
                  <c:v>0.89</c:v>
                </c:pt>
                <c:pt idx="3005">
                  <c:v>0.89</c:v>
                </c:pt>
                <c:pt idx="3006">
                  <c:v>0.89</c:v>
                </c:pt>
                <c:pt idx="3007">
                  <c:v>0.89</c:v>
                </c:pt>
                <c:pt idx="3008">
                  <c:v>0.75</c:v>
                </c:pt>
                <c:pt idx="3009">
                  <c:v>0.79</c:v>
                </c:pt>
                <c:pt idx="3010">
                  <c:v>0.72</c:v>
                </c:pt>
                <c:pt idx="3011">
                  <c:v>0.98</c:v>
                </c:pt>
                <c:pt idx="3012">
                  <c:v>1.27</c:v>
                </c:pt>
                <c:pt idx="3013">
                  <c:v>0.89</c:v>
                </c:pt>
                <c:pt idx="3014">
                  <c:v>0.99</c:v>
                </c:pt>
                <c:pt idx="3015">
                  <c:v>0.9</c:v>
                </c:pt>
                <c:pt idx="3016">
                  <c:v>0.95</c:v>
                </c:pt>
                <c:pt idx="3017">
                  <c:v>0.95</c:v>
                </c:pt>
                <c:pt idx="3018">
                  <c:v>0.55000000000000004</c:v>
                </c:pt>
                <c:pt idx="3019">
                  <c:v>0.55000000000000004</c:v>
                </c:pt>
                <c:pt idx="3020">
                  <c:v>0.55000000000000004</c:v>
                </c:pt>
                <c:pt idx="3021">
                  <c:v>1.08</c:v>
                </c:pt>
                <c:pt idx="3022">
                  <c:v>2.06</c:v>
                </c:pt>
                <c:pt idx="3023">
                  <c:v>0.9</c:v>
                </c:pt>
                <c:pt idx="3024">
                  <c:v>0.67</c:v>
                </c:pt>
                <c:pt idx="3025">
                  <c:v>1.22</c:v>
                </c:pt>
                <c:pt idx="3026">
                  <c:v>1.07</c:v>
                </c:pt>
                <c:pt idx="3027">
                  <c:v>1.1499999999999999</c:v>
                </c:pt>
                <c:pt idx="3028">
                  <c:v>0.73</c:v>
                </c:pt>
                <c:pt idx="3029">
                  <c:v>0.9</c:v>
                </c:pt>
                <c:pt idx="3030">
                  <c:v>0.84</c:v>
                </c:pt>
                <c:pt idx="3031">
                  <c:v>0.84</c:v>
                </c:pt>
                <c:pt idx="3032">
                  <c:v>0.62</c:v>
                </c:pt>
                <c:pt idx="3033">
                  <c:v>0.62</c:v>
                </c:pt>
                <c:pt idx="3034">
                  <c:v>0.62</c:v>
                </c:pt>
                <c:pt idx="3035">
                  <c:v>0.62</c:v>
                </c:pt>
                <c:pt idx="3036">
                  <c:v>0.62</c:v>
                </c:pt>
                <c:pt idx="3037">
                  <c:v>0.83</c:v>
                </c:pt>
                <c:pt idx="3038">
                  <c:v>0.63</c:v>
                </c:pt>
                <c:pt idx="3039">
                  <c:v>1.04</c:v>
                </c:pt>
                <c:pt idx="3040">
                  <c:v>0.85</c:v>
                </c:pt>
                <c:pt idx="3041">
                  <c:v>0.85</c:v>
                </c:pt>
                <c:pt idx="3042">
                  <c:v>0.92</c:v>
                </c:pt>
                <c:pt idx="3043">
                  <c:v>1.04</c:v>
                </c:pt>
                <c:pt idx="3044">
                  <c:v>0.98</c:v>
                </c:pt>
                <c:pt idx="3045">
                  <c:v>1.1599999999999999</c:v>
                </c:pt>
                <c:pt idx="3046">
                  <c:v>0.81</c:v>
                </c:pt>
                <c:pt idx="3047">
                  <c:v>0.95</c:v>
                </c:pt>
                <c:pt idx="3048">
                  <c:v>4.2300000000000004</c:v>
                </c:pt>
                <c:pt idx="3049">
                  <c:v>4.2300000000000004</c:v>
                </c:pt>
                <c:pt idx="3050">
                  <c:v>4.2300000000000004</c:v>
                </c:pt>
                <c:pt idx="3051">
                  <c:v>0.33</c:v>
                </c:pt>
                <c:pt idx="3052">
                  <c:v>0.94</c:v>
                </c:pt>
                <c:pt idx="3053">
                  <c:v>0.94</c:v>
                </c:pt>
                <c:pt idx="3054">
                  <c:v>0.9</c:v>
                </c:pt>
                <c:pt idx="3055">
                  <c:v>0.77</c:v>
                </c:pt>
                <c:pt idx="3056">
                  <c:v>0.92</c:v>
                </c:pt>
                <c:pt idx="3057">
                  <c:v>0.95</c:v>
                </c:pt>
                <c:pt idx="3058">
                  <c:v>0.79</c:v>
                </c:pt>
                <c:pt idx="3059">
                  <c:v>0.79</c:v>
                </c:pt>
                <c:pt idx="3060">
                  <c:v>0.53</c:v>
                </c:pt>
                <c:pt idx="3061">
                  <c:v>0.93</c:v>
                </c:pt>
                <c:pt idx="3062">
                  <c:v>0.73</c:v>
                </c:pt>
                <c:pt idx="3063">
                  <c:v>0.73</c:v>
                </c:pt>
                <c:pt idx="3064">
                  <c:v>0.9</c:v>
                </c:pt>
                <c:pt idx="3065">
                  <c:v>0.9</c:v>
                </c:pt>
                <c:pt idx="3066">
                  <c:v>0.79</c:v>
                </c:pt>
                <c:pt idx="3067">
                  <c:v>1.02</c:v>
                </c:pt>
                <c:pt idx="3068">
                  <c:v>0.91</c:v>
                </c:pt>
                <c:pt idx="3069">
                  <c:v>0.95</c:v>
                </c:pt>
                <c:pt idx="3070">
                  <c:v>0.97</c:v>
                </c:pt>
                <c:pt idx="3071">
                  <c:v>0.73</c:v>
                </c:pt>
                <c:pt idx="3072">
                  <c:v>0.83</c:v>
                </c:pt>
                <c:pt idx="3073">
                  <c:v>0.96</c:v>
                </c:pt>
                <c:pt idx="3074">
                  <c:v>1.1299999999999999</c:v>
                </c:pt>
                <c:pt idx="3075">
                  <c:v>1.1299999999999999</c:v>
                </c:pt>
                <c:pt idx="3076">
                  <c:v>1.1299999999999999</c:v>
                </c:pt>
                <c:pt idx="3077">
                  <c:v>0.64</c:v>
                </c:pt>
                <c:pt idx="3078">
                  <c:v>1</c:v>
                </c:pt>
                <c:pt idx="3079">
                  <c:v>0.91</c:v>
                </c:pt>
                <c:pt idx="3080">
                  <c:v>0.91</c:v>
                </c:pt>
                <c:pt idx="3081">
                  <c:v>1.24</c:v>
                </c:pt>
                <c:pt idx="3082">
                  <c:v>0.93</c:v>
                </c:pt>
                <c:pt idx="3083">
                  <c:v>0.92</c:v>
                </c:pt>
                <c:pt idx="3084">
                  <c:v>0.89</c:v>
                </c:pt>
                <c:pt idx="3085">
                  <c:v>1</c:v>
                </c:pt>
                <c:pt idx="3086">
                  <c:v>0.83</c:v>
                </c:pt>
                <c:pt idx="3087">
                  <c:v>0.94</c:v>
                </c:pt>
                <c:pt idx="3088">
                  <c:v>0.94</c:v>
                </c:pt>
                <c:pt idx="3089">
                  <c:v>1.1499999999999999</c:v>
                </c:pt>
                <c:pt idx="3090">
                  <c:v>0.94</c:v>
                </c:pt>
                <c:pt idx="3091">
                  <c:v>1.04</c:v>
                </c:pt>
                <c:pt idx="3092">
                  <c:v>1.1000000000000001</c:v>
                </c:pt>
                <c:pt idx="3093">
                  <c:v>0.87</c:v>
                </c:pt>
                <c:pt idx="3094">
                  <c:v>0.83</c:v>
                </c:pt>
                <c:pt idx="3095">
                  <c:v>1.32</c:v>
                </c:pt>
                <c:pt idx="3096">
                  <c:v>0.95</c:v>
                </c:pt>
                <c:pt idx="3097">
                  <c:v>0.86</c:v>
                </c:pt>
                <c:pt idx="3098">
                  <c:v>0.79</c:v>
                </c:pt>
                <c:pt idx="3099">
                  <c:v>1.39</c:v>
                </c:pt>
                <c:pt idx="3100">
                  <c:v>1.26</c:v>
                </c:pt>
                <c:pt idx="3101">
                  <c:v>1.26</c:v>
                </c:pt>
                <c:pt idx="3102">
                  <c:v>1.26</c:v>
                </c:pt>
                <c:pt idx="3103">
                  <c:v>0.81</c:v>
                </c:pt>
                <c:pt idx="3104">
                  <c:v>0.79</c:v>
                </c:pt>
                <c:pt idx="3105">
                  <c:v>1.1299999999999999</c:v>
                </c:pt>
                <c:pt idx="3106">
                  <c:v>1.01</c:v>
                </c:pt>
                <c:pt idx="3107">
                  <c:v>1.01</c:v>
                </c:pt>
                <c:pt idx="3108">
                  <c:v>1.01</c:v>
                </c:pt>
                <c:pt idx="3109">
                  <c:v>1.03</c:v>
                </c:pt>
                <c:pt idx="3110">
                  <c:v>0.88</c:v>
                </c:pt>
                <c:pt idx="3111">
                  <c:v>0.88</c:v>
                </c:pt>
                <c:pt idx="3112">
                  <c:v>1.22</c:v>
                </c:pt>
                <c:pt idx="3113">
                  <c:v>0.8</c:v>
                </c:pt>
                <c:pt idx="3114">
                  <c:v>1.01</c:v>
                </c:pt>
                <c:pt idx="3115">
                  <c:v>1.1399999999999999</c:v>
                </c:pt>
                <c:pt idx="3116">
                  <c:v>0.62</c:v>
                </c:pt>
                <c:pt idx="3117">
                  <c:v>1.1299999999999999</c:v>
                </c:pt>
                <c:pt idx="3118">
                  <c:v>1.1299999999999999</c:v>
                </c:pt>
                <c:pt idx="3119">
                  <c:v>1.01</c:v>
                </c:pt>
                <c:pt idx="3120">
                  <c:v>0.96</c:v>
                </c:pt>
                <c:pt idx="3121">
                  <c:v>0.96</c:v>
                </c:pt>
                <c:pt idx="3122">
                  <c:v>0.81</c:v>
                </c:pt>
                <c:pt idx="3123">
                  <c:v>0.69</c:v>
                </c:pt>
                <c:pt idx="3124">
                  <c:v>0.97</c:v>
                </c:pt>
                <c:pt idx="3125">
                  <c:v>0.97</c:v>
                </c:pt>
                <c:pt idx="3126">
                  <c:v>0.48</c:v>
                </c:pt>
                <c:pt idx="3127">
                  <c:v>1.08</c:v>
                </c:pt>
                <c:pt idx="3128">
                  <c:v>1.1100000000000001</c:v>
                </c:pt>
                <c:pt idx="3129">
                  <c:v>1.1100000000000001</c:v>
                </c:pt>
                <c:pt idx="3130">
                  <c:v>0.64</c:v>
                </c:pt>
                <c:pt idx="3131">
                  <c:v>0.64</c:v>
                </c:pt>
                <c:pt idx="3132">
                  <c:v>0.64</c:v>
                </c:pt>
                <c:pt idx="3133">
                  <c:v>0.64</c:v>
                </c:pt>
                <c:pt idx="3134">
                  <c:v>0.64</c:v>
                </c:pt>
                <c:pt idx="3135">
                  <c:v>1.22</c:v>
                </c:pt>
                <c:pt idx="3136">
                  <c:v>0.68</c:v>
                </c:pt>
                <c:pt idx="3137">
                  <c:v>0.61</c:v>
                </c:pt>
                <c:pt idx="3138">
                  <c:v>0.86</c:v>
                </c:pt>
                <c:pt idx="3139">
                  <c:v>1.18</c:v>
                </c:pt>
                <c:pt idx="3140">
                  <c:v>0.96</c:v>
                </c:pt>
                <c:pt idx="3141">
                  <c:v>0.96</c:v>
                </c:pt>
                <c:pt idx="3142">
                  <c:v>1.05</c:v>
                </c:pt>
                <c:pt idx="3143">
                  <c:v>1.49</c:v>
                </c:pt>
                <c:pt idx="3144">
                  <c:v>1.28</c:v>
                </c:pt>
                <c:pt idx="3145">
                  <c:v>0.84</c:v>
                </c:pt>
                <c:pt idx="3146">
                  <c:v>0.9</c:v>
                </c:pt>
                <c:pt idx="3147">
                  <c:v>1.04</c:v>
                </c:pt>
                <c:pt idx="3148">
                  <c:v>1.33</c:v>
                </c:pt>
                <c:pt idx="3149">
                  <c:v>0.84</c:v>
                </c:pt>
                <c:pt idx="3150">
                  <c:v>1.1499999999999999</c:v>
                </c:pt>
                <c:pt idx="3151">
                  <c:v>1.24</c:v>
                </c:pt>
                <c:pt idx="3152">
                  <c:v>1.51</c:v>
                </c:pt>
                <c:pt idx="3153">
                  <c:v>0.8</c:v>
                </c:pt>
                <c:pt idx="3154">
                  <c:v>2.56</c:v>
                </c:pt>
                <c:pt idx="3155">
                  <c:v>0.93</c:v>
                </c:pt>
                <c:pt idx="3156">
                  <c:v>1.29</c:v>
                </c:pt>
                <c:pt idx="3157">
                  <c:v>0.94</c:v>
                </c:pt>
                <c:pt idx="3158">
                  <c:v>1.1299999999999999</c:v>
                </c:pt>
                <c:pt idx="3159">
                  <c:v>1.66</c:v>
                </c:pt>
                <c:pt idx="3160">
                  <c:v>2.52</c:v>
                </c:pt>
                <c:pt idx="3161">
                  <c:v>1.81</c:v>
                </c:pt>
                <c:pt idx="3162">
                  <c:v>1.21</c:v>
                </c:pt>
                <c:pt idx="3163">
                  <c:v>0.91</c:v>
                </c:pt>
                <c:pt idx="3164">
                  <c:v>1.07</c:v>
                </c:pt>
                <c:pt idx="3165">
                  <c:v>0.98</c:v>
                </c:pt>
                <c:pt idx="3166">
                  <c:v>0.94</c:v>
                </c:pt>
                <c:pt idx="3167">
                  <c:v>1.41</c:v>
                </c:pt>
                <c:pt idx="3168">
                  <c:v>1.41</c:v>
                </c:pt>
                <c:pt idx="3169">
                  <c:v>1.41</c:v>
                </c:pt>
                <c:pt idx="3170">
                  <c:v>1.35</c:v>
                </c:pt>
                <c:pt idx="3171">
                  <c:v>0.87</c:v>
                </c:pt>
                <c:pt idx="3172">
                  <c:v>0.88</c:v>
                </c:pt>
                <c:pt idx="3173">
                  <c:v>1.19</c:v>
                </c:pt>
                <c:pt idx="3174">
                  <c:v>1.19</c:v>
                </c:pt>
                <c:pt idx="3175">
                  <c:v>1.1100000000000001</c:v>
                </c:pt>
                <c:pt idx="3176">
                  <c:v>1.24</c:v>
                </c:pt>
                <c:pt idx="3177">
                  <c:v>0.82</c:v>
                </c:pt>
                <c:pt idx="3178">
                  <c:v>1.01</c:v>
                </c:pt>
                <c:pt idx="3179">
                  <c:v>0.6</c:v>
                </c:pt>
                <c:pt idx="3180">
                  <c:v>0.74</c:v>
                </c:pt>
                <c:pt idx="3181">
                  <c:v>0.97</c:v>
                </c:pt>
                <c:pt idx="3182">
                  <c:v>0.71</c:v>
                </c:pt>
                <c:pt idx="3183">
                  <c:v>0.67</c:v>
                </c:pt>
                <c:pt idx="3184">
                  <c:v>0.74</c:v>
                </c:pt>
                <c:pt idx="3185">
                  <c:v>0.82</c:v>
                </c:pt>
                <c:pt idx="3186">
                  <c:v>1.02</c:v>
                </c:pt>
                <c:pt idx="3187">
                  <c:v>0.74</c:v>
                </c:pt>
                <c:pt idx="3188">
                  <c:v>1.05</c:v>
                </c:pt>
                <c:pt idx="3189">
                  <c:v>0.87</c:v>
                </c:pt>
                <c:pt idx="3190">
                  <c:v>0.82</c:v>
                </c:pt>
                <c:pt idx="3191">
                  <c:v>1.2</c:v>
                </c:pt>
                <c:pt idx="3192">
                  <c:v>0.78</c:v>
                </c:pt>
                <c:pt idx="3193">
                  <c:v>0.99</c:v>
                </c:pt>
                <c:pt idx="3194">
                  <c:v>0.95</c:v>
                </c:pt>
                <c:pt idx="3195">
                  <c:v>0.92</c:v>
                </c:pt>
                <c:pt idx="3196">
                  <c:v>0.84</c:v>
                </c:pt>
                <c:pt idx="3197">
                  <c:v>0.56999999999999995</c:v>
                </c:pt>
                <c:pt idx="3198">
                  <c:v>0.75</c:v>
                </c:pt>
                <c:pt idx="3199">
                  <c:v>0.49</c:v>
                </c:pt>
                <c:pt idx="3200">
                  <c:v>0.99</c:v>
                </c:pt>
                <c:pt idx="3201">
                  <c:v>0.91</c:v>
                </c:pt>
                <c:pt idx="3202">
                  <c:v>0.84</c:v>
                </c:pt>
                <c:pt idx="3203">
                  <c:v>1.28</c:v>
                </c:pt>
                <c:pt idx="3204">
                  <c:v>1.28</c:v>
                </c:pt>
                <c:pt idx="3205">
                  <c:v>1.28</c:v>
                </c:pt>
                <c:pt idx="3206">
                  <c:v>1.1100000000000001</c:v>
                </c:pt>
                <c:pt idx="3207">
                  <c:v>0.76</c:v>
                </c:pt>
                <c:pt idx="3208">
                  <c:v>0.89</c:v>
                </c:pt>
                <c:pt idx="3209">
                  <c:v>0.95</c:v>
                </c:pt>
                <c:pt idx="3210">
                  <c:v>0.86</c:v>
                </c:pt>
                <c:pt idx="3211">
                  <c:v>1.1599999999999999</c:v>
                </c:pt>
                <c:pt idx="3212">
                  <c:v>0.92</c:v>
                </c:pt>
                <c:pt idx="3213">
                  <c:v>0.73</c:v>
                </c:pt>
                <c:pt idx="3214">
                  <c:v>0.96</c:v>
                </c:pt>
                <c:pt idx="3215">
                  <c:v>0.88</c:v>
                </c:pt>
                <c:pt idx="3216">
                  <c:v>0.93</c:v>
                </c:pt>
                <c:pt idx="3217">
                  <c:v>0.93</c:v>
                </c:pt>
                <c:pt idx="3218">
                  <c:v>1.1599999999999999</c:v>
                </c:pt>
                <c:pt idx="3219">
                  <c:v>0.5</c:v>
                </c:pt>
                <c:pt idx="3220">
                  <c:v>0.86</c:v>
                </c:pt>
                <c:pt idx="3221">
                  <c:v>0.72</c:v>
                </c:pt>
                <c:pt idx="3222">
                  <c:v>0.95</c:v>
                </c:pt>
                <c:pt idx="3223">
                  <c:v>0.8</c:v>
                </c:pt>
                <c:pt idx="3224">
                  <c:v>1.08</c:v>
                </c:pt>
                <c:pt idx="3225">
                  <c:v>0.88</c:v>
                </c:pt>
                <c:pt idx="3226">
                  <c:v>0.91</c:v>
                </c:pt>
                <c:pt idx="3227">
                  <c:v>0.78</c:v>
                </c:pt>
                <c:pt idx="3228">
                  <c:v>1.97</c:v>
                </c:pt>
                <c:pt idx="3229">
                  <c:v>0.96</c:v>
                </c:pt>
                <c:pt idx="3230">
                  <c:v>0.84</c:v>
                </c:pt>
                <c:pt idx="3231">
                  <c:v>0.86</c:v>
                </c:pt>
                <c:pt idx="3232">
                  <c:v>1.27</c:v>
                </c:pt>
                <c:pt idx="3233">
                  <c:v>0.96</c:v>
                </c:pt>
                <c:pt idx="3234">
                  <c:v>0.51</c:v>
                </c:pt>
                <c:pt idx="3235">
                  <c:v>0.84</c:v>
                </c:pt>
                <c:pt idx="3236">
                  <c:v>0.76</c:v>
                </c:pt>
                <c:pt idx="3237">
                  <c:v>0.96</c:v>
                </c:pt>
                <c:pt idx="3238">
                  <c:v>0.77</c:v>
                </c:pt>
                <c:pt idx="3239">
                  <c:v>0.91</c:v>
                </c:pt>
                <c:pt idx="3240">
                  <c:v>0.8</c:v>
                </c:pt>
                <c:pt idx="3241">
                  <c:v>0.78</c:v>
                </c:pt>
                <c:pt idx="3242">
                  <c:v>0.78</c:v>
                </c:pt>
                <c:pt idx="3243">
                  <c:v>0.99</c:v>
                </c:pt>
                <c:pt idx="3244">
                  <c:v>1.1200000000000001</c:v>
                </c:pt>
                <c:pt idx="3245">
                  <c:v>1.04</c:v>
                </c:pt>
                <c:pt idx="3246">
                  <c:v>0.78</c:v>
                </c:pt>
                <c:pt idx="3247">
                  <c:v>0.85</c:v>
                </c:pt>
                <c:pt idx="3248">
                  <c:v>1.3</c:v>
                </c:pt>
                <c:pt idx="3249">
                  <c:v>0.98</c:v>
                </c:pt>
                <c:pt idx="3250">
                  <c:v>0.92</c:v>
                </c:pt>
                <c:pt idx="3251">
                  <c:v>0.78</c:v>
                </c:pt>
                <c:pt idx="3252">
                  <c:v>1.05</c:v>
                </c:pt>
                <c:pt idx="3253">
                  <c:v>1.05</c:v>
                </c:pt>
                <c:pt idx="3254">
                  <c:v>0.89</c:v>
                </c:pt>
                <c:pt idx="3255">
                  <c:v>0.86</c:v>
                </c:pt>
                <c:pt idx="3256">
                  <c:v>0.84</c:v>
                </c:pt>
                <c:pt idx="3257">
                  <c:v>0.85</c:v>
                </c:pt>
                <c:pt idx="3258">
                  <c:v>0.86</c:v>
                </c:pt>
                <c:pt idx="3259">
                  <c:v>0.93</c:v>
                </c:pt>
                <c:pt idx="3260">
                  <c:v>0.91</c:v>
                </c:pt>
                <c:pt idx="3261">
                  <c:v>1.41</c:v>
                </c:pt>
                <c:pt idx="3262">
                  <c:v>1.41</c:v>
                </c:pt>
                <c:pt idx="3263">
                  <c:v>1.06</c:v>
                </c:pt>
                <c:pt idx="3264">
                  <c:v>0.46</c:v>
                </c:pt>
                <c:pt idx="3265">
                  <c:v>0.46</c:v>
                </c:pt>
                <c:pt idx="3266">
                  <c:v>0.86</c:v>
                </c:pt>
                <c:pt idx="3267">
                  <c:v>0.78</c:v>
                </c:pt>
                <c:pt idx="3268">
                  <c:v>0.8</c:v>
                </c:pt>
                <c:pt idx="3269">
                  <c:v>0.81</c:v>
                </c:pt>
                <c:pt idx="3270">
                  <c:v>0.48</c:v>
                </c:pt>
                <c:pt idx="3271">
                  <c:v>0.82</c:v>
                </c:pt>
                <c:pt idx="3272">
                  <c:v>0.9</c:v>
                </c:pt>
                <c:pt idx="3273">
                  <c:v>1.1200000000000001</c:v>
                </c:pt>
                <c:pt idx="3274">
                  <c:v>0.87</c:v>
                </c:pt>
                <c:pt idx="3275">
                  <c:v>1.24</c:v>
                </c:pt>
                <c:pt idx="3276">
                  <c:v>0.71</c:v>
                </c:pt>
                <c:pt idx="3277">
                  <c:v>0.85</c:v>
                </c:pt>
                <c:pt idx="3278">
                  <c:v>0.93</c:v>
                </c:pt>
                <c:pt idx="3279">
                  <c:v>1.04</c:v>
                </c:pt>
                <c:pt idx="3280">
                  <c:v>0.93</c:v>
                </c:pt>
                <c:pt idx="3281">
                  <c:v>0.78</c:v>
                </c:pt>
                <c:pt idx="3282">
                  <c:v>1.1000000000000001</c:v>
                </c:pt>
                <c:pt idx="3283">
                  <c:v>0.75</c:v>
                </c:pt>
                <c:pt idx="3284">
                  <c:v>0.89</c:v>
                </c:pt>
                <c:pt idx="3285">
                  <c:v>1.23</c:v>
                </c:pt>
                <c:pt idx="3286">
                  <c:v>1.23</c:v>
                </c:pt>
                <c:pt idx="3287">
                  <c:v>0.84</c:v>
                </c:pt>
                <c:pt idx="3288">
                  <c:v>0.83</c:v>
                </c:pt>
                <c:pt idx="3289">
                  <c:v>0.65</c:v>
                </c:pt>
                <c:pt idx="3290">
                  <c:v>1.08</c:v>
                </c:pt>
                <c:pt idx="3291">
                  <c:v>0.77</c:v>
                </c:pt>
                <c:pt idx="3292">
                  <c:v>0.77</c:v>
                </c:pt>
                <c:pt idx="3293">
                  <c:v>0.79</c:v>
                </c:pt>
                <c:pt idx="3294">
                  <c:v>1.1299999999999999</c:v>
                </c:pt>
                <c:pt idx="3295">
                  <c:v>1.42</c:v>
                </c:pt>
                <c:pt idx="3296">
                  <c:v>1.42</c:v>
                </c:pt>
                <c:pt idx="3297">
                  <c:v>1.42</c:v>
                </c:pt>
                <c:pt idx="3298">
                  <c:v>1.42</c:v>
                </c:pt>
                <c:pt idx="3299">
                  <c:v>1.04</c:v>
                </c:pt>
                <c:pt idx="3300">
                  <c:v>1.32</c:v>
                </c:pt>
                <c:pt idx="3301">
                  <c:v>0.85</c:v>
                </c:pt>
                <c:pt idx="3302">
                  <c:v>0.85</c:v>
                </c:pt>
                <c:pt idx="3303">
                  <c:v>0.93</c:v>
                </c:pt>
                <c:pt idx="3304">
                  <c:v>1.08</c:v>
                </c:pt>
                <c:pt idx="3305">
                  <c:v>0.8</c:v>
                </c:pt>
                <c:pt idx="3306">
                  <c:v>0.89</c:v>
                </c:pt>
                <c:pt idx="3307">
                  <c:v>1.06</c:v>
                </c:pt>
                <c:pt idx="3308">
                  <c:v>1.1499999999999999</c:v>
                </c:pt>
                <c:pt idx="3309">
                  <c:v>0.94</c:v>
                </c:pt>
                <c:pt idx="3310">
                  <c:v>0.78</c:v>
                </c:pt>
                <c:pt idx="3311">
                  <c:v>1.28</c:v>
                </c:pt>
                <c:pt idx="3312">
                  <c:v>1.28</c:v>
                </c:pt>
                <c:pt idx="3313">
                  <c:v>0.99</c:v>
                </c:pt>
                <c:pt idx="3314">
                  <c:v>0.92</c:v>
                </c:pt>
                <c:pt idx="3315">
                  <c:v>0.92</c:v>
                </c:pt>
                <c:pt idx="3316">
                  <c:v>0.92</c:v>
                </c:pt>
                <c:pt idx="3317">
                  <c:v>1.05</c:v>
                </c:pt>
                <c:pt idx="3318">
                  <c:v>1.1100000000000001</c:v>
                </c:pt>
                <c:pt idx="3319">
                  <c:v>1.01</c:v>
                </c:pt>
                <c:pt idx="3320">
                  <c:v>2.42</c:v>
                </c:pt>
                <c:pt idx="3321">
                  <c:v>0.84</c:v>
                </c:pt>
                <c:pt idx="3322">
                  <c:v>0.78</c:v>
                </c:pt>
                <c:pt idx="3323">
                  <c:v>0.56000000000000005</c:v>
                </c:pt>
                <c:pt idx="3324">
                  <c:v>0.77</c:v>
                </c:pt>
                <c:pt idx="3325">
                  <c:v>0.44</c:v>
                </c:pt>
                <c:pt idx="3326">
                  <c:v>0.75</c:v>
                </c:pt>
                <c:pt idx="3327">
                  <c:v>1.02</c:v>
                </c:pt>
                <c:pt idx="3328">
                  <c:v>0.78</c:v>
                </c:pt>
                <c:pt idx="3329">
                  <c:v>1.01</c:v>
                </c:pt>
                <c:pt idx="3330">
                  <c:v>0.89</c:v>
                </c:pt>
                <c:pt idx="3331">
                  <c:v>1.32</c:v>
                </c:pt>
                <c:pt idx="3332">
                  <c:v>0.71</c:v>
                </c:pt>
                <c:pt idx="3333">
                  <c:v>0.74</c:v>
                </c:pt>
                <c:pt idx="3334">
                  <c:v>0.62</c:v>
                </c:pt>
                <c:pt idx="3335">
                  <c:v>1.23</c:v>
                </c:pt>
                <c:pt idx="3336">
                  <c:v>1.02</c:v>
                </c:pt>
                <c:pt idx="3337">
                  <c:v>1.3</c:v>
                </c:pt>
                <c:pt idx="3338">
                  <c:v>1.3</c:v>
                </c:pt>
                <c:pt idx="3339">
                  <c:v>1.3</c:v>
                </c:pt>
                <c:pt idx="3340">
                  <c:v>1.3</c:v>
                </c:pt>
                <c:pt idx="3341">
                  <c:v>0.8</c:v>
                </c:pt>
                <c:pt idx="3342">
                  <c:v>1.47</c:v>
                </c:pt>
                <c:pt idx="3343">
                  <c:v>1.1200000000000001</c:v>
                </c:pt>
                <c:pt idx="3344">
                  <c:v>0.97</c:v>
                </c:pt>
                <c:pt idx="3345">
                  <c:v>1.38</c:v>
                </c:pt>
                <c:pt idx="3346">
                  <c:v>0.96</c:v>
                </c:pt>
                <c:pt idx="3347">
                  <c:v>1.0900000000000001</c:v>
                </c:pt>
                <c:pt idx="3348">
                  <c:v>0.95</c:v>
                </c:pt>
                <c:pt idx="3349">
                  <c:v>1.29</c:v>
                </c:pt>
                <c:pt idx="3350">
                  <c:v>0.93</c:v>
                </c:pt>
                <c:pt idx="3351">
                  <c:v>1.49</c:v>
                </c:pt>
                <c:pt idx="3352">
                  <c:v>0.68</c:v>
                </c:pt>
                <c:pt idx="3353">
                  <c:v>0.68</c:v>
                </c:pt>
                <c:pt idx="3354">
                  <c:v>0.68</c:v>
                </c:pt>
                <c:pt idx="3355">
                  <c:v>0.68</c:v>
                </c:pt>
                <c:pt idx="3356">
                  <c:v>0.68</c:v>
                </c:pt>
                <c:pt idx="3357">
                  <c:v>0.68</c:v>
                </c:pt>
                <c:pt idx="3358">
                  <c:v>0.82</c:v>
                </c:pt>
                <c:pt idx="3359">
                  <c:v>0.63</c:v>
                </c:pt>
                <c:pt idx="3360">
                  <c:v>0.9</c:v>
                </c:pt>
                <c:pt idx="3361">
                  <c:v>1.1200000000000001</c:v>
                </c:pt>
                <c:pt idx="3362">
                  <c:v>1.05</c:v>
                </c:pt>
                <c:pt idx="3363">
                  <c:v>1.05</c:v>
                </c:pt>
                <c:pt idx="3364">
                  <c:v>1.65</c:v>
                </c:pt>
                <c:pt idx="3365">
                  <c:v>1.1599999999999999</c:v>
                </c:pt>
                <c:pt idx="3366">
                  <c:v>1.06</c:v>
                </c:pt>
                <c:pt idx="3367">
                  <c:v>0.71</c:v>
                </c:pt>
                <c:pt idx="3368">
                  <c:v>0.98</c:v>
                </c:pt>
                <c:pt idx="3369">
                  <c:v>0.59</c:v>
                </c:pt>
                <c:pt idx="3370">
                  <c:v>0.59</c:v>
                </c:pt>
                <c:pt idx="3371">
                  <c:v>0.59</c:v>
                </c:pt>
                <c:pt idx="3372">
                  <c:v>1.04</c:v>
                </c:pt>
                <c:pt idx="3373">
                  <c:v>1.24</c:v>
                </c:pt>
                <c:pt idx="3374">
                  <c:v>1.71</c:v>
                </c:pt>
                <c:pt idx="3375">
                  <c:v>0.93</c:v>
                </c:pt>
                <c:pt idx="3376">
                  <c:v>1.22</c:v>
                </c:pt>
                <c:pt idx="3377">
                  <c:v>3.42</c:v>
                </c:pt>
                <c:pt idx="3378">
                  <c:v>0.85</c:v>
                </c:pt>
                <c:pt idx="3379">
                  <c:v>1.03</c:v>
                </c:pt>
                <c:pt idx="3380">
                  <c:v>0.92</c:v>
                </c:pt>
                <c:pt idx="3381">
                  <c:v>0.81</c:v>
                </c:pt>
                <c:pt idx="3382">
                  <c:v>0.94</c:v>
                </c:pt>
                <c:pt idx="3383">
                  <c:v>0.94</c:v>
                </c:pt>
                <c:pt idx="3384">
                  <c:v>0.94</c:v>
                </c:pt>
                <c:pt idx="3385">
                  <c:v>0.94</c:v>
                </c:pt>
                <c:pt idx="3386">
                  <c:v>1.36</c:v>
                </c:pt>
                <c:pt idx="3387">
                  <c:v>0.8</c:v>
                </c:pt>
                <c:pt idx="3388">
                  <c:v>1.08</c:v>
                </c:pt>
                <c:pt idx="3389">
                  <c:v>0.96</c:v>
                </c:pt>
                <c:pt idx="3390">
                  <c:v>1.22</c:v>
                </c:pt>
                <c:pt idx="3391">
                  <c:v>1.08</c:v>
                </c:pt>
                <c:pt idx="3392">
                  <c:v>1.08</c:v>
                </c:pt>
                <c:pt idx="3393">
                  <c:v>1.1499999999999999</c:v>
                </c:pt>
                <c:pt idx="3394">
                  <c:v>0.91</c:v>
                </c:pt>
                <c:pt idx="3395">
                  <c:v>0.77</c:v>
                </c:pt>
                <c:pt idx="3396">
                  <c:v>0.97</c:v>
                </c:pt>
                <c:pt idx="3397">
                  <c:v>0.59</c:v>
                </c:pt>
                <c:pt idx="3398">
                  <c:v>0.59</c:v>
                </c:pt>
                <c:pt idx="3399">
                  <c:v>0.59</c:v>
                </c:pt>
                <c:pt idx="3400">
                  <c:v>1.1100000000000001</c:v>
                </c:pt>
                <c:pt idx="3401">
                  <c:v>0.97</c:v>
                </c:pt>
                <c:pt idx="3402">
                  <c:v>0.9</c:v>
                </c:pt>
                <c:pt idx="3403">
                  <c:v>0.62</c:v>
                </c:pt>
                <c:pt idx="3404">
                  <c:v>0.66</c:v>
                </c:pt>
                <c:pt idx="3405">
                  <c:v>1.1100000000000001</c:v>
                </c:pt>
                <c:pt idx="3406">
                  <c:v>1.04</c:v>
                </c:pt>
                <c:pt idx="3407">
                  <c:v>0.81</c:v>
                </c:pt>
                <c:pt idx="3408">
                  <c:v>0.96</c:v>
                </c:pt>
                <c:pt idx="3409">
                  <c:v>1.31</c:v>
                </c:pt>
                <c:pt idx="3410">
                  <c:v>1.17</c:v>
                </c:pt>
                <c:pt idx="3411">
                  <c:v>1.17</c:v>
                </c:pt>
                <c:pt idx="3412">
                  <c:v>1.17</c:v>
                </c:pt>
                <c:pt idx="3413">
                  <c:v>1.17</c:v>
                </c:pt>
                <c:pt idx="3414">
                  <c:v>1.17</c:v>
                </c:pt>
                <c:pt idx="3415">
                  <c:v>1.06</c:v>
                </c:pt>
                <c:pt idx="3416">
                  <c:v>0.81</c:v>
                </c:pt>
                <c:pt idx="3417">
                  <c:v>0.73</c:v>
                </c:pt>
                <c:pt idx="3418">
                  <c:v>1.03</c:v>
                </c:pt>
                <c:pt idx="3419">
                  <c:v>0.56999999999999995</c:v>
                </c:pt>
                <c:pt idx="3420">
                  <c:v>0.75</c:v>
                </c:pt>
                <c:pt idx="3421">
                  <c:v>0.91</c:v>
                </c:pt>
                <c:pt idx="3422">
                  <c:v>0.77</c:v>
                </c:pt>
                <c:pt idx="3423">
                  <c:v>1.2</c:v>
                </c:pt>
                <c:pt idx="3424">
                  <c:v>1.64</c:v>
                </c:pt>
                <c:pt idx="3425">
                  <c:v>0.89</c:v>
                </c:pt>
                <c:pt idx="3426">
                  <c:v>0.89</c:v>
                </c:pt>
                <c:pt idx="3427">
                  <c:v>0.89</c:v>
                </c:pt>
                <c:pt idx="3428">
                  <c:v>0.89</c:v>
                </c:pt>
                <c:pt idx="3429">
                  <c:v>1.0900000000000001</c:v>
                </c:pt>
                <c:pt idx="3430">
                  <c:v>0.85</c:v>
                </c:pt>
                <c:pt idx="3431">
                  <c:v>1.1599999999999999</c:v>
                </c:pt>
                <c:pt idx="3432">
                  <c:v>1.55</c:v>
                </c:pt>
                <c:pt idx="3433">
                  <c:v>1.27</c:v>
                </c:pt>
                <c:pt idx="3434">
                  <c:v>1.03</c:v>
                </c:pt>
                <c:pt idx="3435">
                  <c:v>0.93</c:v>
                </c:pt>
                <c:pt idx="3436">
                  <c:v>0.99</c:v>
                </c:pt>
                <c:pt idx="3437">
                  <c:v>0.91</c:v>
                </c:pt>
                <c:pt idx="3438">
                  <c:v>0.77</c:v>
                </c:pt>
                <c:pt idx="3439">
                  <c:v>1.06</c:v>
                </c:pt>
                <c:pt idx="3440">
                  <c:v>0.78</c:v>
                </c:pt>
                <c:pt idx="3441">
                  <c:v>0.84</c:v>
                </c:pt>
                <c:pt idx="3442">
                  <c:v>0.95</c:v>
                </c:pt>
                <c:pt idx="3443">
                  <c:v>1</c:v>
                </c:pt>
                <c:pt idx="3444">
                  <c:v>0.92</c:v>
                </c:pt>
                <c:pt idx="3445">
                  <c:v>0.71</c:v>
                </c:pt>
                <c:pt idx="3446">
                  <c:v>0.91</c:v>
                </c:pt>
                <c:pt idx="3447">
                  <c:v>0.89</c:v>
                </c:pt>
                <c:pt idx="3448">
                  <c:v>0.95</c:v>
                </c:pt>
                <c:pt idx="3449">
                  <c:v>1.82</c:v>
                </c:pt>
                <c:pt idx="3450">
                  <c:v>1.82</c:v>
                </c:pt>
                <c:pt idx="3451">
                  <c:v>1.02</c:v>
                </c:pt>
                <c:pt idx="3452">
                  <c:v>1.1399999999999999</c:v>
                </c:pt>
                <c:pt idx="3453">
                  <c:v>1.08</c:v>
                </c:pt>
                <c:pt idx="3454">
                  <c:v>1.27</c:v>
                </c:pt>
                <c:pt idx="3455">
                  <c:v>1.1299999999999999</c:v>
                </c:pt>
                <c:pt idx="3456">
                  <c:v>1.1100000000000001</c:v>
                </c:pt>
                <c:pt idx="3457">
                  <c:v>0.77</c:v>
                </c:pt>
                <c:pt idx="3458">
                  <c:v>0.81</c:v>
                </c:pt>
                <c:pt idx="3459">
                  <c:v>0.77</c:v>
                </c:pt>
                <c:pt idx="3460">
                  <c:v>1.02</c:v>
                </c:pt>
                <c:pt idx="3461">
                  <c:v>1.74</c:v>
                </c:pt>
                <c:pt idx="3462">
                  <c:v>1.0900000000000001</c:v>
                </c:pt>
                <c:pt idx="3463">
                  <c:v>0.87</c:v>
                </c:pt>
                <c:pt idx="3464">
                  <c:v>1.0900000000000001</c:v>
                </c:pt>
                <c:pt idx="3465">
                  <c:v>0.94</c:v>
                </c:pt>
                <c:pt idx="3466">
                  <c:v>1.35</c:v>
                </c:pt>
                <c:pt idx="3467">
                  <c:v>1.1599999999999999</c:v>
                </c:pt>
                <c:pt idx="3468">
                  <c:v>1.29</c:v>
                </c:pt>
                <c:pt idx="3469">
                  <c:v>1.29</c:v>
                </c:pt>
                <c:pt idx="3470">
                  <c:v>0.9</c:v>
                </c:pt>
                <c:pt idx="3471">
                  <c:v>1.25</c:v>
                </c:pt>
                <c:pt idx="3472">
                  <c:v>1.1299999999999999</c:v>
                </c:pt>
                <c:pt idx="3473">
                  <c:v>1.07</c:v>
                </c:pt>
                <c:pt idx="3474">
                  <c:v>0.72</c:v>
                </c:pt>
                <c:pt idx="3475">
                  <c:v>0.99</c:v>
                </c:pt>
                <c:pt idx="3476">
                  <c:v>0.85</c:v>
                </c:pt>
                <c:pt idx="3477">
                  <c:v>0.61</c:v>
                </c:pt>
                <c:pt idx="3478">
                  <c:v>0.81</c:v>
                </c:pt>
                <c:pt idx="3479">
                  <c:v>1.04</c:v>
                </c:pt>
                <c:pt idx="3480">
                  <c:v>0.62</c:v>
                </c:pt>
                <c:pt idx="3481">
                  <c:v>0.91</c:v>
                </c:pt>
                <c:pt idx="3482">
                  <c:v>1.02</c:v>
                </c:pt>
                <c:pt idx="3483">
                  <c:v>1.02</c:v>
                </c:pt>
                <c:pt idx="3484">
                  <c:v>1.02</c:v>
                </c:pt>
                <c:pt idx="3485">
                  <c:v>0.73</c:v>
                </c:pt>
                <c:pt idx="3486">
                  <c:v>0.56999999999999995</c:v>
                </c:pt>
                <c:pt idx="3487">
                  <c:v>0.93</c:v>
                </c:pt>
                <c:pt idx="3488">
                  <c:v>0.97</c:v>
                </c:pt>
                <c:pt idx="3489">
                  <c:v>0.97</c:v>
                </c:pt>
                <c:pt idx="3490">
                  <c:v>1.25</c:v>
                </c:pt>
                <c:pt idx="3491">
                  <c:v>0.86</c:v>
                </c:pt>
                <c:pt idx="3492">
                  <c:v>1.02</c:v>
                </c:pt>
                <c:pt idx="3493">
                  <c:v>1.38</c:v>
                </c:pt>
                <c:pt idx="3494">
                  <c:v>1.1200000000000001</c:v>
                </c:pt>
                <c:pt idx="3495">
                  <c:v>1.23</c:v>
                </c:pt>
                <c:pt idx="3496">
                  <c:v>6.3</c:v>
                </c:pt>
                <c:pt idx="3497">
                  <c:v>1.5</c:v>
                </c:pt>
                <c:pt idx="3498">
                  <c:v>1.99</c:v>
                </c:pt>
                <c:pt idx="3499">
                  <c:v>1.1100000000000001</c:v>
                </c:pt>
                <c:pt idx="3500">
                  <c:v>0.61</c:v>
                </c:pt>
                <c:pt idx="3501">
                  <c:v>1.1499999999999999</c:v>
                </c:pt>
                <c:pt idx="3502">
                  <c:v>1.38</c:v>
                </c:pt>
                <c:pt idx="3503">
                  <c:v>0.81</c:v>
                </c:pt>
                <c:pt idx="3504">
                  <c:v>0.76</c:v>
                </c:pt>
                <c:pt idx="3505">
                  <c:v>1.1399999999999999</c:v>
                </c:pt>
                <c:pt idx="3506">
                  <c:v>1.21</c:v>
                </c:pt>
                <c:pt idx="3507">
                  <c:v>1.53</c:v>
                </c:pt>
                <c:pt idx="3508">
                  <c:v>1.53</c:v>
                </c:pt>
                <c:pt idx="3509">
                  <c:v>1.53</c:v>
                </c:pt>
                <c:pt idx="3510">
                  <c:v>0.85</c:v>
                </c:pt>
                <c:pt idx="3511">
                  <c:v>0.85</c:v>
                </c:pt>
                <c:pt idx="3512">
                  <c:v>0.91</c:v>
                </c:pt>
                <c:pt idx="3513">
                  <c:v>0.93</c:v>
                </c:pt>
                <c:pt idx="3514">
                  <c:v>1.26</c:v>
                </c:pt>
                <c:pt idx="3515">
                  <c:v>1.23</c:v>
                </c:pt>
                <c:pt idx="3516">
                  <c:v>0.72</c:v>
                </c:pt>
                <c:pt idx="3517">
                  <c:v>1.01</c:v>
                </c:pt>
                <c:pt idx="3518">
                  <c:v>0.99</c:v>
                </c:pt>
                <c:pt idx="3519">
                  <c:v>0.7</c:v>
                </c:pt>
                <c:pt idx="3520">
                  <c:v>1.02</c:v>
                </c:pt>
                <c:pt idx="3521">
                  <c:v>0.98</c:v>
                </c:pt>
                <c:pt idx="3522">
                  <c:v>0.98</c:v>
                </c:pt>
                <c:pt idx="3523">
                  <c:v>1.4</c:v>
                </c:pt>
                <c:pt idx="3524">
                  <c:v>0.81</c:v>
                </c:pt>
                <c:pt idx="3525">
                  <c:v>0.84</c:v>
                </c:pt>
                <c:pt idx="3526">
                  <c:v>0.84</c:v>
                </c:pt>
                <c:pt idx="3527">
                  <c:v>0.77</c:v>
                </c:pt>
                <c:pt idx="3528">
                  <c:v>0.73</c:v>
                </c:pt>
                <c:pt idx="3529">
                  <c:v>0.89</c:v>
                </c:pt>
                <c:pt idx="3530">
                  <c:v>1.22</c:v>
                </c:pt>
                <c:pt idx="3531">
                  <c:v>1.22</c:v>
                </c:pt>
                <c:pt idx="3532">
                  <c:v>0.89</c:v>
                </c:pt>
                <c:pt idx="3533">
                  <c:v>0.85</c:v>
                </c:pt>
                <c:pt idx="3534">
                  <c:v>0.76</c:v>
                </c:pt>
                <c:pt idx="3535">
                  <c:v>0.76</c:v>
                </c:pt>
                <c:pt idx="3536">
                  <c:v>0.96</c:v>
                </c:pt>
                <c:pt idx="3537">
                  <c:v>0.86</c:v>
                </c:pt>
                <c:pt idx="3538">
                  <c:v>0.75</c:v>
                </c:pt>
                <c:pt idx="3539">
                  <c:v>0.91</c:v>
                </c:pt>
                <c:pt idx="3540">
                  <c:v>0.83</c:v>
                </c:pt>
                <c:pt idx="3541">
                  <c:v>0.97</c:v>
                </c:pt>
                <c:pt idx="3542">
                  <c:v>0.93</c:v>
                </c:pt>
                <c:pt idx="3543">
                  <c:v>0.87</c:v>
                </c:pt>
                <c:pt idx="3544">
                  <c:v>0.94</c:v>
                </c:pt>
                <c:pt idx="3545">
                  <c:v>0.86</c:v>
                </c:pt>
                <c:pt idx="3546">
                  <c:v>1.41</c:v>
                </c:pt>
                <c:pt idx="3547">
                  <c:v>1.02</c:v>
                </c:pt>
                <c:pt idx="3548">
                  <c:v>0.73</c:v>
                </c:pt>
                <c:pt idx="3549">
                  <c:v>0.99</c:v>
                </c:pt>
                <c:pt idx="3550">
                  <c:v>0.99</c:v>
                </c:pt>
                <c:pt idx="3551">
                  <c:v>0.99</c:v>
                </c:pt>
                <c:pt idx="3552">
                  <c:v>0.76</c:v>
                </c:pt>
                <c:pt idx="3553">
                  <c:v>0.84</c:v>
                </c:pt>
                <c:pt idx="3554">
                  <c:v>1.1499999999999999</c:v>
                </c:pt>
                <c:pt idx="3555">
                  <c:v>0.75</c:v>
                </c:pt>
                <c:pt idx="3556">
                  <c:v>0.86</c:v>
                </c:pt>
                <c:pt idx="3557">
                  <c:v>2.0099999999999998</c:v>
                </c:pt>
                <c:pt idx="3558">
                  <c:v>1.02</c:v>
                </c:pt>
                <c:pt idx="3559">
                  <c:v>0.72</c:v>
                </c:pt>
                <c:pt idx="3560">
                  <c:v>0.9</c:v>
                </c:pt>
                <c:pt idx="3561">
                  <c:v>0.86</c:v>
                </c:pt>
                <c:pt idx="3562">
                  <c:v>0.87</c:v>
                </c:pt>
                <c:pt idx="3563">
                  <c:v>0.84</c:v>
                </c:pt>
                <c:pt idx="3564">
                  <c:v>1.1499999999999999</c:v>
                </c:pt>
                <c:pt idx="3565">
                  <c:v>1.02</c:v>
                </c:pt>
                <c:pt idx="3566">
                  <c:v>0.8</c:v>
                </c:pt>
                <c:pt idx="3567">
                  <c:v>0.8</c:v>
                </c:pt>
                <c:pt idx="3568">
                  <c:v>0.7</c:v>
                </c:pt>
                <c:pt idx="3569">
                  <c:v>0.7</c:v>
                </c:pt>
                <c:pt idx="3570">
                  <c:v>0.82</c:v>
                </c:pt>
                <c:pt idx="3571">
                  <c:v>0.82</c:v>
                </c:pt>
                <c:pt idx="3572">
                  <c:v>0.98</c:v>
                </c:pt>
                <c:pt idx="3573">
                  <c:v>0.98</c:v>
                </c:pt>
                <c:pt idx="3574">
                  <c:v>0.67</c:v>
                </c:pt>
                <c:pt idx="3575">
                  <c:v>0.85</c:v>
                </c:pt>
                <c:pt idx="3576">
                  <c:v>1.22</c:v>
                </c:pt>
                <c:pt idx="3577">
                  <c:v>0.78</c:v>
                </c:pt>
                <c:pt idx="3578">
                  <c:v>0.5</c:v>
                </c:pt>
                <c:pt idx="3579">
                  <c:v>0.75</c:v>
                </c:pt>
                <c:pt idx="3580">
                  <c:v>0.83</c:v>
                </c:pt>
                <c:pt idx="3581">
                  <c:v>0.83</c:v>
                </c:pt>
                <c:pt idx="3582">
                  <c:v>1.0900000000000001</c:v>
                </c:pt>
                <c:pt idx="3583">
                  <c:v>0.83</c:v>
                </c:pt>
                <c:pt idx="3584">
                  <c:v>1.1100000000000001</c:v>
                </c:pt>
                <c:pt idx="3585">
                  <c:v>1.06</c:v>
                </c:pt>
                <c:pt idx="3586">
                  <c:v>0.96</c:v>
                </c:pt>
                <c:pt idx="3587">
                  <c:v>1.29</c:v>
                </c:pt>
                <c:pt idx="3588">
                  <c:v>1.08</c:v>
                </c:pt>
                <c:pt idx="3589">
                  <c:v>0.93</c:v>
                </c:pt>
                <c:pt idx="3590">
                  <c:v>0.85</c:v>
                </c:pt>
                <c:pt idx="3591">
                  <c:v>0.98</c:v>
                </c:pt>
                <c:pt idx="3592">
                  <c:v>0.91</c:v>
                </c:pt>
                <c:pt idx="3593">
                  <c:v>0.53</c:v>
                </c:pt>
                <c:pt idx="3594">
                  <c:v>0.78</c:v>
                </c:pt>
                <c:pt idx="3595">
                  <c:v>0.73</c:v>
                </c:pt>
                <c:pt idx="3596">
                  <c:v>1.08</c:v>
                </c:pt>
                <c:pt idx="3597">
                  <c:v>1.08</c:v>
                </c:pt>
                <c:pt idx="3598">
                  <c:v>0.61</c:v>
                </c:pt>
                <c:pt idx="3599">
                  <c:v>0.74</c:v>
                </c:pt>
                <c:pt idx="3600">
                  <c:v>0.54</c:v>
                </c:pt>
                <c:pt idx="3601">
                  <c:v>0.54</c:v>
                </c:pt>
                <c:pt idx="3602">
                  <c:v>0.8</c:v>
                </c:pt>
                <c:pt idx="3603">
                  <c:v>1.1399999999999999</c:v>
                </c:pt>
                <c:pt idx="3604">
                  <c:v>1.56</c:v>
                </c:pt>
                <c:pt idx="3605">
                  <c:v>1.18</c:v>
                </c:pt>
                <c:pt idx="3606">
                  <c:v>1.65</c:v>
                </c:pt>
                <c:pt idx="3607">
                  <c:v>0.21</c:v>
                </c:pt>
                <c:pt idx="3608">
                  <c:v>0.21</c:v>
                </c:pt>
                <c:pt idx="3609">
                  <c:v>0.19</c:v>
                </c:pt>
                <c:pt idx="3612">
                  <c:v>0.82</c:v>
                </c:pt>
                <c:pt idx="3613">
                  <c:v>2.1</c:v>
                </c:pt>
                <c:pt idx="3639">
                  <c:v>39.590000000000003</c:v>
                </c:pt>
                <c:pt idx="3644">
                  <c:v>0.56999999999999995</c:v>
                </c:pt>
                <c:pt idx="3645">
                  <c:v>1.7</c:v>
                </c:pt>
                <c:pt idx="3646">
                  <c:v>0.93</c:v>
                </c:pt>
                <c:pt idx="3647">
                  <c:v>0.84</c:v>
                </c:pt>
                <c:pt idx="3648">
                  <c:v>0.74</c:v>
                </c:pt>
                <c:pt idx="3696">
                  <c:v>1.17</c:v>
                </c:pt>
                <c:pt idx="3697">
                  <c:v>0.83</c:v>
                </c:pt>
                <c:pt idx="3698">
                  <c:v>0.77</c:v>
                </c:pt>
                <c:pt idx="3699">
                  <c:v>1.32</c:v>
                </c:pt>
                <c:pt idx="3700">
                  <c:v>1.1399999999999999</c:v>
                </c:pt>
                <c:pt idx="3701">
                  <c:v>1.64</c:v>
                </c:pt>
                <c:pt idx="3702">
                  <c:v>1.53</c:v>
                </c:pt>
                <c:pt idx="3704">
                  <c:v>1.26</c:v>
                </c:pt>
                <c:pt idx="3705">
                  <c:v>1.73</c:v>
                </c:pt>
                <c:pt idx="3706">
                  <c:v>1</c:v>
                </c:pt>
                <c:pt idx="3707">
                  <c:v>0.59</c:v>
                </c:pt>
                <c:pt idx="3712">
                  <c:v>0.04</c:v>
                </c:pt>
                <c:pt idx="3714">
                  <c:v>1.1499999999999999</c:v>
                </c:pt>
                <c:pt idx="3715">
                  <c:v>0.83</c:v>
                </c:pt>
                <c:pt idx="3716">
                  <c:v>0.83</c:v>
                </c:pt>
                <c:pt idx="3717">
                  <c:v>0.14000000000000001</c:v>
                </c:pt>
                <c:pt idx="3718">
                  <c:v>0.8</c:v>
                </c:pt>
                <c:pt idx="3719">
                  <c:v>1.25</c:v>
                </c:pt>
                <c:pt idx="3720">
                  <c:v>0.78</c:v>
                </c:pt>
                <c:pt idx="3721">
                  <c:v>1.27</c:v>
                </c:pt>
                <c:pt idx="3722">
                  <c:v>0.85</c:v>
                </c:pt>
                <c:pt idx="3723">
                  <c:v>1.08</c:v>
                </c:pt>
                <c:pt idx="3724">
                  <c:v>1.56</c:v>
                </c:pt>
                <c:pt idx="3725">
                  <c:v>1.31</c:v>
                </c:pt>
                <c:pt idx="3726">
                  <c:v>0.7</c:v>
                </c:pt>
                <c:pt idx="3730">
                  <c:v>0.2</c:v>
                </c:pt>
                <c:pt idx="3731">
                  <c:v>0.63</c:v>
                </c:pt>
                <c:pt idx="3733">
                  <c:v>1.45</c:v>
                </c:pt>
                <c:pt idx="3734">
                  <c:v>1.18</c:v>
                </c:pt>
                <c:pt idx="3735">
                  <c:v>1.17</c:v>
                </c:pt>
                <c:pt idx="3737">
                  <c:v>1.78</c:v>
                </c:pt>
                <c:pt idx="3738">
                  <c:v>0.84</c:v>
                </c:pt>
                <c:pt idx="3739">
                  <c:v>0.84</c:v>
                </c:pt>
                <c:pt idx="3740">
                  <c:v>0.12</c:v>
                </c:pt>
                <c:pt idx="3741">
                  <c:v>0.12</c:v>
                </c:pt>
                <c:pt idx="3742">
                  <c:v>0.12</c:v>
                </c:pt>
                <c:pt idx="3743">
                  <c:v>0.12</c:v>
                </c:pt>
                <c:pt idx="3744">
                  <c:v>0.12</c:v>
                </c:pt>
                <c:pt idx="3745">
                  <c:v>0.12</c:v>
                </c:pt>
                <c:pt idx="3746">
                  <c:v>0.12</c:v>
                </c:pt>
                <c:pt idx="3747">
                  <c:v>6.85</c:v>
                </c:pt>
                <c:pt idx="3748">
                  <c:v>6.85</c:v>
                </c:pt>
                <c:pt idx="3749">
                  <c:v>5.9</c:v>
                </c:pt>
                <c:pt idx="3750">
                  <c:v>6.26</c:v>
                </c:pt>
                <c:pt idx="3751">
                  <c:v>16.21</c:v>
                </c:pt>
                <c:pt idx="3752">
                  <c:v>0.85</c:v>
                </c:pt>
                <c:pt idx="3753">
                  <c:v>1.1200000000000001</c:v>
                </c:pt>
                <c:pt idx="3754">
                  <c:v>0.83</c:v>
                </c:pt>
                <c:pt idx="3755">
                  <c:v>1.66</c:v>
                </c:pt>
                <c:pt idx="3756">
                  <c:v>0.87</c:v>
                </c:pt>
                <c:pt idx="3761">
                  <c:v>0.23</c:v>
                </c:pt>
                <c:pt idx="3762">
                  <c:v>2</c:v>
                </c:pt>
                <c:pt idx="3764">
                  <c:v>1.47</c:v>
                </c:pt>
                <c:pt idx="3765">
                  <c:v>0.7</c:v>
                </c:pt>
                <c:pt idx="3766">
                  <c:v>1.57</c:v>
                </c:pt>
                <c:pt idx="3767">
                  <c:v>1.31</c:v>
                </c:pt>
                <c:pt idx="3768">
                  <c:v>1.44</c:v>
                </c:pt>
                <c:pt idx="3769">
                  <c:v>0.96</c:v>
                </c:pt>
                <c:pt idx="3770">
                  <c:v>0.9</c:v>
                </c:pt>
                <c:pt idx="3771">
                  <c:v>1.31</c:v>
                </c:pt>
                <c:pt idx="3772">
                  <c:v>0.66</c:v>
                </c:pt>
                <c:pt idx="3773">
                  <c:v>0.89</c:v>
                </c:pt>
                <c:pt idx="3774">
                  <c:v>1.61</c:v>
                </c:pt>
                <c:pt idx="3775">
                  <c:v>1.43</c:v>
                </c:pt>
                <c:pt idx="3776">
                  <c:v>1.22</c:v>
                </c:pt>
                <c:pt idx="3777">
                  <c:v>1.7</c:v>
                </c:pt>
                <c:pt idx="3778">
                  <c:v>1.2</c:v>
                </c:pt>
                <c:pt idx="3779">
                  <c:v>1.59</c:v>
                </c:pt>
                <c:pt idx="3780">
                  <c:v>1.87</c:v>
                </c:pt>
                <c:pt idx="3781">
                  <c:v>1.46</c:v>
                </c:pt>
                <c:pt idx="3782">
                  <c:v>1.28</c:v>
                </c:pt>
                <c:pt idx="3783">
                  <c:v>1.02</c:v>
                </c:pt>
                <c:pt idx="3784">
                  <c:v>1.27</c:v>
                </c:pt>
                <c:pt idx="3785">
                  <c:v>1.39</c:v>
                </c:pt>
                <c:pt idx="3786">
                  <c:v>0.9</c:v>
                </c:pt>
                <c:pt idx="3787">
                  <c:v>1.37</c:v>
                </c:pt>
                <c:pt idx="3788">
                  <c:v>0.96</c:v>
                </c:pt>
                <c:pt idx="3789">
                  <c:v>1.53</c:v>
                </c:pt>
                <c:pt idx="3790">
                  <c:v>0.74</c:v>
                </c:pt>
                <c:pt idx="3791">
                  <c:v>1.44</c:v>
                </c:pt>
                <c:pt idx="3792">
                  <c:v>0.96</c:v>
                </c:pt>
                <c:pt idx="3793">
                  <c:v>2.21</c:v>
                </c:pt>
                <c:pt idx="3794">
                  <c:v>1.36</c:v>
                </c:pt>
                <c:pt idx="3795">
                  <c:v>0.8</c:v>
                </c:pt>
                <c:pt idx="3796">
                  <c:v>1.4</c:v>
                </c:pt>
                <c:pt idx="3797">
                  <c:v>0.87</c:v>
                </c:pt>
                <c:pt idx="3798">
                  <c:v>1.37</c:v>
                </c:pt>
                <c:pt idx="3799">
                  <c:v>1.64</c:v>
                </c:pt>
                <c:pt idx="3800">
                  <c:v>0.81</c:v>
                </c:pt>
                <c:pt idx="3801">
                  <c:v>0.68</c:v>
                </c:pt>
                <c:pt idx="3802">
                  <c:v>1.43</c:v>
                </c:pt>
                <c:pt idx="3803">
                  <c:v>1.48</c:v>
                </c:pt>
                <c:pt idx="3804">
                  <c:v>1.1399999999999999</c:v>
                </c:pt>
                <c:pt idx="3805">
                  <c:v>1.73</c:v>
                </c:pt>
                <c:pt idx="3806">
                  <c:v>0.76</c:v>
                </c:pt>
                <c:pt idx="3807">
                  <c:v>1.1000000000000001</c:v>
                </c:pt>
                <c:pt idx="3808">
                  <c:v>1.39</c:v>
                </c:pt>
                <c:pt idx="3809">
                  <c:v>2.11</c:v>
                </c:pt>
                <c:pt idx="3810">
                  <c:v>1.1399999999999999</c:v>
                </c:pt>
                <c:pt idx="3811">
                  <c:v>0.87</c:v>
                </c:pt>
                <c:pt idx="3812">
                  <c:v>1.71</c:v>
                </c:pt>
                <c:pt idx="3813">
                  <c:v>1.1100000000000001</c:v>
                </c:pt>
                <c:pt idx="3814">
                  <c:v>1.01</c:v>
                </c:pt>
                <c:pt idx="3815">
                  <c:v>0.93</c:v>
                </c:pt>
                <c:pt idx="3816">
                  <c:v>1.75</c:v>
                </c:pt>
                <c:pt idx="3817">
                  <c:v>1.79</c:v>
                </c:pt>
                <c:pt idx="3818">
                  <c:v>1.1200000000000001</c:v>
                </c:pt>
                <c:pt idx="3819">
                  <c:v>1.49</c:v>
                </c:pt>
                <c:pt idx="3820">
                  <c:v>0.94</c:v>
                </c:pt>
                <c:pt idx="3821">
                  <c:v>1.91</c:v>
                </c:pt>
                <c:pt idx="3822">
                  <c:v>1.1100000000000001</c:v>
                </c:pt>
                <c:pt idx="3823">
                  <c:v>1.31</c:v>
                </c:pt>
                <c:pt idx="3824">
                  <c:v>0.89</c:v>
                </c:pt>
                <c:pt idx="3825">
                  <c:v>1.29</c:v>
                </c:pt>
                <c:pt idx="3826">
                  <c:v>0.96</c:v>
                </c:pt>
                <c:pt idx="3827">
                  <c:v>0.87</c:v>
                </c:pt>
                <c:pt idx="3828">
                  <c:v>1</c:v>
                </c:pt>
                <c:pt idx="3829">
                  <c:v>1.6</c:v>
                </c:pt>
                <c:pt idx="3830">
                  <c:v>0.84</c:v>
                </c:pt>
                <c:pt idx="3831">
                  <c:v>1.39</c:v>
                </c:pt>
                <c:pt idx="3832">
                  <c:v>1.1399999999999999</c:v>
                </c:pt>
                <c:pt idx="3833">
                  <c:v>1.24</c:v>
                </c:pt>
                <c:pt idx="3834">
                  <c:v>0.77</c:v>
                </c:pt>
                <c:pt idx="3835">
                  <c:v>1.42</c:v>
                </c:pt>
                <c:pt idx="3836">
                  <c:v>0.8</c:v>
                </c:pt>
                <c:pt idx="3837">
                  <c:v>1.22</c:v>
                </c:pt>
                <c:pt idx="3838">
                  <c:v>1.0900000000000001</c:v>
                </c:pt>
                <c:pt idx="3839">
                  <c:v>0.79</c:v>
                </c:pt>
                <c:pt idx="3840">
                  <c:v>1.44</c:v>
                </c:pt>
                <c:pt idx="3841">
                  <c:v>1.25</c:v>
                </c:pt>
                <c:pt idx="3842">
                  <c:v>0.95</c:v>
                </c:pt>
                <c:pt idx="3843">
                  <c:v>1.55</c:v>
                </c:pt>
                <c:pt idx="3844">
                  <c:v>0.91</c:v>
                </c:pt>
                <c:pt idx="3845">
                  <c:v>1.08</c:v>
                </c:pt>
                <c:pt idx="3846">
                  <c:v>0.98</c:v>
                </c:pt>
                <c:pt idx="3847">
                  <c:v>1</c:v>
                </c:pt>
                <c:pt idx="3848">
                  <c:v>1.52</c:v>
                </c:pt>
                <c:pt idx="3849">
                  <c:v>0.9</c:v>
                </c:pt>
                <c:pt idx="3850">
                  <c:v>0.9</c:v>
                </c:pt>
                <c:pt idx="3851">
                  <c:v>0.83</c:v>
                </c:pt>
                <c:pt idx="3852">
                  <c:v>0.83</c:v>
                </c:pt>
                <c:pt idx="3853">
                  <c:v>0.89</c:v>
                </c:pt>
                <c:pt idx="3854">
                  <c:v>0.6</c:v>
                </c:pt>
                <c:pt idx="3855">
                  <c:v>0.93</c:v>
                </c:pt>
                <c:pt idx="3856">
                  <c:v>0.96</c:v>
                </c:pt>
                <c:pt idx="3857">
                  <c:v>0.86</c:v>
                </c:pt>
                <c:pt idx="3858">
                  <c:v>1.1399999999999999</c:v>
                </c:pt>
                <c:pt idx="3859">
                  <c:v>1.1399999999999999</c:v>
                </c:pt>
                <c:pt idx="3860">
                  <c:v>1.1399999999999999</c:v>
                </c:pt>
                <c:pt idx="3861">
                  <c:v>1.1399999999999999</c:v>
                </c:pt>
                <c:pt idx="3862">
                  <c:v>1.58</c:v>
                </c:pt>
                <c:pt idx="3863">
                  <c:v>0.97</c:v>
                </c:pt>
                <c:pt idx="3864">
                  <c:v>1.03</c:v>
                </c:pt>
                <c:pt idx="3865">
                  <c:v>0.89</c:v>
                </c:pt>
                <c:pt idx="3866">
                  <c:v>0.79</c:v>
                </c:pt>
                <c:pt idx="3867">
                  <c:v>0.8</c:v>
                </c:pt>
                <c:pt idx="3868">
                  <c:v>0.8</c:v>
                </c:pt>
                <c:pt idx="3869">
                  <c:v>1.76</c:v>
                </c:pt>
                <c:pt idx="3870">
                  <c:v>1.0900000000000001</c:v>
                </c:pt>
                <c:pt idx="3871">
                  <c:v>0.96</c:v>
                </c:pt>
                <c:pt idx="3872">
                  <c:v>0.93</c:v>
                </c:pt>
                <c:pt idx="3873">
                  <c:v>1.22</c:v>
                </c:pt>
                <c:pt idx="3874">
                  <c:v>0.61</c:v>
                </c:pt>
                <c:pt idx="3875">
                  <c:v>0.73</c:v>
                </c:pt>
                <c:pt idx="3876">
                  <c:v>1.17</c:v>
                </c:pt>
                <c:pt idx="3877">
                  <c:v>1.55</c:v>
                </c:pt>
                <c:pt idx="3878">
                  <c:v>1.23</c:v>
                </c:pt>
                <c:pt idx="3879">
                  <c:v>1.86</c:v>
                </c:pt>
                <c:pt idx="3880">
                  <c:v>1.06</c:v>
                </c:pt>
                <c:pt idx="3881">
                  <c:v>1.01</c:v>
                </c:pt>
                <c:pt idx="3882">
                  <c:v>1.76</c:v>
                </c:pt>
                <c:pt idx="3883">
                  <c:v>0.88</c:v>
                </c:pt>
                <c:pt idx="3884">
                  <c:v>1.79</c:v>
                </c:pt>
                <c:pt idx="3885">
                  <c:v>0.86</c:v>
                </c:pt>
                <c:pt idx="3886">
                  <c:v>1.43</c:v>
                </c:pt>
                <c:pt idx="3887">
                  <c:v>1.22</c:v>
                </c:pt>
                <c:pt idx="3888">
                  <c:v>1.82</c:v>
                </c:pt>
                <c:pt idx="3889">
                  <c:v>2.1800000000000002</c:v>
                </c:pt>
                <c:pt idx="3890">
                  <c:v>2.5499999999999998</c:v>
                </c:pt>
                <c:pt idx="3891">
                  <c:v>1.42</c:v>
                </c:pt>
                <c:pt idx="3892">
                  <c:v>1.26</c:v>
                </c:pt>
                <c:pt idx="3893">
                  <c:v>1.73</c:v>
                </c:pt>
                <c:pt idx="3894">
                  <c:v>1.0900000000000001</c:v>
                </c:pt>
                <c:pt idx="3895">
                  <c:v>2.46</c:v>
                </c:pt>
                <c:pt idx="3896">
                  <c:v>1.6</c:v>
                </c:pt>
                <c:pt idx="3897">
                  <c:v>1.03</c:v>
                </c:pt>
                <c:pt idx="3898">
                  <c:v>1.03</c:v>
                </c:pt>
                <c:pt idx="3899">
                  <c:v>0.59</c:v>
                </c:pt>
                <c:pt idx="3900">
                  <c:v>1.28</c:v>
                </c:pt>
                <c:pt idx="3901">
                  <c:v>2.1</c:v>
                </c:pt>
                <c:pt idx="3902">
                  <c:v>1.05</c:v>
                </c:pt>
                <c:pt idx="3903">
                  <c:v>0.75</c:v>
                </c:pt>
                <c:pt idx="3904">
                  <c:v>0.94</c:v>
                </c:pt>
                <c:pt idx="3905">
                  <c:v>1.8</c:v>
                </c:pt>
                <c:pt idx="3906">
                  <c:v>0.88</c:v>
                </c:pt>
                <c:pt idx="3907">
                  <c:v>1.98</c:v>
                </c:pt>
                <c:pt idx="3908">
                  <c:v>0.86</c:v>
                </c:pt>
                <c:pt idx="3909">
                  <c:v>1.34</c:v>
                </c:pt>
                <c:pt idx="3910">
                  <c:v>1.52</c:v>
                </c:pt>
                <c:pt idx="3911">
                  <c:v>1.48</c:v>
                </c:pt>
                <c:pt idx="3912">
                  <c:v>1.35</c:v>
                </c:pt>
                <c:pt idx="3913">
                  <c:v>1.23</c:v>
                </c:pt>
                <c:pt idx="3914">
                  <c:v>1.05</c:v>
                </c:pt>
                <c:pt idx="3915">
                  <c:v>1.08</c:v>
                </c:pt>
                <c:pt idx="3916">
                  <c:v>0.74</c:v>
                </c:pt>
                <c:pt idx="3917">
                  <c:v>1.64</c:v>
                </c:pt>
                <c:pt idx="3919">
                  <c:v>0.09</c:v>
                </c:pt>
                <c:pt idx="3920">
                  <c:v>1.1499999999999999</c:v>
                </c:pt>
                <c:pt idx="3921">
                  <c:v>0.75</c:v>
                </c:pt>
                <c:pt idx="3922">
                  <c:v>0.31</c:v>
                </c:pt>
                <c:pt idx="3923">
                  <c:v>0.31</c:v>
                </c:pt>
                <c:pt idx="3924">
                  <c:v>0.31</c:v>
                </c:pt>
                <c:pt idx="3925">
                  <c:v>0.69</c:v>
                </c:pt>
                <c:pt idx="3926">
                  <c:v>0.88</c:v>
                </c:pt>
                <c:pt idx="3927">
                  <c:v>0.99</c:v>
                </c:pt>
                <c:pt idx="3928">
                  <c:v>1</c:v>
                </c:pt>
                <c:pt idx="3929">
                  <c:v>1</c:v>
                </c:pt>
                <c:pt idx="3930">
                  <c:v>1.54</c:v>
                </c:pt>
                <c:pt idx="3931">
                  <c:v>1.45</c:v>
                </c:pt>
                <c:pt idx="3932">
                  <c:v>1.1299999999999999</c:v>
                </c:pt>
                <c:pt idx="3933">
                  <c:v>1.93</c:v>
                </c:pt>
                <c:pt idx="3934">
                  <c:v>0.17</c:v>
                </c:pt>
                <c:pt idx="3935">
                  <c:v>0.17</c:v>
                </c:pt>
                <c:pt idx="3936">
                  <c:v>0.17</c:v>
                </c:pt>
                <c:pt idx="3937">
                  <c:v>13.9</c:v>
                </c:pt>
                <c:pt idx="3938">
                  <c:v>45.1</c:v>
                </c:pt>
                <c:pt idx="3939">
                  <c:v>47.2</c:v>
                </c:pt>
                <c:pt idx="3941">
                  <c:v>38.299999999999997</c:v>
                </c:pt>
                <c:pt idx="3942">
                  <c:v>21</c:v>
                </c:pt>
                <c:pt idx="3944">
                  <c:v>13.7</c:v>
                </c:pt>
                <c:pt idx="3945">
                  <c:v>31.88</c:v>
                </c:pt>
                <c:pt idx="3946">
                  <c:v>4.9000000000000004</c:v>
                </c:pt>
                <c:pt idx="3947">
                  <c:v>11.1</c:v>
                </c:pt>
                <c:pt idx="3948">
                  <c:v>11.1</c:v>
                </c:pt>
                <c:pt idx="3951">
                  <c:v>4.8499999999999996</c:v>
                </c:pt>
                <c:pt idx="3952">
                  <c:v>11.4</c:v>
                </c:pt>
                <c:pt idx="3953">
                  <c:v>15.1</c:v>
                </c:pt>
                <c:pt idx="3954">
                  <c:v>15.1</c:v>
                </c:pt>
                <c:pt idx="3955">
                  <c:v>12.3</c:v>
                </c:pt>
                <c:pt idx="3956">
                  <c:v>10.5</c:v>
                </c:pt>
                <c:pt idx="3957">
                  <c:v>14.1</c:v>
                </c:pt>
                <c:pt idx="3958">
                  <c:v>1.1000000000000001</c:v>
                </c:pt>
                <c:pt idx="3960">
                  <c:v>1.36</c:v>
                </c:pt>
                <c:pt idx="3961">
                  <c:v>1.36</c:v>
                </c:pt>
                <c:pt idx="3962">
                  <c:v>1.46</c:v>
                </c:pt>
                <c:pt idx="3967">
                  <c:v>26.8</c:v>
                </c:pt>
                <c:pt idx="3968">
                  <c:v>1.56</c:v>
                </c:pt>
                <c:pt idx="3969">
                  <c:v>1.56</c:v>
                </c:pt>
                <c:pt idx="3970">
                  <c:v>1.56</c:v>
                </c:pt>
                <c:pt idx="397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B-2247-B501-FE037AD00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031424"/>
        <c:axId val="2002033104"/>
      </c:scatterChart>
      <c:valAx>
        <c:axId val="2002031424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033104"/>
        <c:crosses val="autoZero"/>
        <c:crossBetween val="midCat"/>
      </c:valAx>
      <c:valAx>
        <c:axId val="2002033104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03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444500</xdr:colOff>
      <xdr:row>17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6956EC-5C91-4149-AA6B-501543C371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406400</xdr:colOff>
      <xdr:row>4</xdr:row>
      <xdr:rowOff>12700</xdr:rowOff>
    </xdr:from>
    <xdr:to>
      <xdr:col>7</xdr:col>
      <xdr:colOff>393700</xdr:colOff>
      <xdr:row>17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BC6C92-588D-4D46-BC07-7978E85EB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16</xdr:row>
      <xdr:rowOff>146050</xdr:rowOff>
    </xdr:from>
    <xdr:to>
      <xdr:col>13</xdr:col>
      <xdr:colOff>990600</xdr:colOff>
      <xdr:row>30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757437-3919-EB49-96C7-500E0CA38B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406400</xdr:colOff>
      <xdr:row>3</xdr:row>
      <xdr:rowOff>190500</xdr:rowOff>
    </xdr:from>
    <xdr:to>
      <xdr:col>12</xdr:col>
      <xdr:colOff>558800</xdr:colOff>
      <xdr:row>29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49A16A-F999-5D45-8FE6-906F7C12C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393700</xdr:colOff>
      <xdr:row>4</xdr:row>
      <xdr:rowOff>38100</xdr:rowOff>
    </xdr:from>
    <xdr:to>
      <xdr:col>10</xdr:col>
      <xdr:colOff>190500</xdr:colOff>
      <xdr:row>22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C1B509-39EF-114B-9EB4-FC7AC36BE0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584200</xdr:colOff>
      <xdr:row>3</xdr:row>
      <xdr:rowOff>6350</xdr:rowOff>
    </xdr:from>
    <xdr:to>
      <xdr:col>12</xdr:col>
      <xdr:colOff>12700</xdr:colOff>
      <xdr:row>21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DC81C4D-2DB0-524C-8DBA-6CE9DB4F4B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</xdr:colOff>
      <xdr:row>3</xdr:row>
      <xdr:rowOff>0</xdr:rowOff>
    </xdr:from>
    <xdr:to>
      <xdr:col>12</xdr:col>
      <xdr:colOff>717550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0AA92-19EC-A64F-B1BF-5BC74F7D9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0</xdr:rowOff>
    </xdr:from>
    <xdr:to>
      <xdr:col>10</xdr:col>
      <xdr:colOff>177800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F0EE83-4FE8-FD4E-8A8E-B327B55380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285750</xdr:colOff>
      <xdr:row>22</xdr:row>
      <xdr:rowOff>6350</xdr:rowOff>
    </xdr:from>
    <xdr:to>
      <xdr:col>10</xdr:col>
      <xdr:colOff>82550</xdr:colOff>
      <xdr:row>40</xdr:row>
      <xdr:rowOff>6350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BD5D29-4E37-A245-B501-C75AD8F7F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</xdr:colOff>
      <xdr:row>2</xdr:row>
      <xdr:rowOff>0</xdr:rowOff>
    </xdr:from>
    <xdr:to>
      <xdr:col>12</xdr:col>
      <xdr:colOff>717550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75375-3654-764D-B7F0-35413F13A6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</xdr:colOff>
      <xdr:row>2</xdr:row>
      <xdr:rowOff>0</xdr:rowOff>
    </xdr:from>
    <xdr:to>
      <xdr:col>12</xdr:col>
      <xdr:colOff>717550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E876DC-B248-6A4E-94FB-F657F5604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8164</xdr:rowOff>
    </xdr:from>
    <xdr:to>
      <xdr:col>8</xdr:col>
      <xdr:colOff>711200</xdr:colOff>
      <xdr:row>18</xdr:row>
      <xdr:rowOff>8164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2B983A-0E63-9743-A27B-78BB2C1FFB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8467</xdr:colOff>
      <xdr:row>0</xdr:row>
      <xdr:rowOff>0</xdr:rowOff>
    </xdr:from>
    <xdr:to>
      <xdr:col>8</xdr:col>
      <xdr:colOff>719667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C411D0A-CF06-E64B-806F-D2FE6FE9D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706967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B2DE0C5-C9C0-B844-AC84-FAD207CAF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636.796046296295" createdVersion="6" refreshedVersion="6" minRefreshableVersion="3" recordCount="3972" xr:uid="{00000000-000A-0000-FFFF-FFFF09000000}">
  <cacheSource type="worksheet">
    <worksheetSource ref="A1:S3973" sheet="static-exo"/>
  </cacheSource>
  <cacheFields count="19">
    <cacheField name="pl_hostname" numFmtId="0">
      <sharedItems count="2963">
        <s v="11 Com"/>
        <s v="11 UMi"/>
        <s v="14 And"/>
        <s v="14 Her"/>
        <s v="16 Cyg B"/>
        <s v="18 Del"/>
        <s v="1RXS J160929.1-210524"/>
        <s v="24 Boo"/>
        <s v="24 Sex"/>
        <s v="2MASS J01225093-2439505"/>
        <s v="2MASS J02192210-3925225"/>
        <s v="2MASS J04414489+2301513"/>
        <s v="2MASS J12073346-3932539"/>
        <s v="2MASS J19383260+4603591"/>
        <s v="2MASS J21402931+1625183 A"/>
        <s v="2MASS J22362452+4751425"/>
        <s v="30 Ari B"/>
        <s v="4 UMa"/>
        <s v="42 Dra"/>
        <s v="47 UMa"/>
        <s v="51 Eri"/>
        <s v="51 Peg"/>
        <s v="55 Cnc"/>
        <s v="6 Lyn"/>
        <s v="61 Vir"/>
        <s v="7 CMa"/>
        <s v="70 Vir"/>
        <s v="75 Cet"/>
        <s v="8 UMi"/>
        <s v="81 Cet"/>
        <s v="91 Aqr"/>
        <s v="AB Pic"/>
        <s v="BD+03 2562"/>
        <s v="BD+14 4559"/>
        <s v="BD+15 2375"/>
        <s v="BD+15 2940"/>
        <s v="BD+20 2457"/>
        <s v="BD+20 274"/>
        <s v="BD+20 594"/>
        <s v="BD+48 738"/>
        <s v="BD+48 740"/>
        <s v="BD+49 828"/>
        <s v="BD-06 1339"/>
        <s v="BD-08 2823"/>
        <s v="BD-10 3166"/>
        <s v="BD-11 4672"/>
        <s v="BD-13 2130"/>
        <s v="BD-17 63"/>
        <s v="CFBDSIR J145829+101343"/>
        <s v="CHXR 73"/>
        <s v="CT Cha"/>
        <s v="CoRoT-1"/>
        <s v="CoRoT-10"/>
        <s v="CoRoT-11"/>
        <s v="CoRoT-12"/>
        <s v="CoRoT-13"/>
        <s v="CoRoT-14"/>
        <s v="CoRoT-16"/>
        <s v="CoRoT-17"/>
        <s v="CoRoT-18"/>
        <s v="CoRoT-19"/>
        <s v="CoRoT-2"/>
        <s v="CoRoT-20"/>
        <s v="CoRoT-21"/>
        <s v="CoRoT-22"/>
        <s v="CoRoT-23"/>
        <s v="CoRoT-24"/>
        <s v="CoRoT-25"/>
        <s v="CoRoT-26"/>
        <s v="CoRoT-27"/>
        <s v="CoRoT-28"/>
        <s v="CoRoT-29"/>
        <s v="CoRoT-3"/>
        <s v="CoRoT-4"/>
        <s v="CoRoT-5"/>
        <s v="CoRoT-6"/>
        <s v="CoRoT-7"/>
        <s v="CoRoT-8"/>
        <s v="CoRoT-9"/>
        <s v="CoRoTID 223977153"/>
        <s v="DENIS-P J082303.1-491201"/>
        <s v="DH Tau"/>
        <s v="DP Leo"/>
        <s v="EPIC 211822797"/>
        <s v="EPIC 211945201"/>
        <s v="EPIC 220674823"/>
        <s v="EPIC 246851721"/>
        <s v="FU Tau"/>
        <s v="Fomalhaut"/>
        <s v="GJ 1132"/>
        <s v="GJ 1148"/>
        <s v="GJ 1214"/>
        <s v="GJ 1265"/>
        <s v="GJ 143"/>
        <s v="GJ 163"/>
        <s v="GJ 179"/>
        <s v="GJ 273"/>
        <s v="GJ 3021"/>
        <s v="GJ 3138"/>
        <s v="GJ 317"/>
        <s v="GJ 328"/>
        <s v="GJ 3293"/>
        <s v="GJ 3323"/>
        <s v="GJ 3341"/>
        <s v="GJ 3470"/>
        <s v="GJ 3634"/>
        <s v="GJ 3779"/>
        <s v="GJ 3942"/>
        <s v="GJ 3998"/>
        <s v="GJ 411"/>
        <s v="GJ 4276"/>
        <s v="GJ 433"/>
        <s v="GJ 436"/>
        <s v="GJ 504"/>
        <s v="GJ 536"/>
        <s v="GJ 581"/>
        <s v="GJ 625"/>
        <s v="GJ 649"/>
        <s v="GJ 667 C"/>
        <s v="GJ 674"/>
        <s v="GJ 676 A"/>
        <s v="GJ 685"/>
        <s v="GJ 687"/>
        <s v="GJ 832"/>
        <s v="GJ 849"/>
        <s v="GJ 86"/>
        <s v="GJ 876"/>
        <s v="GJ 96"/>
        <s v="GJ 9827"/>
        <s v="GQ Lup"/>
        <s v="GSC 06214-00210"/>
        <s v="GU Psc"/>
        <s v="Gl 378"/>
        <s v="Gl 686"/>
        <s v="HAT-P-1"/>
        <s v="HAT-P-11"/>
        <s v="HAT-P-12"/>
        <s v="HAT-P-13"/>
        <s v="HAT-P-14"/>
        <s v="HAT-P-15"/>
        <s v="HAT-P-16"/>
        <s v="HAT-P-17"/>
        <s v="HAT-P-18"/>
        <s v="HAT-P-19"/>
        <s v="HAT-P-2"/>
        <s v="HAT-P-20"/>
        <s v="HAT-P-21"/>
        <s v="HAT-P-22"/>
        <s v="HAT-P-23"/>
        <s v="HAT-P-24"/>
        <s v="HAT-P-25"/>
        <s v="HAT-P-26"/>
        <s v="HAT-P-27"/>
        <s v="HAT-P-28"/>
        <s v="HAT-P-29"/>
        <s v="HAT-P-3"/>
        <s v="HAT-P-30"/>
        <s v="HAT-P-31"/>
        <s v="HAT-P-32"/>
        <s v="HAT-P-33"/>
        <s v="HAT-P-34"/>
        <s v="HAT-P-35"/>
        <s v="HAT-P-36"/>
        <s v="HAT-P-37"/>
        <s v="HAT-P-38"/>
        <s v="HAT-P-39"/>
        <s v="HAT-P-4"/>
        <s v="HAT-P-40"/>
        <s v="HAT-P-41"/>
        <s v="HAT-P-42"/>
        <s v="HAT-P-43"/>
        <s v="HAT-P-44"/>
        <s v="HAT-P-45"/>
        <s v="HAT-P-46"/>
        <s v="HAT-P-49"/>
        <s v="HAT-P-5"/>
        <s v="HAT-P-50"/>
        <s v="HAT-P-51"/>
        <s v="HAT-P-52"/>
        <s v="HAT-P-53"/>
        <s v="HAT-P-54"/>
        <s v="HAT-P-55"/>
        <s v="HAT-P-56"/>
        <s v="HAT-P-57"/>
        <s v="HAT-P-6"/>
        <s v="HAT-P-65"/>
        <s v="HAT-P-66"/>
        <s v="HAT-P-67"/>
        <s v="HAT-P-7"/>
        <s v="HAT-P-8"/>
        <s v="HAT-P-9"/>
        <s v="HATS-1"/>
        <s v="HATS-10"/>
        <s v="HATS-11"/>
        <s v="HATS-12"/>
        <s v="HATS-13"/>
        <s v="HATS-14"/>
        <s v="HATS-15"/>
        <s v="HATS-16"/>
        <s v="HATS-17"/>
        <s v="HATS-18"/>
        <s v="HATS-2"/>
        <s v="HATS-22"/>
        <s v="HATS-23"/>
        <s v="HATS-24"/>
        <s v="HATS-25"/>
        <s v="HATS-26"/>
        <s v="HATS-27"/>
        <s v="HATS-28"/>
        <s v="HATS-29"/>
        <s v="HATS-3"/>
        <s v="HATS-30"/>
        <s v="HATS-31"/>
        <s v="HATS-32"/>
        <s v="HATS-33"/>
        <s v="HATS-34"/>
        <s v="HATS-35"/>
        <s v="HATS-36"/>
        <s v="HATS-39"/>
        <s v="HATS-4"/>
        <s v="HATS-40"/>
        <s v="HATS-41"/>
        <s v="HATS-42"/>
        <s v="HATS-43"/>
        <s v="HATS-44"/>
        <s v="HATS-45"/>
        <s v="HATS-46"/>
        <s v="HATS-5"/>
        <s v="HATS-50"/>
        <s v="HATS-51"/>
        <s v="HATS-52"/>
        <s v="HATS-53"/>
        <s v="HATS-59"/>
        <s v="HATS-6"/>
        <s v="HATS-60"/>
        <s v="HATS-61"/>
        <s v="HATS-62"/>
        <s v="HATS-63"/>
        <s v="HATS-64"/>
        <s v="HATS-65"/>
        <s v="HATS-66"/>
        <s v="HATS-67"/>
        <s v="HATS-68"/>
        <s v="HATS-69"/>
        <s v="HATS-7"/>
        <s v="HATS-70"/>
        <s v="HATS-8"/>
        <s v="HATS-9"/>
        <s v="HD 100546"/>
        <s v="HD 100655"/>
        <s v="HD 100777"/>
        <s v="HD 10180"/>
        <s v="HD 101930"/>
        <s v="HD 102117"/>
        <s v="HD 102195"/>
        <s v="HD 102272"/>
        <s v="HD 102329"/>
        <s v="HD 102365"/>
        <s v="HD 102843"/>
        <s v="HD 102956"/>
        <s v="HD 103197"/>
        <s v="HD 103720"/>
        <s v="HD 103774"/>
        <s v="HD 103949"/>
        <s v="HD 104067"/>
        <s v="HD 10442"/>
        <s v="HD 104985"/>
        <s v="HD 106252"/>
        <s v="HD 106270"/>
        <s v="HD 106315"/>
        <s v="HD 10647"/>
        <s v="HD 106515 A"/>
        <s v="HD 106906"/>
        <s v="HD 10697"/>
        <s v="HD 107148"/>
        <s v="HD 108147"/>
        <s v="HD 108341"/>
        <s v="HD 108863"/>
        <s v="HD 108874"/>
        <s v="HD 109246"/>
        <s v="HD 109271"/>
        <s v="HD 109749"/>
        <s v="HD 110014"/>
        <s v="HD 111232"/>
        <s v="HD 111591"/>
        <s v="HD 111998"/>
        <s v="HD 113337"/>
        <s v="HD 113538"/>
        <s v="HD 113996"/>
        <s v="HD 114386"/>
        <s v="HD 114613"/>
        <s v="HD 114729"/>
        <s v="HD 114762"/>
        <s v="HD 114783"/>
        <s v="HD 11506"/>
        <s v="HD 116029"/>
        <s v="HD 117207"/>
        <s v="HD 11755"/>
        <s v="HD 117618"/>
        <s v="HD 118203"/>
        <s v="HD 119130"/>
        <s v="HD 11964"/>
        <s v="HD 11977"/>
        <s v="HD 120084"/>
        <s v="HD 121504"/>
        <s v="HD 12484"/>
        <s v="HD 125595"/>
        <s v="HD 125612"/>
        <s v="HD 12648"/>
        <s v="HD 12661"/>
        <s v="HD 126614"/>
        <s v="HD 128311"/>
        <s v="HD 128356"/>
        <s v="HD 129445"/>
        <s v="HD 130322"/>
        <s v="HD 131496"/>
        <s v="HD 131664"/>
        <s v="HD 13167"/>
        <s v="HD 13189"/>
        <s v="HD 132406"/>
        <s v="HD 132563"/>
        <s v="HD 133131 A"/>
        <s v="HD 133131 B"/>
        <s v="HD 134060"/>
        <s v="HD 134987"/>
        <s v="HD 136352"/>
        <s v="HD 136418"/>
        <s v="HD 13724"/>
        <s v="HD 137388"/>
        <s v="HD 13908"/>
        <s v="HD 13931"/>
        <s v="HD 139357"/>
        <s v="HD 1397"/>
        <s v="HD 14067"/>
        <s v="HD 141399"/>
        <s v="HD 141937"/>
        <s v="HD 142"/>
        <s v="HD 142022 A"/>
        <s v="HD 142245"/>
        <s v="HD 142415"/>
        <s v="HD 143105"/>
        <s v="HD 143361"/>
        <s v="HD 145377"/>
        <s v="HD 145457"/>
        <s v="HD 145934"/>
        <s v="HD 1461"/>
        <s v="HD 147018"/>
        <s v="HD 147379"/>
        <s v="HD 147513"/>
        <s v="HD 14787"/>
        <s v="HD 147873"/>
        <s v="HD 148156"/>
        <s v="HD 148164"/>
        <s v="HD 148284"/>
        <s v="HD 148427"/>
        <s v="HD 149026"/>
        <s v="HD 149143"/>
        <s v="HD 1502"/>
        <s v="HD 150706"/>
        <s v="HD 152079"/>
        <s v="HD 152581"/>
        <s v="HD 15337"/>
        <s v="HD 153950"/>
        <s v="HD 154345"/>
        <s v="HD 154672"/>
        <s v="HD 154857"/>
        <s v="HD 155233"/>
        <s v="HD 155358"/>
        <s v="HD 156279"/>
        <s v="HD 156411"/>
        <s v="HD 156668"/>
        <s v="HD 156846"/>
        <s v="HD 158038"/>
        <s v="HD 158996"/>
        <s v="HD 159243"/>
        <s v="HD 159868"/>
        <s v="HD 1605"/>
        <s v="HD 160691"/>
        <s v="HD 16141"/>
        <s v="HD 16175"/>
        <s v="HD 162020"/>
        <s v="HD 163607"/>
        <s v="HD 16417"/>
        <s v="HD 164509"/>
        <s v="HD 164595"/>
        <s v="HD 164604"/>
        <s v="HD 164922"/>
        <s v="HD 165155"/>
        <s v="HD 1666"/>
        <s v="HD 166724"/>
        <s v="HD 167042"/>
        <s v="HD 168443"/>
        <s v="HD 168746"/>
        <s v="HD 1690"/>
        <s v="HD 169830"/>
        <s v="HD 170469"/>
        <s v="HD 17092"/>
        <s v="HD 171028"/>
        <s v="HD 171238"/>
        <s v="HD 17156"/>
        <s v="HD 173416"/>
        <s v="HD 175167"/>
        <s v="HD 175541"/>
        <s v="HD 175607"/>
        <s v="HD 17674"/>
        <s v="HD 176986"/>
        <s v="HD 177565"/>
        <s v="HD 177830"/>
        <s v="HD 178911 B"/>
        <s v="HD 179079"/>
        <s v="HD 179949"/>
        <s v="HD 180053"/>
        <s v="HD 18015"/>
        <s v="HD 180314"/>
        <s v="HD 180902"/>
        <s v="HD 181234"/>
        <s v="HD 181342"/>
        <s v="HD 181433"/>
        <s v="HD 181720"/>
        <s v="HD 183263"/>
        <s v="HD 185269"/>
        <s v="HD 187085"/>
        <s v="HD 187123"/>
        <s v="HD 18742"/>
        <s v="HD 188015"/>
        <s v="HD 189733"/>
        <s v="HD 190360"/>
        <s v="HD 190647"/>
        <s v="HD 190984"/>
        <s v="HD 191806"/>
        <s v="HD 192263"/>
        <s v="HD 192310"/>
        <s v="HD 192699"/>
        <s v="HD 195019"/>
        <s v="HD 196050"/>
        <s v="HD 196067"/>
        <s v="HD 196885"/>
        <s v="HD 197037"/>
        <s v="HD 19994"/>
        <s v="HD 20003"/>
        <s v="HD 200964"/>
        <s v="HD 202206"/>
        <s v="HD 202696"/>
        <s v="HD 202772 A"/>
        <s v="HD 203030"/>
        <s v="HD 203473"/>
        <s v="HD 2039"/>
        <s v="HD 204313"/>
        <s v="HD 204941"/>
        <s v="HD 205739"/>
        <s v="HD 206255"/>
        <s v="HD 206610"/>
        <s v="HD 20781"/>
        <s v="HD 20782"/>
        <s v="HD 207832"/>
        <s v="HD 20794"/>
        <s v="HD 208487"/>
        <s v="HD 208527"/>
        <s v="HD 20868"/>
        <s v="HD 208897"/>
        <s v="HD 209458"/>
        <s v="HD 210193"/>
        <s v="HD 210277"/>
        <s v="HD 210702"/>
        <s v="HD 211810"/>
        <s v="HD 211970"/>
        <s v="HD 212301"/>
        <s v="HD 212771"/>
        <s v="HD 213240"/>
        <s v="HD 21411"/>
        <s v="HD 214823"/>
        <s v="HD 215152"/>
        <s v="HD 215497"/>
        <s v="HD 216435"/>
        <s v="HD 216437"/>
        <s v="HD 216536"/>
        <s v="HD 216770"/>
        <s v="HD 21693"/>
        <s v="HD 217107"/>
        <s v="HD 217786"/>
        <s v="HD 217850"/>
        <s v="HD 218566"/>
        <s v="HD 219077"/>
        <s v="HD 219134"/>
        <s v="HD 219415"/>
        <s v="HD 219666"/>
        <s v="HD 219828"/>
        <s v="HD 220074"/>
        <s v="HD 220689"/>
        <s v="HD 220773"/>
        <s v="HD 220842"/>
        <s v="HD 221287"/>
        <s v="HD 221416"/>
        <s v="HD 221420"/>
        <s v="HD 221585"/>
        <s v="HD 222076"/>
        <s v="HD 222155"/>
        <s v="HD 222582"/>
        <s v="HD 224538"/>
        <s v="HD 224693"/>
        <s v="HD 22781"/>
        <s v="HD 23079"/>
        <s v="HD 23127"/>
        <s v="HD 231701"/>
        <s v="HD 233604"/>
        <s v="HD 23472"/>
        <s v="HD 23596"/>
        <s v="HD 238914"/>
        <s v="HD 240210"/>
        <s v="HD 240237"/>
        <s v="HD 24040"/>
        <s v="HD 24064"/>
        <s v="HD 24085"/>
        <s v="HD 25015"/>
        <s v="HD 25171"/>
        <s v="HD 2638"/>
        <s v="HD 26965"/>
        <s v="HD 27442"/>
        <s v="HD 27631"/>
        <s v="HD 27894"/>
        <s v="HD 28185"/>
        <s v="HD 28254"/>
        <s v="HD 285507"/>
        <s v="HD 285968"/>
        <s v="HD 28678"/>
        <s v="HD 29021"/>
        <s v="HD 290327"/>
        <s v="HD 2952"/>
        <s v="HD 30177"/>
        <s v="HD 30562"/>
        <s v="HD 30669"/>
        <s v="HD 30856"/>
        <s v="HD 31253"/>
        <s v="HD 31527"/>
        <s v="HD 3167"/>
        <s v="HD 32518"/>
        <s v="HD 32963"/>
        <s v="HD 330075"/>
        <s v="HD 33142"/>
        <s v="HD 33283"/>
        <s v="HD 33564"/>
        <s v="HD 33844"/>
        <s v="HD 34445"/>
        <s v="HD 35759"/>
        <s v="HD 3651"/>
        <s v="HD 37124"/>
        <s v="HD 37605"/>
        <s v="HD 38283"/>
        <s v="HD 38529"/>
        <s v="HD 38801"/>
        <s v="HD 39091"/>
        <s v="HD 39855"/>
        <s v="HD 40307"/>
        <s v="HD 40956"/>
        <s v="HD 40979"/>
        <s v="HD 41004 A"/>
        <s v="HD 41004 B"/>
        <s v="HD 4113"/>
        <s v="HD 42012"/>
        <s v="HD 4203"/>
        <s v="HD 4208"/>
        <s v="HD 42618"/>
        <s v="HD 4308"/>
        <s v="HD 4313"/>
        <s v="HD 43197"/>
        <s v="HD 43691"/>
        <s v="HD 44219"/>
        <s v="HD 45184"/>
        <s v="HD 45350"/>
        <s v="HD 45364"/>
        <s v="HD 45652"/>
        <s v="HD 46375"/>
        <s v="HD 47186"/>
        <s v="HD 4732"/>
        <s v="HD 47366"/>
        <s v="HD 47536"/>
        <s v="HD 48265"/>
        <s v="HD 4917"/>
        <s v="HD 49674"/>
        <s v="HD 50499"/>
        <s v="HD 50554"/>
        <s v="HD 51608"/>
        <s v="HD 52265"/>
        <s v="HD 5319"/>
        <s v="HD 55696"/>
        <s v="HD 5583"/>
        <s v="HD 5608"/>
        <s v="HD 564"/>
        <s v="HD 5891"/>
        <s v="HD 59686 A"/>
        <s v="HD 60532"/>
        <s v="HD 62509"/>
        <s v="HD 63454"/>
        <s v="HD 63765"/>
        <s v="HD 64114"/>
        <s v="HD 6434"/>
        <s v="HD 65216"/>
        <s v="HD 66141"/>
        <s v="HD 66428"/>
        <s v="HD 67087"/>
        <s v="HD 6718"/>
        <s v="HD 68402"/>
        <s v="HD 68988"/>
        <s v="HD 69830"/>
        <s v="HD 70573"/>
        <s v="HD 70642"/>
        <s v="HD 7199"/>
        <s v="HD 72490"/>
        <s v="HD 72659"/>
        <s v="HD 72892"/>
        <s v="HD 73267"/>
        <s v="HD 73526"/>
        <s v="HD 73534"/>
        <s v="HD 74156"/>
        <s v="HD 7449"/>
        <s v="HD 75289"/>
        <s v="HD 75784"/>
        <s v="HD 75898"/>
        <s v="HD 76700"/>
        <s v="HD 76920"/>
        <s v="HD 77338"/>
        <s v="HD 7924"/>
        <s v="HD 79498"/>
        <s v="HD 80606"/>
        <s v="HD 81040"/>
        <s v="HD 81688"/>
        <s v="HD 82886"/>
        <s v="HD 82943"/>
        <s v="HD 8326"/>
        <s v="HD 83443"/>
        <s v="HD 8535"/>
        <s v="HD 85390"/>
        <s v="HD 85512"/>
        <s v="HD 8574"/>
        <s v="HD 86081"/>
        <s v="HD 86226"/>
        <s v="HD 86264"/>
        <s v="HD 8673"/>
        <s v="HD 86950"/>
        <s v="HD 87646"/>
        <s v="HD 87883"/>
        <s v="HD 88133"/>
        <s v="HD 89307"/>
        <s v="HD 89345"/>
        <s v="HD 89744"/>
        <s v="HD 90156"/>
        <s v="HD 9174"/>
        <s v="HD 92788"/>
        <s v="HD 92987"/>
        <s v="HD 93083"/>
        <s v="HD 9446"/>
        <s v="HD 94834"/>
        <s v="HD 95086"/>
        <s v="HD 95089"/>
        <s v="HD 95127"/>
        <s v="HD 95872"/>
        <s v="HD 96063"/>
        <s v="HD 96127"/>
        <s v="HD 96167"/>
        <s v="HD 97658"/>
        <s v="HD 98219"/>
        <s v="HD 98649"/>
        <s v="HD 98736"/>
        <s v="HD 99109"/>
        <s v="HD 99492"/>
        <s v="HD 99706"/>
        <s v="HIP 105854"/>
        <s v="HIP 107773"/>
        <s v="HIP 109384"/>
        <s v="HIP 109600"/>
        <s v="HIP 116454"/>
        <s v="HIP 12961"/>
        <s v="HIP 14810"/>
        <s v="HIP 35173"/>
        <s v="HIP 41378"/>
        <s v="HIP 5158"/>
        <s v="HIP 54373"/>
        <s v="HIP 57274"/>
        <s v="HIP 63242"/>
        <s v="HIP 65407"/>
        <s v="HIP 65426"/>
        <s v="HIP 65891"/>
        <s v="HIP 67537"/>
        <s v="HIP 67851"/>
        <s v="HIP 70849"/>
        <s v="HIP 71135"/>
        <s v="HIP 74890"/>
        <s v="HIP 78530"/>
        <s v="HIP 79431"/>
        <s v="HIP 8541"/>
        <s v="HIP 91258"/>
        <s v="HIP 97233"/>
        <s v="HN Peg"/>
        <s v="HR 2562"/>
        <s v="HR 810"/>
        <s v="HR 8799"/>
        <s v="IC 4651 9122"/>
        <s v="K2-10"/>
        <s v="K2-100"/>
        <s v="K2-101"/>
        <s v="K2-102"/>
        <s v="K2-104"/>
        <s v="K2-105"/>
        <s v="K2-107"/>
        <s v="K2-108"/>
        <s v="K2-11"/>
        <s v="K2-110"/>
        <s v="K2-111"/>
        <s v="K2-113"/>
        <s v="K2-114"/>
        <s v="K2-115"/>
        <s v="K2-116"/>
        <s v="K2-117"/>
        <s v="K2-118"/>
        <s v="K2-119"/>
        <s v="K2-12"/>
        <s v="K2-120"/>
        <s v="K2-121"/>
        <s v="K2-122"/>
        <s v="K2-123"/>
        <s v="K2-124"/>
        <s v="K2-125"/>
        <s v="K2-126"/>
        <s v="K2-127"/>
        <s v="K2-128"/>
        <s v="K2-129"/>
        <s v="K2-13"/>
        <s v="K2-130"/>
        <s v="K2-131"/>
        <s v="K2-132"/>
        <s v="K2-133"/>
        <s v="K2-136"/>
        <s v="K2-137"/>
        <s v="K2-138"/>
        <s v="K2-139"/>
        <s v="K2-14"/>
        <s v="K2-140"/>
        <s v="K2-141"/>
        <s v="K2-146"/>
        <s v="K2-147"/>
        <s v="K2-148"/>
        <s v="K2-149"/>
        <s v="K2-15"/>
        <s v="K2-150"/>
        <s v="K2-151"/>
        <s v="K2-152"/>
        <s v="K2-153"/>
        <s v="K2-154"/>
        <s v="K2-155"/>
        <s v="K2-156"/>
        <s v="K2-157"/>
        <s v="K2-158"/>
        <s v="K2-159"/>
        <s v="K2-16"/>
        <s v="K2-160"/>
        <s v="K2-161"/>
        <s v="K2-162"/>
        <s v="K2-163"/>
        <s v="K2-164"/>
        <s v="K2-165"/>
        <s v="K2-166"/>
        <s v="K2-167"/>
        <s v="K2-168"/>
        <s v="K2-169"/>
        <s v="K2-17"/>
        <s v="K2-170"/>
        <s v="K2-171"/>
        <s v="K2-172"/>
        <s v="K2-173"/>
        <s v="K2-174"/>
        <s v="K2-175"/>
        <s v="K2-176"/>
        <s v="K2-177"/>
        <s v="K2-178"/>
        <s v="K2-179"/>
        <s v="K2-18"/>
        <s v="K2-180"/>
        <s v="K2-181"/>
        <s v="K2-182"/>
        <s v="K2-183"/>
        <s v="K2-184"/>
        <s v="K2-185"/>
        <s v="K2-186"/>
        <s v="K2-187"/>
        <s v="K2-188"/>
        <s v="K2-189"/>
        <s v="K2-19"/>
        <s v="K2-190"/>
        <s v="K2-191"/>
        <s v="K2-192"/>
        <s v="K2-193"/>
        <s v="K2-194"/>
        <s v="K2-195"/>
        <s v="K2-196"/>
        <s v="K2-197"/>
        <s v="K2-198"/>
        <s v="K2-199"/>
        <s v="K2-200"/>
        <s v="K2-201"/>
        <s v="K2-202"/>
        <s v="K2-203"/>
        <s v="K2-204"/>
        <s v="K2-205"/>
        <s v="K2-206"/>
        <s v="K2-207"/>
        <s v="K2-208"/>
        <s v="K2-209"/>
        <s v="K2-21"/>
        <s v="K2-210"/>
        <s v="K2-211"/>
        <s v="K2-212"/>
        <s v="K2-213"/>
        <s v="K2-214"/>
        <s v="K2-215"/>
        <s v="K2-216"/>
        <s v="K2-217"/>
        <s v="K2-218"/>
        <s v="K2-219"/>
        <s v="K2-22"/>
        <s v="K2-220"/>
        <s v="K2-221"/>
        <s v="K2-222"/>
        <s v="K2-223"/>
        <s v="K2-224"/>
        <s v="K2-225"/>
        <s v="K2-226"/>
        <s v="K2-227"/>
        <s v="K2-228"/>
        <s v="K2-229"/>
        <s v="K2-230"/>
        <s v="K2-231"/>
        <s v="K2-232"/>
        <s v="K2-233"/>
        <s v="K2-237"/>
        <s v="K2-238"/>
        <s v="K2-239"/>
        <s v="K2-24"/>
        <s v="K2-240"/>
        <s v="K2-241"/>
        <s v="K2-242"/>
        <s v="K2-243"/>
        <s v="K2-244"/>
        <s v="K2-245"/>
        <s v="K2-246"/>
        <s v="K2-247"/>
        <s v="K2-248"/>
        <s v="K2-249"/>
        <s v="K2-25"/>
        <s v="K2-250"/>
        <s v="K2-251"/>
        <s v="K2-252"/>
        <s v="K2-253"/>
        <s v="K2-254"/>
        <s v="K2-255"/>
        <s v="K2-256"/>
        <s v="K2-257"/>
        <s v="K2-258"/>
        <s v="K2-259"/>
        <s v="K2-26"/>
        <s v="K2-260"/>
        <s v="K2-261"/>
        <s v="K2-263"/>
        <s v="K2-264"/>
        <s v="K2-265"/>
        <s v="K2-266"/>
        <s v="K2-268"/>
        <s v="K2-269"/>
        <s v="K2-27"/>
        <s v="K2-270"/>
        <s v="K2-271"/>
        <s v="K2-272"/>
        <s v="K2-273"/>
        <s v="K2-274"/>
        <s v="K2-275"/>
        <s v="K2-276"/>
        <s v="K2-277"/>
        <s v="K2-278"/>
        <s v="K2-279"/>
        <s v="K2-28"/>
        <s v="K2-280"/>
        <s v="K2-281"/>
        <s v="K2-282"/>
        <s v="K2-283"/>
        <s v="K2-284"/>
        <s v="K2-285"/>
        <s v="K2-286"/>
        <s v="K2-287"/>
        <s v="K2-288 B"/>
        <s v="K2-289"/>
        <s v="K2-29"/>
        <s v="K2-290"/>
        <s v="K2-291"/>
        <s v="K2-293"/>
        <s v="K2-294"/>
        <s v="K2-295"/>
        <s v="K2-3"/>
        <s v="K2-30"/>
        <s v="K2-31"/>
        <s v="K2-32"/>
        <s v="K2-33"/>
        <s v="K2-34"/>
        <s v="K2-35"/>
        <s v="K2-36"/>
        <s v="K2-37"/>
        <s v="K2-38"/>
        <s v="K2-39"/>
        <s v="K2-4"/>
        <s v="K2-42"/>
        <s v="K2-43"/>
        <s v="K2-44"/>
        <s v="K2-45"/>
        <s v="K2-46"/>
        <s v="K2-47"/>
        <s v="K2-48"/>
        <s v="K2-49"/>
        <s v="K2-5"/>
        <s v="K2-50"/>
        <s v="K2-52"/>
        <s v="K2-53"/>
        <s v="K2-54"/>
        <s v="K2-55"/>
        <s v="K2-57"/>
        <s v="K2-58"/>
        <s v="K2-59"/>
        <s v="K2-6"/>
        <s v="K2-60"/>
        <s v="K2-61"/>
        <s v="K2-62"/>
        <s v="K2-63"/>
        <s v="K2-64"/>
        <s v="K2-65"/>
        <s v="K2-66"/>
        <s v="K2-68"/>
        <s v="K2-69"/>
        <s v="K2-7"/>
        <s v="K2-70"/>
        <s v="K2-71"/>
        <s v="K2-72"/>
        <s v="K2-73"/>
        <s v="K2-74"/>
        <s v="K2-75"/>
        <s v="K2-77"/>
        <s v="K2-79"/>
        <s v="K2-8"/>
        <s v="K2-80"/>
        <s v="K2-81"/>
        <s v="K2-83"/>
        <s v="K2-84"/>
        <s v="K2-85"/>
        <s v="K2-86"/>
        <s v="K2-87"/>
        <s v="K2-88"/>
        <s v="K2-89"/>
        <s v="K2-9"/>
        <s v="K2-90"/>
        <s v="K2-91"/>
        <s v="K2-95"/>
        <s v="K2-97"/>
        <s v="K2-98"/>
        <s v="K2-99"/>
        <s v="KELT-1"/>
        <s v="KELT-10"/>
        <s v="KELT-11"/>
        <s v="KELT-12"/>
        <s v="KELT-14"/>
        <s v="KELT-15"/>
        <s v="KELT-16"/>
        <s v="KELT-17"/>
        <s v="KELT-18"/>
        <s v="KELT-19 A"/>
        <s v="KELT-2 A"/>
        <s v="KELT-20"/>
        <s v="KELT-21"/>
        <s v="KELT-3"/>
        <s v="KELT-4 A"/>
        <s v="KELT-6"/>
        <s v="KELT-7"/>
        <s v="KELT-8"/>
        <s v="KELT-9"/>
        <s v="KIC 10001893"/>
        <s v="KIC 10525077"/>
        <s v="KIC 3558849"/>
        <s v="KIC 5437945"/>
        <s v="KIC 5951458"/>
        <s v="KIC 7917485"/>
        <s v="KOI-7892"/>
        <s v="KIC 9663113"/>
        <s v="KMT-2016-BLG-1107L"/>
        <s v="KMT-2016-BLG-1397L"/>
        <s v="KMT-2016-BLG-1820L"/>
        <s v="KMT-2016-BLG-2142L"/>
        <s v="KMT-2017-BLG-1038L"/>
        <s v="KMT-2017-BLG-1146L"/>
        <s v="KOI-12"/>
        <s v="KOI-1257"/>
        <s v="KOI-13"/>
        <s v="KOI-142"/>
        <s v="KOI-1599"/>
        <s v="KOI-217"/>
        <s v="KOI-351"/>
        <s v="KOI-3680"/>
        <s v="KOI-55"/>
        <s v="KOI-94"/>
        <s v="KPS-1"/>
        <s v="Kapteyn"/>
        <s v="Kepler-10"/>
        <s v="Kepler-100"/>
        <s v="Kepler-1000"/>
        <s v="Kepler-1001"/>
        <s v="Kepler-1002"/>
        <s v="Kepler-1003"/>
        <s v="Kepler-1004"/>
        <s v="Kepler-1005"/>
        <s v="Kepler-1006"/>
        <s v="Kepler-1007"/>
        <s v="Kepler-1008"/>
        <s v="Kepler-1009"/>
        <s v="Kepler-101"/>
        <s v="Kepler-1010"/>
        <s v="Kepler-1011"/>
        <s v="Kepler-1012"/>
        <s v="Kepler-1013"/>
        <s v="Kepler-1014"/>
        <s v="Kepler-1015"/>
        <s v="Kepler-1016"/>
        <s v="Kepler-1017"/>
        <s v="Kepler-1018"/>
        <s v="Kepler-1019"/>
        <s v="Kepler-102"/>
        <s v="Kepler-1020"/>
        <s v="Kepler-1021"/>
        <s v="Kepler-1022"/>
        <s v="Kepler-1023"/>
        <s v="Kepler-1024"/>
        <s v="Kepler-1025"/>
        <s v="Kepler-1026"/>
        <s v="Kepler-1027"/>
        <s v="Kepler-1028"/>
        <s v="Kepler-1029"/>
        <s v="Kepler-103"/>
        <s v="Kepler-1030"/>
        <s v="Kepler-1031"/>
        <s v="Kepler-1032"/>
        <s v="Kepler-1033"/>
        <s v="Kepler-1034"/>
        <s v="Kepler-1035"/>
        <s v="Kepler-1036"/>
        <s v="Kepler-1037"/>
        <s v="Kepler-1038"/>
        <s v="Kepler-1039"/>
        <s v="Kepler-104"/>
        <s v="Kepler-1040"/>
        <s v="Kepler-1041"/>
        <s v="Kepler-1042"/>
        <s v="Kepler-1043"/>
        <s v="Kepler-1044"/>
        <s v="Kepler-1045"/>
        <s v="Kepler-1046"/>
        <s v="Kepler-1047"/>
        <s v="Kepler-1048"/>
        <s v="Kepler-1049"/>
        <s v="Kepler-105"/>
        <s v="Kepler-1050"/>
        <s v="Kepler-1051"/>
        <s v="Kepler-1052"/>
        <s v="Kepler-1053"/>
        <s v="Kepler-1054"/>
        <s v="Kepler-1055"/>
        <s v="Kepler-1056"/>
        <s v="Kepler-1057"/>
        <s v="Kepler-1058"/>
        <s v="Kepler-1059"/>
        <s v="Kepler-106"/>
        <s v="Kepler-1060"/>
        <s v="Kepler-1061"/>
        <s v="Kepler-1062"/>
        <s v="Kepler-1063"/>
        <s v="Kepler-1064"/>
        <s v="Kepler-1065"/>
        <s v="Kepler-1066"/>
        <s v="Kepler-1067"/>
        <s v="Kepler-1068"/>
        <s v="Kepler-1069"/>
        <s v="Kepler-107"/>
        <s v="Kepler-1070"/>
        <s v="Kepler-1071"/>
        <s v="Kepler-1072"/>
        <s v="Kepler-1073"/>
        <s v="Kepler-1074"/>
        <s v="Kepler-1075"/>
        <s v="Kepler-1076"/>
        <s v="Kepler-1077"/>
        <s v="Kepler-1078"/>
        <s v="Kepler-1079"/>
        <s v="Kepler-108"/>
        <s v="Kepler-1080"/>
        <s v="Kepler-1081"/>
        <s v="Kepler-1082"/>
        <s v="Kepler-1083"/>
        <s v="Kepler-1084"/>
        <s v="Kepler-1085"/>
        <s v="Kepler-1086"/>
        <s v="Kepler-1087"/>
        <s v="Kepler-1088"/>
        <s v="Kepler-1089"/>
        <s v="Kepler-109"/>
        <s v="Kepler-1090"/>
        <s v="Kepler-1091"/>
        <s v="Kepler-1092"/>
        <s v="Kepler-1093"/>
        <s v="Kepler-1094"/>
        <s v="Kepler-1095"/>
        <s v="Kepler-1096"/>
        <s v="Kepler-1097"/>
        <s v="Kepler-1098"/>
        <s v="Kepler-1099"/>
        <s v="Kepler-11"/>
        <s v="Kepler-110"/>
        <s v="Kepler-1100"/>
        <s v="Kepler-1101"/>
        <s v="Kepler-1102"/>
        <s v="Kepler-1103"/>
        <s v="Kepler-1104"/>
        <s v="Kepler-1105"/>
        <s v="Kepler-1106"/>
        <s v="Kepler-1107"/>
        <s v="Kepler-1108"/>
        <s v="Kepler-1109"/>
        <s v="Kepler-111"/>
        <s v="Kepler-1110"/>
        <s v="Kepler-1111"/>
        <s v="Kepler-1112"/>
        <s v="Kepler-1113"/>
        <s v="Kepler-1114"/>
        <s v="Kepler-1115"/>
        <s v="Kepler-1116"/>
        <s v="Kepler-1117"/>
        <s v="Kepler-1118"/>
        <s v="Kepler-1119"/>
        <s v="Kepler-112"/>
        <s v="Kepler-1120"/>
        <s v="Kepler-1121"/>
        <s v="Kepler-1122"/>
        <s v="Kepler-1123"/>
        <s v="Kepler-1124"/>
        <s v="Kepler-1125"/>
        <s v="Kepler-1126"/>
        <s v="Kepler-1127"/>
        <s v="Kepler-1128"/>
        <s v="Kepler-1129"/>
        <s v="Kepler-113"/>
        <s v="Kepler-1130"/>
        <s v="Kepler-1131"/>
        <s v="Kepler-1132"/>
        <s v="Kepler-1133"/>
        <s v="Kepler-1134"/>
        <s v="Kepler-1135"/>
        <s v="Kepler-1136"/>
        <s v="Kepler-1137"/>
        <s v="Kepler-1138"/>
        <s v="Kepler-1139"/>
        <s v="Kepler-114"/>
        <s v="Kepler-1140"/>
        <s v="Kepler-1141"/>
        <s v="Kepler-1142"/>
        <s v="Kepler-1143"/>
        <s v="Kepler-1144"/>
        <s v="Kepler-1145"/>
        <s v="Kepler-1146"/>
        <s v="Kepler-1147"/>
        <s v="Kepler-1148"/>
        <s v="Kepler-1149"/>
        <s v="Kepler-115"/>
        <s v="Kepler-1150"/>
        <s v="Kepler-1151"/>
        <s v="Kepler-1152"/>
        <s v="Kepler-1153"/>
        <s v="Kepler-1154"/>
        <s v="Kepler-1155"/>
        <s v="Kepler-1156"/>
        <s v="Kepler-1157"/>
        <s v="Kepler-1158"/>
        <s v="Kepler-1159"/>
        <s v="Kepler-116"/>
        <s v="Kepler-1160"/>
        <s v="Kepler-1161"/>
        <s v="Kepler-1162"/>
        <s v="Kepler-1163"/>
        <s v="Kepler-1164"/>
        <s v="Kepler-1165"/>
        <s v="Kepler-1166"/>
        <s v="Kepler-1167"/>
        <s v="Kepler-1168"/>
        <s v="Kepler-1169"/>
        <s v="Kepler-117"/>
        <s v="Kepler-1170"/>
        <s v="Kepler-1171"/>
        <s v="Kepler-1172"/>
        <s v="Kepler-1173"/>
        <s v="Kepler-1174"/>
        <s v="Kepler-1175"/>
        <s v="Kepler-1176"/>
        <s v="Kepler-1177"/>
        <s v="Kepler-1178"/>
        <s v="Kepler-1179"/>
        <s v="Kepler-118"/>
        <s v="Kepler-1180"/>
        <s v="Kepler-1181"/>
        <s v="Kepler-1182"/>
        <s v="Kepler-1183"/>
        <s v="Kepler-1184"/>
        <s v="Kepler-1185"/>
        <s v="Kepler-1186"/>
        <s v="Kepler-1187"/>
        <s v="Kepler-1188"/>
        <s v="Kepler-1189"/>
        <s v="Kepler-119"/>
        <s v="Kepler-1190"/>
        <s v="Kepler-1191"/>
        <s v="Kepler-1192"/>
        <s v="Kepler-1193"/>
        <s v="Kepler-1194"/>
        <s v="Kepler-1195"/>
        <s v="Kepler-1196"/>
        <s v="Kepler-1197"/>
        <s v="Kepler-1198"/>
        <s v="Kepler-1199"/>
        <s v="Kepler-12"/>
        <s v="Kepler-120"/>
        <s v="Kepler-1200"/>
        <s v="Kepler-1201"/>
        <s v="Kepler-1202"/>
        <s v="Kepler-1203"/>
        <s v="Kepler-1204"/>
        <s v="Kepler-1205"/>
        <s v="Kepler-1206"/>
        <s v="Kepler-1207"/>
        <s v="Kepler-1208"/>
        <s v="Kepler-1209"/>
        <s v="Kepler-121"/>
        <s v="Kepler-1210"/>
        <s v="Kepler-1211"/>
        <s v="Kepler-1212"/>
        <s v="Kepler-1213"/>
        <s v="Kepler-1214"/>
        <s v="Kepler-1215"/>
        <s v="Kepler-1216"/>
        <s v="Kepler-1217"/>
        <s v="Kepler-1218"/>
        <s v="Kepler-1219"/>
        <s v="Kepler-122"/>
        <s v="Kepler-1220"/>
        <s v="Kepler-1221"/>
        <s v="Kepler-1222"/>
        <s v="Kepler-1223"/>
        <s v="Kepler-1224"/>
        <s v="Kepler-1225"/>
        <s v="Kepler-1226"/>
        <s v="Kepler-1227"/>
        <s v="Kepler-1228"/>
        <s v="Kepler-1229"/>
        <s v="Kepler-123"/>
        <s v="Kepler-1230"/>
        <s v="Kepler-1231"/>
        <s v="Kepler-1232"/>
        <s v="Kepler-1233"/>
        <s v="Kepler-1234"/>
        <s v="Kepler-1235"/>
        <s v="Kepler-1236"/>
        <s v="Kepler-1237"/>
        <s v="Kepler-1238"/>
        <s v="Kepler-1239"/>
        <s v="Kepler-124"/>
        <s v="Kepler-1240"/>
        <s v="Kepler-1241"/>
        <s v="Kepler-1242"/>
        <s v="Kepler-1243"/>
        <s v="Kepler-1244"/>
        <s v="Kepler-1245"/>
        <s v="Kepler-1246"/>
        <s v="Kepler-1247"/>
        <s v="Kepler-1248"/>
        <s v="Kepler-1249"/>
        <s v="Kepler-125"/>
        <s v="Kepler-1250"/>
        <s v="Kepler-1251"/>
        <s v="Kepler-1252"/>
        <s v="Kepler-1253"/>
        <s v="Kepler-1254"/>
        <s v="Kepler-1255"/>
        <s v="Kepler-1256"/>
        <s v="Kepler-1257"/>
        <s v="Kepler-1258"/>
        <s v="Kepler-1259"/>
        <s v="Kepler-126"/>
        <s v="Kepler-1260"/>
        <s v="Kepler-1261"/>
        <s v="Kepler-1262"/>
        <s v="Kepler-1263"/>
        <s v="Kepler-1264"/>
        <s v="Kepler-1265"/>
        <s v="Kepler-1266"/>
        <s v="Kepler-1267"/>
        <s v="Kepler-1268"/>
        <s v="Kepler-1269"/>
        <s v="Kepler-127"/>
        <s v="Kepler-1270"/>
        <s v="Kepler-1271"/>
        <s v="Kepler-1272"/>
        <s v="Kepler-1273"/>
        <s v="Kepler-1274"/>
        <s v="Kepler-1275"/>
        <s v="Kepler-1276"/>
        <s v="Kepler-1277"/>
        <s v="Kepler-1278"/>
        <s v="Kepler-1279"/>
        <s v="Kepler-128"/>
        <s v="Kepler-1280"/>
        <s v="Kepler-1281"/>
        <s v="Kepler-1282"/>
        <s v="Kepler-1283"/>
        <s v="Kepler-1284"/>
        <s v="Kepler-1285"/>
        <s v="Kepler-1286"/>
        <s v="Kepler-1287"/>
        <s v="Kepler-1288"/>
        <s v="Kepler-1289"/>
        <s v="Kepler-129"/>
        <s v="Kepler-1290"/>
        <s v="Kepler-1291"/>
        <s v="Kepler-1292"/>
        <s v="Kepler-1293"/>
        <s v="Kepler-1294"/>
        <s v="Kepler-1295"/>
        <s v="Kepler-1296"/>
        <s v="Kepler-1297"/>
        <s v="Kepler-1298"/>
        <s v="Kepler-1299"/>
        <s v="Kepler-130"/>
        <s v="Kepler-1300"/>
        <s v="Kepler-1301"/>
        <s v="Kepler-1302"/>
        <s v="Kepler-1303"/>
        <s v="Kepler-1304"/>
        <s v="Kepler-1305"/>
        <s v="Kepler-1306"/>
        <s v="Kepler-1307"/>
        <s v="Kepler-1308"/>
        <s v="Kepler-1309"/>
        <s v="Kepler-131"/>
        <s v="Kepler-1310"/>
        <s v="Kepler-1311"/>
        <s v="Kepler-1312"/>
        <s v="Kepler-1313"/>
        <s v="Kepler-1314"/>
        <s v="Kepler-1315"/>
        <s v="Kepler-1316"/>
        <s v="Kepler-1317"/>
        <s v="Kepler-1318"/>
        <s v="Kepler-1319"/>
        <s v="Kepler-132"/>
        <s v="Kepler-1320"/>
        <s v="Kepler-1321"/>
        <s v="Kepler-1322"/>
        <s v="Kepler-1323"/>
        <s v="Kepler-1324"/>
        <s v="Kepler-1325"/>
        <s v="Kepler-1326"/>
        <s v="Kepler-1327"/>
        <s v="Kepler-1328"/>
        <s v="Kepler-1329"/>
        <s v="Kepler-133"/>
        <s v="Kepler-1330"/>
        <s v="Kepler-1331"/>
        <s v="Kepler-1332"/>
        <s v="Kepler-1333"/>
        <s v="Kepler-1334"/>
        <s v="Kepler-1335"/>
        <s v="Kepler-1336"/>
        <s v="Kepler-1337"/>
        <s v="Kepler-1338"/>
        <s v="Kepler-1339"/>
        <s v="Kepler-134"/>
        <s v="Kepler-1340"/>
        <s v="Kepler-1341"/>
        <s v="Kepler-1342"/>
        <s v="Kepler-1343"/>
        <s v="Kepler-1344"/>
        <s v="Kepler-1345"/>
        <s v="Kepler-1346"/>
        <s v="Kepler-1347"/>
        <s v="Kepler-1348"/>
        <s v="Kepler-1349"/>
        <s v="Kepler-135"/>
        <s v="Kepler-1350"/>
        <s v="Kepler-1351"/>
        <s v="Kepler-1352"/>
        <s v="Kepler-1353"/>
        <s v="Kepler-1354"/>
        <s v="Kepler-1355"/>
        <s v="Kepler-1356"/>
        <s v="Kepler-1357"/>
        <s v="Kepler-1358"/>
        <s v="Kepler-1359"/>
        <s v="Kepler-136"/>
        <s v="Kepler-1360"/>
        <s v="Kepler-1361"/>
        <s v="Kepler-1362"/>
        <s v="Kepler-1363"/>
        <s v="Kepler-1364"/>
        <s v="Kepler-1365"/>
        <s v="Kepler-1366"/>
        <s v="Kepler-1367"/>
        <s v="Kepler-1368"/>
        <s v="Kepler-1369"/>
        <s v="Kepler-137"/>
        <s v="Kepler-1370"/>
        <s v="Kepler-1371"/>
        <s v="Kepler-1372"/>
        <s v="Kepler-1373"/>
        <s v="Kepler-1374"/>
        <s v="Kepler-1375"/>
        <s v="Kepler-1376"/>
        <s v="Kepler-1377"/>
        <s v="Kepler-1378"/>
        <s v="Kepler-1379"/>
        <s v="Kepler-138"/>
        <s v="Kepler-1380"/>
        <s v="Kepler-1381"/>
        <s v="Kepler-1382"/>
        <s v="Kepler-1383"/>
        <s v="Kepler-1384"/>
        <s v="Kepler-1385"/>
        <s v="Kepler-1386"/>
        <s v="Kepler-1387"/>
        <s v="Kepler-1388"/>
        <s v="Kepler-1389"/>
        <s v="Kepler-139"/>
        <s v="Kepler-1390"/>
        <s v="Kepler-1391"/>
        <s v="Kepler-1392"/>
        <s v="Kepler-1393"/>
        <s v="Kepler-1394"/>
        <s v="Kepler-1395"/>
        <s v="Kepler-1396"/>
        <s v="Kepler-1397"/>
        <s v="Kepler-1398"/>
        <s v="Kepler-1399"/>
        <s v="Kepler-14"/>
        <s v="Kepler-140"/>
        <s v="Kepler-1400"/>
        <s v="Kepler-1401"/>
        <s v="Kepler-1402"/>
        <s v="Kepler-1403"/>
        <s v="Kepler-1404"/>
        <s v="Kepler-1405"/>
        <s v="Kepler-1406"/>
        <s v="Kepler-1407"/>
        <s v="Kepler-1408"/>
        <s v="Kepler-1409"/>
        <s v="Kepler-141"/>
        <s v="Kepler-1410"/>
        <s v="Kepler-1411"/>
        <s v="Kepler-1412"/>
        <s v="Kepler-1413"/>
        <s v="Kepler-1414"/>
        <s v="Kepler-1415"/>
        <s v="Kepler-1416"/>
        <s v="Kepler-1417"/>
        <s v="Kepler-1418"/>
        <s v="Kepler-1419"/>
        <s v="Kepler-142"/>
        <s v="Kepler-1420"/>
        <s v="Kepler-1421"/>
        <s v="Kepler-1422"/>
        <s v="Kepler-1423"/>
        <s v="Kepler-1424"/>
        <s v="Kepler-1425"/>
        <s v="Kepler-1426"/>
        <s v="Kepler-1427"/>
        <s v="Kepler-1428"/>
        <s v="Kepler-1429"/>
        <s v="Kepler-143"/>
        <s v="Kepler-1430"/>
        <s v="Kepler-1431"/>
        <s v="Kepler-1432"/>
        <s v="Kepler-1433"/>
        <s v="Kepler-1434"/>
        <s v="Kepler-1435"/>
        <s v="Kepler-1436"/>
        <s v="Kepler-1437"/>
        <s v="Kepler-1438"/>
        <s v="Kepler-1439"/>
        <s v="Kepler-144"/>
        <s v="Kepler-1440"/>
        <s v="Kepler-1441"/>
        <s v="Kepler-1442"/>
        <s v="Kepler-1443"/>
        <s v="Kepler-1444"/>
        <s v="Kepler-1445"/>
        <s v="Kepler-1446"/>
        <s v="Kepler-1447"/>
        <s v="Kepler-1448"/>
        <s v="Kepler-1449"/>
        <s v="Kepler-145"/>
        <s v="Kepler-1450"/>
        <s v="Kepler-1451"/>
        <s v="Kepler-1452"/>
        <s v="Kepler-1453"/>
        <s v="Kepler-1454"/>
        <s v="Kepler-1455"/>
        <s v="Kepler-1456"/>
        <s v="Kepler-1457"/>
        <s v="Kepler-1458"/>
        <s v="Kepler-1459"/>
        <s v="Kepler-146"/>
        <s v="Kepler-1460"/>
        <s v="Kepler-1461"/>
        <s v="Kepler-1462"/>
        <s v="Kepler-1463"/>
        <s v="Kepler-1464"/>
        <s v="Kepler-1465"/>
        <s v="Kepler-1466"/>
        <s v="Kepler-1467"/>
        <s v="Kepler-1468"/>
        <s v="Kepler-1469"/>
        <s v="Kepler-147"/>
        <s v="Kepler-1470"/>
        <s v="Kepler-1471"/>
        <s v="Kepler-1472"/>
        <s v="Kepler-1473"/>
        <s v="Kepler-1474"/>
        <s v="Kepler-1475"/>
        <s v="Kepler-1476"/>
        <s v="Kepler-1477"/>
        <s v="Kepler-1478"/>
        <s v="Kepler-1479"/>
        <s v="Kepler-148"/>
        <s v="Kepler-1480"/>
        <s v="Kepler-1481"/>
        <s v="Kepler-1482"/>
        <s v="Kepler-1483"/>
        <s v="Kepler-1484"/>
        <s v="Kepler-1485"/>
        <s v="Kepler-1486"/>
        <s v="Kepler-1487"/>
        <s v="Kepler-1488"/>
        <s v="Kepler-1489"/>
        <s v="Kepler-149"/>
        <s v="Kepler-1490"/>
        <s v="Kepler-1491"/>
        <s v="Kepler-1492"/>
        <s v="Kepler-1493"/>
        <s v="Kepler-1494"/>
        <s v="Kepler-1495"/>
        <s v="Kepler-1496"/>
        <s v="Kepler-1497"/>
        <s v="Kepler-1498"/>
        <s v="Kepler-1499"/>
        <s v="Kepler-15"/>
        <s v="Kepler-150"/>
        <s v="Kepler-1500"/>
        <s v="Kepler-1501"/>
        <s v="Kepler-1502"/>
        <s v="Kepler-1503"/>
        <s v="Kepler-1504"/>
        <s v="Kepler-1505"/>
        <s v="Kepler-1506"/>
        <s v="Kepler-1507"/>
        <s v="Kepler-1508"/>
        <s v="Kepler-1509"/>
        <s v="Kepler-151"/>
        <s v="Kepler-1510"/>
        <s v="Kepler-1511"/>
        <s v="Kepler-1512"/>
        <s v="Kepler-1513"/>
        <s v="Kepler-1514"/>
        <s v="Kepler-1515"/>
        <s v="Kepler-1516"/>
        <s v="Kepler-1517"/>
        <s v="Kepler-1518"/>
        <s v="Kepler-1519"/>
        <s v="Kepler-152"/>
        <s v="Kepler-1520"/>
        <s v="Kepler-1521"/>
        <s v="Kepler-1522"/>
        <s v="Kepler-1523"/>
        <s v="Kepler-1524"/>
        <s v="Kepler-1525"/>
        <s v="Kepler-1526"/>
        <s v="Kepler-1527"/>
        <s v="Kepler-1528"/>
        <s v="Kepler-1529"/>
        <s v="Kepler-153"/>
        <s v="Kepler-1530"/>
        <s v="Kepler-1531"/>
        <s v="Kepler-1532"/>
        <s v="Kepler-1533"/>
        <s v="Kepler-1534"/>
        <s v="Kepler-1535"/>
        <s v="Kepler-1536"/>
        <s v="Kepler-1537"/>
        <s v="Kepler-1538"/>
        <s v="Kepler-1539"/>
        <s v="Kepler-154"/>
        <s v="Kepler-1540"/>
        <s v="Kepler-1541"/>
        <s v="Kepler-1542"/>
        <s v="Kepler-1543"/>
        <s v="Kepler-1544"/>
        <s v="Kepler-1545"/>
        <s v="Kepler-1546"/>
        <s v="Kepler-1547"/>
        <s v="Kepler-1548"/>
        <s v="Kepler-1549"/>
        <s v="Kepler-155"/>
        <s v="Kepler-1550"/>
        <s v="Kepler-1551"/>
        <s v="Kepler-1552"/>
        <s v="Kepler-1553"/>
        <s v="Kepler-1554"/>
        <s v="Kepler-1555"/>
        <s v="Kepler-1556"/>
        <s v="Kepler-1557"/>
        <s v="Kepler-1558"/>
        <s v="Kepler-1559"/>
        <s v="Kepler-156"/>
        <s v="Kepler-1560"/>
        <s v="Kepler-1561"/>
        <s v="Kepler-1562"/>
        <s v="Kepler-1563"/>
        <s v="Kepler-1564"/>
        <s v="Kepler-1565"/>
        <s v="Kepler-1566"/>
        <s v="Kepler-1567"/>
        <s v="Kepler-1568"/>
        <s v="Kepler-1569"/>
        <s v="Kepler-157"/>
        <s v="Kepler-1570"/>
        <s v="Kepler-1571"/>
        <s v="Kepler-1572"/>
        <s v="Kepler-1573"/>
        <s v="Kepler-1574"/>
        <s v="Kepler-1575"/>
        <s v="Kepler-1576"/>
        <s v="Kepler-1577"/>
        <s v="Kepler-1578"/>
        <s v="Kepler-1579"/>
        <s v="Kepler-158"/>
        <s v="Kepler-1580"/>
        <s v="Kepler-1581"/>
        <s v="Kepler-1582"/>
        <s v="Kepler-1583"/>
        <s v="Kepler-1584"/>
        <s v="Kepler-1585"/>
        <s v="Kepler-1586"/>
        <s v="Kepler-1587"/>
        <s v="Kepler-1588"/>
        <s v="Kepler-1589"/>
        <s v="Kepler-159"/>
        <s v="Kepler-1590"/>
        <s v="Kepler-1591"/>
        <s v="Kepler-1592"/>
        <s v="Kepler-1593"/>
        <s v="Kepler-1594"/>
        <s v="Kepler-1595"/>
        <s v="Kepler-1596"/>
        <s v="Kepler-1597"/>
        <s v="Kepler-1598"/>
        <s v="Kepler-1599"/>
        <s v="Kepler-16"/>
        <s v="Kepler-160"/>
        <s v="Kepler-1600"/>
        <s v="Kepler-1601"/>
        <s v="Kepler-1602"/>
        <s v="Kepler-1603"/>
        <s v="Kepler-1604"/>
        <s v="Kepler-1605"/>
        <s v="Kepler-1606"/>
        <s v="Kepler-1607"/>
        <s v="Kepler-1608"/>
        <s v="Kepler-1609"/>
        <s v="Kepler-161"/>
        <s v="Kepler-1610"/>
        <s v="Kepler-1611"/>
        <s v="Kepler-1612"/>
        <s v="Kepler-1613"/>
        <s v="Kepler-1614"/>
        <s v="Kepler-1615"/>
        <s v="Kepler-1616"/>
        <s v="Kepler-1617"/>
        <s v="Kepler-1618"/>
        <s v="Kepler-1619"/>
        <s v="Kepler-162"/>
        <s v="Kepler-1620"/>
        <s v="Kepler-1621"/>
        <s v="Kepler-1622"/>
        <s v="Kepler-1623"/>
        <s v="Kepler-1624"/>
        <s v="Kepler-1625"/>
        <s v="Kepler-1626"/>
        <s v="Kepler-1627"/>
        <s v="Kepler-1628"/>
        <s v="Kepler-1629"/>
        <s v="Kepler-163"/>
        <s v="Kepler-1630"/>
        <s v="Kepler-1631"/>
        <s v="Kepler-1632"/>
        <s v="Kepler-1633"/>
        <s v="Kepler-1634"/>
        <s v="Kepler-1635"/>
        <s v="Kepler-1636"/>
        <s v="Kepler-1637"/>
        <s v="Kepler-1638"/>
        <s v="Kepler-1639"/>
        <s v="Kepler-164"/>
        <s v="Kepler-1640"/>
        <s v="Kepler-1641"/>
        <s v="Kepler-1642"/>
        <s v="Kepler-1643"/>
        <s v="Kepler-1644"/>
        <s v="Kepler-1645"/>
        <s v="Kepler-1646"/>
        <s v="Kepler-1647"/>
        <s v="Kepler-1649"/>
        <s v="Kepler-165"/>
        <s v="Kepler-1650"/>
        <s v="Kepler-1651"/>
        <s v="Kepler-1652"/>
        <s v="Kepler-1653"/>
        <s v="Kepler-1654"/>
        <s v="Kepler-1655"/>
        <s v="Kepler-1656"/>
        <s v="Kepler-1658"/>
        <s v="Kepler-166"/>
        <s v="Kepler-167"/>
        <s v="Kepler-168"/>
        <s v="Kepler-169"/>
        <s v="Kepler-17"/>
        <s v="Kepler-170"/>
        <s v="Kepler-171"/>
        <s v="Kepler-172"/>
        <s v="Kepler-173"/>
        <s v="Kepler-174"/>
        <s v="Kepler-175"/>
        <s v="Kepler-176"/>
        <s v="Kepler-177"/>
        <s v="Kepler-178"/>
        <s v="Kepler-179"/>
        <s v="Kepler-18"/>
        <s v="Kepler-180"/>
        <s v="Kepler-181"/>
        <s v="Kepler-182"/>
        <s v="Kepler-183"/>
        <s v="Kepler-184"/>
        <s v="Kepler-185"/>
        <s v="Kepler-186"/>
        <s v="Kepler-187"/>
        <s v="Kepler-188"/>
        <s v="Kepler-189"/>
        <s v="Kepler-19"/>
        <s v="Kepler-190"/>
        <s v="Kepler-191"/>
        <s v="Kepler-192"/>
        <s v="Kepler-193"/>
        <s v="Kepler-194"/>
        <s v="Kepler-195"/>
        <s v="Kepler-196"/>
        <s v="Kepler-197"/>
        <s v="Kepler-198"/>
        <s v="Kepler-199"/>
        <s v="Kepler-20"/>
        <s v="Kepler-200"/>
        <s v="Kepler-201"/>
        <s v="Kepler-202"/>
        <s v="Kepler-203"/>
        <s v="Kepler-204"/>
        <s v="Kepler-205"/>
        <s v="Kepler-206"/>
        <s v="Kepler-207"/>
        <s v="Kepler-208"/>
        <s v="Kepler-209"/>
        <s v="Kepler-21"/>
        <s v="Kepler-210"/>
        <s v="Kepler-211"/>
        <s v="Kepler-212"/>
        <s v="Kepler-213"/>
        <s v="Kepler-214"/>
        <s v="Kepler-215"/>
        <s v="Kepler-216"/>
        <s v="Kepler-217"/>
        <s v="Kepler-218"/>
        <s v="Kepler-219"/>
        <s v="Kepler-22"/>
        <s v="Kepler-220"/>
        <s v="Kepler-221"/>
        <s v="Kepler-222"/>
        <s v="Kepler-223"/>
        <s v="Kepler-224"/>
        <s v="Kepler-225"/>
        <s v="Kepler-226"/>
        <s v="Kepler-227"/>
        <s v="Kepler-228"/>
        <s v="Kepler-229"/>
        <s v="Kepler-23"/>
        <s v="Kepler-230"/>
        <s v="Kepler-231"/>
        <s v="Kepler-232"/>
        <s v="Kepler-233"/>
        <s v="Kepler-234"/>
        <s v="Kepler-235"/>
        <s v="Kepler-236"/>
        <s v="Kepler-237"/>
        <s v="Kepler-238"/>
        <s v="Kepler-239"/>
        <s v="Kepler-24"/>
        <s v="Kepler-240"/>
        <s v="Kepler-241"/>
        <s v="Kepler-242"/>
        <s v="Kepler-243"/>
        <s v="Kepler-244"/>
        <s v="Kepler-245"/>
        <s v="Kepler-246"/>
        <s v="Kepler-247"/>
        <s v="Kepler-248"/>
        <s v="Kepler-249"/>
        <s v="Kepler-25"/>
        <s v="Kepler-250"/>
        <s v="Kepler-251"/>
        <s v="Kepler-252"/>
        <s v="Kepler-253"/>
        <s v="Kepler-254"/>
        <s v="Kepler-255"/>
        <s v="Kepler-256"/>
        <s v="Kepler-257"/>
        <s v="Kepler-258"/>
        <s v="Kepler-259"/>
        <s v="Kepler-26"/>
        <s v="Kepler-260"/>
        <s v="Kepler-261"/>
        <s v="Kepler-262"/>
        <s v="Kepler-263"/>
        <s v="Kepler-264"/>
        <s v="Kepler-265"/>
        <s v="Kepler-266"/>
        <s v="Kepler-267"/>
        <s v="Kepler-268"/>
        <s v="Kepler-269"/>
        <s v="Kepler-27"/>
        <s v="Kepler-270"/>
        <s v="Kepler-271"/>
        <s v="Kepler-272"/>
        <s v="Kepler-273"/>
        <s v="Kepler-274"/>
        <s v="Kepler-275"/>
        <s v="Kepler-276"/>
        <s v="Kepler-277"/>
        <s v="Kepler-278"/>
        <s v="Kepler-279"/>
        <s v="Kepler-28"/>
        <s v="Kepler-280"/>
        <s v="Kepler-281"/>
        <s v="Kepler-282"/>
        <s v="Kepler-283"/>
        <s v="Kepler-284"/>
        <s v="Kepler-285"/>
        <s v="Kepler-286"/>
        <s v="Kepler-287"/>
        <s v="Kepler-288"/>
        <s v="Kepler-289"/>
        <s v="Kepler-29"/>
        <s v="Kepler-290"/>
        <s v="Kepler-291"/>
        <s v="Kepler-292"/>
        <s v="Kepler-293"/>
        <s v="Kepler-294"/>
        <s v="Kepler-295"/>
        <s v="Kepler-296"/>
        <s v="Kepler-297"/>
        <s v="Kepler-298"/>
        <s v="Kepler-299"/>
        <s v="Kepler-30"/>
        <s v="Kepler-300"/>
        <s v="Kepler-301"/>
        <s v="Kepler-302"/>
        <s v="Kepler-303"/>
        <s v="Kepler-304"/>
        <s v="Kepler-305"/>
        <s v="Kepler-306"/>
        <s v="Kepler-307"/>
        <s v="Kepler-308"/>
        <s v="Kepler-309"/>
        <s v="Kepler-31"/>
        <s v="Kepler-310"/>
        <s v="Kepler-311"/>
        <s v="Kepler-312"/>
        <s v="Kepler-313"/>
        <s v="Kepler-314"/>
        <s v="Kepler-315"/>
        <s v="Kepler-316"/>
        <s v="Kepler-317"/>
        <s v="Kepler-318"/>
        <s v="Kepler-319"/>
        <s v="Kepler-32"/>
        <s v="Kepler-320"/>
        <s v="Kepler-321"/>
        <s v="Kepler-322"/>
        <s v="Kepler-323"/>
        <s v="Kepler-324"/>
        <s v="Kepler-325"/>
        <s v="Kepler-326"/>
        <s v="Kepler-327"/>
        <s v="Kepler-328"/>
        <s v="Kepler-329"/>
        <s v="Kepler-33"/>
        <s v="Kepler-330"/>
        <s v="Kepler-331"/>
        <s v="Kepler-332"/>
        <s v="Kepler-333"/>
        <s v="Kepler-334"/>
        <s v="Kepler-335"/>
        <s v="Kepler-336"/>
        <s v="Kepler-337"/>
        <s v="Kepler-338"/>
        <s v="Kepler-339"/>
        <s v="Kepler-34"/>
        <s v="Kepler-340"/>
        <s v="Kepler-341"/>
        <s v="Kepler-342"/>
        <s v="Kepler-343"/>
        <s v="Kepler-344"/>
        <s v="Kepler-345"/>
        <s v="Kepler-346"/>
        <s v="Kepler-347"/>
        <s v="Kepler-348"/>
        <s v="Kepler-349"/>
        <s v="Kepler-35"/>
        <s v="Kepler-350"/>
        <s v="Kepler-351"/>
        <s v="Kepler-352"/>
        <s v="Kepler-353"/>
        <s v="Kepler-354"/>
        <s v="Kepler-355"/>
        <s v="Kepler-356"/>
        <s v="Kepler-357"/>
        <s v="Kepler-358"/>
        <s v="Kepler-359"/>
        <s v="Kepler-36"/>
        <s v="Kepler-360"/>
        <s v="Kepler-361"/>
        <s v="Kepler-362"/>
        <s v="Kepler-363"/>
        <s v="Kepler-364"/>
        <s v="Kepler-365"/>
        <s v="Kepler-366"/>
        <s v="Kepler-367"/>
        <s v="Kepler-368"/>
        <s v="Kepler-369"/>
        <s v="Kepler-37"/>
        <s v="Kepler-370"/>
        <s v="Kepler-371"/>
        <s v="Kepler-372"/>
        <s v="Kepler-373"/>
        <s v="Kepler-374"/>
        <s v="Kepler-375"/>
        <s v="Kepler-376"/>
        <s v="Kepler-377"/>
        <s v="Kepler-378"/>
        <s v="Kepler-379"/>
        <s v="Kepler-38"/>
        <s v="Kepler-380"/>
        <s v="Kepler-381"/>
        <s v="Kepler-382"/>
        <s v="Kepler-383"/>
        <s v="Kepler-384"/>
        <s v="Kepler-385"/>
        <s v="Kepler-386"/>
        <s v="Kepler-387"/>
        <s v="Kepler-388"/>
        <s v="Kepler-389"/>
        <s v="Kepler-39"/>
        <s v="Kepler-390"/>
        <s v="Kepler-391"/>
        <s v="Kepler-392"/>
        <s v="Kepler-393"/>
        <s v="Kepler-394"/>
        <s v="Kepler-395"/>
        <s v="Kepler-396"/>
        <s v="Kepler-397"/>
        <s v="Kepler-398"/>
        <s v="Kepler-399"/>
        <s v="Kepler-4"/>
        <s v="Kepler-40"/>
        <s v="Kepler-400"/>
        <s v="Kepler-401"/>
        <s v="Kepler-402"/>
        <s v="Kepler-403"/>
        <s v="Kepler-404"/>
        <s v="Kepler-405"/>
        <s v="Kepler-406"/>
        <s v="Kepler-407"/>
        <s v="Kepler-408"/>
        <s v="Kepler-409"/>
        <s v="Kepler-41"/>
        <s v="Kepler-410 A"/>
        <s v="Kepler-411"/>
        <s v="Kepler-412"/>
        <s v="Kepler-413"/>
        <s v="Kepler-414"/>
        <s v="Kepler-415"/>
        <s v="Kepler-416"/>
        <s v="Kepler-417"/>
        <s v="Kepler-418"/>
        <s v="Kepler-419"/>
        <s v="Kepler-42"/>
        <s v="Kepler-421"/>
        <s v="Kepler-422"/>
        <s v="Kepler-423"/>
        <s v="Kepler-424"/>
        <s v="Kepler-425"/>
        <s v="Kepler-426"/>
        <s v="Kepler-427"/>
        <s v="Kepler-428"/>
        <s v="Kepler-43"/>
        <s v="Kepler-430"/>
        <s v="Kepler-431"/>
        <s v="Kepler-432"/>
        <s v="Kepler-433"/>
        <s v="Kepler-434"/>
        <s v="Kepler-435"/>
        <s v="Kepler-436"/>
        <s v="Kepler-437"/>
        <s v="Kepler-438"/>
        <s v="Kepler-439"/>
        <s v="Kepler-44"/>
        <s v="Kepler-440"/>
        <s v="Kepler-441"/>
        <s v="Kepler-442"/>
        <s v="Kepler-443"/>
        <s v="Kepler-444"/>
        <s v="Kepler-445"/>
        <s v="Kepler-446"/>
        <s v="Kepler-447"/>
        <s v="Kepler-449"/>
        <s v="Kepler-45"/>
        <s v="Kepler-450"/>
        <s v="Kepler-452"/>
        <s v="Kepler-453"/>
        <s v="Kepler-454"/>
        <s v="Kepler-46"/>
        <s v="Kepler-461"/>
        <s v="Kepler-462"/>
        <s v="Kepler-463"/>
        <s v="Kepler-464"/>
        <s v="Kepler-465"/>
        <s v="Kepler-466"/>
        <s v="Kepler-467"/>
        <s v="Kepler-468"/>
        <s v="Kepler-47"/>
        <s v="Kepler-470"/>
        <s v="Kepler-471"/>
        <s v="Kepler-472"/>
        <s v="Kepler-473"/>
        <s v="Kepler-474"/>
        <s v="Kepler-475"/>
        <s v="Kepler-476"/>
        <s v="Kepler-477"/>
        <s v="Kepler-478"/>
        <s v="Kepler-479"/>
        <s v="Kepler-48"/>
        <s v="Kepler-480"/>
        <s v="Kepler-481"/>
        <s v="Kepler-482"/>
        <s v="Kepler-483"/>
        <s v="Kepler-484"/>
        <s v="Kepler-485"/>
        <s v="Kepler-486"/>
        <s v="Kepler-487"/>
        <s v="Kepler-488"/>
        <s v="Kepler-489"/>
        <s v="Kepler-49"/>
        <s v="Kepler-490"/>
        <s v="Kepler-491"/>
        <s v="Kepler-492"/>
        <s v="Kepler-493"/>
        <s v="Kepler-494"/>
        <s v="Kepler-495"/>
        <s v="Kepler-496"/>
        <s v="Kepler-497"/>
        <s v="Kepler-498"/>
        <s v="Kepler-499"/>
        <s v="Kepler-5"/>
        <s v="Kepler-50"/>
        <s v="Kepler-500"/>
        <s v="Kepler-501"/>
        <s v="Kepler-502"/>
        <s v="Kepler-504"/>
        <s v="Kepler-505"/>
        <s v="Kepler-506"/>
        <s v="Kepler-507"/>
        <s v="Kepler-508"/>
        <s v="Kepler-509"/>
        <s v="Kepler-51"/>
        <s v="Kepler-510"/>
        <s v="Kepler-511"/>
        <s v="Kepler-512"/>
        <s v="Kepler-513"/>
        <s v="Kepler-514"/>
        <s v="Kepler-515"/>
        <s v="Kepler-516"/>
        <s v="Kepler-517"/>
        <s v="Kepler-518"/>
        <s v="Kepler-519"/>
        <s v="Kepler-52"/>
        <s v="Kepler-520"/>
        <s v="Kepler-521"/>
        <s v="Kepler-522"/>
        <s v="Kepler-523"/>
        <s v="Kepler-524"/>
        <s v="Kepler-525"/>
        <s v="Kepler-526"/>
        <s v="Kepler-527"/>
        <s v="Kepler-528"/>
        <s v="Kepler-529"/>
        <s v="Kepler-53"/>
        <s v="Kepler-530"/>
        <s v="Kepler-531"/>
        <s v="Kepler-532"/>
        <s v="Kepler-533"/>
        <s v="Kepler-534"/>
        <s v="Kepler-535"/>
        <s v="Kepler-536"/>
        <s v="Kepler-537"/>
        <s v="Kepler-538"/>
        <s v="Kepler-539"/>
        <s v="Kepler-54"/>
        <s v="Kepler-540"/>
        <s v="Kepler-541"/>
        <s v="Kepler-542"/>
        <s v="Kepler-543"/>
        <s v="Kepler-544"/>
        <s v="Kepler-545"/>
        <s v="Kepler-546"/>
        <s v="Kepler-547"/>
        <s v="Kepler-548"/>
        <s v="Kepler-549"/>
        <s v="Kepler-55"/>
        <s v="Kepler-550"/>
        <s v="Kepler-551"/>
        <s v="Kepler-552"/>
        <s v="Kepler-553"/>
        <s v="Kepler-554"/>
        <s v="Kepler-555"/>
        <s v="Kepler-556"/>
        <s v="Kepler-557"/>
        <s v="Kepler-558"/>
        <s v="Kepler-559"/>
        <s v="Kepler-56"/>
        <s v="Kepler-560"/>
        <s v="Kepler-561"/>
        <s v="Kepler-562"/>
        <s v="Kepler-563"/>
        <s v="Kepler-564"/>
        <s v="Kepler-565"/>
        <s v="Kepler-566"/>
        <s v="Kepler-567"/>
        <s v="Kepler-568"/>
        <s v="Kepler-569"/>
        <s v="Kepler-57"/>
        <s v="Kepler-570"/>
        <s v="Kepler-571"/>
        <s v="Kepler-572"/>
        <s v="Kepler-573"/>
        <s v="Kepler-574"/>
        <s v="Kepler-575"/>
        <s v="Kepler-576"/>
        <s v="Kepler-577"/>
        <s v="Kepler-578"/>
        <s v="Kepler-579"/>
        <s v="Kepler-58"/>
        <s v="Kepler-580"/>
        <s v="Kepler-581"/>
        <s v="Kepler-582"/>
        <s v="Kepler-583"/>
        <s v="Kepler-584"/>
        <s v="Kepler-585"/>
        <s v="Kepler-586"/>
        <s v="Kepler-587"/>
        <s v="Kepler-588"/>
        <s v="Kepler-589"/>
        <s v="Kepler-59"/>
        <s v="Kepler-590"/>
        <s v="Kepler-591"/>
        <s v="Kepler-592"/>
        <s v="Kepler-593"/>
        <s v="Kepler-594"/>
        <s v="Kepler-595"/>
        <s v="Kepler-596"/>
        <s v="Kepler-597"/>
        <s v="Kepler-598"/>
        <s v="Kepler-599"/>
        <s v="Kepler-6"/>
        <s v="Kepler-60"/>
        <s v="Kepler-600"/>
        <s v="Kepler-601"/>
        <s v="Kepler-602"/>
        <s v="Kepler-603"/>
        <s v="Kepler-604"/>
        <s v="Kepler-605"/>
        <s v="Kepler-606"/>
        <s v="Kepler-607"/>
        <s v="Kepler-608"/>
        <s v="Kepler-609"/>
        <s v="Kepler-61"/>
        <s v="Kepler-610"/>
        <s v="Kepler-611"/>
        <s v="Kepler-612"/>
        <s v="Kepler-613"/>
        <s v="Kepler-614"/>
        <s v="Kepler-615"/>
        <s v="Kepler-616"/>
        <s v="Kepler-617"/>
        <s v="Kepler-618"/>
        <s v="Kepler-619"/>
        <s v="Kepler-62"/>
        <s v="Kepler-620"/>
        <s v="Kepler-621"/>
        <s v="Kepler-622"/>
        <s v="Kepler-623"/>
        <s v="Kepler-624"/>
        <s v="Kepler-625"/>
        <s v="Kepler-626"/>
        <s v="Kepler-627"/>
        <s v="Kepler-628"/>
        <s v="Kepler-629"/>
        <s v="Kepler-63"/>
        <s v="Kepler-630"/>
        <s v="Kepler-631"/>
        <s v="Kepler-632"/>
        <s v="Kepler-633"/>
        <s v="Kepler-634"/>
        <s v="Kepler-635"/>
        <s v="Kepler-636"/>
        <s v="Kepler-637"/>
        <s v="Kepler-638"/>
        <s v="Kepler-639"/>
        <s v="Kepler-640"/>
        <s v="Kepler-641"/>
        <s v="Kepler-642"/>
        <s v="Kepler-643"/>
        <s v="Kepler-644"/>
        <s v="Kepler-645"/>
        <s v="Kepler-646"/>
        <s v="Kepler-647"/>
        <s v="Kepler-648"/>
        <s v="Kepler-649"/>
        <s v="Kepler-65"/>
        <s v="Kepler-650"/>
        <s v="Kepler-651"/>
        <s v="Kepler-652"/>
        <s v="Kepler-653"/>
        <s v="Kepler-654"/>
        <s v="Kepler-655"/>
        <s v="Kepler-656"/>
        <s v="Kepler-657"/>
        <s v="Kepler-658"/>
        <s v="Kepler-659"/>
        <s v="Kepler-66"/>
        <s v="Kepler-660"/>
        <s v="Kepler-661"/>
        <s v="Kepler-662"/>
        <s v="Kepler-663"/>
        <s v="Kepler-664"/>
        <s v="Kepler-665"/>
        <s v="Kepler-666"/>
        <s v="Kepler-667"/>
        <s v="Kepler-668"/>
        <s v="Kepler-669"/>
        <s v="Kepler-67"/>
        <s v="Kepler-670"/>
        <s v="Kepler-671"/>
        <s v="Kepler-672"/>
        <s v="Kepler-673"/>
        <s v="Kepler-674"/>
        <s v="Kepler-675"/>
        <s v="Kepler-676"/>
        <s v="Kepler-677"/>
        <s v="Kepler-678"/>
        <s v="Kepler-679"/>
        <s v="Kepler-68"/>
        <s v="Kepler-680"/>
        <s v="Kepler-681"/>
        <s v="Kepler-682"/>
        <s v="Kepler-683"/>
        <s v="Kepler-684"/>
        <s v="Kepler-685"/>
        <s v="Kepler-686"/>
        <s v="Kepler-687"/>
        <s v="Kepler-688"/>
        <s v="Kepler-689"/>
        <s v="Kepler-69"/>
        <s v="Kepler-690"/>
        <s v="Kepler-691"/>
        <s v="Kepler-692"/>
        <s v="Kepler-693"/>
        <s v="Kepler-694"/>
        <s v="Kepler-695"/>
        <s v="Kepler-696"/>
        <s v="Kepler-697"/>
        <s v="Kepler-698"/>
        <s v="Kepler-699"/>
        <s v="Kepler-7"/>
        <s v="Kepler-700"/>
        <s v="Kepler-701"/>
        <s v="Kepler-702"/>
        <s v="Kepler-703"/>
        <s v="Kepler-704"/>
        <s v="Kepler-705"/>
        <s v="Kepler-706"/>
        <s v="Kepler-707"/>
        <s v="Kepler-708"/>
        <s v="Kepler-709"/>
        <s v="Kepler-710"/>
        <s v="Kepler-711"/>
        <s v="Kepler-712"/>
        <s v="Kepler-713"/>
        <s v="Kepler-714"/>
        <s v="Kepler-715"/>
        <s v="Kepler-716"/>
        <s v="Kepler-717"/>
        <s v="Kepler-718"/>
        <s v="Kepler-719"/>
        <s v="Kepler-720"/>
        <s v="Kepler-721"/>
        <s v="Kepler-722"/>
        <s v="Kepler-723"/>
        <s v="Kepler-724"/>
        <s v="Kepler-725"/>
        <s v="Kepler-726"/>
        <s v="Kepler-727"/>
        <s v="Kepler-728"/>
        <s v="Kepler-729"/>
        <s v="Kepler-730"/>
        <s v="Kepler-731"/>
        <s v="Kepler-732"/>
        <s v="Kepler-733"/>
        <s v="Kepler-734"/>
        <s v="Kepler-735"/>
        <s v="Kepler-736"/>
        <s v="Kepler-737"/>
        <s v="Kepler-738"/>
        <s v="Kepler-739"/>
        <s v="Kepler-74"/>
        <s v="Kepler-740"/>
        <s v="Kepler-741"/>
        <s v="Kepler-742"/>
        <s v="Kepler-743"/>
        <s v="Kepler-744"/>
        <s v="Kepler-745"/>
        <s v="Kepler-746"/>
        <s v="Kepler-747"/>
        <s v="Kepler-748"/>
        <s v="Kepler-749"/>
        <s v="Kepler-75"/>
        <s v="Kepler-750"/>
        <s v="Kepler-751"/>
        <s v="Kepler-752"/>
        <s v="Kepler-753"/>
        <s v="Kepler-754"/>
        <s v="Kepler-755"/>
        <s v="Kepler-756"/>
        <s v="Kepler-757"/>
        <s v="Kepler-758"/>
        <s v="Kepler-759"/>
        <s v="Kepler-76"/>
        <s v="Kepler-760"/>
        <s v="Kepler-761"/>
        <s v="Kepler-762"/>
        <s v="Kepler-763"/>
        <s v="Kepler-764"/>
        <s v="Kepler-765"/>
        <s v="Kepler-766"/>
        <s v="Kepler-767"/>
        <s v="Kepler-768"/>
        <s v="Kepler-769"/>
        <s v="Kepler-77"/>
        <s v="Kepler-770"/>
        <s v="Kepler-771"/>
        <s v="Kepler-772"/>
        <s v="Kepler-773"/>
        <s v="Kepler-774"/>
        <s v="Kepler-775"/>
        <s v="Kepler-776"/>
        <s v="Kepler-777"/>
        <s v="Kepler-778"/>
        <s v="Kepler-779"/>
        <s v="Kepler-78"/>
        <s v="Kepler-780"/>
        <s v="Kepler-781"/>
        <s v="Kepler-782"/>
        <s v="Kepler-783"/>
        <s v="Kepler-784"/>
        <s v="Kepler-785"/>
        <s v="Kepler-786"/>
        <s v="Kepler-787"/>
        <s v="Kepler-788"/>
        <s v="Kepler-789"/>
        <s v="Kepler-79"/>
        <s v="Kepler-790"/>
        <s v="Kepler-791"/>
        <s v="Kepler-792"/>
        <s v="Kepler-793"/>
        <s v="Kepler-794"/>
        <s v="Kepler-795"/>
        <s v="Kepler-796"/>
        <s v="Kepler-797"/>
        <s v="Kepler-798"/>
        <s v="Kepler-799"/>
        <s v="Kepler-8"/>
        <s v="Kepler-80"/>
        <s v="Kepler-800"/>
        <s v="Kepler-801"/>
        <s v="Kepler-802"/>
        <s v="Kepler-803"/>
        <s v="Kepler-804"/>
        <s v="Kepler-805"/>
        <s v="Kepler-806"/>
        <s v="Kepler-807"/>
        <s v="Kepler-808"/>
        <s v="Kepler-809"/>
        <s v="Kepler-81"/>
        <s v="Kepler-810"/>
        <s v="Kepler-811"/>
        <s v="Kepler-812"/>
        <s v="Kepler-813"/>
        <s v="Kepler-814"/>
        <s v="Kepler-815"/>
        <s v="Kepler-816"/>
        <s v="Kepler-817"/>
        <s v="Kepler-818"/>
        <s v="Kepler-819"/>
        <s v="Kepler-82"/>
        <s v="Kepler-820"/>
        <s v="Kepler-821"/>
        <s v="Kepler-822"/>
        <s v="Kepler-823"/>
        <s v="Kepler-824"/>
        <s v="Kepler-825"/>
        <s v="Kepler-826"/>
        <s v="Kepler-827"/>
        <s v="Kepler-828"/>
        <s v="Kepler-829"/>
        <s v="Kepler-83"/>
        <s v="Kepler-830"/>
        <s v="Kepler-831"/>
        <s v="Kepler-832"/>
        <s v="Kepler-833"/>
        <s v="Kepler-834"/>
        <s v="Kepler-835"/>
        <s v="Kepler-836"/>
        <s v="Kepler-837"/>
        <s v="Kepler-838"/>
        <s v="Kepler-839"/>
        <s v="Kepler-84"/>
        <s v="Kepler-840"/>
        <s v="Kepler-841"/>
        <s v="Kepler-842"/>
        <s v="Kepler-843"/>
        <s v="Kepler-844"/>
        <s v="Kepler-845"/>
        <s v="Kepler-846"/>
        <s v="Kepler-847"/>
        <s v="Kepler-848"/>
        <s v="Kepler-849"/>
        <s v="Kepler-85"/>
        <s v="Kepler-850"/>
        <s v="Kepler-851"/>
        <s v="Kepler-852"/>
        <s v="Kepler-853"/>
        <s v="Kepler-854"/>
        <s v="Kepler-855"/>
        <s v="Kepler-856"/>
        <s v="Kepler-857"/>
        <s v="Kepler-858"/>
        <s v="Kepler-859"/>
        <s v="Kepler-860"/>
        <s v="Kepler-861"/>
        <s v="Kepler-862"/>
        <s v="Kepler-863"/>
        <s v="Kepler-864"/>
        <s v="Kepler-865"/>
        <s v="Kepler-866"/>
        <s v="Kepler-867"/>
        <s v="Kepler-868"/>
        <s v="Kepler-869"/>
        <s v="Kepler-87"/>
        <s v="Kepler-870"/>
        <s v="Kepler-871"/>
        <s v="Kepler-872"/>
        <s v="Kepler-873"/>
        <s v="Kepler-874"/>
        <s v="Kepler-875"/>
        <s v="Kepler-876"/>
        <s v="Kepler-877"/>
        <s v="Kepler-878"/>
        <s v="Kepler-879"/>
        <s v="Kepler-880"/>
        <s v="Kepler-881"/>
        <s v="Kepler-882"/>
        <s v="Kepler-883"/>
        <s v="Kepler-884"/>
        <s v="Kepler-885"/>
        <s v="Kepler-886"/>
        <s v="Kepler-887"/>
        <s v="Kepler-888"/>
        <s v="Kepler-889"/>
        <s v="Kepler-890"/>
        <s v="Kepler-891"/>
        <s v="Kepler-892"/>
        <s v="Kepler-893"/>
        <s v="Kepler-894"/>
        <s v="Kepler-895"/>
        <s v="Kepler-896"/>
        <s v="Kepler-897"/>
        <s v="Kepler-898"/>
        <s v="Kepler-899"/>
        <s v="Kepler-9"/>
        <s v="Kepler-900"/>
        <s v="Kepler-901"/>
        <s v="Kepler-902"/>
        <s v="Kepler-903"/>
        <s v="Kepler-904"/>
        <s v="Kepler-905"/>
        <s v="Kepler-906"/>
        <s v="Kepler-907"/>
        <s v="Kepler-908"/>
        <s v="Kepler-909"/>
        <s v="Kepler-91"/>
        <s v="Kepler-910"/>
        <s v="Kepler-911"/>
        <s v="Kepler-912"/>
        <s v="Kepler-913"/>
        <s v="Kepler-914"/>
        <s v="Kepler-915"/>
        <s v="Kepler-916"/>
        <s v="Kepler-917"/>
        <s v="Kepler-918"/>
        <s v="Kepler-919"/>
        <s v="Kepler-92"/>
        <s v="Kepler-920"/>
        <s v="Kepler-921"/>
        <s v="Kepler-922"/>
        <s v="Kepler-923"/>
        <s v="Kepler-924"/>
        <s v="Kepler-925"/>
        <s v="Kepler-926"/>
        <s v="Kepler-927"/>
        <s v="Kepler-928"/>
        <s v="Kepler-929"/>
        <s v="Kepler-93"/>
        <s v="Kepler-930"/>
        <s v="Kepler-931"/>
        <s v="Kepler-932"/>
        <s v="Kepler-933"/>
        <s v="Kepler-934"/>
        <s v="Kepler-935"/>
        <s v="Kepler-936"/>
        <s v="Kepler-937"/>
        <s v="Kepler-938"/>
        <s v="Kepler-939"/>
        <s v="Kepler-94"/>
        <s v="Kepler-940"/>
        <s v="Kepler-941"/>
        <s v="Kepler-942"/>
        <s v="Kepler-943"/>
        <s v="Kepler-944"/>
        <s v="Kepler-945"/>
        <s v="Kepler-946"/>
        <s v="Kepler-947"/>
        <s v="Kepler-948"/>
        <s v="Kepler-949"/>
        <s v="Kepler-95"/>
        <s v="Kepler-950"/>
        <s v="Kepler-951"/>
        <s v="Kepler-952"/>
        <s v="Kepler-953"/>
        <s v="Kepler-954"/>
        <s v="Kepler-955"/>
        <s v="Kepler-956"/>
        <s v="Kepler-957"/>
        <s v="Kepler-958"/>
        <s v="Kepler-959"/>
        <s v="Kepler-96"/>
        <s v="Kepler-960"/>
        <s v="Kepler-961"/>
        <s v="Kepler-962"/>
        <s v="Kepler-963"/>
        <s v="Kepler-964"/>
        <s v="Kepler-965"/>
        <s v="Kepler-966"/>
        <s v="Kepler-967"/>
        <s v="Kepler-968"/>
        <s v="Kepler-969"/>
        <s v="Kepler-97"/>
        <s v="Kepler-970"/>
        <s v="Kepler-971"/>
        <s v="Kepler-972"/>
        <s v="Kepler-973"/>
        <s v="Kepler-974"/>
        <s v="Kepler-975"/>
        <s v="Kepler-976"/>
        <s v="Kepler-977"/>
        <s v="Kepler-978"/>
        <s v="Kepler-979"/>
        <s v="Kepler-98"/>
        <s v="Kepler-980"/>
        <s v="Kepler-981"/>
        <s v="Kepler-982"/>
        <s v="Kepler-983"/>
        <s v="Kepler-984"/>
        <s v="Kepler-985"/>
        <s v="Kepler-986"/>
        <s v="Kepler-987"/>
        <s v="Kepler-988"/>
        <s v="Kepler-989"/>
        <s v="Kepler-99"/>
        <s v="Kepler-990"/>
        <s v="Kepler-991"/>
        <s v="Kepler-992"/>
        <s v="Kepler-993"/>
        <s v="Kepler-994"/>
        <s v="Kepler-995"/>
        <s v="Kepler-996"/>
        <s v="Kepler-997"/>
        <s v="Kepler-998"/>
        <s v="Kepler-999"/>
        <s v="LHS 1140"/>
        <s v="LHS 3844"/>
        <s v="LkCa 15"/>
        <s v="Lupus-TR-3"/>
        <s v="MASCARA-1"/>
        <s v="MOA-2007-BLG-192L"/>
        <s v="MOA-2007-BLG-400L"/>
        <s v="MOA-2008-BLG-310L"/>
        <s v="MOA-2008-BLG-379L"/>
        <s v="MOA-2009-BLG-266L"/>
        <s v="MOA-2009-BLG-319L"/>
        <s v="MOA-2009-BLG-387L"/>
        <s v="MOA-2010-BLG-073L"/>
        <s v="MOA-2010-BLG-117L"/>
        <s v="MOA-2010-BLG-328L"/>
        <s v="MOA-2010-BLG-353L"/>
        <s v="MOA-2010-BLG-477L"/>
        <s v="MOA-2011-BLG-028L"/>
        <s v="MOA-2011-BLG-262L"/>
        <s v="MOA-2011-BLG-291L"/>
        <s v="MOA-2011-BLG-293L"/>
        <s v="MOA-2011-BLG-322L"/>
        <s v="MOA-2012-BLG-006L"/>
        <s v="MOA-2012-BLG-505L"/>
        <s v="MOA-2013-BLG-605L"/>
        <s v="MOA-2015-BLG-337L"/>
        <s v="MOA-2016-BLG-227L"/>
        <s v="MOA-2016-BLG-319L"/>
        <s v="MOA-bin-1L"/>
        <s v="MXB 1658-298"/>
        <s v="NGC 2682 Sand 364"/>
        <s v="NGC 2682 Sand 978"/>
        <s v="NGC 2682 YBP 1194"/>
        <s v="NGC 2682 YBP 1514"/>
        <s v="NGC 2682 YBP 401"/>
        <s v="NGTS-1"/>
        <s v="NGTS-2"/>
        <s v="NGTS-3 A"/>
        <s v="NGTS-4"/>
        <s v="NGTS-5"/>
        <s v="NN Ser"/>
        <s v="NY Vir"/>
        <s v="OGLE-2003-BLG-235L"/>
        <s v="OGLE-2005-BLG-071L"/>
        <s v="OGLE-2005-BLG-169L"/>
        <s v="OGLE-2005-BLG-390L"/>
        <s v="OGLE-2006-BLG-109L"/>
        <s v="OGLE-2007-BLG-349L A"/>
        <s v="OGLE-2007-BLG-368L"/>
        <s v="OGLE-2008-BLG-092L"/>
        <s v="OGLE-2008-BLG-355L"/>
        <s v="OGLE-2011-BLG-0173L"/>
        <s v="OGLE-2011-BLG-0251L"/>
        <s v="OGLE-2011-BLG-0265L"/>
        <s v="OGLE-2012-BLG-0026L"/>
        <s v="OGLE-2012-BLG-0358L"/>
        <s v="OGLE-2012-BLG-0406L"/>
        <s v="OGLE-2012-BLG-0563L"/>
        <s v="OGLE-2012-BLG-0724L"/>
        <s v="OGLE-2012-BLG-0950L"/>
        <s v="OGLE-2013-BLG-0102L"/>
        <s v="OGLE-2013-BLG-0132L"/>
        <s v="OGLE-2013-BLG-0341L B"/>
        <s v="OGLE-2013-BLG-1721L"/>
        <s v="OGLE-2013-BLG-1761L"/>
        <s v="OGLE-2014-BLG-0124L"/>
        <s v="OGLE-2014-BLG-0676L"/>
        <s v="OGLE-2014-BLG-1722L"/>
        <s v="OGLE-2014-BLG-1760L"/>
        <s v="OGLE-2015-BLG-0051L"/>
        <s v="OGLE-2015-BLG-0954L"/>
        <s v="OGLE-2015-BLG-0966L"/>
        <s v="OGLE-2016-BLG-0263L"/>
        <s v="OGLE-2016-BLG-0613L AB"/>
        <s v="OGLE-2016-BLG-1190L"/>
        <s v="OGLE-2016-BLG-1195L"/>
        <s v="OGLE-2017-BLG-0173L"/>
        <s v="OGLE-2017-BLG-0373L"/>
        <s v="OGLE-2017-BLG-0482L"/>
        <s v="OGLE-2017-BLG-1140L"/>
        <s v="OGLE-2017-BLG-1434L"/>
        <s v="OGLE-2017-BLG-1522L"/>
        <s v="OGLE-TR-056"/>
        <s v="OGLE-TR-10"/>
        <s v="OGLE-TR-111"/>
        <s v="OGLE-TR-113"/>
        <s v="OGLE-TR-132"/>
        <s v="OGLE-TR-182"/>
        <s v="OGLE-TR-211"/>
        <s v="OGLE2-TR-L9"/>
        <s v="Oph 11"/>
        <s v="PDS 70"/>
        <s v="PH1"/>
        <s v="PH2"/>
        <s v="POTS-1"/>
        <s v="PSR B1257+12"/>
        <s v="PSR B1620-26"/>
        <s v="PSR J1719-1438"/>
        <s v="PSR J2322-2650"/>
        <s v="Pr0201"/>
        <s v="Pr0211"/>
        <s v="Proxima Cen"/>
        <s v="Qatar-1"/>
        <s v="Qatar-10"/>
        <s v="Qatar-2"/>
        <s v="Qatar-3"/>
        <s v="Qatar-4"/>
        <s v="Qatar-5"/>
        <s v="Qatar-7"/>
        <s v="Qatar-8"/>
        <s v="Qatar-9"/>
        <s v="ROXs 12"/>
        <s v="ROXs 42 B"/>
        <s v="RR Cae"/>
        <s v="Ross 128"/>
        <s v="Ross 458"/>
        <s v="SR 12 AB"/>
        <s v="SWEEPS-11"/>
        <s v="SWEEPS-4"/>
        <s v="TAP 26"/>
        <s v="TCP J05074264+2447555"/>
        <s v="TOI 172"/>
        <s v="TOI 216"/>
        <s v="TRAPPIST-1"/>
        <s v="TYC 1422-614-1"/>
        <s v="TYC 3318-01333-1"/>
        <s v="TYC 3667-1280-1"/>
        <s v="TYC 4282-00605-1"/>
        <s v="TrES-1"/>
        <s v="TrES-2"/>
        <s v="TrES-3"/>
        <s v="TrES-4"/>
        <s v="TrES-5"/>
        <s v="UKIRT-2017-BLG-001L"/>
        <s v="USco CTIO 108"/>
        <s v="UZ For"/>
        <s v="V0391 Peg"/>
        <s v="V830 Tau"/>
        <s v="VHS J125601.92-125723.9"/>
        <s v="WASP-1"/>
        <s v="WASP-10"/>
        <s v="WASP-100"/>
        <s v="WASP-101"/>
        <s v="WASP-103"/>
        <s v="WASP-104"/>
        <s v="WASP-105"/>
        <s v="WASP-106"/>
        <s v="WASP-107"/>
        <s v="WASP-11"/>
        <s v="WASP-113"/>
        <s v="WASP-114"/>
        <s v="WASP-117"/>
        <s v="WASP-118"/>
        <s v="WASP-119"/>
        <s v="WASP-12"/>
        <s v="WASP-120"/>
        <s v="WASP-121"/>
        <s v="WASP-123"/>
        <s v="WASP-124"/>
        <s v="WASP-126"/>
        <s v="WASP-127"/>
        <s v="WASP-129"/>
        <s v="WASP-13"/>
        <s v="WASP-130"/>
        <s v="WASP-131"/>
        <s v="WASP-132"/>
        <s v="WASP-133"/>
        <s v="WASP-135"/>
        <s v="WASP-136"/>
        <s v="WASP-138"/>
        <s v="WASP-139"/>
        <s v="WASP-14"/>
        <s v="WASP-140"/>
        <s v="WASP-141"/>
        <s v="WASP-142"/>
        <s v="WASP-144"/>
        <s v="WASP-145 A"/>
        <s v="WASP-147"/>
        <s v="WASP-15"/>
        <s v="WASP-151"/>
        <s v="WASP-153"/>
        <s v="WASP-156"/>
        <s v="WASP-157"/>
        <s v="WASP-158"/>
        <s v="WASP-159"/>
        <s v="WASP-16"/>
        <s v="WASP-160 B"/>
        <s v="WASP-161"/>
        <s v="WASP-162"/>
        <s v="WASP-163"/>
        <s v="WASP-164"/>
        <s v="WASP-165"/>
        <s v="WASP-167"/>
        <s v="WASP-168"/>
        <s v="WASP-17"/>
        <s v="WASP-170"/>
        <s v="WASP-172"/>
        <s v="WASP-173 A"/>
        <s v="WASP-174"/>
        <s v="WASP-177"/>
        <s v="WASP-18"/>
        <s v="WASP-181"/>
        <s v="WASP-183"/>
        <s v="WASP-19"/>
        <s v="WASP-190"/>
        <s v="WASP-2"/>
        <s v="WASP-20"/>
        <s v="WASP-21"/>
        <s v="WASP-22"/>
        <s v="WASP-23"/>
        <s v="WASP-24"/>
        <s v="WASP-25"/>
        <s v="WASP-26"/>
        <s v="WASP-28"/>
        <s v="WASP-29"/>
        <s v="WASP-3"/>
        <s v="WASP-31"/>
        <s v="WASP-32"/>
        <s v="WASP-33"/>
        <s v="WASP-34"/>
        <s v="WASP-35"/>
        <s v="WASP-36"/>
        <s v="WASP-37"/>
        <s v="WASP-38"/>
        <s v="WASP-39"/>
        <s v="WASP-4"/>
        <s v="WASP-41"/>
        <s v="WASP-42"/>
        <s v="WASP-43"/>
        <s v="WASP-44"/>
        <s v="WASP-45"/>
        <s v="WASP-46"/>
        <s v="WASP-47"/>
        <s v="WASP-48"/>
        <s v="WASP-49"/>
        <s v="WASP-5"/>
        <s v="WASP-50"/>
        <s v="WASP-52"/>
        <s v="WASP-53"/>
        <s v="WASP-54"/>
        <s v="WASP-55"/>
        <s v="WASP-56"/>
        <s v="WASP-57"/>
        <s v="WASP-58"/>
        <s v="WASP-59"/>
        <s v="WASP-6"/>
        <s v="WASP-60"/>
        <s v="WASP-61"/>
        <s v="WASP-62"/>
        <s v="WASP-63"/>
        <s v="WASP-64"/>
        <s v="WASP-65"/>
        <s v="WASP-66"/>
        <s v="WASP-67"/>
        <s v="WASP-68"/>
        <s v="WASP-69"/>
        <s v="WASP-7"/>
        <s v="WASP-70 A"/>
        <s v="WASP-71"/>
        <s v="WASP-72"/>
        <s v="WASP-73"/>
        <s v="WASP-74"/>
        <s v="WASP-75"/>
        <s v="WASP-76"/>
        <s v="WASP-77 A"/>
        <s v="WASP-78"/>
        <s v="WASP-79"/>
        <s v="WASP-8"/>
        <s v="WASP-80"/>
        <s v="WASP-81"/>
        <s v="WASP-82"/>
        <s v="WASP-83"/>
        <s v="WASP-84"/>
        <s v="WASP-85 A"/>
        <s v="WASP-88"/>
        <s v="WASP-89"/>
        <s v="WASP-90"/>
        <s v="WASP-91"/>
        <s v="WASP-92"/>
        <s v="WASP-93"/>
        <s v="WASP-94 A"/>
        <s v="WASP-94 B"/>
        <s v="WASP-95"/>
        <s v="WASP-96"/>
        <s v="WASP-97"/>
        <s v="WASP-98"/>
        <s v="WASP-99"/>
        <s v="WD 0806-661"/>
        <s v="WISEP J121756.91+162640.2 A"/>
        <s v="WTS-1"/>
        <s v="WTS-2"/>
        <s v="Wolf 1061"/>
        <s v="Wolf 503"/>
        <s v="XO-1"/>
        <s v="XO-2 N"/>
        <s v="XO-2 S"/>
        <s v="XO-3"/>
        <s v="XO-4"/>
        <s v="XO-5"/>
        <s v="XO-6"/>
        <s v="YZ Cet"/>
        <s v="alf Ari"/>
        <s v="alf Tau"/>
        <s v="bet Cnc"/>
        <s v="bet Pic"/>
        <s v="bet UMi"/>
        <s v="eps CrB"/>
        <s v="eps Eri"/>
        <s v="eps Tau"/>
        <s v="gam 1 Leo"/>
        <s v="gam Cep"/>
        <s v="gam Lib"/>
        <s v="iot Dra"/>
        <s v="kap And"/>
        <s v="kap CrB"/>
        <s v="mu Leo"/>
        <s v="nu Oph"/>
        <s v="ome Ser"/>
        <s v="omi CrB"/>
        <s v="omi UMa"/>
        <s v="psi 1 Dra B"/>
        <s v="rho CrB"/>
        <s v="tau Boo"/>
        <s v="tau Cet"/>
        <s v="tau Gem"/>
        <s v="ups And"/>
        <s v="xi Aql"/>
      </sharedItems>
    </cacheField>
    <cacheField name="pl_name" numFmtId="0">
      <sharedItems count="3972">
        <s v="11 Com b"/>
        <s v="11 UMi b"/>
        <s v="14 And b"/>
        <s v="14 Her b"/>
        <s v="16 Cyg B b"/>
        <s v="18 Del b"/>
        <s v="1RXS J160929.1-210524 b"/>
        <s v="24 Boo b"/>
        <s v="24 Sex b"/>
        <s v="24 Sex c"/>
        <s v="2MASS J01225093-2439505 b"/>
        <s v="2MASS J02192210-3925225 b"/>
        <s v="2MASS J04414489+2301513 b"/>
        <s v="2MASS J12073346-3932539 b"/>
        <s v="2MASS J19383260+4603591 b"/>
        <s v="2MASS J21402931+1625183 A b"/>
        <s v="2MASS J22362452+4751425 b"/>
        <s v="30 Ari B b"/>
        <s v="4 UMa b"/>
        <s v="42 Dra b"/>
        <s v="47 UMa b"/>
        <s v="47 UMa c"/>
        <s v="47 UMa d"/>
        <s v="51 Eri b"/>
        <s v="51 Peg b"/>
        <s v="55 Cnc b"/>
        <s v="55 Cnc c"/>
        <s v="55 Cnc d"/>
        <s v="55 Cnc e"/>
        <s v="55 Cnc f"/>
        <s v="6 Lyn b"/>
        <s v="61 Vir b"/>
        <s v="61 Vir c"/>
        <s v="61 Vir d"/>
        <s v="7 CMa b"/>
        <s v="70 Vir b"/>
        <s v="75 Cet b"/>
        <s v="8 UMi b"/>
        <s v="81 Cet b"/>
        <s v="91 Aqr b"/>
        <s v="AB Pic b"/>
        <s v="BD+03 2562 b"/>
        <s v="BD+14 4559 b"/>
        <s v="BD+15 2375 b"/>
        <s v="BD+15 2940 b"/>
        <s v="BD+20 2457 b"/>
        <s v="BD+20 2457 c"/>
        <s v="BD+20 274 b"/>
        <s v="BD+20 594 b"/>
        <s v="BD+48 738 b"/>
        <s v="BD+48 740 b"/>
        <s v="BD+49 828 b"/>
        <s v="BD-06 1339 b"/>
        <s v="BD-06 1339 c"/>
        <s v="BD-08 2823 b"/>
        <s v="BD-08 2823 c"/>
        <s v="BD-10 3166 b"/>
        <s v="BD-11 4672 b"/>
        <s v="BD-13 2130 b"/>
        <s v="BD-17 63 b"/>
        <s v="CFBDSIR J145829+101343 b"/>
        <s v="CHXR 73 b"/>
        <s v="CT Cha b"/>
        <s v="CoRoT-1 b"/>
        <s v="CoRoT-10 b"/>
        <s v="CoRoT-11 b"/>
        <s v="CoRoT-12 b"/>
        <s v="CoRoT-13 b"/>
        <s v="CoRoT-14 b"/>
        <s v="CoRoT-16 b"/>
        <s v="CoRoT-17 b"/>
        <s v="CoRoT-18 b"/>
        <s v="CoRoT-19 b"/>
        <s v="CoRoT-2 b"/>
        <s v="CoRoT-20 b"/>
        <s v="CoRoT-20 c"/>
        <s v="CoRoT-21 b"/>
        <s v="CoRoT-22 b"/>
        <s v="CoRoT-23 b"/>
        <s v="CoRoT-24 b"/>
        <s v="CoRoT-24 c"/>
        <s v="CoRoT-25 b"/>
        <s v="CoRoT-26 b"/>
        <s v="CoRoT-27 b"/>
        <s v="CoRoT-28 b"/>
        <s v="CoRoT-29 b"/>
        <s v="CoRoT-3 b"/>
        <s v="CoRoT-4 b"/>
        <s v="CoRoT-5 b"/>
        <s v="CoRoT-6 b"/>
        <s v="CoRoT-7 b"/>
        <s v="CoRoT-7 c"/>
        <s v="CoRoT-8 b"/>
        <s v="CoRoT-9 b"/>
        <s v="CoRoTID 223977153 b"/>
        <s v="DENIS-P J082303.1-491201 b"/>
        <s v="DH Tau b"/>
        <s v="DP Leo b"/>
        <s v="EPIC 211822797 b"/>
        <s v="EPIC 211945201 b"/>
        <s v="EPIC 220674823 b"/>
        <s v="EPIC 220674823 c"/>
        <s v="EPIC 246851721 b"/>
        <s v="FU Tau b"/>
        <s v="Fomalhaut b"/>
        <s v="GJ 1132 b"/>
        <s v="GJ 1132 c"/>
        <s v="GJ 1148 b"/>
        <s v="GJ 1148 c"/>
        <s v="GJ 1214 b"/>
        <s v="GJ 1265 b"/>
        <s v="GJ 143 b"/>
        <s v="GJ 163 b"/>
        <s v="GJ 163 c"/>
        <s v="GJ 163 d"/>
        <s v="GJ 179 b"/>
        <s v="GJ 273 b"/>
        <s v="GJ 273 c"/>
        <s v="GJ 3021 b"/>
        <s v="GJ 3138 b"/>
        <s v="GJ 3138 c"/>
        <s v="GJ 3138 d"/>
        <s v="GJ 317 b"/>
        <s v="GJ 317 c"/>
        <s v="GJ 328 b"/>
        <s v="GJ 3293 b"/>
        <s v="GJ 3293 c"/>
        <s v="GJ 3293 d"/>
        <s v="GJ 3293 e"/>
        <s v="GJ 3323 b"/>
        <s v="GJ 3323 c"/>
        <s v="GJ 3341 b"/>
        <s v="GJ 3470 b"/>
        <s v="GJ 3634 b"/>
        <s v="GJ 3779 b"/>
        <s v="GJ 3942 b"/>
        <s v="GJ 3998 b"/>
        <s v="GJ 3998 c"/>
        <s v="GJ 411 b"/>
        <s v="GJ 4276 b"/>
        <s v="GJ 433 b"/>
        <s v="GJ 436 b"/>
        <s v="GJ 504 b"/>
        <s v="GJ 536 b"/>
        <s v="GJ 581 b"/>
        <s v="GJ 581 c"/>
        <s v="GJ 581 e"/>
        <s v="GJ 625 b"/>
        <s v="GJ 649 b"/>
        <s v="GJ 667 C b"/>
        <s v="GJ 667 C c"/>
        <s v="GJ 667 C e"/>
        <s v="GJ 667 C f"/>
        <s v="GJ 667 C g"/>
        <s v="GJ 674 b"/>
        <s v="GJ 676 A b"/>
        <s v="GJ 676 A c"/>
        <s v="GJ 676 A d"/>
        <s v="GJ 676 A e"/>
        <s v="GJ 685 b"/>
        <s v="GJ 687 b"/>
        <s v="GJ 832 b"/>
        <s v="GJ 832 c"/>
        <s v="GJ 849 b"/>
        <s v="GJ 86 b"/>
        <s v="GJ 876 b"/>
        <s v="GJ 876 c"/>
        <s v="GJ 876 d"/>
        <s v="GJ 876 e"/>
        <s v="GJ 96 b"/>
        <s v="GJ 9827 b"/>
        <s v="GJ 9827 c"/>
        <s v="GJ 9827 d"/>
        <s v="GQ Lup b"/>
        <s v="GSC 06214-00210 b"/>
        <s v="GU Psc b"/>
        <s v="Gl 378 b"/>
        <s v="Gl 686 b"/>
        <s v="HAT-P-1 b"/>
        <s v="HAT-P-11 b"/>
        <s v="HAT-P-11 c"/>
        <s v="HAT-P-12 b"/>
        <s v="HAT-P-13 b"/>
        <s v="HAT-P-13 c"/>
        <s v="HAT-P-14 b"/>
        <s v="HAT-P-15 b"/>
        <s v="HAT-P-16 b"/>
        <s v="HAT-P-17 b"/>
        <s v="HAT-P-17 c"/>
        <s v="HAT-P-18 b"/>
        <s v="HAT-P-19 b"/>
        <s v="HAT-P-2 b"/>
        <s v="HAT-P-20 b"/>
        <s v="HAT-P-21 b"/>
        <s v="HAT-P-22 b"/>
        <s v="HAT-P-23 b"/>
        <s v="HAT-P-24 b"/>
        <s v="HAT-P-25 b"/>
        <s v="HAT-P-26 b"/>
        <s v="HAT-P-27 b"/>
        <s v="HAT-P-28 b"/>
        <s v="HAT-P-29 b"/>
        <s v="HAT-P-3 b"/>
        <s v="HAT-P-30 b"/>
        <s v="HAT-P-31 b"/>
        <s v="HAT-P-32 b"/>
        <s v="HAT-P-33 b"/>
        <s v="HAT-P-34 b"/>
        <s v="HAT-P-35 b"/>
        <s v="HAT-P-36 b"/>
        <s v="HAT-P-37 b"/>
        <s v="HAT-P-38 b"/>
        <s v="HAT-P-39 b"/>
        <s v="HAT-P-4 b"/>
        <s v="HAT-P-40 b"/>
        <s v="HAT-P-41 b"/>
        <s v="HAT-P-42 b"/>
        <s v="HAT-P-43 b"/>
        <s v="HAT-P-44 b"/>
        <s v="HAT-P-44 c"/>
        <s v="HAT-P-45 b"/>
        <s v="HAT-P-46 b"/>
        <s v="HAT-P-49 b"/>
        <s v="HAT-P-5 b"/>
        <s v="HAT-P-50 b"/>
        <s v="HAT-P-51 b"/>
        <s v="HAT-P-52 b"/>
        <s v="HAT-P-53 b"/>
        <s v="HAT-P-54 b"/>
        <s v="HAT-P-55 b"/>
        <s v="HAT-P-56 b"/>
        <s v="HAT-P-57 b"/>
        <s v="HAT-P-6 b"/>
        <s v="HAT-P-65 b"/>
        <s v="HAT-P-66 b"/>
        <s v="HAT-P-67 b"/>
        <s v="HAT-P-7 b"/>
        <s v="HAT-P-8 b"/>
        <s v="HAT-P-9 b"/>
        <s v="HATS-1 b"/>
        <s v="HATS-10 b"/>
        <s v="HATS-11 b"/>
        <s v="HATS-12 b"/>
        <s v="HATS-13 b"/>
        <s v="HATS-14 b"/>
        <s v="HATS-15 b"/>
        <s v="HATS-16 b"/>
        <s v="HATS-17 b"/>
        <s v="HATS-18 b"/>
        <s v="HATS-2 b"/>
        <s v="HATS-22 b"/>
        <s v="HATS-23 b"/>
        <s v="HATS-24 b"/>
        <s v="HATS-25 b"/>
        <s v="HATS-26 b"/>
        <s v="HATS-27 b"/>
        <s v="HATS-28 b"/>
        <s v="HATS-29 b"/>
        <s v="HATS-3 b"/>
        <s v="HATS-30 b"/>
        <s v="HATS-31 b"/>
        <s v="HATS-32 b"/>
        <s v="HATS-33 b"/>
        <s v="HATS-34 b"/>
        <s v="HATS-35 b"/>
        <s v="HATS-36 b"/>
        <s v="HATS-39 b"/>
        <s v="HATS-4 b"/>
        <s v="HATS-40 b"/>
        <s v="HATS-41 b"/>
        <s v="HATS-42 b"/>
        <s v="HATS-43 b"/>
        <s v="HATS-44 b"/>
        <s v="HATS-45 b"/>
        <s v="HATS-46 b"/>
        <s v="HATS-5 b"/>
        <s v="HATS-50 b"/>
        <s v="HATS-51 b"/>
        <s v="HATS-52 b"/>
        <s v="HATS-53 b"/>
        <s v="HATS-59 b"/>
        <s v="HATS-59 c"/>
        <s v="HATS-6 b"/>
        <s v="HATS-60 b"/>
        <s v="HATS-61 b"/>
        <s v="HATS-62 b"/>
        <s v="HATS-63 b"/>
        <s v="HATS-64 b"/>
        <s v="HATS-65 b"/>
        <s v="HATS-66 b"/>
        <s v="HATS-67 b"/>
        <s v="HATS-68 b"/>
        <s v="HATS-69 b"/>
        <s v="HATS-7 b"/>
        <s v="HATS-70 b"/>
        <s v="HATS-8 b"/>
        <s v="HATS-9 b"/>
        <s v="HD 100546 b"/>
        <s v="HD 100655 b"/>
        <s v="HD 100777 b"/>
        <s v="HD 10180 c"/>
        <s v="HD 10180 d"/>
        <s v="HD 10180 e"/>
        <s v="HD 10180 f"/>
        <s v="HD 10180 g"/>
        <s v="HD 10180 h"/>
        <s v="HD 101930 b"/>
        <s v="HD 102117 b"/>
        <s v="HD 102195 b"/>
        <s v="HD 102272 b"/>
        <s v="HD 102329 b"/>
        <s v="HD 102329 c"/>
        <s v="HD 102365 b"/>
        <s v="HD 102843 b"/>
        <s v="HD 102956 b"/>
        <s v="HD 103197 b"/>
        <s v="HD 103720 b"/>
        <s v="HD 103774 b"/>
        <s v="HD 103949 b"/>
        <s v="HD 104067 b"/>
        <s v="HD 10442 b"/>
        <s v="HD 104985 b"/>
        <s v="HD 106252 b"/>
        <s v="HD 106270 b"/>
        <s v="HD 106315 b"/>
        <s v="HD 106315 c"/>
        <s v="HD 10647 b"/>
        <s v="HD 106515 A b"/>
        <s v="HD 106906 b"/>
        <s v="HD 10697 b"/>
        <s v="HD 107148 b"/>
        <s v="HD 108147 b"/>
        <s v="HD 108341 b"/>
        <s v="HD 108863 b"/>
        <s v="HD 108874 b"/>
        <s v="HD 108874 c"/>
        <s v="HD 109246 b"/>
        <s v="HD 109271 b"/>
        <s v="HD 109271 c"/>
        <s v="HD 109749 b"/>
        <s v="HD 110014 b"/>
        <s v="HD 111232 b"/>
        <s v="HD 111591 b"/>
        <s v="HD 111998 b"/>
        <s v="HD 113337 b"/>
        <s v="HD 113538 b"/>
        <s v="HD 113538 c"/>
        <s v="HD 113996 b"/>
        <s v="HD 114386 b"/>
        <s v="HD 114613 b"/>
        <s v="HD 114729 b"/>
        <s v="HD 114762 b"/>
        <s v="HD 114783 b"/>
        <s v="HD 114783 c"/>
        <s v="HD 11506 b"/>
        <s v="HD 11506 c"/>
        <s v="HD 116029 b"/>
        <s v="HD 116029 c"/>
        <s v="HD 117207 b"/>
        <s v="HD 11755 b"/>
        <s v="HD 117618 b"/>
        <s v="HD 118203 b"/>
        <s v="HD 119130 b"/>
        <s v="HD 11964 b"/>
        <s v="HD 11964 c"/>
        <s v="HD 11977 b"/>
        <s v="HD 120084 b"/>
        <s v="HD 121504 b"/>
        <s v="HD 12484 b"/>
        <s v="HD 125595 b"/>
        <s v="HD 125612 b"/>
        <s v="HD 125612 c"/>
        <s v="HD 125612 d"/>
        <s v="HD 12648 b"/>
        <s v="HD 12661 b"/>
        <s v="HD 12661 c"/>
        <s v="HD 126614 b"/>
        <s v="HD 128311 b"/>
        <s v="HD 128311 c"/>
        <s v="HD 128356 b"/>
        <s v="HD 129445 b"/>
        <s v="HD 130322 b"/>
        <s v="HD 131496 b"/>
        <s v="HD 131664 b"/>
        <s v="HD 13167 b"/>
        <s v="HD 13189 b"/>
        <s v="HD 132406 b"/>
        <s v="HD 132563 b"/>
        <s v="HD 133131 A b"/>
        <s v="HD 133131 A c"/>
        <s v="HD 133131 B b"/>
        <s v="HD 134060 b"/>
        <s v="HD 134060 c"/>
        <s v="HD 134987 b"/>
        <s v="HD 134987 c"/>
        <s v="HD 136352 b"/>
        <s v="HD 136352 c"/>
        <s v="HD 136352 d"/>
        <s v="HD 136418 b"/>
        <s v="HD 13724 b"/>
        <s v="HD 137388 b"/>
        <s v="HD 13908 b"/>
        <s v="HD 13908 c"/>
        <s v="HD 13931 b"/>
        <s v="HD 139357 b"/>
        <s v="HD 1397 b"/>
        <s v="HD 14067 b"/>
        <s v="HD 141399 b"/>
        <s v="HD 141399 c"/>
        <s v="HD 141399 d"/>
        <s v="HD 141399 e"/>
        <s v="HD 141937 b"/>
        <s v="HD 142 b"/>
        <s v="HD 142 c"/>
        <s v="HD 142022 A b"/>
        <s v="HD 142245 b"/>
        <s v="HD 142415 b"/>
        <s v="HD 143105 b"/>
        <s v="HD 143361 b"/>
        <s v="HD 145377 b"/>
        <s v="HD 145457 b"/>
        <s v="HD 145934 b"/>
        <s v="HD 1461 b"/>
        <s v="HD 1461 c"/>
        <s v="HD 147018 b"/>
        <s v="HD 147018 c"/>
        <s v="HD 147379 b"/>
        <s v="HD 147513 b"/>
        <s v="HD 14787 b"/>
        <s v="HD 147873 b"/>
        <s v="HD 147873 c"/>
        <s v="HD 148156 b"/>
        <s v="HD 148164 b"/>
        <s v="HD 148164 c"/>
        <s v="HD 148284 b"/>
        <s v="HD 148427 b"/>
        <s v="HD 149026 b"/>
        <s v="HD 149143 b"/>
        <s v="HD 1502 b"/>
        <s v="HD 150706 b"/>
        <s v="HD 152079 b"/>
        <s v="HD 152581 b"/>
        <s v="HD 15337 b"/>
        <s v="HD 15337 c"/>
        <s v="HD 153950 b"/>
        <s v="HD 154345 b"/>
        <s v="HD 154672 b"/>
        <s v="HD 154857 b"/>
        <s v="HD 154857 c"/>
        <s v="HD 155233 b"/>
        <s v="HD 155358 b"/>
        <s v="HD 155358 c"/>
        <s v="HD 156279 b"/>
        <s v="HD 156279 c"/>
        <s v="HD 156411 b"/>
        <s v="HD 156668 b"/>
        <s v="HD 156846 b"/>
        <s v="HD 158038 b"/>
        <s v="HD 158996 b"/>
        <s v="HD 159243 b"/>
        <s v="HD 159243 c"/>
        <s v="HD 159868 b"/>
        <s v="HD 159868 c"/>
        <s v="HD 1605 b"/>
        <s v="HD 1605 c"/>
        <s v="HD 160691 b"/>
        <s v="HD 160691 c"/>
        <s v="HD 160691 d"/>
        <s v="HD 160691 e"/>
        <s v="HD 16141 b"/>
        <s v="HD 16175 b"/>
        <s v="HD 162020 b"/>
        <s v="HD 163607 b"/>
        <s v="HD 163607 c"/>
        <s v="HD 16417 b"/>
        <s v="HD 164509 b"/>
        <s v="HD 164595 b"/>
        <s v="HD 164604 b"/>
        <s v="HD 164922 b"/>
        <s v="HD 164922 c"/>
        <s v="HD 165155 b"/>
        <s v="HD 1666 b"/>
        <s v="HD 166724 b"/>
        <s v="HD 167042 b"/>
        <s v="HD 168443 b"/>
        <s v="HD 168443 c"/>
        <s v="HD 168746 b"/>
        <s v="HD 1690 b"/>
        <s v="HD 169830 b"/>
        <s v="HD 169830 c"/>
        <s v="HD 170469 b"/>
        <s v="HD 17092 b"/>
        <s v="HD 171028 b"/>
        <s v="HD 171238 b"/>
        <s v="HD 17156 b"/>
        <s v="HD 173416 b"/>
        <s v="HD 175167 b"/>
        <s v="HD 175541 b"/>
        <s v="HD 175607 b"/>
        <s v="HD 17674 b"/>
        <s v="HD 176986 b"/>
        <s v="HD 176986 c"/>
        <s v="HD 177565 b"/>
        <s v="HD 177830 b"/>
        <s v="HD 177830 c"/>
        <s v="HD 178911 B b"/>
        <s v="HD 179079 b"/>
        <s v="HD 179949 b"/>
        <s v="HD 180053 b"/>
        <s v="HD 18015 b"/>
        <s v="HD 180314 b"/>
        <s v="HD 180902 b"/>
        <s v="HD 181234 b"/>
        <s v="HD 181342 b"/>
        <s v="HD 181433 b"/>
        <s v="HD 181433 c"/>
        <s v="HD 181433 d"/>
        <s v="HD 181720 b"/>
        <s v="HD 183263 b"/>
        <s v="HD 183263 c"/>
        <s v="HD 185269 b"/>
        <s v="HD 187085 b"/>
        <s v="HD 187123 b"/>
        <s v="HD 187123 c"/>
        <s v="HD 18742 b"/>
        <s v="HD 188015 b"/>
        <s v="HD 189733 b"/>
        <s v="HD 190360 b"/>
        <s v="HD 190360 c"/>
        <s v="HD 190647 b"/>
        <s v="HD 190984 b"/>
        <s v="HD 191806 b"/>
        <s v="HD 192263 b"/>
        <s v="HD 192310 b"/>
        <s v="HD 192310 c"/>
        <s v="HD 192699 b"/>
        <s v="HD 195019 b"/>
        <s v="HD 196050 b"/>
        <s v="HD 196067 b"/>
        <s v="HD 196885 b"/>
        <s v="HD 197037 b"/>
        <s v="HD 19994 b"/>
        <s v="HD 20003 b"/>
        <s v="HD 20003 c"/>
        <s v="HD 200964 b"/>
        <s v="HD 200964 c"/>
        <s v="HD 202206 c"/>
        <s v="HD 202696 b"/>
        <s v="HD 202696 c"/>
        <s v="HD 202772 A b"/>
        <s v="HD 203030 b"/>
        <s v="HD 203473 b"/>
        <s v="HD 2039 b"/>
        <s v="HD 204313 b"/>
        <s v="HD 204313 c"/>
        <s v="HD 204941 b"/>
        <s v="HD 205739 b"/>
        <s v="HD 206255 b"/>
        <s v="HD 206610 b"/>
        <s v="HD 20781 b"/>
        <s v="HD 20781 c"/>
        <s v="HD 20781 d"/>
        <s v="HD 20781 e"/>
        <s v="HD 20782 b"/>
        <s v="HD 207832 b"/>
        <s v="HD 207832 c"/>
        <s v="HD 20794 b"/>
        <s v="HD 20794 c"/>
        <s v="HD 20794 d"/>
        <s v="HD 20794 e"/>
        <s v="HD 208487 b"/>
        <s v="HD 208527 b"/>
        <s v="HD 20868 b"/>
        <s v="HD 208897 b"/>
        <s v="HD 209458 b"/>
        <s v="HD 210193 b"/>
        <s v="HD 210277 b"/>
        <s v="HD 210702 b"/>
        <s v="HD 211810 b"/>
        <s v="HD 211970 b"/>
        <s v="HD 212301 b"/>
        <s v="HD 212771 b"/>
        <s v="HD 213240 b"/>
        <s v="HD 21411 b"/>
        <s v="HD 214823 b"/>
        <s v="HD 215152 b"/>
        <s v="HD 215152 c"/>
        <s v="HD 215152 d"/>
        <s v="HD 215152 e"/>
        <s v="HD 215497 b"/>
        <s v="HD 215497 c"/>
        <s v="HD 216435 b"/>
        <s v="HD 216437 b"/>
        <s v="HD 216536 b"/>
        <s v="HD 216770 b"/>
        <s v="HD 21693 b"/>
        <s v="HD 21693 c"/>
        <s v="HD 217107 b"/>
        <s v="HD 217107 c"/>
        <s v="HD 21749 c"/>
        <s v="HD 217786 b"/>
        <s v="HD 217850 b"/>
        <s v="HD 218566 b"/>
        <s v="HD 219077 b"/>
        <s v="HD 219134 b"/>
        <s v="HD 219134 c"/>
        <s v="HD 219134 d"/>
        <s v="HD 219134 f"/>
        <s v="HD 219134 g"/>
        <s v="HD 219134 h"/>
        <s v="HD 219415 b"/>
        <s v="HD 219666 b"/>
        <s v="HD 219828 b"/>
        <s v="HD 219828 c"/>
        <s v="HD 220074 b"/>
        <s v="HD 220689 b"/>
        <s v="HD 220773 b"/>
        <s v="HD 220842 b"/>
        <s v="HD 221287 b"/>
        <s v="HD 221416 b"/>
        <s v="HD 221420 b"/>
        <s v="HD 221585 b"/>
        <s v="HD 222076 b"/>
        <s v="HD 222155 b"/>
        <s v="HD 222582 b"/>
        <s v="HD 224538 b"/>
        <s v="HD 224693 b"/>
        <s v="HD 22781 b"/>
        <s v="HD 23079 b"/>
        <s v="HD 23127 b"/>
        <s v="HD 231701 b"/>
        <s v="HD 233604 b"/>
        <s v="HD 23472 b"/>
        <s v="HD 23472 c"/>
        <s v="HD 23596 b"/>
        <s v="HD 238914 b"/>
        <s v="HD 240210 b"/>
        <s v="HD 240237 b"/>
        <s v="HD 24040 b"/>
        <s v="HD 24064 b"/>
        <s v="HD 24085 b"/>
        <s v="HD 25015 b"/>
        <s v="HD 25171 b"/>
        <s v="HD 2638 b"/>
        <s v="HD 26965 b"/>
        <s v="HD 27442 b"/>
        <s v="HD 27631 b"/>
        <s v="HD 27894 b"/>
        <s v="HD 27894 c"/>
        <s v="HD 27894 d"/>
        <s v="HD 28185 b"/>
        <s v="HD 28254 b"/>
        <s v="HD 285507 b"/>
        <s v="HD 285968 b"/>
        <s v="HD 28678 b"/>
        <s v="HD 29021 b"/>
        <s v="HD 290327 b"/>
        <s v="HD 2952 b"/>
        <s v="HD 30177 b"/>
        <s v="HD 30177 c"/>
        <s v="HD 30562 b"/>
        <s v="HD 30669 b"/>
        <s v="HD 30856 b"/>
        <s v="HD 31253 b"/>
        <s v="HD 31527 b"/>
        <s v="HD 31527 c"/>
        <s v="HD 31527 d"/>
        <s v="HD 3167 b"/>
        <s v="HD 3167 c"/>
        <s v="HD 3167 d"/>
        <s v="HD 32518 b"/>
        <s v="HD 32963 b"/>
        <s v="HD 330075 b"/>
        <s v="HD 33142 b"/>
        <s v="HD 33142 c"/>
        <s v="HD 33283 b"/>
        <s v="HD 33564 b"/>
        <s v="HD 33844 b"/>
        <s v="HD 33844 c"/>
        <s v="HD 34445 b"/>
        <s v="HD 34445 c"/>
        <s v="HD 34445 d"/>
        <s v="HD 34445 e"/>
        <s v="HD 34445 f"/>
        <s v="HD 34445 g"/>
        <s v="HD 35759 b"/>
        <s v="HD 3651 b"/>
        <s v="HD 37124 b"/>
        <s v="HD 37124 c"/>
        <s v="HD 37124 d"/>
        <s v="HD 37605 b"/>
        <s v="HD 37605 c"/>
        <s v="HD 38283 b"/>
        <s v="HD 38529 b"/>
        <s v="HD 38529 c"/>
        <s v="HD 38801 b"/>
        <s v="HD 39091 b"/>
        <s v="HD 39855 b"/>
        <s v="HD 40307 b"/>
        <s v="HD 40307 c"/>
        <s v="HD 40307 d"/>
        <s v="HD 40307 f"/>
        <s v="HD 40307 g"/>
        <s v="HD 40956 b"/>
        <s v="HD 40979 b"/>
        <s v="HD 41004 A b"/>
        <s v="HD 41004 B b"/>
        <s v="HD 4113 b"/>
        <s v="HD 42012 b"/>
        <s v="HD 4203 b"/>
        <s v="HD 4203 c"/>
        <s v="HD 4208 b"/>
        <s v="HD 42618 b"/>
        <s v="HD 4308 b"/>
        <s v="HD 4313 b"/>
        <s v="HD 43197 b"/>
        <s v="HD 43691 b"/>
        <s v="HD 44219 b"/>
        <s v="HD 45184 b"/>
        <s v="HD 45184 c"/>
        <s v="HD 45350 b"/>
        <s v="HD 45364 b"/>
        <s v="HD 45364 c"/>
        <s v="HD 45652 b"/>
        <s v="HD 46375 b"/>
        <s v="HD 47186 b"/>
        <s v="HD 47186 c"/>
        <s v="HD 4732 b"/>
        <s v="HD 4732 c"/>
        <s v="HD 47366 b"/>
        <s v="HD 47366 c"/>
        <s v="HD 47536 b"/>
        <s v="HD 48265 b"/>
        <s v="HD 4917 b"/>
        <s v="HD 49674 b"/>
        <s v="HD 50499 b"/>
        <s v="HD 50499 c"/>
        <s v="HD 50554 b"/>
        <s v="HD 51608 b"/>
        <s v="HD 51608 c"/>
        <s v="HD 52265 b"/>
        <s v="HD 5319 b"/>
        <s v="HD 5319 c"/>
        <s v="HD 55696 b"/>
        <s v="HD 5583 b"/>
        <s v="HD 5608 b"/>
        <s v="HD 564 b"/>
        <s v="HD 5891 b"/>
        <s v="HD 59686 A b"/>
        <s v="HD 60532 b"/>
        <s v="HD 60532 c"/>
        <s v="HD 62509 b"/>
        <s v="HD 63454 b"/>
        <s v="HD 63765 b"/>
        <s v="HD 64114 b"/>
        <s v="HD 6434 b"/>
        <s v="HD 65216 b"/>
        <s v="HD 65216 c"/>
        <s v="HD 66141 b"/>
        <s v="HD 66428 b"/>
        <s v="HD 67087 b"/>
        <s v="HD 67087 c"/>
        <s v="HD 6718 b"/>
        <s v="HD 68402 b"/>
        <s v="HD 68988 b"/>
        <s v="HD 69830 b"/>
        <s v="HD 69830 c"/>
        <s v="HD 69830 d"/>
        <s v="HD 70573 b"/>
        <s v="HD 70642 b"/>
        <s v="HD 7199 b"/>
        <s v="HD 72490 b"/>
        <s v="HD 72659 b"/>
        <s v="HD 72892 b"/>
        <s v="HD 73267 b"/>
        <s v="HD 73526 b"/>
        <s v="HD 73526 c"/>
        <s v="HD 73534 b"/>
        <s v="HD 74156 b"/>
        <s v="HD 74156 c"/>
        <s v="HD 7449 b"/>
        <s v="HD 75289 b"/>
        <s v="HD 75784 b"/>
        <s v="HD 75784 c"/>
        <s v="HD 75898 b"/>
        <s v="HD 76700 b"/>
        <s v="HD 76920 b"/>
        <s v="HD 77338 b"/>
        <s v="HD 7924 b"/>
        <s v="HD 7924 c"/>
        <s v="HD 7924 d"/>
        <s v="HD 79498 b"/>
        <s v="HD 80606 b"/>
        <s v="HD 81040 b"/>
        <s v="HD 81688 b"/>
        <s v="HD 82886 b"/>
        <s v="HD 82943 b"/>
        <s v="HD 82943 c"/>
        <s v="HD 8326 b"/>
        <s v="HD 83443 b"/>
        <s v="HD 8535 b"/>
        <s v="HD 85390 b"/>
        <s v="HD 85512 b"/>
        <s v="HD 8574 b"/>
        <s v="HD 86081 b"/>
        <s v="HD 86226 b"/>
        <s v="HD 86264 b"/>
        <s v="HD 8673 b"/>
        <s v="HD 86950 b"/>
        <s v="HD 87646 b"/>
        <s v="HD 87883 b"/>
        <s v="HD 88133 b"/>
        <s v="HD 89307 b"/>
        <s v="HD 89345 b"/>
        <s v="HD 89744 b"/>
        <s v="HD 90156 b"/>
        <s v="HD 9174 b"/>
        <s v="HD 92788 b"/>
        <s v="HD 92788 c"/>
        <s v="HD 92987 b"/>
        <s v="HD 93083 b"/>
        <s v="HD 9446 b"/>
        <s v="HD 9446 c"/>
        <s v="HD 94834 b"/>
        <s v="HD 95086 b"/>
        <s v="HD 95089 b"/>
        <s v="HD 95089 c"/>
        <s v="HD 95127 b"/>
        <s v="HD 95872 b"/>
        <s v="HD 96063 b"/>
        <s v="HD 96127 b"/>
        <s v="HD 96167 b"/>
        <s v="HD 97658 b"/>
        <s v="HD 98219 b"/>
        <s v="HD 98649 b"/>
        <s v="HD 98736 b"/>
        <s v="HD 99109 b"/>
        <s v="HD 99492 b"/>
        <s v="HD 99706 b"/>
        <s v="HD 99706 c"/>
        <s v="HIP 105854 b"/>
        <s v="HIP 107773 b"/>
        <s v="HIP 109384 b"/>
        <s v="HIP 109600 b"/>
        <s v="HIP 116454 b"/>
        <s v="HIP 12961 b"/>
        <s v="HIP 14810 b"/>
        <s v="HIP 14810 c"/>
        <s v="HIP 14810 d"/>
        <s v="HIP 35173 b"/>
        <s v="HIP 41378 b"/>
        <s v="HIP 41378 c"/>
        <s v="HIP 41378 d"/>
        <s v="HIP 41378 e"/>
        <s v="HIP 41378 f"/>
        <s v="HIP 5158 b"/>
        <s v="HIP 5158 c"/>
        <s v="HIP 54373 b"/>
        <s v="HIP 54373 c"/>
        <s v="HIP 57274 b"/>
        <s v="HIP 57274 c"/>
        <s v="HIP 57274 d"/>
        <s v="HIP 63242 b"/>
        <s v="HIP 65407 b"/>
        <s v="HIP 65407 c"/>
        <s v="HIP 65426 b"/>
        <s v="HIP 65891 b"/>
        <s v="HIP 67537 b"/>
        <s v="HIP 67851 b"/>
        <s v="HIP 67851 c"/>
        <s v="HIP 70849 b"/>
        <s v="HIP 71135 b"/>
        <s v="HIP 74890 b"/>
        <s v="HIP 78530 b"/>
        <s v="HIP 79431 b"/>
        <s v="HIP 8541 b"/>
        <s v="HIP 91258 b"/>
        <s v="HIP 97233 b"/>
        <s v="HN Peg b"/>
        <s v="HR 2562 b"/>
        <s v="HR 810 b"/>
        <s v="HR 8799 b"/>
        <s v="HR 8799 c"/>
        <s v="HR 8799 d"/>
        <s v="HR 8799 e"/>
        <s v="IC 4651 9122 b"/>
        <s v="K2-10 b"/>
        <s v="K2-100 b"/>
        <s v="K2-101 b"/>
        <s v="K2-102 b"/>
        <s v="K2-104 b"/>
        <s v="K2-105 b"/>
        <s v="K2-107 b"/>
        <s v="K2-108 b"/>
        <s v="K2-11 b"/>
        <s v="K2-110 b"/>
        <s v="K2-111 b"/>
        <s v="K2-113 b"/>
        <s v="K2-114 b"/>
        <s v="K2-115 b"/>
        <s v="K2-116 b"/>
        <s v="K2-117 b"/>
        <s v="K2-117 c"/>
        <s v="K2-118 b"/>
        <s v="K2-119 b"/>
        <s v="K2-12 b"/>
        <s v="K2-120 b"/>
        <s v="K2-121 b"/>
        <s v="K2-122 b"/>
        <s v="K2-123 b"/>
        <s v="K2-124 b"/>
        <s v="K2-125 b"/>
        <s v="K2-126 b"/>
        <s v="K2-127 b"/>
        <s v="K2-128 b"/>
        <s v="K2-129 b"/>
        <s v="K2-13 b"/>
        <s v="K2-130 b"/>
        <s v="K2-131 b"/>
        <s v="K2-132 b"/>
        <s v="K2-133 b"/>
        <s v="K2-133 c"/>
        <s v="K2-133 d"/>
        <s v="K2-133 e"/>
        <s v="K2-136 b"/>
        <s v="K2-136 c"/>
        <s v="K2-136 d"/>
        <s v="K2-137 b"/>
        <s v="K2-138 b"/>
        <s v="K2-138 c"/>
        <s v="K2-138 d"/>
        <s v="K2-138 e"/>
        <s v="K2-138 f"/>
        <s v="K2-139 b"/>
        <s v="K2-14 b"/>
        <s v="K2-140 b"/>
        <s v="K2-141 b"/>
        <s v="K2-141 c"/>
        <s v="K2-146 b"/>
        <s v="K2-147 b"/>
        <s v="K2-148 b"/>
        <s v="K2-148 c"/>
        <s v="K2-148 d"/>
        <s v="K2-149 b"/>
        <s v="K2-15 b"/>
        <s v="K2-150 b"/>
        <s v="K2-151 b"/>
        <s v="K2-152 b"/>
        <s v="K2-153 b"/>
        <s v="K2-154 b"/>
        <s v="K2-154 c"/>
        <s v="K2-155 b"/>
        <s v="K2-155 c"/>
        <s v="K2-155 d"/>
        <s v="K2-156 b"/>
        <s v="K2-157 b"/>
        <s v="K2-158 b"/>
        <s v="K2-158 c"/>
        <s v="K2-159 b"/>
        <s v="K2-16 b"/>
        <s v="K2-16 c"/>
        <s v="K2-160 b"/>
        <s v="K2-161 b"/>
        <s v="K2-162 b"/>
        <s v="K2-163 b"/>
        <s v="K2-164 b"/>
        <s v="K2-165 b"/>
        <s v="K2-165 c"/>
        <s v="K2-165 d"/>
        <s v="K2-166 b"/>
        <s v="K2-167 b"/>
        <s v="K2-168 b"/>
        <s v="K2-169 b"/>
        <s v="K2-17 b"/>
        <s v="K2-170 b"/>
        <s v="K2-170 c"/>
        <s v="K2-171 b"/>
        <s v="K2-172 b"/>
        <s v="K2-172 c"/>
        <s v="K2-173 b"/>
        <s v="K2-174 b"/>
        <s v="K2-175 b"/>
        <s v="K2-176 b"/>
        <s v="K2-177 b"/>
        <s v="K2-178 b"/>
        <s v="K2-179 b"/>
        <s v="K2-18 b"/>
        <s v="K2-18 c"/>
        <s v="K2-180 b"/>
        <s v="K2-181 b"/>
        <s v="K2-182 b"/>
        <s v="K2-183 b"/>
        <s v="K2-183 c"/>
        <s v="K2-183 d"/>
        <s v="K2-184 b"/>
        <s v="K2-185 b"/>
        <s v="K2-186 b"/>
        <s v="K2-187 b"/>
        <s v="K2-187 c"/>
        <s v="K2-187 d"/>
        <s v="K2-187 e"/>
        <s v="K2-188 b"/>
        <s v="K2-188 c"/>
        <s v="K2-189 b"/>
        <s v="K2-189 c"/>
        <s v="K2-19 b"/>
        <s v="K2-19 c"/>
        <s v="K2-19 d"/>
        <s v="K2-190 b"/>
        <s v="K2-190 c"/>
        <s v="K2-191 b"/>
        <s v="K2-192 b"/>
        <s v="K2-193 b"/>
        <s v="K2-194 b"/>
        <s v="K2-195 b"/>
        <s v="K2-195 c"/>
        <s v="K2-196 b"/>
        <s v="K2-197 b"/>
        <s v="K2-198 b"/>
        <s v="K2-199 b"/>
        <s v="K2-199 c"/>
        <s v="K2-200 b"/>
        <s v="K2-201 b"/>
        <s v="K2-201 c"/>
        <s v="K2-202 b"/>
        <s v="K2-203 b"/>
        <s v="K2-204 b"/>
        <s v="K2-205 b"/>
        <s v="K2-206 b"/>
        <s v="K2-207 b"/>
        <s v="K2-208 b"/>
        <s v="K2-209 b"/>
        <s v="K2-21 b"/>
        <s v="K2-21 c"/>
        <s v="K2-210 b"/>
        <s v="K2-211 b"/>
        <s v="K2-212 b"/>
        <s v="K2-213 b"/>
        <s v="K2-214 b"/>
        <s v="K2-215 b"/>
        <s v="K2-216 b"/>
        <s v="K2-217 b"/>
        <s v="K2-218 b"/>
        <s v="K2-219 b"/>
        <s v="K2-219 c"/>
        <s v="K2-219 d"/>
        <s v="K2-22 b"/>
        <s v="K2-220 b"/>
        <s v="K2-221 b"/>
        <s v="K2-222 b"/>
        <s v="K2-223 b"/>
        <s v="K2-223 c"/>
        <s v="K2-224 b"/>
        <s v="K2-224 c"/>
        <s v="K2-225 b"/>
        <s v="K2-226 b"/>
        <s v="K2-227 b"/>
        <s v="K2-228 b"/>
        <s v="K2-229 b"/>
        <s v="K2-229 c"/>
        <s v="K2-230 b"/>
        <s v="K2-231 b"/>
        <s v="K2-232 b"/>
        <s v="K2-233 b"/>
        <s v="K2-233 c"/>
        <s v="K2-233 d"/>
        <s v="K2-237 b"/>
        <s v="K2-238 b"/>
        <s v="K2-239 b"/>
        <s v="K2-239 c"/>
        <s v="K2-239 d"/>
        <s v="K2-24 b"/>
        <s v="K2-24 c"/>
        <s v="K2-240 b"/>
        <s v="K2-240 c"/>
        <s v="K2-241 b"/>
        <s v="K2-242 b"/>
        <s v="K2-243 b"/>
        <s v="K2-243 c"/>
        <s v="K2-244 b"/>
        <s v="K2-245 b"/>
        <s v="K2-246 b"/>
        <s v="K2-247 b"/>
        <s v="K2-247 c"/>
        <s v="K2-248 b"/>
        <s v="K2-249 b"/>
        <s v="K2-25 b"/>
        <s v="K2-250 b"/>
        <s v="K2-251 b"/>
        <s v="K2-252 b"/>
        <s v="K2-253 b"/>
        <s v="K2-254 b"/>
        <s v="K2-254 c"/>
        <s v="K2-255 b"/>
        <s v="K2-256 b"/>
        <s v="K2-257 b"/>
        <s v="K2-258 b"/>
        <s v="K2-259 b"/>
        <s v="K2-26 b"/>
        <s v="K2-260 b"/>
        <s v="K2-261 b"/>
        <s v="K2-263 b"/>
        <s v="K2-264 b"/>
        <s v="K2-264 c"/>
        <s v="K2-265 b"/>
        <s v="K2-266 b"/>
        <s v="K2-266 c"/>
        <s v="K2-266 d"/>
        <s v="K2-266 e"/>
        <s v="K2-268 b"/>
        <s v="K2-268 c"/>
        <s v="K2-269 b"/>
        <s v="K2-27 b"/>
        <s v="K2-270 b"/>
        <s v="K2-270 c"/>
        <s v="K2-271 b"/>
        <s v="K2-272 b"/>
        <s v="K2-273 b"/>
        <s v="K2-274 b"/>
        <s v="K2-275 b"/>
        <s v="K2-275 c"/>
        <s v="K2-276 b"/>
        <s v="K2-277 b"/>
        <s v="K2-278 b"/>
        <s v="K2-279 b"/>
        <s v="K2-28 b"/>
        <s v="K2-280 b"/>
        <s v="K2-281 b"/>
        <s v="K2-282 b"/>
        <s v="K2-283 b"/>
        <s v="K2-284 b"/>
        <s v="K2-285 b"/>
        <s v="K2-285 c"/>
        <s v="K2-285 d"/>
        <s v="K2-285 e"/>
        <s v="K2-286 b"/>
        <s v="K2-287 b"/>
        <s v="K2-288 B b"/>
        <s v="K2-289 b"/>
        <s v="K2-29 b"/>
        <s v="K2-290 b"/>
        <s v="K2-290 c"/>
        <s v="K2-291 b"/>
        <s v="K2-293 b"/>
        <s v="K2-294 b"/>
        <s v="K2-295 b"/>
        <s v="K2-3 b"/>
        <s v="K2-3 c"/>
        <s v="K2-3 d"/>
        <s v="K2-30 b"/>
        <s v="K2-31 b"/>
        <s v="K2-32 b"/>
        <s v="K2-32 c"/>
        <s v="K2-32 d"/>
        <s v="K2-33 b"/>
        <s v="K2-34 b"/>
        <s v="K2-35 b"/>
        <s v="K2-35 c"/>
        <s v="K2-36 b"/>
        <s v="K2-36 c"/>
        <s v="K2-37 b"/>
        <s v="K2-37 c"/>
        <s v="K2-37 d"/>
        <s v="K2-38 b"/>
        <s v="K2-38 c"/>
        <s v="K2-39 b"/>
        <s v="K2-4 b"/>
        <s v="K2-42 b"/>
        <s v="K2-43 b"/>
        <s v="K2-44 b"/>
        <s v="K2-45 b"/>
        <s v="K2-46 b"/>
        <s v="K2-47 b"/>
        <s v="K2-48 b"/>
        <s v="K2-49 b"/>
        <s v="K2-5 b"/>
        <s v="K2-5 c"/>
        <s v="K2-50 b"/>
        <s v="K2-52 b"/>
        <s v="K2-53 b"/>
        <s v="K2-54 b"/>
        <s v="K2-55 b"/>
        <s v="K2-57 b"/>
        <s v="K2-58 b"/>
        <s v="K2-58 c"/>
        <s v="K2-58 d"/>
        <s v="K2-59 b"/>
        <s v="K2-59 c"/>
        <s v="K2-6 b"/>
        <s v="K2-60 b"/>
        <s v="K2-61 b"/>
        <s v="K2-62 b"/>
        <s v="K2-62 c"/>
        <s v="K2-63 b"/>
        <s v="K2-63 c"/>
        <s v="K2-64 b"/>
        <s v="K2-65 b"/>
        <s v="K2-66 b"/>
        <s v="K2-68 b"/>
        <s v="K2-69 b"/>
        <s v="K2-7 b"/>
        <s v="K2-70 b"/>
        <s v="K2-71 b"/>
        <s v="K2-72 b"/>
        <s v="K2-72 c"/>
        <s v="K2-72 d"/>
        <s v="K2-72 e"/>
        <s v="K2-73 b"/>
        <s v="K2-74 b"/>
        <s v="K2-75 b"/>
        <s v="K2-75 c"/>
        <s v="K2-77 b"/>
        <s v="K2-79 b"/>
        <s v="K2-8 b"/>
        <s v="K2-8 c"/>
        <s v="K2-80 b"/>
        <s v="K2-80 c"/>
        <s v="K2-80 d"/>
        <s v="K2-81 b"/>
        <s v="K2-83 b"/>
        <s v="K2-83 c"/>
        <s v="K2-84 b"/>
        <s v="K2-84 c"/>
        <s v="K2-85 b"/>
        <s v="K2-86 b"/>
        <s v="K2-87 b"/>
        <s v="K2-88 b"/>
        <s v="K2-89 b"/>
        <s v="K2-9 b"/>
        <s v="K2-90 b"/>
        <s v="K2-90 c"/>
        <s v="K2-91 b"/>
        <s v="K2-95 b"/>
        <s v="K2-97 b"/>
        <s v="K2-98 b"/>
        <s v="K2-99 b"/>
        <s v="KELT-1 b"/>
        <s v="KELT-10 b"/>
        <s v="KELT-11 b"/>
        <s v="KELT-12 b"/>
        <s v="KELT-14 b"/>
        <s v="KELT-15 b"/>
        <s v="KELT-16 b"/>
        <s v="KELT-17 b"/>
        <s v="KELT-18 b"/>
        <s v="KELT-19 A b"/>
        <s v="KELT-2 A b"/>
        <s v="KELT-20 b"/>
        <s v="KELT-21 b"/>
        <s v="KELT-3 b"/>
        <s v="KELT-4 A b"/>
        <s v="KELT-6 b"/>
        <s v="KELT-6 c"/>
        <s v="KELT-7 b"/>
        <s v="KELT-8 b"/>
        <s v="KELT-9 b"/>
        <s v="KIC 10001893 b"/>
        <s v="KIC 10001893 c"/>
        <s v="KIC 10001893 d"/>
        <s v="KIC 10525077 b"/>
        <s v="KIC 3558849 b"/>
        <s v="KIC 5437945 b"/>
        <s v="KIC 5951458 b"/>
        <s v="KIC 7917485 b"/>
        <s v="KIC 8540376 b"/>
        <s v="KIC 8540376 c"/>
        <s v="KIC 9663113 b"/>
        <s v="KMT-2016-BLG-1107L b"/>
        <s v="KMT-2016-BLG-1397L b"/>
        <s v="KMT-2016-BLG-1820L b"/>
        <s v="KMT-2016-BLG-2142L b"/>
        <s v="KMT-2017-BLG-1038L b"/>
        <s v="KMT-2017-BLG-1146L b"/>
        <s v="KOI-12 b"/>
        <s v="KOI-1257 b"/>
        <s v="KOI-13 b"/>
        <s v="KOI-142 b"/>
        <s v="KOI-142 c"/>
        <s v="KOI-1599.01"/>
        <s v="KOI-1599.02"/>
        <s v="KOI-217 b"/>
        <s v="KOI-351 b"/>
        <s v="KOI-351 c"/>
        <s v="KOI-351 d"/>
        <s v="KOI-351 e"/>
        <s v="KOI-351 f"/>
        <s v="KOI-351 g"/>
        <s v="KOI-351 h"/>
        <s v="KOI-351 i"/>
        <s v="KOI-3680 b"/>
        <s v="KOI-55 b"/>
        <s v="KOI-55 c"/>
        <s v="KOI-94 b"/>
        <s v="KOI-94 c"/>
        <s v="KOI-94 d"/>
        <s v="KOI-94 e"/>
        <s v="KPS-1 b"/>
        <s v="Kapteyn c"/>
        <s v="Kepler-10 b"/>
        <s v="Kepler-10 c"/>
        <s v="Kepler-100 b"/>
        <s v="Kepler-100 c"/>
        <s v="Kepler-100 d"/>
        <s v="Kepler-1000 b"/>
        <s v="Kepler-1001 b"/>
        <s v="Kepler-1002 b"/>
        <s v="Kepler-1003 b"/>
        <s v="Kepler-1004 b"/>
        <s v="Kepler-1005 b"/>
        <s v="Kepler-1006 b"/>
        <s v="Kepler-1007 b"/>
        <s v="Kepler-1008 b"/>
        <s v="Kepler-1009 b"/>
        <s v="Kepler-101 b"/>
        <s v="Kepler-101 c"/>
        <s v="Kepler-1010 b"/>
        <s v="Kepler-1011 b"/>
        <s v="Kepler-1012 b"/>
        <s v="Kepler-1013 b"/>
        <s v="Kepler-1014 b"/>
        <s v="Kepler-1015 b"/>
        <s v="Kepler-1016 b"/>
        <s v="Kepler-1016 c"/>
        <s v="Kepler-1017 b"/>
        <s v="Kepler-1018 b"/>
        <s v="Kepler-1019 b"/>
        <s v="Kepler-102 b"/>
        <s v="Kepler-102 c"/>
        <s v="Kepler-102 d"/>
        <s v="Kepler-102 e"/>
        <s v="Kepler-102 f"/>
        <s v="Kepler-1020 b"/>
        <s v="Kepler-1021 b"/>
        <s v="Kepler-1022 b"/>
        <s v="Kepler-1023 b"/>
        <s v="Kepler-1024 b"/>
        <s v="Kepler-1025 b"/>
        <s v="Kepler-1026 b"/>
        <s v="Kepler-1027 b"/>
        <s v="Kepler-1028 b"/>
        <s v="Kepler-1029 b"/>
        <s v="Kepler-103 b"/>
        <s v="Kepler-103 c"/>
        <s v="Kepler-1030 b"/>
        <s v="Kepler-1031 b"/>
        <s v="Kepler-1032 b"/>
        <s v="Kepler-1033 b"/>
        <s v="Kepler-1034 b"/>
        <s v="Kepler-1035 b"/>
        <s v="Kepler-1036 b"/>
        <s v="Kepler-1037 b"/>
        <s v="Kepler-1038 b"/>
        <s v="Kepler-1039 b"/>
        <s v="Kepler-104 b"/>
        <s v="Kepler-104 c"/>
        <s v="Kepler-104 d"/>
        <s v="Kepler-1040 b"/>
        <s v="Kepler-1041 b"/>
        <s v="Kepler-1042 b"/>
        <s v="Kepler-1043 b"/>
        <s v="Kepler-1044 b"/>
        <s v="Kepler-1045 b"/>
        <s v="Kepler-1046 b"/>
        <s v="Kepler-1047 b"/>
        <s v="Kepler-1047 c"/>
        <s v="Kepler-1048 b"/>
        <s v="Kepler-1049 b"/>
        <s v="Kepler-105 b"/>
        <s v="Kepler-105 c"/>
        <s v="Kepler-1050 b"/>
        <s v="Kepler-1050 c"/>
        <s v="Kepler-1051 b"/>
        <s v="Kepler-1052 b"/>
        <s v="Kepler-1053 b"/>
        <s v="Kepler-1054 b"/>
        <s v="Kepler-1055 b"/>
        <s v="Kepler-1056 b"/>
        <s v="Kepler-1057 b"/>
        <s v="Kepler-1058 b"/>
        <s v="Kepler-1059 b"/>
        <s v="Kepler-106 b"/>
        <s v="Kepler-106 c"/>
        <s v="Kepler-106 d"/>
        <s v="Kepler-106 e"/>
        <s v="Kepler-1060 b"/>
        <s v="Kepler-1061 b"/>
        <s v="Kepler-1062 b"/>
        <s v="Kepler-1063 b"/>
        <s v="Kepler-1064 b"/>
        <s v="Kepler-1065 b"/>
        <s v="Kepler-1065 c"/>
        <s v="Kepler-1066 b"/>
        <s v="Kepler-1067 b"/>
        <s v="Kepler-1068 b"/>
        <s v="Kepler-1069 b"/>
        <s v="Kepler-107 b"/>
        <s v="Kepler-107 c"/>
        <s v="Kepler-107 d"/>
        <s v="Kepler-107 e"/>
        <s v="Kepler-1070 b"/>
        <s v="Kepler-1071 b"/>
        <s v="Kepler-1072 b"/>
        <s v="Kepler-1073 b"/>
        <s v="Kepler-1073 c"/>
        <s v="Kepler-1074 b"/>
        <s v="Kepler-1075 b"/>
        <s v="Kepler-1076 b"/>
        <s v="Kepler-1077 b"/>
        <s v="Kepler-1078 b"/>
        <s v="Kepler-1079 b"/>
        <s v="Kepler-108 b"/>
        <s v="Kepler-108 c"/>
        <s v="Kepler-1080 b"/>
        <s v="Kepler-1081 b"/>
        <s v="Kepler-1082 b"/>
        <s v="Kepler-1083 b"/>
        <s v="Kepler-1084 b"/>
        <s v="Kepler-1085 b"/>
        <s v="Kepler-1086 b"/>
        <s v="Kepler-1086 c"/>
        <s v="Kepler-1087 b"/>
        <s v="Kepler-1088 b"/>
        <s v="Kepler-1089 b"/>
        <s v="Kepler-109 b"/>
        <s v="Kepler-109 c"/>
        <s v="Kepler-1090 b"/>
        <s v="Kepler-1091 b"/>
        <s v="Kepler-1092 b"/>
        <s v="Kepler-1093 b"/>
        <s v="Kepler-1093 c"/>
        <s v="Kepler-1094 b"/>
        <s v="Kepler-1095 b"/>
        <s v="Kepler-1096 b"/>
        <s v="Kepler-1097 b"/>
        <s v="Kepler-1098 b"/>
        <s v="Kepler-1099 b"/>
        <s v="Kepler-11 b"/>
        <s v="Kepler-11 c"/>
        <s v="Kepler-11 d"/>
        <s v="Kepler-11 e"/>
        <s v="Kepler-11 f"/>
        <s v="Kepler-11 g"/>
        <s v="Kepler-110 b"/>
        <s v="Kepler-110 c"/>
        <s v="Kepler-1100 b"/>
        <s v="Kepler-1101 b"/>
        <s v="Kepler-1102 b"/>
        <s v="Kepler-1103 b"/>
        <s v="Kepler-1104 b"/>
        <s v="Kepler-1105 b"/>
        <s v="Kepler-1106 b"/>
        <s v="Kepler-1107 b"/>
        <s v="Kepler-1108 b"/>
        <s v="Kepler-1109 b"/>
        <s v="Kepler-111 b"/>
        <s v="Kepler-111 c"/>
        <s v="Kepler-1110 b"/>
        <s v="Kepler-1111 b"/>
        <s v="Kepler-1112 b"/>
        <s v="Kepler-1113 b"/>
        <s v="Kepler-1114 b"/>
        <s v="Kepler-1115 b"/>
        <s v="Kepler-1116 b"/>
        <s v="Kepler-1117 b"/>
        <s v="Kepler-1118 b"/>
        <s v="Kepler-1119 b"/>
        <s v="Kepler-112 b"/>
        <s v="Kepler-112 c"/>
        <s v="Kepler-1120 b"/>
        <s v="Kepler-1121 b"/>
        <s v="Kepler-1122 b"/>
        <s v="Kepler-1123 b"/>
        <s v="Kepler-1124 b"/>
        <s v="Kepler-1125 b"/>
        <s v="Kepler-1126 b"/>
        <s v="Kepler-1127 b"/>
        <s v="Kepler-1128 b"/>
        <s v="Kepler-1129 b"/>
        <s v="Kepler-1129 c"/>
        <s v="Kepler-113 b"/>
        <s v="Kepler-113 c"/>
        <s v="Kepler-1130 b"/>
        <s v="Kepler-1131 b"/>
        <s v="Kepler-1132 b"/>
        <s v="Kepler-1133 b"/>
        <s v="Kepler-1134 b"/>
        <s v="Kepler-1135 b"/>
        <s v="Kepler-1136 b"/>
        <s v="Kepler-1137 b"/>
        <s v="Kepler-1138 b"/>
        <s v="Kepler-1139 b"/>
        <s v="Kepler-114 b"/>
        <s v="Kepler-114 c"/>
        <s v="Kepler-114 d"/>
        <s v="Kepler-1140 b"/>
        <s v="Kepler-1141 b"/>
        <s v="Kepler-1142 b"/>
        <s v="Kepler-1143 b"/>
        <s v="Kepler-1143 c"/>
        <s v="Kepler-1144 b"/>
        <s v="Kepler-1145 b"/>
        <s v="Kepler-1146 b"/>
        <s v="Kepler-1147 b"/>
        <s v="Kepler-1148 b"/>
        <s v="Kepler-1149 b"/>
        <s v="Kepler-115 b"/>
        <s v="Kepler-115 c"/>
        <s v="Kepler-1150 b"/>
        <s v="Kepler-1151 b"/>
        <s v="Kepler-1152 b"/>
        <s v="Kepler-1153 b"/>
        <s v="Kepler-1154 b"/>
        <s v="Kepler-1154 c"/>
        <s v="Kepler-1155 b"/>
        <s v="Kepler-1156 b"/>
        <s v="Kepler-1157 b"/>
        <s v="Kepler-1158 b"/>
        <s v="Kepler-1159 b"/>
        <s v="Kepler-116 b"/>
        <s v="Kepler-116 c"/>
        <s v="Kepler-1160 b"/>
        <s v="Kepler-1161 b"/>
        <s v="Kepler-1162 b"/>
        <s v="Kepler-1163 b"/>
        <s v="Kepler-1164 b"/>
        <s v="Kepler-1165 b"/>
        <s v="Kepler-1166 b"/>
        <s v="Kepler-1167 b"/>
        <s v="Kepler-1168 b"/>
        <s v="Kepler-1169 b"/>
        <s v="Kepler-117 b"/>
        <s v="Kepler-117 c"/>
        <s v="Kepler-1170 b"/>
        <s v="Kepler-1171 b"/>
        <s v="Kepler-1172 b"/>
        <s v="Kepler-1173 b"/>
        <s v="Kepler-1174 b"/>
        <s v="Kepler-1175 b"/>
        <s v="Kepler-1176 b"/>
        <s v="Kepler-1177 b"/>
        <s v="Kepler-1178 b"/>
        <s v="Kepler-1179 b"/>
        <s v="Kepler-118 b"/>
        <s v="Kepler-118 c"/>
        <s v="Kepler-1180 b"/>
        <s v="Kepler-1181 b"/>
        <s v="Kepler-1182 b"/>
        <s v="Kepler-1183 b"/>
        <s v="Kepler-1184 b"/>
        <s v="Kepler-1185 b"/>
        <s v="Kepler-1186 b"/>
        <s v="Kepler-1187 b"/>
        <s v="Kepler-1188 b"/>
        <s v="Kepler-1189 b"/>
        <s v="Kepler-119 b"/>
        <s v="Kepler-119 c"/>
        <s v="Kepler-1190 b"/>
        <s v="Kepler-1191 b"/>
        <s v="Kepler-1192 b"/>
        <s v="Kepler-1193 b"/>
        <s v="Kepler-1194 b"/>
        <s v="Kepler-1195 b"/>
        <s v="Kepler-1196 b"/>
        <s v="Kepler-1197 b"/>
        <s v="Kepler-1198 b"/>
        <s v="Kepler-1199 b"/>
        <s v="Kepler-12 b"/>
        <s v="Kepler-120 b"/>
        <s v="Kepler-120 c"/>
        <s v="Kepler-1200 b"/>
        <s v="Kepler-1201 b"/>
        <s v="Kepler-1202 b"/>
        <s v="Kepler-1203 b"/>
        <s v="Kepler-1204 b"/>
        <s v="Kepler-1205 b"/>
        <s v="Kepler-1206 b"/>
        <s v="Kepler-1207 b"/>
        <s v="Kepler-1208 b"/>
        <s v="Kepler-1209 b"/>
        <s v="Kepler-121 b"/>
        <s v="Kepler-121 c"/>
        <s v="Kepler-1210 b"/>
        <s v="Kepler-1211 b"/>
        <s v="Kepler-1212 b"/>
        <s v="Kepler-1213 b"/>
        <s v="Kepler-1214 b"/>
        <s v="Kepler-1215 b"/>
        <s v="Kepler-1216 b"/>
        <s v="Kepler-1217 b"/>
        <s v="Kepler-1218 b"/>
        <s v="Kepler-1219 b"/>
        <s v="Kepler-122 b"/>
        <s v="Kepler-122 c"/>
        <s v="Kepler-122 d"/>
        <s v="Kepler-122 e"/>
        <s v="Kepler-122 f"/>
        <s v="Kepler-1220 b"/>
        <s v="Kepler-1221 b"/>
        <s v="Kepler-1222 b"/>
        <s v="Kepler-1223 b"/>
        <s v="Kepler-1224 b"/>
        <s v="Kepler-1225 b"/>
        <s v="Kepler-1226 b"/>
        <s v="Kepler-1227 b"/>
        <s v="Kepler-1228 b"/>
        <s v="Kepler-1229 b"/>
        <s v="Kepler-123 b"/>
        <s v="Kepler-123 c"/>
        <s v="Kepler-1230 b"/>
        <s v="Kepler-1231 b"/>
        <s v="Kepler-1232 b"/>
        <s v="Kepler-1233 b"/>
        <s v="Kepler-1234 b"/>
        <s v="Kepler-1235 b"/>
        <s v="Kepler-1236 b"/>
        <s v="Kepler-1237 b"/>
        <s v="Kepler-1238 b"/>
        <s v="Kepler-1239 b"/>
        <s v="Kepler-124 b"/>
        <s v="Kepler-124 c"/>
        <s v="Kepler-124 d"/>
        <s v="Kepler-1240 b"/>
        <s v="Kepler-1241 b"/>
        <s v="Kepler-1242 b"/>
        <s v="Kepler-1243 b"/>
        <s v="Kepler-1244 b"/>
        <s v="Kepler-1245 b"/>
        <s v="Kepler-1245 c"/>
        <s v="Kepler-1246 b"/>
        <s v="Kepler-1247 b"/>
        <s v="Kepler-1248 b"/>
        <s v="Kepler-1249 b"/>
        <s v="Kepler-125 b"/>
        <s v="Kepler-125 c"/>
        <s v="Kepler-1250 b"/>
        <s v="Kepler-1251 b"/>
        <s v="Kepler-1252 b"/>
        <s v="Kepler-1253 b"/>
        <s v="Kepler-1254 b"/>
        <s v="Kepler-1254 c"/>
        <s v="Kepler-1254 d"/>
        <s v="Kepler-1255 b"/>
        <s v="Kepler-1256 b"/>
        <s v="Kepler-1257 b"/>
        <s v="Kepler-1258 b"/>
        <s v="Kepler-1259 b"/>
        <s v="Kepler-126 b"/>
        <s v="Kepler-126 c"/>
        <s v="Kepler-126 d"/>
        <s v="Kepler-1260 b"/>
        <s v="Kepler-1261 b"/>
        <s v="Kepler-1262 b"/>
        <s v="Kepler-1263 b"/>
        <s v="Kepler-1264 b"/>
        <s v="Kepler-1265 b"/>
        <s v="Kepler-1266 b"/>
        <s v="Kepler-1267 b"/>
        <s v="Kepler-1268 b"/>
        <s v="Kepler-1269 b"/>
        <s v="Kepler-127 b"/>
        <s v="Kepler-127 c"/>
        <s v="Kepler-127 d"/>
        <s v="Kepler-1270 b"/>
        <s v="Kepler-1271 b"/>
        <s v="Kepler-1272 b"/>
        <s v="Kepler-1273 b"/>
        <s v="Kepler-1274 b"/>
        <s v="Kepler-1275 b"/>
        <s v="Kepler-1276 b"/>
        <s v="Kepler-1277 b"/>
        <s v="Kepler-1278 b"/>
        <s v="Kepler-1279 b"/>
        <s v="Kepler-128 b"/>
        <s v="Kepler-128 c"/>
        <s v="Kepler-1280 b"/>
        <s v="Kepler-1281 b"/>
        <s v="Kepler-1282 b"/>
        <s v="Kepler-1283 b"/>
        <s v="Kepler-1284 b"/>
        <s v="Kepler-1285 b"/>
        <s v="Kepler-1286 b"/>
        <s v="Kepler-1287 b"/>
        <s v="Kepler-1288 b"/>
        <s v="Kepler-1289 b"/>
        <s v="Kepler-129 b"/>
        <s v="Kepler-129 c"/>
        <s v="Kepler-1290 b"/>
        <s v="Kepler-1291 b"/>
        <s v="Kepler-1292 b"/>
        <s v="Kepler-1293 b"/>
        <s v="Kepler-1294 b"/>
        <s v="Kepler-1295 b"/>
        <s v="Kepler-1296 b"/>
        <s v="Kepler-1297 b"/>
        <s v="Kepler-1298 b"/>
        <s v="Kepler-1299 b"/>
        <s v="Kepler-130 b"/>
        <s v="Kepler-130 c"/>
        <s v="Kepler-130 d"/>
        <s v="Kepler-1300 b"/>
        <s v="Kepler-1301 b"/>
        <s v="Kepler-1302 b"/>
        <s v="Kepler-1303 b"/>
        <s v="Kepler-1304 b"/>
        <s v="Kepler-1305 b"/>
        <s v="Kepler-1306 b"/>
        <s v="Kepler-1307 b"/>
        <s v="Kepler-1308 b"/>
        <s v="Kepler-1309 b"/>
        <s v="Kepler-131 b"/>
        <s v="Kepler-131 c"/>
        <s v="Kepler-1310 b"/>
        <s v="Kepler-1311 b"/>
        <s v="Kepler-1311 c"/>
        <s v="Kepler-1312 b"/>
        <s v="Kepler-1313 b"/>
        <s v="Kepler-1314 b"/>
        <s v="Kepler-1315 b"/>
        <s v="Kepler-1316 b"/>
        <s v="Kepler-1317 b"/>
        <s v="Kepler-1318 b"/>
        <s v="Kepler-1319 b"/>
        <s v="Kepler-132 b"/>
        <s v="Kepler-132 c"/>
        <s v="Kepler-132 d"/>
        <s v="Kepler-132 e"/>
        <s v="Kepler-1320 b"/>
        <s v="Kepler-1321 b"/>
        <s v="Kepler-1321 c"/>
        <s v="Kepler-1322 b"/>
        <s v="Kepler-1323 b"/>
        <s v="Kepler-1324 b"/>
        <s v="Kepler-1325 b"/>
        <s v="Kepler-1326 b"/>
        <s v="Kepler-1327 b"/>
        <s v="Kepler-1328 b"/>
        <s v="Kepler-1329 b"/>
        <s v="Kepler-133 b"/>
        <s v="Kepler-133 c"/>
        <s v="Kepler-1330 b"/>
        <s v="Kepler-1331 b"/>
        <s v="Kepler-1332 b"/>
        <s v="Kepler-1333 b"/>
        <s v="Kepler-1334 b"/>
        <s v="Kepler-1335 b"/>
        <s v="Kepler-1336 b"/>
        <s v="Kepler-1336 c"/>
        <s v="Kepler-1337 b"/>
        <s v="Kepler-1338 b"/>
        <s v="Kepler-1339 b"/>
        <s v="Kepler-134 b"/>
        <s v="Kepler-134 c"/>
        <s v="Kepler-1340 b"/>
        <s v="Kepler-1341 b"/>
        <s v="Kepler-1342 b"/>
        <s v="Kepler-1343 b"/>
        <s v="Kepler-1344 b"/>
        <s v="Kepler-1345 b"/>
        <s v="Kepler-1346 b"/>
        <s v="Kepler-1347 b"/>
        <s v="Kepler-1348 b"/>
        <s v="Kepler-1349 b"/>
        <s v="Kepler-135 b"/>
        <s v="Kepler-135 c"/>
        <s v="Kepler-1350 b"/>
        <s v="Kepler-1350 c"/>
        <s v="Kepler-1351 b"/>
        <s v="Kepler-1352 b"/>
        <s v="Kepler-1353 b"/>
        <s v="Kepler-1354 b"/>
        <s v="Kepler-1355 b"/>
        <s v="Kepler-1356 b"/>
        <s v="Kepler-1357 b"/>
        <s v="Kepler-1358 b"/>
        <s v="Kepler-1359 b"/>
        <s v="Kepler-136 b"/>
        <s v="Kepler-136 c"/>
        <s v="Kepler-1360 b"/>
        <s v="Kepler-1361 b"/>
        <s v="Kepler-1362 b"/>
        <s v="Kepler-1363 b"/>
        <s v="Kepler-1364 b"/>
        <s v="Kepler-1365 b"/>
        <s v="Kepler-1365 c"/>
        <s v="Kepler-1366 b"/>
        <s v="Kepler-1367 b"/>
        <s v="Kepler-1368 b"/>
        <s v="Kepler-1369 b"/>
        <s v="Kepler-137 b"/>
        <s v="Kepler-137 c"/>
        <s v="Kepler-1370 b"/>
        <s v="Kepler-1370 c"/>
        <s v="Kepler-1371 b"/>
        <s v="Kepler-1371 c"/>
        <s v="Kepler-1372 b"/>
        <s v="Kepler-1373 b"/>
        <s v="Kepler-1374 b"/>
        <s v="Kepler-1375 b"/>
        <s v="Kepler-1376 b"/>
        <s v="Kepler-1377 b"/>
        <s v="Kepler-1378 b"/>
        <s v="Kepler-1379 b"/>
        <s v="Kepler-138 b"/>
        <s v="Kepler-138 c"/>
        <s v="Kepler-138 d"/>
        <s v="Kepler-1380 b"/>
        <s v="Kepler-1381 b"/>
        <s v="Kepler-1382 b"/>
        <s v="Kepler-1383 b"/>
        <s v="Kepler-1384 b"/>
        <s v="Kepler-1385 b"/>
        <s v="Kepler-1386 b"/>
        <s v="Kepler-1387 b"/>
        <s v="Kepler-1388 b"/>
        <s v="Kepler-1388 c"/>
        <s v="Kepler-1388 d"/>
        <s v="Kepler-1388 e"/>
        <s v="Kepler-1389 b"/>
        <s v="Kepler-139 b"/>
        <s v="Kepler-139 c"/>
        <s v="Kepler-1390 b"/>
        <s v="Kepler-1391 b"/>
        <s v="Kepler-1392 b"/>
        <s v="Kepler-1393 b"/>
        <s v="Kepler-1394 b"/>
        <s v="Kepler-1395 b"/>
        <s v="Kepler-1396 b"/>
        <s v="Kepler-1397 b"/>
        <s v="Kepler-1398 b"/>
        <s v="Kepler-1398 c"/>
        <s v="Kepler-1399 b"/>
        <s v="Kepler-14 b"/>
        <s v="Kepler-140 b"/>
        <s v="Kepler-140 c"/>
        <s v="Kepler-1400 b"/>
        <s v="Kepler-1401 b"/>
        <s v="Kepler-1402 b"/>
        <s v="Kepler-1403 b"/>
        <s v="Kepler-1404 b"/>
        <s v="Kepler-1405 b"/>
        <s v="Kepler-1406 b"/>
        <s v="Kepler-1407 b"/>
        <s v="Kepler-1408 b"/>
        <s v="Kepler-1409 b"/>
        <s v="Kepler-141 b"/>
        <s v="Kepler-141 c"/>
        <s v="Kepler-1410 b"/>
        <s v="Kepler-1411 b"/>
        <s v="Kepler-1412 b"/>
        <s v="Kepler-1413 b"/>
        <s v="Kepler-1414 b"/>
        <s v="Kepler-1415 b"/>
        <s v="Kepler-1416 b"/>
        <s v="Kepler-1417 b"/>
        <s v="Kepler-1418 b"/>
        <s v="Kepler-1419 b"/>
        <s v="Kepler-142 b"/>
        <s v="Kepler-142 c"/>
        <s v="Kepler-142 d"/>
        <s v="Kepler-1420 b"/>
        <s v="Kepler-1421 b"/>
        <s v="Kepler-1422 b"/>
        <s v="Kepler-1423 b"/>
        <s v="Kepler-1424 b"/>
        <s v="Kepler-1425 b"/>
        <s v="Kepler-1426 b"/>
        <s v="Kepler-1427 b"/>
        <s v="Kepler-1428 b"/>
        <s v="Kepler-1429 b"/>
        <s v="Kepler-143 b"/>
        <s v="Kepler-143 c"/>
        <s v="Kepler-1430 b"/>
        <s v="Kepler-1431 b"/>
        <s v="Kepler-1432 b"/>
        <s v="Kepler-1433 b"/>
        <s v="Kepler-1434 b"/>
        <s v="Kepler-1435 b"/>
        <s v="Kepler-1436 b"/>
        <s v="Kepler-1437 b"/>
        <s v="Kepler-1438 b"/>
        <s v="Kepler-1439 b"/>
        <s v="Kepler-144 b"/>
        <s v="Kepler-144 c"/>
        <s v="Kepler-1440 b"/>
        <s v="Kepler-1441 b"/>
        <s v="Kepler-1442 b"/>
        <s v="Kepler-1443 b"/>
        <s v="Kepler-1444 b"/>
        <s v="Kepler-1445 b"/>
        <s v="Kepler-1446 b"/>
        <s v="Kepler-1447 b"/>
        <s v="Kepler-1448 b"/>
        <s v="Kepler-1449 b"/>
        <s v="Kepler-145 b"/>
        <s v="Kepler-145 c"/>
        <s v="Kepler-1450 b"/>
        <s v="Kepler-1451 b"/>
        <s v="Kepler-1452 b"/>
        <s v="Kepler-1453 b"/>
        <s v="Kepler-1454 b"/>
        <s v="Kepler-1455 b"/>
        <s v="Kepler-1456 b"/>
        <s v="Kepler-1457 b"/>
        <s v="Kepler-1458 b"/>
        <s v="Kepler-1459 b"/>
        <s v="Kepler-146 b"/>
        <s v="Kepler-146 c"/>
        <s v="Kepler-1460 b"/>
        <s v="Kepler-1461 b"/>
        <s v="Kepler-1462 b"/>
        <s v="Kepler-1463 b"/>
        <s v="Kepler-1464 b"/>
        <s v="Kepler-1464 c"/>
        <s v="Kepler-1465 b"/>
        <s v="Kepler-1466 b"/>
        <s v="Kepler-1467 b"/>
        <s v="Kepler-1468 b"/>
        <s v="Kepler-1468 c"/>
        <s v="Kepler-1469 b"/>
        <s v="Kepler-147 b"/>
        <s v="Kepler-147 c"/>
        <s v="Kepler-1470 b"/>
        <s v="Kepler-1471 b"/>
        <s v="Kepler-1472 b"/>
        <s v="Kepler-1473 b"/>
        <s v="Kepler-1474 b"/>
        <s v="Kepler-1475 b"/>
        <s v="Kepler-1476 b"/>
        <s v="Kepler-1477 b"/>
        <s v="Kepler-1478 b"/>
        <s v="Kepler-1479 b"/>
        <s v="Kepler-148 b"/>
        <s v="Kepler-148 c"/>
        <s v="Kepler-148 d"/>
        <s v="Kepler-1480 b"/>
        <s v="Kepler-1481 b"/>
        <s v="Kepler-1482 b"/>
        <s v="Kepler-1483 b"/>
        <s v="Kepler-1484 b"/>
        <s v="Kepler-1485 b"/>
        <s v="Kepler-1486 b"/>
        <s v="Kepler-1487 b"/>
        <s v="Kepler-1488 b"/>
        <s v="Kepler-1489 b"/>
        <s v="Kepler-149 b"/>
        <s v="Kepler-149 c"/>
        <s v="Kepler-149 d"/>
        <s v="Kepler-1490 b"/>
        <s v="Kepler-1491 b"/>
        <s v="Kepler-1492 b"/>
        <s v="Kepler-1493 b"/>
        <s v="Kepler-1494 b"/>
        <s v="Kepler-1495 b"/>
        <s v="Kepler-1496 b"/>
        <s v="Kepler-1497 b"/>
        <s v="Kepler-1498 b"/>
        <s v="Kepler-1499 b"/>
        <s v="Kepler-15 b"/>
        <s v="Kepler-150 b"/>
        <s v="Kepler-150 c"/>
        <s v="Kepler-150 d"/>
        <s v="Kepler-150 e"/>
        <s v="Kepler-150 f"/>
        <s v="Kepler-1500 b"/>
        <s v="Kepler-1501 b"/>
        <s v="Kepler-1502 b"/>
        <s v="Kepler-1503 b"/>
        <s v="Kepler-1504 b"/>
        <s v="Kepler-1505 b"/>
        <s v="Kepler-1506 b"/>
        <s v="Kepler-1507 b"/>
        <s v="Kepler-1508 b"/>
        <s v="Kepler-1509 b"/>
        <s v="Kepler-151 b"/>
        <s v="Kepler-151 c"/>
        <s v="Kepler-1510 b"/>
        <s v="Kepler-1511 b"/>
        <s v="Kepler-1512 b"/>
        <s v="Kepler-1513 b"/>
        <s v="Kepler-1514 b"/>
        <s v="Kepler-1515 b"/>
        <s v="Kepler-1516 b"/>
        <s v="Kepler-1517 b"/>
        <s v="Kepler-1518 b"/>
        <s v="Kepler-1519 b"/>
        <s v="Kepler-152 b"/>
        <s v="Kepler-152 c"/>
        <s v="Kepler-1520 b"/>
        <s v="Kepler-1521 b"/>
        <s v="Kepler-1522 b"/>
        <s v="Kepler-1523 b"/>
        <s v="Kepler-1524 b"/>
        <s v="Kepler-1525 b"/>
        <s v="Kepler-1526 b"/>
        <s v="Kepler-1527 b"/>
        <s v="Kepler-1528 b"/>
        <s v="Kepler-1529 b"/>
        <s v="Kepler-153 b"/>
        <s v="Kepler-153 c"/>
        <s v="Kepler-1530 b"/>
        <s v="Kepler-1530 c"/>
        <s v="Kepler-1531 b"/>
        <s v="Kepler-1532 b"/>
        <s v="Kepler-1533 b"/>
        <s v="Kepler-1534 b"/>
        <s v="Kepler-1535 b"/>
        <s v="Kepler-1536 b"/>
        <s v="Kepler-1537 b"/>
        <s v="Kepler-1538 b"/>
        <s v="Kepler-1539 b"/>
        <s v="Kepler-154 b"/>
        <s v="Kepler-154 c"/>
        <s v="Kepler-154 d"/>
        <s v="Kepler-154 e"/>
        <s v="Kepler-154 f"/>
        <s v="Kepler-1540 b"/>
        <s v="Kepler-1541 b"/>
        <s v="Kepler-1542 b"/>
        <s v="Kepler-1542 c"/>
        <s v="Kepler-1542 d"/>
        <s v="Kepler-1542 e"/>
        <s v="Kepler-1543 b"/>
        <s v="Kepler-1544 b"/>
        <s v="Kepler-1545 b"/>
        <s v="Kepler-1546 b"/>
        <s v="Kepler-1547 b"/>
        <s v="Kepler-1548 b"/>
        <s v="Kepler-1549 b"/>
        <s v="Kepler-155 b"/>
        <s v="Kepler-155 c"/>
        <s v="Kepler-1550 b"/>
        <s v="Kepler-1551 b"/>
        <s v="Kepler-1552 b"/>
        <s v="Kepler-1553 b"/>
        <s v="Kepler-1554 b"/>
        <s v="Kepler-1555 b"/>
        <s v="Kepler-1556 b"/>
        <s v="Kepler-1557 b"/>
        <s v="Kepler-1558 b"/>
        <s v="Kepler-1559 b"/>
        <s v="Kepler-156 b"/>
        <s v="Kepler-156 c"/>
        <s v="Kepler-1560 b"/>
        <s v="Kepler-1561 b"/>
        <s v="Kepler-1562 b"/>
        <s v="Kepler-1563 b"/>
        <s v="Kepler-1564 b"/>
        <s v="Kepler-1565 b"/>
        <s v="Kepler-1566 b"/>
        <s v="Kepler-1567 b"/>
        <s v="Kepler-1568 b"/>
        <s v="Kepler-1569 b"/>
        <s v="Kepler-157 b"/>
        <s v="Kepler-157 c"/>
        <s v="Kepler-157 d"/>
        <s v="Kepler-1570 b"/>
        <s v="Kepler-1571 b"/>
        <s v="Kepler-1572 b"/>
        <s v="Kepler-1573 b"/>
        <s v="Kepler-1574 b"/>
        <s v="Kepler-1575 b"/>
        <s v="Kepler-1576 b"/>
        <s v="Kepler-1577 b"/>
        <s v="Kepler-1578 b"/>
        <s v="Kepler-1579 b"/>
        <s v="Kepler-158 b"/>
        <s v="Kepler-158 c"/>
        <s v="Kepler-1580 b"/>
        <s v="Kepler-1581 b"/>
        <s v="Kepler-1582 b"/>
        <s v="Kepler-1583 b"/>
        <s v="Kepler-1584 b"/>
        <s v="Kepler-1585 b"/>
        <s v="Kepler-1586 b"/>
        <s v="Kepler-1587 b"/>
        <s v="Kepler-1588 b"/>
        <s v="Kepler-1589 b"/>
        <s v="Kepler-159 b"/>
        <s v="Kepler-159 c"/>
        <s v="Kepler-1590 b"/>
        <s v="Kepler-1591 b"/>
        <s v="Kepler-1592 b"/>
        <s v="Kepler-1593 b"/>
        <s v="Kepler-1594 b"/>
        <s v="Kepler-1595 b"/>
        <s v="Kepler-1596 b"/>
        <s v="Kepler-1597 b"/>
        <s v="Kepler-1598 b"/>
        <s v="Kepler-1599 b"/>
        <s v="Kepler-16 b"/>
        <s v="Kepler-160 b"/>
        <s v="Kepler-160 c"/>
        <s v="Kepler-1600 b"/>
        <s v="Kepler-1601 b"/>
        <s v="Kepler-1602 b"/>
        <s v="Kepler-1603 b"/>
        <s v="Kepler-1604 b"/>
        <s v="Kepler-1605 b"/>
        <s v="Kepler-1606 b"/>
        <s v="Kepler-1607 b"/>
        <s v="Kepler-1608 b"/>
        <s v="Kepler-1609 b"/>
        <s v="Kepler-161 b"/>
        <s v="Kepler-161 c"/>
        <s v="Kepler-1610 b"/>
        <s v="Kepler-1611 b"/>
        <s v="Kepler-1612 b"/>
        <s v="Kepler-1613 b"/>
        <s v="Kepler-1614 b"/>
        <s v="Kepler-1615 b"/>
        <s v="Kepler-1616 b"/>
        <s v="Kepler-1617 b"/>
        <s v="Kepler-1618 b"/>
        <s v="Kepler-1619 b"/>
        <s v="Kepler-162 b"/>
        <s v="Kepler-162 c"/>
        <s v="Kepler-1620 b"/>
        <s v="Kepler-1621 b"/>
        <s v="Kepler-1622 b"/>
        <s v="Kepler-1623 b"/>
        <s v="Kepler-1624 b"/>
        <s v="Kepler-1625 b"/>
        <s v="Kepler-1626 b"/>
        <s v="Kepler-1627 b"/>
        <s v="Kepler-1628 b"/>
        <s v="Kepler-1629 b"/>
        <s v="Kepler-163 b"/>
        <s v="Kepler-163 c"/>
        <s v="Kepler-1630 b"/>
        <s v="Kepler-1631 b"/>
        <s v="Kepler-1632 b"/>
        <s v="Kepler-1633 b"/>
        <s v="Kepler-1634 b"/>
        <s v="Kepler-1635 b"/>
        <s v="Kepler-1636 b"/>
        <s v="Kepler-1637 b"/>
        <s v="Kepler-1638 b"/>
        <s v="Kepler-1639 b"/>
        <s v="Kepler-164 b"/>
        <s v="Kepler-164 c"/>
        <s v="Kepler-164 d"/>
        <s v="Kepler-1640 b"/>
        <s v="Kepler-1641 b"/>
        <s v="Kepler-1641 c"/>
        <s v="Kepler-1642 b"/>
        <s v="Kepler-1642 c"/>
        <s v="Kepler-1643 b"/>
        <s v="Kepler-1644 b"/>
        <s v="Kepler-1645 b"/>
        <s v="Kepler-1646 b"/>
        <s v="Kepler-1647 b"/>
        <s v="Kepler-1649 b"/>
        <s v="Kepler-165 b"/>
        <s v="Kepler-165 c"/>
        <s v="Kepler-1650 b"/>
        <s v="Kepler-1651 b"/>
        <s v="Kepler-1652 b"/>
        <s v="Kepler-1653 b"/>
        <s v="Kepler-1654 b"/>
        <s v="Kepler-1655 b"/>
        <s v="Kepler-1656 b"/>
        <s v="Kepler-1658 b"/>
        <s v="Kepler-166 b"/>
        <s v="Kepler-166 c"/>
        <s v="Kepler-166 d"/>
        <s v="Kepler-167 b"/>
        <s v="Kepler-167 c"/>
        <s v="Kepler-167 d"/>
        <s v="Kepler-167 e"/>
        <s v="Kepler-168 b"/>
        <s v="Kepler-168 c"/>
        <s v="Kepler-169 b"/>
        <s v="Kepler-169 c"/>
        <s v="Kepler-169 d"/>
        <s v="Kepler-169 e"/>
        <s v="Kepler-169 f"/>
        <s v="Kepler-17 b"/>
        <s v="Kepler-170 b"/>
        <s v="Kepler-170 c"/>
        <s v="Kepler-171 b"/>
        <s v="Kepler-171 c"/>
        <s v="Kepler-171 d"/>
        <s v="Kepler-172 b"/>
        <s v="Kepler-172 c"/>
        <s v="Kepler-172 d"/>
        <s v="Kepler-172 e"/>
        <s v="Kepler-173 b"/>
        <s v="Kepler-173 c"/>
        <s v="Kepler-174 b"/>
        <s v="Kepler-174 c"/>
        <s v="Kepler-174 d"/>
        <s v="Kepler-175 b"/>
        <s v="Kepler-175 c"/>
        <s v="Kepler-176 b"/>
        <s v="Kepler-176 c"/>
        <s v="Kepler-176 d"/>
        <s v="Kepler-176 e"/>
        <s v="Kepler-177 b"/>
        <s v="Kepler-177 c"/>
        <s v="Kepler-178 b"/>
        <s v="Kepler-178 c"/>
        <s v="Kepler-178 d"/>
        <s v="Kepler-179 b"/>
        <s v="Kepler-179 c"/>
        <s v="Kepler-18 b"/>
        <s v="Kepler-18 c"/>
        <s v="Kepler-18 d"/>
        <s v="Kepler-180 b"/>
        <s v="Kepler-180 c"/>
        <s v="Kepler-181 b"/>
        <s v="Kepler-181 c"/>
        <s v="Kepler-182 b"/>
        <s v="Kepler-182 c"/>
        <s v="Kepler-183 b"/>
        <s v="Kepler-183 c"/>
        <s v="Kepler-184 b"/>
        <s v="Kepler-184 c"/>
        <s v="Kepler-184 d"/>
        <s v="Kepler-185 b"/>
        <s v="Kepler-185 c"/>
        <s v="Kepler-186 b"/>
        <s v="Kepler-186 c"/>
        <s v="Kepler-186 d"/>
        <s v="Kepler-186 e"/>
        <s v="Kepler-186 f"/>
        <s v="Kepler-187 b"/>
        <s v="Kepler-187 c"/>
        <s v="Kepler-188 b"/>
        <s v="Kepler-188 c"/>
        <s v="Kepler-189 b"/>
        <s v="Kepler-189 c"/>
        <s v="Kepler-19 b"/>
        <s v="Kepler-19 c"/>
        <s v="Kepler-19 d"/>
        <s v="Kepler-190 b"/>
        <s v="Kepler-190 c"/>
        <s v="Kepler-191 b"/>
        <s v="Kepler-191 c"/>
        <s v="Kepler-191 d"/>
        <s v="Kepler-192 b"/>
        <s v="Kepler-192 c"/>
        <s v="Kepler-192 d"/>
        <s v="Kepler-193 b"/>
        <s v="Kepler-193 c"/>
        <s v="Kepler-194 b"/>
        <s v="Kepler-194 c"/>
        <s v="Kepler-194 d"/>
        <s v="Kepler-195 b"/>
        <s v="Kepler-195 c"/>
        <s v="Kepler-196 b"/>
        <s v="Kepler-196 c"/>
        <s v="Kepler-197 b"/>
        <s v="Kepler-197 c"/>
        <s v="Kepler-197 d"/>
        <s v="Kepler-197 e"/>
        <s v="Kepler-198 b"/>
        <s v="Kepler-198 c"/>
        <s v="Kepler-198 d"/>
        <s v="Kepler-199 b"/>
        <s v="Kepler-199 c"/>
        <s v="Kepler-20 b"/>
        <s v="Kepler-20 c"/>
        <s v="Kepler-20 d"/>
        <s v="Kepler-20 e"/>
        <s v="Kepler-20 f"/>
        <s v="Kepler-20 g"/>
        <s v="Kepler-200 b"/>
        <s v="Kepler-200 c"/>
        <s v="Kepler-201 b"/>
        <s v="Kepler-201 c"/>
        <s v="Kepler-202 b"/>
        <s v="Kepler-202 c"/>
        <s v="Kepler-203 b"/>
        <s v="Kepler-203 c"/>
        <s v="Kepler-203 d"/>
        <s v="Kepler-204 b"/>
        <s v="Kepler-204 c"/>
        <s v="Kepler-205 b"/>
        <s v="Kepler-205 c"/>
        <s v="Kepler-206 b"/>
        <s v="Kepler-206 c"/>
        <s v="Kepler-206 d"/>
        <s v="Kepler-207 b"/>
        <s v="Kepler-207 c"/>
        <s v="Kepler-207 d"/>
        <s v="Kepler-208 b"/>
        <s v="Kepler-208 c"/>
        <s v="Kepler-208 d"/>
        <s v="Kepler-208 e"/>
        <s v="Kepler-209 b"/>
        <s v="Kepler-209 c"/>
        <s v="Kepler-21 b"/>
        <s v="Kepler-210 b"/>
        <s v="Kepler-210 c"/>
        <s v="Kepler-211 b"/>
        <s v="Kepler-211 c"/>
        <s v="Kepler-212 b"/>
        <s v="Kepler-212 c"/>
        <s v="Kepler-213 b"/>
        <s v="Kepler-213 c"/>
        <s v="Kepler-214 b"/>
        <s v="Kepler-214 c"/>
        <s v="Kepler-215 b"/>
        <s v="Kepler-215 c"/>
        <s v="Kepler-215 d"/>
        <s v="Kepler-215 e"/>
        <s v="Kepler-216 b"/>
        <s v="Kepler-216 c"/>
        <s v="Kepler-217 b"/>
        <s v="Kepler-217 c"/>
        <s v="Kepler-217 d"/>
        <s v="Kepler-218 b"/>
        <s v="Kepler-218 c"/>
        <s v="Kepler-218 d"/>
        <s v="Kepler-219 b"/>
        <s v="Kepler-219 c"/>
        <s v="Kepler-219 d"/>
        <s v="Kepler-22 b"/>
        <s v="Kepler-220 b"/>
        <s v="Kepler-220 c"/>
        <s v="Kepler-220 d"/>
        <s v="Kepler-220 e"/>
        <s v="Kepler-221 b"/>
        <s v="Kepler-221 c"/>
        <s v="Kepler-221 d"/>
        <s v="Kepler-221 e"/>
        <s v="Kepler-222 b"/>
        <s v="Kepler-222 c"/>
        <s v="Kepler-222 d"/>
        <s v="Kepler-223 b"/>
        <s v="Kepler-223 c"/>
        <s v="Kepler-223 d"/>
        <s v="Kepler-223 e"/>
        <s v="Kepler-224 b"/>
        <s v="Kepler-224 c"/>
        <s v="Kepler-224 d"/>
        <s v="Kepler-224 e"/>
        <s v="Kepler-225 b"/>
        <s v="Kepler-225 c"/>
        <s v="Kepler-226 b"/>
        <s v="Kepler-226 c"/>
        <s v="Kepler-226 d"/>
        <s v="Kepler-227 b"/>
        <s v="Kepler-227 c"/>
        <s v="Kepler-228 b"/>
        <s v="Kepler-228 c"/>
        <s v="Kepler-228 d"/>
        <s v="Kepler-229 b"/>
        <s v="Kepler-229 c"/>
        <s v="Kepler-229 d"/>
        <s v="Kepler-23 b"/>
        <s v="Kepler-23 c"/>
        <s v="Kepler-23 d"/>
        <s v="Kepler-230 b"/>
        <s v="Kepler-230 c"/>
        <s v="Kepler-231 b"/>
        <s v="Kepler-231 c"/>
        <s v="Kepler-232 b"/>
        <s v="Kepler-232 c"/>
        <s v="Kepler-233 b"/>
        <s v="Kepler-233 c"/>
        <s v="Kepler-234 b"/>
        <s v="Kepler-234 c"/>
        <s v="Kepler-235 b"/>
        <s v="Kepler-235 c"/>
        <s v="Kepler-235 d"/>
        <s v="Kepler-235 e"/>
        <s v="Kepler-236 b"/>
        <s v="Kepler-236 c"/>
        <s v="Kepler-237 b"/>
        <s v="Kepler-237 c"/>
        <s v="Kepler-238 b"/>
        <s v="Kepler-238 c"/>
        <s v="Kepler-238 d"/>
        <s v="Kepler-238 e"/>
        <s v="Kepler-238 f"/>
        <s v="Kepler-239 b"/>
        <s v="Kepler-239 c"/>
        <s v="Kepler-24 b"/>
        <s v="Kepler-24 c"/>
        <s v="Kepler-24 d"/>
        <s v="Kepler-24 e"/>
        <s v="Kepler-240 b"/>
        <s v="Kepler-240 c"/>
        <s v="Kepler-241 b"/>
        <s v="Kepler-241 c"/>
        <s v="Kepler-242 b"/>
        <s v="Kepler-242 c"/>
        <s v="Kepler-243 b"/>
        <s v="Kepler-243 c"/>
        <s v="Kepler-244 b"/>
        <s v="Kepler-244 c"/>
        <s v="Kepler-244 d"/>
        <s v="Kepler-245 b"/>
        <s v="Kepler-245 c"/>
        <s v="Kepler-245 d"/>
        <s v="Kepler-245 e"/>
        <s v="Kepler-246 b"/>
        <s v="Kepler-246 c"/>
        <s v="Kepler-247 b"/>
        <s v="Kepler-247 c"/>
        <s v="Kepler-247 d"/>
        <s v="Kepler-248 b"/>
        <s v="Kepler-248 c"/>
        <s v="Kepler-249 b"/>
        <s v="Kepler-249 c"/>
        <s v="Kepler-249 d"/>
        <s v="Kepler-25 b"/>
        <s v="Kepler-25 c"/>
        <s v="Kepler-25 d"/>
        <s v="Kepler-250 b"/>
        <s v="Kepler-250 c"/>
        <s v="Kepler-250 d"/>
        <s v="Kepler-251 b"/>
        <s v="Kepler-251 c"/>
        <s v="Kepler-251 d"/>
        <s v="Kepler-251 e"/>
        <s v="Kepler-252 b"/>
        <s v="Kepler-252 c"/>
        <s v="Kepler-253 b"/>
        <s v="Kepler-253 c"/>
        <s v="Kepler-253 d"/>
        <s v="Kepler-254 b"/>
        <s v="Kepler-254 c"/>
        <s v="Kepler-254 d"/>
        <s v="Kepler-255 b"/>
        <s v="Kepler-255 c"/>
        <s v="Kepler-255 d"/>
        <s v="Kepler-256 b"/>
        <s v="Kepler-256 c"/>
        <s v="Kepler-256 d"/>
        <s v="Kepler-256 e"/>
        <s v="Kepler-257 b"/>
        <s v="Kepler-257 c"/>
        <s v="Kepler-257 d"/>
        <s v="Kepler-258 b"/>
        <s v="Kepler-258 c"/>
        <s v="Kepler-259 b"/>
        <s v="Kepler-259 c"/>
        <s v="Kepler-26 b"/>
        <s v="Kepler-26 c"/>
        <s v="Kepler-26 d"/>
        <s v="Kepler-26 e"/>
        <s v="Kepler-260 b"/>
        <s v="Kepler-260 c"/>
        <s v="Kepler-261 b"/>
        <s v="Kepler-261 c"/>
        <s v="Kepler-262 b"/>
        <s v="Kepler-262 c"/>
        <s v="Kepler-263 b"/>
        <s v="Kepler-263 c"/>
        <s v="Kepler-264 b"/>
        <s v="Kepler-264 c"/>
        <s v="Kepler-265 b"/>
        <s v="Kepler-265 c"/>
        <s v="Kepler-265 d"/>
        <s v="Kepler-265 e"/>
        <s v="Kepler-266 b"/>
        <s v="Kepler-266 c"/>
        <s v="Kepler-267 b"/>
        <s v="Kepler-267 c"/>
        <s v="Kepler-267 d"/>
        <s v="Kepler-268 b"/>
        <s v="Kepler-268 c"/>
        <s v="Kepler-269 b"/>
        <s v="Kepler-269 c"/>
        <s v="Kepler-27 b"/>
        <s v="Kepler-27 c"/>
        <s v="Kepler-270 b"/>
        <s v="Kepler-270 c"/>
        <s v="Kepler-271 b"/>
        <s v="Kepler-271 c"/>
        <s v="Kepler-271 d"/>
        <s v="Kepler-272 b"/>
        <s v="Kepler-272 c"/>
        <s v="Kepler-272 d"/>
        <s v="Kepler-273 b"/>
        <s v="Kepler-273 c"/>
        <s v="Kepler-274 b"/>
        <s v="Kepler-274 c"/>
        <s v="Kepler-275 b"/>
        <s v="Kepler-275 c"/>
        <s v="Kepler-275 d"/>
        <s v="Kepler-276 b"/>
        <s v="Kepler-276 c"/>
        <s v="Kepler-276 d"/>
        <s v="Kepler-277 b"/>
        <s v="Kepler-277 c"/>
        <s v="Kepler-278 b"/>
        <s v="Kepler-278 c"/>
        <s v="Kepler-279 b"/>
        <s v="Kepler-279 c"/>
        <s v="Kepler-279 d"/>
        <s v="Kepler-28 b"/>
        <s v="Kepler-28 c"/>
        <s v="Kepler-280 b"/>
        <s v="Kepler-280 c"/>
        <s v="Kepler-281 b"/>
        <s v="Kepler-281 c"/>
        <s v="Kepler-282 b"/>
        <s v="Kepler-282 c"/>
        <s v="Kepler-282 d"/>
        <s v="Kepler-282 e"/>
        <s v="Kepler-283 b"/>
        <s v="Kepler-283 c"/>
        <s v="Kepler-284 b"/>
        <s v="Kepler-284 c"/>
        <s v="Kepler-285 b"/>
        <s v="Kepler-285 c"/>
        <s v="Kepler-286 b"/>
        <s v="Kepler-286 c"/>
        <s v="Kepler-286 d"/>
        <s v="Kepler-286 e"/>
        <s v="Kepler-287 b"/>
        <s v="Kepler-287 c"/>
        <s v="Kepler-288 b"/>
        <s v="Kepler-288 c"/>
        <s v="Kepler-288 d"/>
        <s v="Kepler-289 b"/>
        <s v="Kepler-289 c"/>
        <s v="Kepler-289 d"/>
        <s v="Kepler-29 b"/>
        <s v="Kepler-29 c"/>
        <s v="Kepler-290 b"/>
        <s v="Kepler-290 c"/>
        <s v="Kepler-291 b"/>
        <s v="Kepler-291 c"/>
        <s v="Kepler-292 b"/>
        <s v="Kepler-292 c"/>
        <s v="Kepler-292 d"/>
        <s v="Kepler-292 e"/>
        <s v="Kepler-292 f"/>
        <s v="Kepler-293 b"/>
        <s v="Kepler-293 c"/>
        <s v="Kepler-294 b"/>
        <s v="Kepler-294 c"/>
        <s v="Kepler-295 b"/>
        <s v="Kepler-295 c"/>
        <s v="Kepler-295 d"/>
        <s v="Kepler-296 b"/>
        <s v="Kepler-296 c"/>
        <s v="Kepler-296 d"/>
        <s v="Kepler-296 e"/>
        <s v="Kepler-296 f"/>
        <s v="Kepler-297 b"/>
        <s v="Kepler-297 c"/>
        <s v="Kepler-298 b"/>
        <s v="Kepler-298 c"/>
        <s v="Kepler-298 d"/>
        <s v="Kepler-299 b"/>
        <s v="Kepler-299 c"/>
        <s v="Kepler-299 d"/>
        <s v="Kepler-299 e"/>
        <s v="Kepler-30 b"/>
        <s v="Kepler-30 c"/>
        <s v="Kepler-30 d"/>
        <s v="Kepler-300 b"/>
        <s v="Kepler-300 c"/>
        <s v="Kepler-301 b"/>
        <s v="Kepler-301 c"/>
        <s v="Kepler-301 d"/>
        <s v="Kepler-302 b"/>
        <s v="Kepler-302 c"/>
        <s v="Kepler-303 b"/>
        <s v="Kepler-303 c"/>
        <s v="Kepler-304 b"/>
        <s v="Kepler-304 c"/>
        <s v="Kepler-304 d"/>
        <s v="Kepler-304 e"/>
        <s v="Kepler-305 b"/>
        <s v="Kepler-305 c"/>
        <s v="Kepler-305 d"/>
        <s v="Kepler-306 b"/>
        <s v="Kepler-306 c"/>
        <s v="Kepler-306 d"/>
        <s v="Kepler-306 e"/>
        <s v="Kepler-307 b"/>
        <s v="Kepler-307 c"/>
        <s v="Kepler-308 b"/>
        <s v="Kepler-308 c"/>
        <s v="Kepler-309 b"/>
        <s v="Kepler-309 c"/>
        <s v="Kepler-31 b"/>
        <s v="Kepler-31 c"/>
        <s v="Kepler-31 d"/>
        <s v="Kepler-310 b"/>
        <s v="Kepler-310 c"/>
        <s v="Kepler-310 d"/>
        <s v="Kepler-311 b"/>
        <s v="Kepler-311 c"/>
        <s v="Kepler-312 b"/>
        <s v="Kepler-312 c"/>
        <s v="Kepler-313 b"/>
        <s v="Kepler-313 c"/>
        <s v="Kepler-314 b"/>
        <s v="Kepler-314 c"/>
        <s v="Kepler-315 b"/>
        <s v="Kepler-315 c"/>
        <s v="Kepler-316 b"/>
        <s v="Kepler-316 c"/>
        <s v="Kepler-317 b"/>
        <s v="Kepler-317 c"/>
        <s v="Kepler-318 b"/>
        <s v="Kepler-318 c"/>
        <s v="Kepler-319 b"/>
        <s v="Kepler-319 c"/>
        <s v="Kepler-319 d"/>
        <s v="Kepler-32 b"/>
        <s v="Kepler-32 c"/>
        <s v="Kepler-32 d"/>
        <s v="Kepler-32 e"/>
        <s v="Kepler-32 f"/>
        <s v="Kepler-320 b"/>
        <s v="Kepler-320 c"/>
        <s v="Kepler-321 b"/>
        <s v="Kepler-321 c"/>
        <s v="Kepler-322 b"/>
        <s v="Kepler-322 c"/>
        <s v="Kepler-323 b"/>
        <s v="Kepler-323 c"/>
        <s v="Kepler-324 b"/>
        <s v="Kepler-324 c"/>
        <s v="Kepler-325 b"/>
        <s v="Kepler-325 c"/>
        <s v="Kepler-325 d"/>
        <s v="Kepler-326 b"/>
        <s v="Kepler-326 c"/>
        <s v="Kepler-326 d"/>
        <s v="Kepler-327 b"/>
        <s v="Kepler-327 c"/>
        <s v="Kepler-327 d"/>
        <s v="Kepler-328 b"/>
        <s v="Kepler-328 c"/>
        <s v="Kepler-329 b"/>
        <s v="Kepler-329 c"/>
        <s v="Kepler-33 b"/>
        <s v="Kepler-33 c"/>
        <s v="Kepler-33 d"/>
        <s v="Kepler-33 e"/>
        <s v="Kepler-33 f"/>
        <s v="Kepler-330 b"/>
        <s v="Kepler-330 c"/>
        <s v="Kepler-331 b"/>
        <s v="Kepler-331 c"/>
        <s v="Kepler-331 d"/>
        <s v="Kepler-332 b"/>
        <s v="Kepler-332 c"/>
        <s v="Kepler-332 d"/>
        <s v="Kepler-333 b"/>
        <s v="Kepler-333 c"/>
        <s v="Kepler-334 b"/>
        <s v="Kepler-334 c"/>
        <s v="Kepler-334 d"/>
        <s v="Kepler-335 b"/>
        <s v="Kepler-335 c"/>
        <s v="Kepler-336 b"/>
        <s v="Kepler-336 c"/>
        <s v="Kepler-336 d"/>
        <s v="Kepler-337 b"/>
        <s v="Kepler-337 c"/>
        <s v="Kepler-338 b"/>
        <s v="Kepler-338 c"/>
        <s v="Kepler-338 d"/>
        <s v="Kepler-338 e"/>
        <s v="Kepler-339 b"/>
        <s v="Kepler-339 c"/>
        <s v="Kepler-339 d"/>
        <s v="Kepler-34 b"/>
        <s v="Kepler-340 b"/>
        <s v="Kepler-340 c"/>
        <s v="Kepler-341 b"/>
        <s v="Kepler-341 c"/>
        <s v="Kepler-341 d"/>
        <s v="Kepler-341 e"/>
        <s v="Kepler-342 b"/>
        <s v="Kepler-342 c"/>
        <s v="Kepler-342 d"/>
        <s v="Kepler-342 e"/>
        <s v="Kepler-343 b"/>
        <s v="Kepler-343 c"/>
        <s v="Kepler-344 b"/>
        <s v="Kepler-344 c"/>
        <s v="Kepler-345 b"/>
        <s v="Kepler-345 c"/>
        <s v="Kepler-346 b"/>
        <s v="Kepler-346 c"/>
        <s v="Kepler-347 b"/>
        <s v="Kepler-347 c"/>
        <s v="Kepler-348 b"/>
        <s v="Kepler-348 c"/>
        <s v="Kepler-349 b"/>
        <s v="Kepler-349 c"/>
        <s v="Kepler-35 b"/>
        <s v="Kepler-350 b"/>
        <s v="Kepler-350 c"/>
        <s v="Kepler-350 d"/>
        <s v="Kepler-351 b"/>
        <s v="Kepler-351 c"/>
        <s v="Kepler-351 d"/>
        <s v="Kepler-352 b"/>
        <s v="Kepler-352 c"/>
        <s v="Kepler-353 b"/>
        <s v="Kepler-353 c"/>
        <s v="Kepler-354 b"/>
        <s v="Kepler-354 c"/>
        <s v="Kepler-354 d"/>
        <s v="Kepler-355 b"/>
        <s v="Kepler-355 c"/>
        <s v="Kepler-356 b"/>
        <s v="Kepler-356 c"/>
        <s v="Kepler-357 b"/>
        <s v="Kepler-357 c"/>
        <s v="Kepler-357 d"/>
        <s v="Kepler-358 b"/>
        <s v="Kepler-358 c"/>
        <s v="Kepler-359 b"/>
        <s v="Kepler-359 c"/>
        <s v="Kepler-359 d"/>
        <s v="Kepler-36 b"/>
        <s v="Kepler-36 c"/>
        <s v="Kepler-360 b"/>
        <s v="Kepler-360 c"/>
        <s v="Kepler-361 b"/>
        <s v="Kepler-361 c"/>
        <s v="Kepler-362 b"/>
        <s v="Kepler-362 c"/>
        <s v="Kepler-363 b"/>
        <s v="Kepler-363 c"/>
        <s v="Kepler-363 d"/>
        <s v="Kepler-364 b"/>
        <s v="Kepler-364 c"/>
        <s v="Kepler-365 b"/>
        <s v="Kepler-365 c"/>
        <s v="Kepler-366 b"/>
        <s v="Kepler-366 c"/>
        <s v="Kepler-367 b"/>
        <s v="Kepler-367 c"/>
        <s v="Kepler-368 b"/>
        <s v="Kepler-368 c"/>
        <s v="Kepler-369 b"/>
        <s v="Kepler-369 c"/>
        <s v="Kepler-37 b"/>
        <s v="Kepler-37 c"/>
        <s v="Kepler-37 d"/>
        <s v="Kepler-37 e"/>
        <s v="Kepler-370 b"/>
        <s v="Kepler-370 c"/>
        <s v="Kepler-371 b"/>
        <s v="Kepler-371 c"/>
        <s v="Kepler-372 b"/>
        <s v="Kepler-372 c"/>
        <s v="Kepler-372 d"/>
        <s v="Kepler-373 b"/>
        <s v="Kepler-373 c"/>
        <s v="Kepler-374 b"/>
        <s v="Kepler-374 c"/>
        <s v="Kepler-374 d"/>
        <s v="Kepler-375 b"/>
        <s v="Kepler-375 c"/>
        <s v="Kepler-376 b"/>
        <s v="Kepler-376 c"/>
        <s v="Kepler-377 b"/>
        <s v="Kepler-377 c"/>
        <s v="Kepler-378 b"/>
        <s v="Kepler-378 c"/>
        <s v="Kepler-379 b"/>
        <s v="Kepler-379 c"/>
        <s v="Kepler-38 b"/>
        <s v="Kepler-380 b"/>
        <s v="Kepler-380 c"/>
        <s v="Kepler-381 b"/>
        <s v="Kepler-381 c"/>
        <s v="Kepler-382 b"/>
        <s v="Kepler-382 c"/>
        <s v="Kepler-383 b"/>
        <s v="Kepler-383 c"/>
        <s v="Kepler-384 b"/>
        <s v="Kepler-384 c"/>
        <s v="Kepler-385 b"/>
        <s v="Kepler-385 c"/>
        <s v="Kepler-386 b"/>
        <s v="Kepler-386 c"/>
        <s v="Kepler-387 b"/>
        <s v="Kepler-387 c"/>
        <s v="Kepler-388 b"/>
        <s v="Kepler-388 c"/>
        <s v="Kepler-389 b"/>
        <s v="Kepler-389 c"/>
        <s v="Kepler-39 b"/>
        <s v="Kepler-390 b"/>
        <s v="Kepler-390 c"/>
        <s v="Kepler-391 b"/>
        <s v="Kepler-391 c"/>
        <s v="Kepler-392 b"/>
        <s v="Kepler-392 c"/>
        <s v="Kepler-393 b"/>
        <s v="Kepler-393 c"/>
        <s v="Kepler-394 b"/>
        <s v="Kepler-394 c"/>
        <s v="Kepler-395 b"/>
        <s v="Kepler-395 c"/>
        <s v="Kepler-396 b"/>
        <s v="Kepler-396 c"/>
        <s v="Kepler-397 b"/>
        <s v="Kepler-397 c"/>
        <s v="Kepler-398 b"/>
        <s v="Kepler-398 c"/>
        <s v="Kepler-398 d"/>
        <s v="Kepler-399 b"/>
        <s v="Kepler-399 c"/>
        <s v="Kepler-399 d"/>
        <s v="Kepler-4 b"/>
        <s v="Kepler-40 b"/>
        <s v="Kepler-400 b"/>
        <s v="Kepler-400 c"/>
        <s v="Kepler-401 b"/>
        <s v="Kepler-401 c"/>
        <s v="Kepler-401 d"/>
        <s v="Kepler-402 b"/>
        <s v="Kepler-402 c"/>
        <s v="Kepler-402 d"/>
        <s v="Kepler-402 e"/>
        <s v="Kepler-403 b"/>
        <s v="Kepler-403 c"/>
        <s v="Kepler-403 d"/>
        <s v="Kepler-404 b"/>
        <s v="Kepler-404 c"/>
        <s v="Kepler-405 b"/>
        <s v="Kepler-405 c"/>
        <s v="Kepler-406 b"/>
        <s v="Kepler-406 c"/>
        <s v="Kepler-407 b"/>
        <s v="Kepler-407 c"/>
        <s v="Kepler-408 b"/>
        <s v="Kepler-409 b"/>
        <s v="Kepler-41 b"/>
        <s v="Kepler-410 A b"/>
        <s v="Kepler-411 b"/>
        <s v="Kepler-411 c"/>
        <s v="Kepler-412 b"/>
        <s v="Kepler-413 b"/>
        <s v="Kepler-414 b"/>
        <s v="Kepler-414 c"/>
        <s v="Kepler-415 b"/>
        <s v="Kepler-415 c"/>
        <s v="Kepler-416 b"/>
        <s v="Kepler-416 c"/>
        <s v="Kepler-417 b"/>
        <s v="Kepler-417 c"/>
        <s v="Kepler-418 b"/>
        <s v="Kepler-419 b"/>
        <s v="Kepler-419 c"/>
        <s v="Kepler-42 b"/>
        <s v="Kepler-42 c"/>
        <s v="Kepler-42 d"/>
        <s v="Kepler-421 b"/>
        <s v="Kepler-422 b"/>
        <s v="Kepler-423 b"/>
        <s v="Kepler-424 b"/>
        <s v="Kepler-424 c"/>
        <s v="Kepler-425 b"/>
        <s v="Kepler-426 b"/>
        <s v="Kepler-427 b"/>
        <s v="Kepler-428 b"/>
        <s v="Kepler-43 b"/>
        <s v="Kepler-430 b"/>
        <s v="Kepler-430 c"/>
        <s v="Kepler-431 b"/>
        <s v="Kepler-431 c"/>
        <s v="Kepler-431 d"/>
        <s v="Kepler-432 b"/>
        <s v="Kepler-432 c"/>
        <s v="Kepler-433 b"/>
        <s v="Kepler-434 b"/>
        <s v="Kepler-435 b"/>
        <s v="Kepler-436 b"/>
        <s v="Kepler-436 c"/>
        <s v="Kepler-437 b"/>
        <s v="Kepler-438 b"/>
        <s v="Kepler-439 b"/>
        <s v="Kepler-44 b"/>
        <s v="Kepler-440 b"/>
        <s v="Kepler-441 b"/>
        <s v="Kepler-442 b"/>
        <s v="Kepler-443 b"/>
        <s v="Kepler-444 b"/>
        <s v="Kepler-444 c"/>
        <s v="Kepler-444 d"/>
        <s v="Kepler-444 e"/>
        <s v="Kepler-444 f"/>
        <s v="Kepler-445 b"/>
        <s v="Kepler-445 c"/>
        <s v="Kepler-445 d"/>
        <s v="Kepler-446 b"/>
        <s v="Kepler-446 c"/>
        <s v="Kepler-446 d"/>
        <s v="Kepler-447 b"/>
        <s v="Kepler-449 b"/>
        <s v="Kepler-449 c"/>
        <s v="Kepler-45 b"/>
        <s v="Kepler-450 b"/>
        <s v="Kepler-450 c"/>
        <s v="Kepler-450 d"/>
        <s v="Kepler-452 b"/>
        <s v="Kepler-453 b"/>
        <s v="Kepler-454 b"/>
        <s v="Kepler-454 c"/>
        <s v="Kepler-458 c"/>
        <s v="Kepler-46 b"/>
        <s v="Kepler-46 c"/>
        <s v="Kepler-46 d"/>
        <s v="Kepler-460 c"/>
        <s v="Kepler-461 b"/>
        <s v="Kepler-462 b"/>
        <s v="Kepler-463 b"/>
        <s v="Kepler-464 b"/>
        <s v="Kepler-465 b"/>
        <s v="Kepler-466 b"/>
        <s v="Kepler-466 c"/>
        <s v="Kepler-467 b"/>
        <s v="Kepler-468 b"/>
        <s v="Kepler-47 b"/>
        <s v="Kepler-47 c"/>
        <s v="Kepler-47 d"/>
        <s v="Kepler-470 b"/>
        <s v="Kepler-471 b"/>
        <s v="Kepler-472 b"/>
        <s v="Kepler-473 b"/>
        <s v="Kepler-474 b"/>
        <s v="Kepler-475 b"/>
        <s v="Kepler-476 b"/>
        <s v="Kepler-477 b"/>
        <s v="Kepler-478 b"/>
        <s v="Kepler-479 b"/>
        <s v="Kepler-48 b"/>
        <s v="Kepler-48 c"/>
        <s v="Kepler-48 d"/>
        <s v="Kepler-48 e"/>
        <s v="Kepler-480 b"/>
        <s v="Kepler-481 b"/>
        <s v="Kepler-482 b"/>
        <s v="Kepler-483 b"/>
        <s v="Kepler-484 b"/>
        <s v="Kepler-485 b"/>
        <s v="Kepler-486 b"/>
        <s v="Kepler-487 b"/>
        <s v="Kepler-487 c"/>
        <s v="Kepler-488 b"/>
        <s v="Kepler-489 b"/>
        <s v="Kepler-49 b"/>
        <s v="Kepler-49 c"/>
        <s v="Kepler-49 d"/>
        <s v="Kepler-49 e"/>
        <s v="Kepler-490 b"/>
        <s v="Kepler-491 b"/>
        <s v="Kepler-492 b"/>
        <s v="Kepler-493 b"/>
        <s v="Kepler-494 b"/>
        <s v="Kepler-495 b"/>
        <s v="Kepler-496 b"/>
        <s v="Kepler-497 b"/>
        <s v="Kepler-498 b"/>
        <s v="Kepler-499 b"/>
        <s v="Kepler-5 b"/>
        <s v="Kepler-50 b"/>
        <s v="Kepler-50 c"/>
        <s v="Kepler-500 b"/>
        <s v="Kepler-501 b"/>
        <s v="Kepler-502 b"/>
        <s v="Kepler-504 b"/>
        <s v="Kepler-505 b"/>
        <s v="Kepler-506 b"/>
        <s v="Kepler-507 b"/>
        <s v="Kepler-508 b"/>
        <s v="Kepler-509 b"/>
        <s v="Kepler-51 b"/>
        <s v="Kepler-51 c"/>
        <s v="Kepler-51 d"/>
        <s v="Kepler-510 b"/>
        <s v="Kepler-511 b"/>
        <s v="Kepler-512 b"/>
        <s v="Kepler-513 b"/>
        <s v="Kepler-514 b"/>
        <s v="Kepler-515 b"/>
        <s v="Kepler-516 b"/>
        <s v="Kepler-517 b"/>
        <s v="Kepler-518 b"/>
        <s v="Kepler-519 b"/>
        <s v="Kepler-52 b"/>
        <s v="Kepler-52 c"/>
        <s v="Kepler-52 d"/>
        <s v="Kepler-520 b"/>
        <s v="Kepler-520 c"/>
        <s v="Kepler-521 b"/>
        <s v="Kepler-522 b"/>
        <s v="Kepler-523 b"/>
        <s v="Kepler-524 b"/>
        <s v="Kepler-524 c"/>
        <s v="Kepler-525 b"/>
        <s v="Kepler-526 b"/>
        <s v="Kepler-527 b"/>
        <s v="Kepler-528 b"/>
        <s v="Kepler-529 b"/>
        <s v="Kepler-529 c"/>
        <s v="Kepler-53 b"/>
        <s v="Kepler-53 c"/>
        <s v="Kepler-53 d"/>
        <s v="Kepler-530 b"/>
        <s v="Kepler-531 b"/>
        <s v="Kepler-532 b"/>
        <s v="Kepler-533 b"/>
        <s v="Kepler-534 b"/>
        <s v="Kepler-535 b"/>
        <s v="Kepler-536 b"/>
        <s v="Kepler-537 b"/>
        <s v="Kepler-538 b"/>
        <s v="Kepler-539 b"/>
        <s v="Kepler-539 c"/>
        <s v="Kepler-54 b"/>
        <s v="Kepler-54 c"/>
        <s v="Kepler-54 d"/>
        <s v="Kepler-540 b"/>
        <s v="Kepler-541 b"/>
        <s v="Kepler-542 b"/>
        <s v="Kepler-543 b"/>
        <s v="Kepler-544 b"/>
        <s v="Kepler-545 b"/>
        <s v="Kepler-546 b"/>
        <s v="Kepler-547 b"/>
        <s v="Kepler-548 b"/>
        <s v="Kepler-549 b"/>
        <s v="Kepler-549 c"/>
        <s v="Kepler-55 b"/>
        <s v="Kepler-55 c"/>
        <s v="Kepler-55 d"/>
        <s v="Kepler-55 e"/>
        <s v="Kepler-55 f"/>
        <s v="Kepler-550 b"/>
        <s v="Kepler-551 b"/>
        <s v="Kepler-552 b"/>
        <s v="Kepler-553 b"/>
        <s v="Kepler-553 c"/>
        <s v="Kepler-554 b"/>
        <s v="Kepler-555 b"/>
        <s v="Kepler-556 b"/>
        <s v="Kepler-557 b"/>
        <s v="Kepler-558 b"/>
        <s v="Kepler-559 b"/>
        <s v="Kepler-56 b"/>
        <s v="Kepler-56 c"/>
        <s v="Kepler-56 d"/>
        <s v="Kepler-560 b"/>
        <s v="Kepler-561 b"/>
        <s v="Kepler-561 c"/>
        <s v="Kepler-562 b"/>
        <s v="Kepler-563 b"/>
        <s v="Kepler-564 b"/>
        <s v="Kepler-565 b"/>
        <s v="Kepler-566 b"/>
        <s v="Kepler-567 b"/>
        <s v="Kepler-568 b"/>
        <s v="Kepler-569 b"/>
        <s v="Kepler-57 b"/>
        <s v="Kepler-57 c"/>
        <s v="Kepler-570 b"/>
        <s v="Kepler-571 b"/>
        <s v="Kepler-572 b"/>
        <s v="Kepler-573 b"/>
        <s v="Kepler-574 b"/>
        <s v="Kepler-575 b"/>
        <s v="Kepler-576 b"/>
        <s v="Kepler-577 b"/>
        <s v="Kepler-578 b"/>
        <s v="Kepler-579 b"/>
        <s v="Kepler-58 b"/>
        <s v="Kepler-58 c"/>
        <s v="Kepler-58 d"/>
        <s v="Kepler-580 b"/>
        <s v="Kepler-581 b"/>
        <s v="Kepler-582 b"/>
        <s v="Kepler-583 b"/>
        <s v="Kepler-584 b"/>
        <s v="Kepler-585 b"/>
        <s v="Kepler-586 b"/>
        <s v="Kepler-587 b"/>
        <s v="Kepler-588 b"/>
        <s v="Kepler-589 b"/>
        <s v="Kepler-59 b"/>
        <s v="Kepler-59 c"/>
        <s v="Kepler-590 b"/>
        <s v="Kepler-591 b"/>
        <s v="Kepler-592 b"/>
        <s v="Kepler-593 b"/>
        <s v="Kepler-594 b"/>
        <s v="Kepler-595 b"/>
        <s v="Kepler-596 b"/>
        <s v="Kepler-597 b"/>
        <s v="Kepler-598 b"/>
        <s v="Kepler-599 b"/>
        <s v="Kepler-6 b"/>
        <s v="Kepler-60 b"/>
        <s v="Kepler-60 c"/>
        <s v="Kepler-60 d"/>
        <s v="Kepler-600 b"/>
        <s v="Kepler-601 b"/>
        <s v="Kepler-602 b"/>
        <s v="Kepler-603 b"/>
        <s v="Kepler-603 c"/>
        <s v="Kepler-603 d"/>
        <s v="Kepler-604 b"/>
        <s v="Kepler-605 b"/>
        <s v="Kepler-605 c"/>
        <s v="Kepler-606 b"/>
        <s v="Kepler-607 b"/>
        <s v="Kepler-608 b"/>
        <s v="Kepler-609 b"/>
        <s v="Kepler-61 b"/>
        <s v="Kepler-610 b"/>
        <s v="Kepler-610 c"/>
        <s v="Kepler-611 b"/>
        <s v="Kepler-612 b"/>
        <s v="Kepler-613 b"/>
        <s v="Kepler-614 b"/>
        <s v="Kepler-615 b"/>
        <s v="Kepler-616 b"/>
        <s v="Kepler-616 c"/>
        <s v="Kepler-617 b"/>
        <s v="Kepler-618 b"/>
        <s v="Kepler-619 b"/>
        <s v="Kepler-619 c"/>
        <s v="Kepler-62 b"/>
        <s v="Kepler-62 c"/>
        <s v="Kepler-62 d"/>
        <s v="Kepler-62 e"/>
        <s v="Kepler-62 f"/>
        <s v="Kepler-620 b"/>
        <s v="Kepler-621 b"/>
        <s v="Kepler-622 b"/>
        <s v="Kepler-623 b"/>
        <s v="Kepler-624 b"/>
        <s v="Kepler-625 b"/>
        <s v="Kepler-625 c"/>
        <s v="Kepler-626 b"/>
        <s v="Kepler-627 b"/>
        <s v="Kepler-628 b"/>
        <s v="Kepler-629 b"/>
        <s v="Kepler-63 b"/>
        <s v="Kepler-630 b"/>
        <s v="Kepler-631 b"/>
        <s v="Kepler-632 b"/>
        <s v="Kepler-633 b"/>
        <s v="Kepler-634 b"/>
        <s v="Kepler-635 b"/>
        <s v="Kepler-636 b"/>
        <s v="Kepler-637 b"/>
        <s v="Kepler-638 b"/>
        <s v="Kepler-639 b"/>
        <s v="Kepler-640 b"/>
        <s v="Kepler-641 b"/>
        <s v="Kepler-642 b"/>
        <s v="Kepler-643 b"/>
        <s v="Kepler-644 b"/>
        <s v="Kepler-645 b"/>
        <s v="Kepler-646 b"/>
        <s v="Kepler-647 b"/>
        <s v="Kepler-648 b"/>
        <s v="Kepler-649 b"/>
        <s v="Kepler-65 b"/>
        <s v="Kepler-65 c"/>
        <s v="Kepler-65 d"/>
        <s v="Kepler-650 b"/>
        <s v="Kepler-651 b"/>
        <s v="Kepler-652 b"/>
        <s v="Kepler-653 b"/>
        <s v="Kepler-653 c"/>
        <s v="Kepler-654 b"/>
        <s v="Kepler-655 b"/>
        <s v="Kepler-656 b"/>
        <s v="Kepler-657 b"/>
        <s v="Kepler-658 b"/>
        <s v="Kepler-659 b"/>
        <s v="Kepler-66 b"/>
        <s v="Kepler-660 b"/>
        <s v="Kepler-661 b"/>
        <s v="Kepler-662 b"/>
        <s v="Kepler-663 b"/>
        <s v="Kepler-664 b"/>
        <s v="Kepler-665 b"/>
        <s v="Kepler-666 b"/>
        <s v="Kepler-667 b"/>
        <s v="Kepler-668 b"/>
        <s v="Kepler-669 b"/>
        <s v="Kepler-67 b"/>
        <s v="Kepler-670 b"/>
        <s v="Kepler-671 b"/>
        <s v="Kepler-672 b"/>
        <s v="Kepler-673 b"/>
        <s v="Kepler-674 b"/>
        <s v="Kepler-675 b"/>
        <s v="Kepler-676 b"/>
        <s v="Kepler-677 b"/>
        <s v="Kepler-678 b"/>
        <s v="Kepler-679 b"/>
        <s v="Kepler-68 b"/>
        <s v="Kepler-68 c"/>
        <s v="Kepler-68 d"/>
        <s v="Kepler-680 b"/>
        <s v="Kepler-681 b"/>
        <s v="Kepler-682 b"/>
        <s v="Kepler-683 b"/>
        <s v="Kepler-684 b"/>
        <s v="Kepler-685 b"/>
        <s v="Kepler-686 b"/>
        <s v="Kepler-687 b"/>
        <s v="Kepler-688 b"/>
        <s v="Kepler-689 b"/>
        <s v="Kepler-69 b"/>
        <s v="Kepler-69 c"/>
        <s v="Kepler-690 b"/>
        <s v="Kepler-691 b"/>
        <s v="Kepler-692 b"/>
        <s v="Kepler-693 b"/>
        <s v="Kepler-694 b"/>
        <s v="Kepler-695 b"/>
        <s v="Kepler-696 b"/>
        <s v="Kepler-697 b"/>
        <s v="Kepler-698 b"/>
        <s v="Kepler-699 b"/>
        <s v="Kepler-7 b"/>
        <s v="Kepler-700 b"/>
        <s v="Kepler-701 b"/>
        <s v="Kepler-702 b"/>
        <s v="Kepler-703 b"/>
        <s v="Kepler-704 b"/>
        <s v="Kepler-705 b"/>
        <s v="Kepler-706 b"/>
        <s v="Kepler-707 b"/>
        <s v="Kepler-708 b"/>
        <s v="Kepler-709 b"/>
        <s v="Kepler-710 b"/>
        <s v="Kepler-711 b"/>
        <s v="Kepler-712 b"/>
        <s v="Kepler-712 c"/>
        <s v="Kepler-713 b"/>
        <s v="Kepler-714 b"/>
        <s v="Kepler-715 b"/>
        <s v="Kepler-716 b"/>
        <s v="Kepler-717 b"/>
        <s v="Kepler-718 b"/>
        <s v="Kepler-719 b"/>
        <s v="Kepler-720 b"/>
        <s v="Kepler-721 b"/>
        <s v="Kepler-722 b"/>
        <s v="Kepler-722 c"/>
        <s v="Kepler-723 b"/>
        <s v="Kepler-724 b"/>
        <s v="Kepler-725 b"/>
        <s v="Kepler-726 b"/>
        <s v="Kepler-727 b"/>
        <s v="Kepler-728 b"/>
        <s v="Kepler-729 b"/>
        <s v="Kepler-730 b"/>
        <s v="Kepler-730 c"/>
        <s v="Kepler-731 b"/>
        <s v="Kepler-732 b"/>
        <s v="Kepler-732 c"/>
        <s v="Kepler-733 b"/>
        <s v="Kepler-734 b"/>
        <s v="Kepler-735 b"/>
        <s v="Kepler-736 b"/>
        <s v="Kepler-737 b"/>
        <s v="Kepler-738 b"/>
        <s v="Kepler-739 b"/>
        <s v="Kepler-74 b"/>
        <s v="Kepler-740 b"/>
        <s v="Kepler-741 b"/>
        <s v="Kepler-742 b"/>
        <s v="Kepler-743 b"/>
        <s v="Kepler-744 b"/>
        <s v="Kepler-745 b"/>
        <s v="Kepler-746 b"/>
        <s v="Kepler-747 b"/>
        <s v="Kepler-748 b"/>
        <s v="Kepler-749 b"/>
        <s v="Kepler-75 b"/>
        <s v="Kepler-750 b"/>
        <s v="Kepler-750 c"/>
        <s v="Kepler-751 b"/>
        <s v="Kepler-752 b"/>
        <s v="Kepler-753 b"/>
        <s v="Kepler-754 b"/>
        <s v="Kepler-755 b"/>
        <s v="Kepler-755 c"/>
        <s v="Kepler-756 b"/>
        <s v="Kepler-757 b"/>
        <s v="Kepler-758 b"/>
        <s v="Kepler-758 c"/>
        <s v="Kepler-758 d"/>
        <s v="Kepler-758 e"/>
        <s v="Kepler-759 b"/>
        <s v="Kepler-76 b"/>
        <s v="Kepler-760 b"/>
        <s v="Kepler-760 c"/>
        <s v="Kepler-761 b"/>
        <s v="Kepler-762 b"/>
        <s v="Kepler-763 b"/>
        <s v="Kepler-764 b"/>
        <s v="Kepler-765 b"/>
        <s v="Kepler-766 b"/>
        <s v="Kepler-767 b"/>
        <s v="Kepler-768 b"/>
        <s v="Kepler-769 b"/>
        <s v="Kepler-769 c"/>
        <s v="Kepler-77 b"/>
        <s v="Kepler-770 b"/>
        <s v="Kepler-770 c"/>
        <s v="Kepler-770 d"/>
        <s v="Kepler-771 b"/>
        <s v="Kepler-772 b"/>
        <s v="Kepler-773 b"/>
        <s v="Kepler-774 b"/>
        <s v="Kepler-775 b"/>
        <s v="Kepler-776 b"/>
        <s v="Kepler-777 b"/>
        <s v="Kepler-778 b"/>
        <s v="Kepler-779 b"/>
        <s v="Kepler-78 b"/>
        <s v="Kepler-780 b"/>
        <s v="Kepler-781 b"/>
        <s v="Kepler-782 b"/>
        <s v="Kepler-783 b"/>
        <s v="Kepler-784 b"/>
        <s v="Kepler-785 b"/>
        <s v="Kepler-786 b"/>
        <s v="Kepler-787 b"/>
        <s v="Kepler-788 b"/>
        <s v="Kepler-789 b"/>
        <s v="Kepler-79 b"/>
        <s v="Kepler-79 c"/>
        <s v="Kepler-79 d"/>
        <s v="Kepler-79 e"/>
        <s v="Kepler-790 b"/>
        <s v="Kepler-791 b"/>
        <s v="Kepler-792 b"/>
        <s v="Kepler-793 b"/>
        <s v="Kepler-794 b"/>
        <s v="Kepler-795 b"/>
        <s v="Kepler-796 b"/>
        <s v="Kepler-797 b"/>
        <s v="Kepler-798 b"/>
        <s v="Kepler-799 b"/>
        <s v="Kepler-8 b"/>
        <s v="Kepler-80 b"/>
        <s v="Kepler-80 c"/>
        <s v="Kepler-80 d"/>
        <s v="Kepler-80 e"/>
        <s v="Kepler-80 f"/>
        <s v="Kepler-80 g"/>
        <s v="Kepler-800 b"/>
        <s v="Kepler-801 b"/>
        <s v="Kepler-802 b"/>
        <s v="Kepler-803 b"/>
        <s v="Kepler-804 b"/>
        <s v="Kepler-804 c"/>
        <s v="Kepler-805 b"/>
        <s v="Kepler-806 b"/>
        <s v="Kepler-807 b"/>
        <s v="Kepler-808 b"/>
        <s v="Kepler-809 b"/>
        <s v="Kepler-81 b"/>
        <s v="Kepler-81 c"/>
        <s v="Kepler-81 d"/>
        <s v="Kepler-810 b"/>
        <s v="Kepler-811 b"/>
        <s v="Kepler-812 b"/>
        <s v="Kepler-813 b"/>
        <s v="Kepler-814 b"/>
        <s v="Kepler-815 b"/>
        <s v="Kepler-816 b"/>
        <s v="Kepler-817 b"/>
        <s v="Kepler-818 b"/>
        <s v="Kepler-819 b"/>
        <s v="Kepler-82 b"/>
        <s v="Kepler-82 c"/>
        <s v="Kepler-82 d"/>
        <s v="Kepler-82 e"/>
        <s v="Kepler-820 b"/>
        <s v="Kepler-821 b"/>
        <s v="Kepler-822 b"/>
        <s v="Kepler-823 b"/>
        <s v="Kepler-824 b"/>
        <s v="Kepler-825 b"/>
        <s v="Kepler-825 c"/>
        <s v="Kepler-826 b"/>
        <s v="Kepler-827 b"/>
        <s v="Kepler-828 b"/>
        <s v="Kepler-829 b"/>
        <s v="Kepler-83 b"/>
        <s v="Kepler-83 c"/>
        <s v="Kepler-83 d"/>
        <s v="Kepler-830 b"/>
        <s v="Kepler-831 b"/>
        <s v="Kepler-832 b"/>
        <s v="Kepler-833 b"/>
        <s v="Kepler-834 b"/>
        <s v="Kepler-835 b"/>
        <s v="Kepler-836 b"/>
        <s v="Kepler-837 b"/>
        <s v="Kepler-838 b"/>
        <s v="Kepler-839 b"/>
        <s v="Kepler-84 b"/>
        <s v="Kepler-84 c"/>
        <s v="Kepler-84 d"/>
        <s v="Kepler-84 e"/>
        <s v="Kepler-84 f"/>
        <s v="Kepler-840 b"/>
        <s v="Kepler-841 b"/>
        <s v="Kepler-842 b"/>
        <s v="Kepler-843 b"/>
        <s v="Kepler-844 b"/>
        <s v="Kepler-845 b"/>
        <s v="Kepler-846 b"/>
        <s v="Kepler-847 b"/>
        <s v="Kepler-848 b"/>
        <s v="Kepler-849 b"/>
        <s v="Kepler-85 b"/>
        <s v="Kepler-85 c"/>
        <s v="Kepler-85 d"/>
        <s v="Kepler-85 e"/>
        <s v="Kepler-850 b"/>
        <s v="Kepler-851 b"/>
        <s v="Kepler-852 b"/>
        <s v="Kepler-853 b"/>
        <s v="Kepler-854 b"/>
        <s v="Kepler-855 b"/>
        <s v="Kepler-856 b"/>
        <s v="Kepler-857 b"/>
        <s v="Kepler-858 b"/>
        <s v="Kepler-859 b"/>
        <s v="Kepler-860 b"/>
        <s v="Kepler-861 b"/>
        <s v="Kepler-862 b"/>
        <s v="Kepler-863 b"/>
        <s v="Kepler-864 b"/>
        <s v="Kepler-865 b"/>
        <s v="Kepler-866 b"/>
        <s v="Kepler-867 b"/>
        <s v="Kepler-868 b"/>
        <s v="Kepler-869 b"/>
        <s v="Kepler-87 b"/>
        <s v="Kepler-87 c"/>
        <s v="Kepler-870 b"/>
        <s v="Kepler-871 b"/>
        <s v="Kepler-872 b"/>
        <s v="Kepler-873 b"/>
        <s v="Kepler-874 b"/>
        <s v="Kepler-875 b"/>
        <s v="Kepler-876 b"/>
        <s v="Kepler-877 b"/>
        <s v="Kepler-878 b"/>
        <s v="Kepler-879 b"/>
        <s v="Kepler-880 b"/>
        <s v="Kepler-881 b"/>
        <s v="Kepler-882 b"/>
        <s v="Kepler-883 b"/>
        <s v="Kepler-884 b"/>
        <s v="Kepler-885 b"/>
        <s v="Kepler-886 b"/>
        <s v="Kepler-887 b"/>
        <s v="Kepler-887 c"/>
        <s v="Kepler-888 b"/>
        <s v="Kepler-889 b"/>
        <s v="Kepler-890 b"/>
        <s v="Kepler-891 b"/>
        <s v="Kepler-892 b"/>
        <s v="Kepler-893 b"/>
        <s v="Kepler-894 b"/>
        <s v="Kepler-895 b"/>
        <s v="Kepler-896 b"/>
        <s v="Kepler-897 b"/>
        <s v="Kepler-898 b"/>
        <s v="Kepler-899 b"/>
        <s v="Kepler-9 b"/>
        <s v="Kepler-9 c"/>
        <s v="Kepler-9 d"/>
        <s v="Kepler-900 b"/>
        <s v="Kepler-901 b"/>
        <s v="Kepler-902 b"/>
        <s v="Kepler-903 b"/>
        <s v="Kepler-903 c"/>
        <s v="Kepler-904 b"/>
        <s v="Kepler-905 b"/>
        <s v="Kepler-906 b"/>
        <s v="Kepler-907 b"/>
        <s v="Kepler-908 b"/>
        <s v="Kepler-909 b"/>
        <s v="Kepler-91 b"/>
        <s v="Kepler-910 b"/>
        <s v="Kepler-911 b"/>
        <s v="Kepler-912 b"/>
        <s v="Kepler-913 b"/>
        <s v="Kepler-914 b"/>
        <s v="Kepler-915 b"/>
        <s v="Kepler-916 b"/>
        <s v="Kepler-917 b"/>
        <s v="Kepler-918 b"/>
        <s v="Kepler-919 b"/>
        <s v="Kepler-92 b"/>
        <s v="Kepler-92 c"/>
        <s v="Kepler-92 d"/>
        <s v="Kepler-920 b"/>
        <s v="Kepler-920 c"/>
        <s v="Kepler-921 b"/>
        <s v="Kepler-922 b"/>
        <s v="Kepler-923 b"/>
        <s v="Kepler-924 b"/>
        <s v="Kepler-925 b"/>
        <s v="Kepler-926 b"/>
        <s v="Kepler-927 b"/>
        <s v="Kepler-928 b"/>
        <s v="Kepler-929 b"/>
        <s v="Kepler-93 b"/>
        <s v="Kepler-93 c"/>
        <s v="Kepler-930 b"/>
        <s v="Kepler-931 b"/>
        <s v="Kepler-932 b"/>
        <s v="Kepler-933 b"/>
        <s v="Kepler-934 b"/>
        <s v="Kepler-935 b"/>
        <s v="Kepler-936 b"/>
        <s v="Kepler-937 b"/>
        <s v="Kepler-937 c"/>
        <s v="Kepler-938 b"/>
        <s v="Kepler-939 b"/>
        <s v="Kepler-94 b"/>
        <s v="Kepler-94 c"/>
        <s v="Kepler-940 b"/>
        <s v="Kepler-941 b"/>
        <s v="Kepler-942 b"/>
        <s v="Kepler-943 b"/>
        <s v="Kepler-944 b"/>
        <s v="Kepler-945 b"/>
        <s v="Kepler-946 b"/>
        <s v="Kepler-947 b"/>
        <s v="Kepler-948 b"/>
        <s v="Kepler-949 b"/>
        <s v="Kepler-95 b"/>
        <s v="Kepler-950 b"/>
        <s v="Kepler-951 b"/>
        <s v="Kepler-952 b"/>
        <s v="Kepler-953 b"/>
        <s v="Kepler-953 c"/>
        <s v="Kepler-954 b"/>
        <s v="Kepler-955 b"/>
        <s v="Kepler-956 b"/>
        <s v="Kepler-957 b"/>
        <s v="Kepler-958 b"/>
        <s v="Kepler-959 b"/>
        <s v="Kepler-96 b"/>
        <s v="Kepler-960 b"/>
        <s v="Kepler-961 b"/>
        <s v="Kepler-962 b"/>
        <s v="Kepler-963 b"/>
        <s v="Kepler-964 b"/>
        <s v="Kepler-965 b"/>
        <s v="Kepler-966 b"/>
        <s v="Kepler-967 b"/>
        <s v="Kepler-967 c"/>
        <s v="Kepler-968 b"/>
        <s v="Kepler-968 c"/>
        <s v="Kepler-969 b"/>
        <s v="Kepler-969 c"/>
        <s v="Kepler-97 b"/>
        <s v="Kepler-97 c"/>
        <s v="Kepler-970 b"/>
        <s v="Kepler-971 b"/>
        <s v="Kepler-972 b"/>
        <s v="Kepler-973 b"/>
        <s v="Kepler-974 b"/>
        <s v="Kepler-975 b"/>
        <s v="Kepler-976 b"/>
        <s v="Kepler-977 b"/>
        <s v="Kepler-978 b"/>
        <s v="Kepler-979 b"/>
        <s v="Kepler-98 b"/>
        <s v="Kepler-980 b"/>
        <s v="Kepler-981 b"/>
        <s v="Kepler-982 b"/>
        <s v="Kepler-983 b"/>
        <s v="Kepler-984 b"/>
        <s v="Kepler-985 b"/>
        <s v="Kepler-986 b"/>
        <s v="Kepler-987 b"/>
        <s v="Kepler-988 b"/>
        <s v="Kepler-989 b"/>
        <s v="Kepler-99 b"/>
        <s v="Kepler-990 b"/>
        <s v="Kepler-990 c"/>
        <s v="Kepler-991 b"/>
        <s v="Kepler-992 b"/>
        <s v="Kepler-993 b"/>
        <s v="Kepler-994 b"/>
        <s v="Kepler-995 b"/>
        <s v="Kepler-996 b"/>
        <s v="Kepler-997 b"/>
        <s v="Kepler-998 b"/>
        <s v="Kepler-999 b"/>
        <s v="LHS 1140 b"/>
        <s v="LHS 1140 c"/>
        <s v="LHS 3844 b"/>
        <s v="LkCa 15 b"/>
        <s v="LkCa 15 c"/>
        <s v="Lupus-TR-3 b"/>
        <s v="MASCARA-1 b"/>
        <s v="MOA-2007-BLG-192L b"/>
        <s v="MOA-2007-BLG-400L b"/>
        <s v="MOA-2008-BLG-310L b"/>
        <s v="MOA-2008-BLG-379L b"/>
        <s v="MOA-2009-BLG-266L b"/>
        <s v="MOA-2009-BLG-319L b"/>
        <s v="MOA-2009-BLG-387L b"/>
        <s v="MOA-2010-BLG-073L b"/>
        <s v="MOA-2010-BLG-117L b"/>
        <s v="MOA-2010-BLG-328L b"/>
        <s v="MOA-2010-BLG-353L b"/>
        <s v="MOA-2010-BLG-477L b"/>
        <s v="MOA-2011-BLG-028L b"/>
        <s v="MOA-2011-BLG-262L b"/>
        <s v="MOA-2011-BLG-291L b"/>
        <s v="MOA-2011-BLG-293L b"/>
        <s v="MOA-2011-BLG-322L b"/>
        <s v="MOA-2012-BLG-006L b"/>
        <s v="MOA-2012-BLG-505L b"/>
        <s v="MOA-2013-BLG-605L b"/>
        <s v="MOA-2015-BLG-337L b"/>
        <s v="MOA-2016-BLG-227L b"/>
        <s v="MOA-2016-BLG-319L b"/>
        <s v="MOA-bin-1L b"/>
        <s v="MXB 1658-298 b"/>
        <s v="NGC 2682 Sand 364 b"/>
        <s v="NGC 2682 Sand 978 b"/>
        <s v="NGC 2682 YBP 1194 b"/>
        <s v="NGC 2682 YBP 1514 b"/>
        <s v="NGC 2682 YBP 401 b"/>
        <s v="NGTS-1 b"/>
        <s v="NGTS-2 b"/>
        <s v="NGTS-3 A b"/>
        <s v="NGTS-4 b"/>
        <s v="NGTS-5 b"/>
        <s v="NN Ser c"/>
        <s v="NN Ser d"/>
        <s v="NY Vir b"/>
        <s v="OGLE-2003-BLG-235L b"/>
        <s v="OGLE-2005-BLG-071L b"/>
        <s v="OGLE-2005-BLG-169L b"/>
        <s v="OGLE-2005-BLG-390L b"/>
        <s v="OGLE-2006-BLG-109L b"/>
        <s v="OGLE-2006-BLG-109L c"/>
        <s v="OGLE-2007-BLG-349L AB c"/>
        <s v="OGLE-2007-BLG-368L b"/>
        <s v="OGLE-2008-BLG-092L b"/>
        <s v="OGLE-2008-BLG-355L b"/>
        <s v="OGLE-2011-BLG-0173L b"/>
        <s v="OGLE-2011-BLG-0251L b"/>
        <s v="OGLE-2011-BLG-0265L b"/>
        <s v="OGLE-2012-BLG-0026L b"/>
        <s v="OGLE-2012-BLG-0026L c"/>
        <s v="OGLE-2012-BLG-0358L b"/>
        <s v="OGLE-2012-BLG-0406L b"/>
        <s v="OGLE-2012-BLG-0563L b"/>
        <s v="OGLE-2012-BLG-0724L b"/>
        <s v="OGLE-2012-BLG-0950L b"/>
        <s v="OGLE-2013-BLG-0102L b"/>
        <s v="OGLE-2013-BLG-0132L b"/>
        <s v="OGLE-2013-BLG-0341L B b"/>
        <s v="OGLE-2013-BLG-1721L b"/>
        <s v="OGLE-2013-BLG-1761L b"/>
        <s v="OGLE-2014-BLG-0124L b"/>
        <s v="OGLE-2014-BLG-0676L b"/>
        <s v="OGLE-2014-BLG-1722L b"/>
        <s v="OGLE-2014-BLG-1722L c"/>
        <s v="OGLE-2014-BLG-1760L b"/>
        <s v="OGLE-2015-BLG-0051L b"/>
        <s v="OGLE-2015-BLG-0954L b"/>
        <s v="OGLE-2015-BLG-0966L b"/>
        <s v="OGLE-2016-BLG-0263L b"/>
        <s v="OGLE-2016-BLG-0613L AB b"/>
        <s v="OGLE-2016-BLG-1190L b"/>
        <s v="OGLE-2016-BLG-1195L b"/>
        <s v="OGLE-2017-BLG-0173L b"/>
        <s v="OGLE-2017-BLG-0373L b"/>
        <s v="OGLE-2017-BLG-0482L b"/>
        <s v="OGLE-2017-BLG-1140L b"/>
        <s v="OGLE-2017-BLG-1434L b"/>
        <s v="OGLE-2017-BLG-1522L b"/>
        <s v="OGLE-TR-056 b"/>
        <s v="OGLE-TR-10 b"/>
        <s v="OGLE-TR-111 b"/>
        <s v="OGLE-TR-113 b"/>
        <s v="OGLE-TR-132 b"/>
        <s v="OGLE-TR-182 b"/>
        <s v="OGLE-TR-211 b"/>
        <s v="OGLE2-TR-L9 b"/>
        <s v="Oph 11 b"/>
        <s v="PDS 70 b"/>
        <s v="PH1 b"/>
        <s v="PH2 b"/>
        <s v="POTS-1 b"/>
        <s v="PSR B1257+12 b"/>
        <s v="PSR B1257+12 c"/>
        <s v="PSR B1257+12 d"/>
        <s v="PSR B1620-26 b"/>
        <s v="PSR J1719-1438 b"/>
        <s v="PSR J2322-2650 b"/>
        <s v="Pr0201 b"/>
        <s v="Pr0211 b"/>
        <s v="Pr0211 c"/>
        <s v="Proxima Cen b"/>
        <s v="Qatar-1 b"/>
        <s v="Qatar-10 b"/>
        <s v="Qatar-2 b"/>
        <s v="Qatar-3 b"/>
        <s v="Qatar-4 b"/>
        <s v="Qatar-5 b"/>
        <s v="Qatar-7 b"/>
        <s v="Qatar-8 b"/>
        <s v="Qatar-9 b"/>
        <s v="ROXs 12 b"/>
        <s v="ROXs 42 B b"/>
        <s v="RR Cae b"/>
        <s v="Ross 128 b"/>
        <s v="Ross 458 c"/>
        <s v="SR 12 AB c"/>
        <s v="SWEEPS-11 b"/>
        <s v="SWEEPS-4 b"/>
        <s v="TAP 26 b"/>
        <s v="TCP J05074264+2447555 b"/>
        <s v="TOI 172 b"/>
        <s v="TOI 216 b"/>
        <s v="TOI 216 c"/>
        <s v="TRAPPIST-1 b"/>
        <s v="TRAPPIST-1 c"/>
        <s v="TRAPPIST-1 d"/>
        <s v="TRAPPIST-1 e"/>
        <s v="TRAPPIST-1 f"/>
        <s v="TRAPPIST-1 g"/>
        <s v="TRAPPIST-1 h"/>
        <s v="TYC 1422-614-1 b"/>
        <s v="TYC 1422-614-1 c"/>
        <s v="TYC 3318-01333-1 b"/>
        <s v="TYC 3667-1280-1 b"/>
        <s v="TYC 4282-00605-1 b"/>
        <s v="TrES-1 b"/>
        <s v="TrES-2 b"/>
        <s v="TrES-3 b"/>
        <s v="TrES-4 b"/>
        <s v="TrES-5 b"/>
        <s v="UKIRT-2017-BLG-001L b"/>
        <s v="USco CTIO 108 b"/>
        <s v="UZ For b"/>
        <s v="UZ For c"/>
        <s v="V0391 Peg b"/>
        <s v="V830 Tau b"/>
        <s v="VHS J125601.92-125723.9 b"/>
        <s v="WASP-1 b"/>
        <s v="WASP-10 b"/>
        <s v="WASP-100 b"/>
        <s v="WASP-101 b"/>
        <s v="WASP-103 b"/>
        <s v="WASP-104 b"/>
        <s v="WASP-105 b"/>
        <s v="WASP-106 b"/>
        <s v="WASP-107 b"/>
        <s v="WASP-11 b"/>
        <s v="WASP-113 b"/>
        <s v="WASP-114 b"/>
        <s v="WASP-117 b"/>
        <s v="WASP-118 b"/>
        <s v="WASP-119 b"/>
        <s v="WASP-12 b"/>
        <s v="WASP-120 b"/>
        <s v="WASP-121 b"/>
        <s v="WASP-123 b"/>
        <s v="WASP-124 b"/>
        <s v="WASP-126 b"/>
        <s v="WASP-127 b"/>
        <s v="WASP-129 b"/>
        <s v="WASP-13 b"/>
        <s v="WASP-130 b"/>
        <s v="WASP-131 b"/>
        <s v="WASP-132 b"/>
        <s v="WASP-133 b"/>
        <s v="WASP-135 b"/>
        <s v="WASP-136 b"/>
        <s v="WASP-138 b"/>
        <s v="WASP-139 b"/>
        <s v="WASP-14 b"/>
        <s v="WASP-140 b"/>
        <s v="WASP-141 b"/>
        <s v="WASP-142 b"/>
        <s v="WASP-144 b"/>
        <s v="WASP-145 A b"/>
        <s v="WASP-147 b"/>
        <s v="WASP-15 b"/>
        <s v="WASP-151 b"/>
        <s v="WASP-153 b"/>
        <s v="WASP-156 b"/>
        <s v="WASP-157 b"/>
        <s v="WASP-158 b"/>
        <s v="WASP-159 b"/>
        <s v="WASP-16 b"/>
        <s v="WASP-160 B b"/>
        <s v="WASP-161 b"/>
        <s v="WASP-162 b"/>
        <s v="WASP-163 b"/>
        <s v="WASP-164 b"/>
        <s v="WASP-165 b"/>
        <s v="WASP-167 b"/>
        <s v="WASP-168 b"/>
        <s v="WASP-17 b"/>
        <s v="WASP-170 b"/>
        <s v="WASP-172 b"/>
        <s v="WASP-173 A b"/>
        <s v="WASP-174 b"/>
        <s v="WASP-177 b"/>
        <s v="WASP-18 b"/>
        <s v="WASP-181 b"/>
        <s v="WASP-183 b"/>
        <s v="WASP-19 b"/>
        <s v="WASP-190 b"/>
        <s v="WASP-2 b"/>
        <s v="WASP-20 b"/>
        <s v="WASP-21 b"/>
        <s v="WASP-22 b"/>
        <s v="WASP-23 b"/>
        <s v="WASP-24 b"/>
        <s v="WASP-25 b"/>
        <s v="WASP-26 b"/>
        <s v="WASP-28 b"/>
        <s v="WASP-29 b"/>
        <s v="WASP-3 b"/>
        <s v="WASP-31 b"/>
        <s v="WASP-32 b"/>
        <s v="WASP-33 b"/>
        <s v="WASP-34 b"/>
        <s v="WASP-35 b"/>
        <s v="WASP-36 b"/>
        <s v="WASP-37 b"/>
        <s v="WASP-38 b"/>
        <s v="WASP-39 b"/>
        <s v="WASP-4 b"/>
        <s v="WASP-41 b"/>
        <s v="WASP-41 c"/>
        <s v="WASP-42 b"/>
        <s v="WASP-43 b"/>
        <s v="WASP-44 b"/>
        <s v="WASP-45 b"/>
        <s v="WASP-46 b"/>
        <s v="WASP-47 b"/>
        <s v="WASP-47 c"/>
        <s v="WASP-47 d"/>
        <s v="WASP-47 e"/>
        <s v="WASP-48 b"/>
        <s v="WASP-49 b"/>
        <s v="WASP-5 b"/>
        <s v="WASP-50 b"/>
        <s v="WASP-52 b"/>
        <s v="WASP-53 b"/>
        <s v="WASP-53 c"/>
        <s v="WASP-54 b"/>
        <s v="WASP-55 b"/>
        <s v="WASP-56 b"/>
        <s v="WASP-57 b"/>
        <s v="WASP-58 b"/>
        <s v="WASP-59 b"/>
        <s v="WASP-6 b"/>
        <s v="WASP-60 b"/>
        <s v="WASP-61 b"/>
        <s v="WASP-62 b"/>
        <s v="WASP-63 b"/>
        <s v="WASP-64 b"/>
        <s v="WASP-65 b"/>
        <s v="WASP-66 b"/>
        <s v="WASP-67 b"/>
        <s v="WASP-68 b"/>
        <s v="WASP-69 b"/>
        <s v="WASP-7 b"/>
        <s v="WASP-70 A b"/>
        <s v="WASP-71 b"/>
        <s v="WASP-72 b"/>
        <s v="WASP-73 b"/>
        <s v="WASP-74 b"/>
        <s v="WASP-75 b"/>
        <s v="WASP-76 b"/>
        <s v="WASP-77 A b"/>
        <s v="WASP-78 b"/>
        <s v="WASP-79 b"/>
        <s v="WASP-8 b"/>
        <s v="WASP-8 c"/>
        <s v="WASP-80 b"/>
        <s v="WASP-81 b"/>
        <s v="WASP-82 b"/>
        <s v="WASP-83 b"/>
        <s v="WASP-84 b"/>
        <s v="WASP-85 A b"/>
        <s v="WASP-88 b"/>
        <s v="WASP-89 b"/>
        <s v="WASP-90 b"/>
        <s v="WASP-91 b"/>
        <s v="WASP-92 b"/>
        <s v="WASP-93 b"/>
        <s v="WASP-94 A b"/>
        <s v="WASP-94 B b"/>
        <s v="WASP-95 b"/>
        <s v="WASP-96 b"/>
        <s v="WASP-97 b"/>
        <s v="WASP-98 b"/>
        <s v="WASP-99 b"/>
        <s v="WD 0806-661 b"/>
        <s v="WISEP J121756.91+162640.2 A b"/>
        <s v="WTS-1 b"/>
        <s v="WTS-2 b"/>
        <s v="Wolf 1061 b"/>
        <s v="Wolf 1061 c"/>
        <s v="Wolf 1061 d"/>
        <s v="Wolf 503 b"/>
        <s v="XO-1 b"/>
        <s v="XO-2 N b"/>
        <s v="XO-2 S b"/>
        <s v="XO-2 S c"/>
        <s v="XO-3 b"/>
        <s v="XO-4 b"/>
        <s v="XO-5 b"/>
        <s v="XO-6 b"/>
        <s v="YZ Cet b"/>
        <s v="YZ Cet c"/>
        <s v="YZ Cet d"/>
        <s v="alf Ari b"/>
        <s v="alf Tau b"/>
        <s v="bet Cnc b"/>
        <s v="bet Pic b"/>
        <s v="bet UMi b"/>
        <s v="eps CrB b"/>
        <s v="eps Eri b"/>
        <s v="eps Tau b"/>
        <s v="gam 1 Leo b"/>
        <s v="gam Cep b"/>
        <s v="gam Lib b"/>
        <s v="gam Lib c"/>
        <s v="iot Dra b"/>
        <s v="kap And b"/>
        <s v="kap CrB b"/>
        <s v="mu Leo b"/>
        <s v="nu Oph b"/>
        <s v="nu Oph c"/>
        <s v="ome Ser b"/>
        <s v="omi CrB b"/>
        <s v="omi UMa b"/>
        <s v="pi Men c"/>
        <s v="psi 1 Dra B b"/>
        <s v="rho CrB b"/>
        <s v="rho CrB c"/>
        <s v="tau Boo b"/>
        <s v="tau Cet e"/>
        <s v="tau Cet f"/>
        <s v="tau Cet g"/>
        <s v="tau Cet h"/>
        <s v="tau Gem b"/>
        <s v="ups And b"/>
        <s v="ups And c"/>
        <s v="ups And d"/>
        <s v="xi Aql b"/>
      </sharedItems>
    </cacheField>
    <cacheField name="pl_disc" numFmtId="0">
      <sharedItems containsSemiMixedTypes="0" containsString="0" containsNumber="1" containsInteger="1" minValue="1989" maxValue="2019" count="28">
        <n v="2007"/>
        <n v="2009"/>
        <n v="2008"/>
        <n v="2002"/>
        <n v="1996"/>
        <n v="2018"/>
        <n v="2010"/>
        <n v="2013"/>
        <n v="2015"/>
        <n v="2004"/>
        <n v="2016"/>
        <n v="2006"/>
        <n v="2001"/>
        <n v="1995"/>
        <n v="2011"/>
        <n v="2012"/>
        <n v="2005"/>
        <n v="2017"/>
        <n v="2000"/>
        <n v="2014"/>
        <n v="2019"/>
        <n v="1999"/>
        <n v="1998"/>
        <n v="2003"/>
        <n v="1989"/>
        <n v="1994"/>
        <n v="1992"/>
        <n v="1997"/>
      </sharedItems>
    </cacheField>
    <cacheField name="pl_kepflag" numFmtId="0">
      <sharedItems containsSemiMixedTypes="0" containsString="0" containsNumber="1" containsInteger="1" minValue="0" maxValue="1" count="2">
        <n v="0"/>
        <n v="1"/>
      </sharedItems>
    </cacheField>
    <cacheField name="pl_locale" numFmtId="0">
      <sharedItems count="3">
        <s v="Ground"/>
        <s v="Space"/>
        <s v="Multiple Locales"/>
      </sharedItems>
    </cacheField>
    <cacheField name="pl_discmethod" numFmtId="0">
      <sharedItems count="10">
        <s v="Radial Velocity"/>
        <s v="Imaging"/>
        <s v="Eclipse Timing Variations"/>
        <s v="Transit"/>
        <s v="Astrometry"/>
        <s v="Orbital Brightness Modulation"/>
        <s v="Pulsation Timing Variations"/>
        <s v="Microlensing"/>
        <s v="Transit Timing Variations"/>
        <s v="Pulsar Timing"/>
      </sharedItems>
    </cacheField>
    <cacheField name="pl_facility" numFmtId="0">
      <sharedItems count="57">
        <s v="Xinglong Station"/>
        <s v="Thueringer Landessternwarte Tautenburg"/>
        <s v="Okayama Astrophysical Observatory"/>
        <s v="W. M. Keck Observatory"/>
        <s v="Multiple Observatories"/>
        <s v="Gemini Observatory"/>
        <s v="Lick Observatory"/>
        <s v="Cerro Tololo Inter-American Observatory"/>
        <s v="Hubble Space Telescope"/>
        <s v="Paranal Observatory"/>
        <s v="Kepler"/>
        <s v="Haute-Provence Observatory"/>
        <s v="McDonald Observatory"/>
        <s v="Anglo-Australian Telescope"/>
        <s v="Bohyunsan Optical Astronomical Observatory"/>
        <s v="Roque de los Muchachos Observatory"/>
        <s v="K2"/>
        <s v="La Silla Observatory"/>
        <s v="CoRoT"/>
        <s v="Subaru Telescope"/>
        <s v="Yunnan Astronomical Observatory"/>
        <s v="Spitzer Space Telescope"/>
        <s v="Calar Alto Observatory"/>
        <s v="MEarth Project"/>
        <s v="Transiting Exoplanet Survey Satellite (TESS)"/>
        <s v="Qatar"/>
        <s v="Palomar Observatory"/>
        <s v="HATNet"/>
        <s v="HATSouth"/>
        <s v="Kitt Peak National Observatory"/>
        <s v="Las Campanas Observatory"/>
        <s v="Oak Ridge Observatory"/>
        <s v="Multiple Facilities"/>
        <s v="Fred Lawrence Whipple Observatory"/>
        <s v="Apache Point Observatory"/>
        <s v="KELT"/>
        <s v="KELT-South"/>
        <s v="KELT-North"/>
        <s v="KMTNet"/>
        <s v="Acton Sky Portal Observatory"/>
        <s v="Large Binocular Telescope Observatory"/>
        <s v="MOA"/>
        <s v="OGLE"/>
        <s v="Arecibo Observatory"/>
        <s v="Parkes Observatory"/>
        <s v="European Southern Observatory"/>
        <s v="Leoncito Astronomical Complex"/>
        <s v="Infrared Survey Facility"/>
        <s v="TrES"/>
        <s v="Mauna Kea Observatory"/>
        <s v="Teide Observatory"/>
        <s v="SuperWASP"/>
        <s v="SuperWASP-South"/>
        <s v="SuperWASP-North"/>
        <s v="WASP-South"/>
        <s v="United Kingdom Infrared Telescope"/>
        <s v="XO"/>
      </sharedItems>
    </cacheField>
    <cacheField name="pl_pnum" numFmtId="0">
      <sharedItems containsSemiMixedTypes="0" containsString="0" containsNumber="1" containsInteger="1" minValue="1" maxValue="8" count="8">
        <n v="1"/>
        <n v="2"/>
        <n v="3"/>
        <n v="5"/>
        <n v="4"/>
        <n v="6"/>
        <n v="8"/>
        <n v="7"/>
      </sharedItems>
    </cacheField>
    <cacheField name="pl_orbper" numFmtId="0">
      <sharedItems containsString="0" containsBlank="1" containsNumber="1" minValue="9.0706289999999995E-2" maxValue="7300000" count="3863">
        <n v="326.02999999999997"/>
        <n v="516.21996999999999"/>
        <n v="185.84"/>
        <n v="1773.40002"/>
        <n v="798.5"/>
        <n v="993.3"/>
        <m/>
        <n v="30.3506"/>
        <n v="452.8"/>
        <n v="883"/>
        <n v="416"/>
        <n v="7336.5"/>
        <n v="335.10001"/>
        <n v="269.3"/>
        <n v="479.1"/>
        <n v="1078"/>
        <n v="2391"/>
        <n v="14002"/>
        <n v="4.230785"/>
        <n v="14.65152"/>
        <n v="44.417499999999997"/>
        <n v="4825"/>
        <n v="0.73653900000000005"/>
        <n v="262"/>
        <n v="934.3"/>
        <n v="4.2149999999999999"/>
        <n v="38.021000000000001"/>
        <n v="123.01"/>
        <n v="796"/>
        <n v="116.688"/>
        <n v="691.9"/>
        <n v="93.4"/>
        <n v="952.7"/>
        <n v="181.4"/>
        <n v="481.9"/>
        <n v="268.94"/>
        <n v="153.22"/>
        <n v="137.47999999999999"/>
        <n v="379.63"/>
        <n v="621.99"/>
        <n v="578.20000000000005"/>
        <n v="41.685499999999998"/>
        <n v="392.6"/>
        <n v="733"/>
        <n v="2590"/>
        <n v="3.8727999999999998"/>
        <n v="125.94"/>
        <n v="5.6"/>
        <n v="237.6"/>
        <n v="3.4877699999999998"/>
        <n v="1667"/>
        <n v="714.29998999999998"/>
        <n v="655.59997999999996"/>
        <n v="10037.5"/>
        <n v="1.5089557"/>
        <n v="13.240600000000001"/>
        <n v="2.9943300000000002"/>
        <n v="2.8280419999999999"/>
        <n v="4.0351900000000001"/>
        <n v="1.51214"/>
        <n v="5.3522699999999999"/>
        <n v="3.7681"/>
        <n v="1.9000693"/>
        <n v="3.8971300000000002"/>
        <n v="1.7429935000000001"/>
        <n v="9.2428500000000007"/>
        <n v="1675"/>
        <n v="2.7247400000000002"/>
        <n v="9.7559799999999992"/>
        <n v="3.6313"/>
        <n v="5.1134000000000004"/>
        <n v="11.759"/>
        <n v="4.86069"/>
        <n v="4.2047400000000001"/>
        <n v="3.5753200000000001"/>
        <n v="5.2085100000000004"/>
        <n v="2.8505699999999998"/>
        <n v="4.2568000000000001"/>
        <n v="9.2020499999999998"/>
        <n v="4.0378961999999996"/>
        <n v="8.8865929999999995"/>
        <n v="0.85359163000000005"/>
        <n v="3.698"/>
        <n v="6.2122900000000003"/>
        <n v="95.272655999999998"/>
        <n v="6.7183700000000002"/>
        <n v="246.36"/>
        <n v="10220"/>
        <n v="21.169861000000001"/>
        <n v="19.49221"/>
        <n v="0.57133100000000003"/>
        <n v="13.339079"/>
        <n v="6.1802349999999997"/>
        <n v="555530"/>
        <n v="1.6289309999999999"/>
        <n v="8.9290000000000003"/>
        <n v="41.38"/>
        <n v="532.58000000000004"/>
        <n v="1.5804045600000001"/>
        <n v="3.6511"/>
        <n v="35.61253"/>
        <n v="8.6318199999999994"/>
        <n v="25.630579999999998"/>
        <n v="603.95115999999996"/>
        <n v="2288"/>
        <n v="18.649799999999999"/>
        <n v="4.7233999999999998"/>
        <n v="133.71"/>
        <n v="1.2200299999999999"/>
        <n v="5.9740000000000002"/>
        <n v="257.8"/>
        <n v="692"/>
        <n v="5312"/>
        <n v="4100"/>
        <n v="30.598700000000001"/>
        <n v="122.61960000000001"/>
        <n v="48.134500000000003"/>
        <n v="13.254300000000001"/>
        <n v="5.3635999999999999"/>
        <n v="40.54"/>
        <n v="14.207000000000001"/>
        <n v="3.3366495999999999"/>
        <n v="2.64561"/>
        <n v="3.0232000000000001"/>
        <n v="6.9050000000000002"/>
        <n v="2.6497700000000002"/>
        <n v="13.74"/>
        <n v="12.953200000000001"/>
        <n v="13.352"/>
        <n v="7.3708999999999998"/>
        <n v="2.6438831199999999"/>
        <n v="8.7075999999999993"/>
        <n v="5.3685999999999998"/>
        <n v="12.914"/>
        <n v="3.149"/>
        <n v="14.628"/>
        <n v="598.29999999999995"/>
        <n v="7.2004000000000001"/>
        <n v="28.14"/>
        <n v="62.24"/>
        <n v="39.026000000000003"/>
        <n v="256.2"/>
        <n v="4.6938000000000004"/>
        <n v="1056.8000500000001"/>
        <n v="7337"/>
        <n v="3.6004999999999998"/>
        <n v="35.39"/>
        <n v="24.16"/>
        <n v="38.14"/>
        <n v="3657"/>
        <n v="35.68"/>
        <n v="1882"/>
        <n v="15.76491"/>
        <n v="61.116599999999998"/>
        <n v="30.088100000000001"/>
        <n v="1.9377800000000001"/>
        <n v="124.26"/>
        <n v="73.94"/>
        <n v="1.2089802000000001"/>
        <n v="3.6480830000000002"/>
        <n v="6.2014670000000001"/>
        <n v="3.8220000000000001"/>
        <n v="15.53209"/>
        <n v="4.4652997599999997"/>
        <n v="4.8878024399999997"/>
        <n v="3407"/>
        <n v="3.2130597999999999"/>
        <n v="2.9162499999999998"/>
        <n v="446.27"/>
        <n v="4.6276700000000002"/>
        <n v="10.8635"/>
        <n v="2.77596"/>
        <n v="10.338520000000001"/>
        <n v="5584"/>
        <n v="5.5080229999999997"/>
        <n v="4.0087780000000004"/>
        <n v="5.6335157999999996"/>
        <n v="2.8753169999999999"/>
        <n v="4.1244800000000001"/>
        <n v="3.2122199999999999"/>
        <n v="1.21288"/>
        <n v="3.3552399999999998"/>
        <n v="3.65281514"/>
        <n v="4.2345199999999998"/>
        <n v="3.039577"/>
        <n v="3.257215"/>
        <n v="5.7231899999999998"/>
        <n v="2.8997000000000002"/>
        <n v="2.8106"/>
        <n v="5.00542"/>
        <n v="2.15001"/>
        <n v="3.4744700000000002"/>
        <n v="5.4526500000000002"/>
        <n v="3.6467100000000001"/>
        <n v="1.32735"/>
        <n v="2.7974359999999998"/>
        <n v="4.6403819999999998"/>
        <n v="3.5438700000000001"/>
        <n v="3.0565359999999999"/>
        <n v="4.4572399999999996"/>
        <n v="2.6940499999999998"/>
        <n v="4.6418780000000002"/>
        <n v="3.332687"/>
        <n v="4.3012189999999997"/>
        <n v="872.2"/>
        <n v="3.1289920000000002"/>
        <n v="4.4631290000000003"/>
        <n v="2.6915499999999999"/>
        <n v="2.7884899999999999"/>
        <n v="3.1220108999999998"/>
        <n v="4.2180277999999998"/>
        <n v="2.7535953000000002"/>
        <n v="1.9616241000000001"/>
        <n v="3.7998470000000002"/>
        <n v="3.5852466999999999"/>
        <n v="2.7908300000000001"/>
        <n v="2.4653"/>
        <n v="3.8529800000000001"/>
        <n v="2.6054552000000002"/>
        <n v="2.972086"/>
        <n v="4.8101025000000002"/>
        <n v="2.2047400000000001"/>
        <n v="3.0763400000000001"/>
        <n v="3.9228900000000002"/>
        <n v="3.4464589999999999"/>
        <n v="3.312846"/>
        <n v="3.6191879999999998"/>
        <n v="3.1427019999999999"/>
        <n v="3.0440499000000001"/>
        <n v="2.7667641000000001"/>
        <n v="1.7474875299999999"/>
        <n v="2.6865019999999999"/>
        <n v="16.254611000000001"/>
        <n v="0.83784340000000002"/>
        <n v="1.354133"/>
        <n v="4.7228123999999996"/>
        <n v="2.1605156000000001"/>
        <n v="1.3484954"/>
        <n v="4.2986431999999999"/>
        <n v="3.3023880999999999"/>
        <n v="4.6370380000000004"/>
        <n v="3.1810781000000001"/>
        <n v="4.6058748999999999"/>
        <n v="3.5478510000000001"/>
        <n v="3.1743516000000001"/>
        <n v="3.3779599999999999"/>
        <n v="2.8126547999999998"/>
        <n v="2.5495551000000001"/>
        <n v="2.1061607000000002"/>
        <n v="1.8209993"/>
        <n v="4.1751860000000001"/>
        <n v="4.5776348000000002"/>
        <n v="2.5167290000000002"/>
        <n v="3.2642736000000001"/>
        <n v="4.1936489999999997"/>
        <n v="2.2921019999999999"/>
        <n v="4.3888496999999997"/>
        <n v="2.7439003999999998"/>
        <n v="4.1876243999999998"/>
        <n v="4.7423729000000003"/>
        <n v="4.7633869999999998"/>
        <n v="3.8297015000000001"/>
        <n v="3.3488701999999999"/>
        <n v="1.3666543600000001"/>
        <n v="3.8537767999999999"/>
        <n v="5.4160810000000001"/>
        <n v="1422"/>
        <n v="3.3252725000000001"/>
        <n v="3.560829"/>
        <n v="7.8179530000000002"/>
        <n v="3.2768837"/>
        <n v="3.0566526999999999"/>
        <n v="4.9088969999999996"/>
        <n v="3.1051609999999998"/>
        <n v="3.1414390999999999"/>
        <n v="1.6091788"/>
        <n v="3.5862202000000001"/>
        <n v="2.2252576999999998"/>
        <n v="3.1853150000000001"/>
        <n v="1.8882378"/>
        <n v="3.5838930000000002"/>
        <n v="1.9152910000000001"/>
        <n v="157.57001"/>
        <n v="383.70001000000002"/>
        <n v="5.75969"/>
        <n v="16.356999999999999"/>
        <n v="49.747999999999998"/>
        <n v="122.744"/>
        <n v="604.66999999999996"/>
        <n v="2205"/>
        <n v="70.459999999999994"/>
        <n v="20.813300000000002"/>
        <n v="4.1137699999999997"/>
        <n v="127.58"/>
        <n v="778.09997999999996"/>
        <n v="1123"/>
        <n v="122.1"/>
        <n v="3090.942"/>
        <n v="6.4946999999999999"/>
        <n v="47.84"/>
        <n v="4.5556999999999999"/>
        <n v="5.8880999999999997"/>
        <n v="120.878"/>
        <n v="55.805999999999997"/>
        <n v="1032.3"/>
        <n v="199.505"/>
        <n v="1531"/>
        <n v="1888"/>
        <n v="9.5580400000000001"/>
        <n v="21.057880000000001"/>
        <n v="989.2"/>
        <n v="3630"/>
        <n v="1075.69"/>
        <n v="48.055999999999997"/>
        <n v="10.8985"/>
        <n v="1129"/>
        <n v="437.7"/>
        <n v="394.48122999999998"/>
        <n v="1624"/>
        <n v="68.27"/>
        <n v="7.8543000000000003"/>
        <n v="30.93"/>
        <n v="5.2398910000000001"/>
        <n v="835.47699999999998"/>
        <n v="1143"/>
        <n v="1056.4000000000001"/>
        <n v="825.9"/>
        <n v="324"/>
        <n v="663.2"/>
        <n v="1818"/>
        <n v="610.20000000000005"/>
        <n v="937.70001000000002"/>
        <n v="4000"/>
        <n v="1114"/>
        <n v="83.915099999999995"/>
        <n v="493.7"/>
        <n v="4319"/>
        <n v="1622.1"/>
        <n v="223.41"/>
        <n v="670"/>
        <n v="907"/>
        <n v="2597"/>
        <n v="433.70001000000002"/>
        <n v="25.8"/>
        <n v="6.1334999999999997"/>
        <n v="16.984100000000002"/>
        <n v="1945"/>
        <n v="37.909999999999997"/>
        <n v="711"/>
        <n v="2082"/>
        <n v="63.33"/>
        <n v="58.83"/>
        <n v="9.6737000000000002"/>
        <n v="557.04"/>
        <n v="4.1551400000000003"/>
        <n v="2835"/>
        <n v="133.60001"/>
        <n v="262.70862"/>
        <n v="1708"/>
        <n v="1244"/>
        <n v="453.01900000000001"/>
        <n v="921.53800000000001"/>
        <n v="298.2"/>
        <n v="1840"/>
        <n v="10.70871"/>
        <n v="896"/>
        <n v="1951"/>
        <n v="2613"/>
        <n v="471.60001"/>
        <n v="974"/>
        <n v="1544"/>
        <n v="649"/>
        <n v="3568"/>
        <n v="5769"/>
        <n v="3.2696000000000001"/>
        <n v="1291.5645999999999"/>
        <n v="258.17998999999998"/>
        <n v="5000"/>
        <n v="11.5824"/>
        <n v="27.582100000000001"/>
        <n v="107.59829999999999"/>
        <n v="464.29998999999998"/>
        <n v="14763.405000000001"/>
        <n v="330"/>
        <n v="19.382000000000001"/>
        <n v="931"/>
        <n v="4218"/>
        <n v="1125.7"/>
        <n v="11.53533"/>
        <n v="1455"/>
        <n v="94.44"/>
        <n v="201.99"/>
        <n v="1069.8"/>
        <n v="653.21996999999999"/>
        <n v="349.7"/>
        <n v="6005"/>
        <n v="1928"/>
        <n v="1299"/>
        <n v="386.29998999999998"/>
        <n v="2.1974"/>
        <n v="1046.2"/>
        <n v="103.95"/>
        <n v="176.3"/>
        <n v="2730"/>
        <n v="5.7715199999999998"/>
        <n v="13.5052"/>
        <n v="44.235999999999997"/>
        <n v="1008"/>
        <n v="86.78"/>
        <n v="528.4"/>
        <n v="676.6"/>
        <n v="116.596"/>
        <n v="491.54"/>
        <n v="1027"/>
        <n v="328.55"/>
        <n v="5062"/>
        <n v="339.33100000000002"/>
        <n v="331.5"/>
        <n v="2.8758900000000001"/>
        <n v="4.0718199999999998"/>
        <n v="428.5"/>
        <n v="5894"/>
        <n v="2899"/>
        <n v="686.5"/>
        <n v="4.7561499999999999"/>
        <n v="17.1784"/>
        <n v="499.39999"/>
        <n v="3341.5588400000001"/>
        <n v="163.94"/>
        <n v="408.60001"/>
        <n v="3452"/>
        <n v="818.8"/>
        <n v="194.3"/>
        <n v="391.9"/>
        <n v="131.05000000000001"/>
        <n v="4191"/>
        <n v="842.2"/>
        <n v="4.6455000000000002"/>
        <n v="359.51001000000002"/>
        <n v="521"/>
        <n v="820.2"/>
        <n v="12.62"/>
        <n v="248.4"/>
        <n v="1184.0999999999999"/>
        <n v="351"/>
        <n v="577.20000000000005"/>
        <n v="2149"/>
        <n v="643.25"/>
        <n v="4205.8"/>
        <n v="9.6386000000000003"/>
        <n v="310.55"/>
        <n v="75.522999999999996"/>
        <n v="990"/>
        <n v="8.4282000000000004"/>
        <n v="75.220299999999995"/>
        <n v="1272"/>
        <n v="17.239999999999998"/>
        <n v="280.17"/>
        <n v="40"/>
        <n v="641.47199999999998"/>
        <n v="1155"/>
        <n v="75.765000000000001"/>
        <n v="434.5"/>
        <n v="270"/>
        <n v="5144"/>
        <n v="420.77"/>
        <n v="58.112470000000002"/>
        <n v="1749.83"/>
        <n v="6.4039999999999999"/>
        <n v="533"/>
        <n v="225.62"/>
        <n v="2102"/>
        <n v="1145"/>
        <n v="359.89999"/>
        <n v="550"/>
        <n v="1532"/>
        <n v="21.216629999999999"/>
        <n v="323.60000000000002"/>
        <n v="1290"/>
        <n v="298.43"/>
        <n v="29.01"/>
        <n v="623.79999999999995"/>
        <n v="6.4897999999999998"/>
        <n v="16.819099999999999"/>
        <n v="44.505000000000003"/>
        <n v="410.10001"/>
        <n v="110.9"/>
        <n v="71.483999999999995"/>
        <n v="14.478999999999999"/>
        <n v="3.092514"/>
        <n v="213.72"/>
        <n v="2278"/>
        <n v="396.03"/>
        <n v="510.9"/>
        <n v="7462.0574999999999"/>
        <n v="564.1"/>
        <n v="9.3742999999999999"/>
        <n v="962"/>
        <n v="2172"/>
        <n v="956"/>
        <n v="626.51598999999999"/>
        <n v="3070"/>
        <n v="6.8377600000000003"/>
        <n v="986"/>
        <n v="3.0965828000000002"/>
        <n v="3810"/>
        <n v="766"/>
        <n v="461.2"/>
        <n v="2.2185756699999999"/>
        <n v="2915.0368699999999"/>
        <n v="17.111000000000001"/>
        <n v="1038.09998"/>
        <n v="4885"/>
        <n v="1606.3"/>
        <n v="24.355599999999999"/>
        <n v="74.72"/>
        <n v="525.79999999999995"/>
        <n v="340.94"/>
        <n v="18.201319999999999"/>
        <n v="1378"/>
        <n v="3638"/>
        <n v="1333"/>
        <n v="1035.7"/>
        <n v="466.2"/>
        <n v="11.8482"/>
        <n v="33.923900000000003"/>
        <n v="606.29999999999995"/>
        <n v="852.5"/>
        <n v="1260"/>
        <n v="517.79999999999995"/>
        <n v="946.6"/>
        <n v="3.3089580000000001"/>
        <n v="1552.9"/>
        <n v="1120"/>
        <n v="1920.09998"/>
        <n v="34.905000000000001"/>
        <n v="1733"/>
        <n v="279.8"/>
        <n v="96.045000000000002"/>
        <n v="673.2"/>
        <n v="5.3135000000000003"/>
        <n v="13.890499999999999"/>
        <n v="29.158000000000001"/>
        <n v="85.507300000000001"/>
        <n v="597.0643"/>
        <n v="160.07"/>
        <n v="1155.7"/>
        <n v="18.315000000000001"/>
        <n v="40.113999999999997"/>
        <n v="90.308999999999997"/>
        <n v="147.02000000000001"/>
        <n v="130.08000000000001"/>
        <n v="875.5"/>
        <n v="380.85001"/>
        <n v="352.7"/>
        <n v="3.5247485900000002"/>
        <n v="649.91800000000001"/>
        <n v="442.19"/>
        <n v="354.1"/>
        <n v="1558"/>
        <n v="25.201000000000001"/>
        <n v="2.2457099999999999"/>
        <n v="380.7"/>
        <n v="882.70001000000002"/>
        <n v="84.287999999999997"/>
        <n v="1854.4"/>
        <n v="5.7599900000000002"/>
        <n v="7.2824299999999997"/>
        <n v="10.864990000000001"/>
        <n v="25.1967"/>
        <n v="3.93404"/>
        <n v="567.94000000000005"/>
        <n v="1311"/>
        <n v="1256"/>
        <n v="148.60001"/>
        <n v="118.45"/>
        <n v="22.678599999999999"/>
        <n v="53.735700000000001"/>
        <n v="7.1268200000000004"/>
        <n v="4270"/>
        <n v="7.78993"/>
        <n v="1319"/>
        <n v="3501.3"/>
        <n v="225.7"/>
        <n v="5501"/>
        <n v="3.0929259999999998"/>
        <n v="6.7645799999999996"/>
        <n v="46.859000000000002"/>
        <n v="22.716999999999999"/>
        <n v="94.2"/>
        <n v="2247"/>
        <n v="2093.3000000000002"/>
        <n v="6.0360699999999996"/>
        <n v="3.8349199999999999"/>
        <n v="4682"/>
        <n v="672.09997999999996"/>
        <n v="2209"/>
        <n v="3724.7"/>
        <n v="218.47"/>
        <n v="456.1"/>
        <n v="14.2767"/>
        <n v="22482"/>
        <n v="1173"/>
        <n v="871"/>
        <n v="3999"/>
        <n v="572.38"/>
        <n v="1189.0999999999999"/>
        <n v="26.6904"/>
        <n v="528.07000000000005"/>
        <n v="730.59997999999996"/>
        <n v="1214"/>
        <n v="141.63"/>
        <n v="192"/>
        <n v="17.667000000000002"/>
        <n v="29.625"/>
        <n v="1561"/>
        <n v="501.75"/>
        <n v="745.70001000000002"/>
        <n v="3668"/>
        <n v="535.59997999999996"/>
        <n v="2.0455000000000001"/>
        <n v="6019.32"/>
        <n v="1845"/>
        <n v="3.4441999999999999"/>
        <n v="42.378"/>
        <n v="428.1"/>
        <n v="2208"/>
        <n v="18.02"/>
        <n v="36.07"/>
        <n v="5174"/>
        <n v="379"/>
        <n v="1116"/>
        <n v="6.0880999999999998"/>
        <n v="8.7835999999999999"/>
        <n v="380.2"/>
        <n v="1362.3"/>
        <n v="2443"/>
        <n v="311.60001"/>
        <n v="2770"/>
        <n v="11613"/>
        <n v="1157"/>
        <n v="1684"/>
        <n v="847"/>
        <n v="466"/>
        <n v="16.5535"/>
        <n v="51.205300000000001"/>
        <n v="271.6737"/>
        <n v="0.95962400000000003"/>
        <n v="29.83832"/>
        <n v="8.5090000000000003"/>
        <n v="157.54"/>
        <n v="2372"/>
        <n v="3.3877299999999999"/>
        <n v="326"/>
        <n v="834"/>
        <n v="18.199100000000001"/>
        <n v="388"/>
        <n v="551.40002000000004"/>
        <n v="916"/>
        <n v="1049"/>
        <n v="214.67"/>
        <n v="117.87"/>
        <n v="49.174999999999997"/>
        <n v="676.8"/>
        <n v="5700"/>
        <n v="82.466999999999999"/>
        <n v="62.25"/>
        <n v="154.37799999999999"/>
        <n v="885.5"/>
        <n v="1862"/>
        <n v="55.012920000000001"/>
        <n v="2720"/>
        <n v="363.20001000000002"/>
        <n v="14.30944"/>
        <n v="2136.1"/>
        <n v="686.8"/>
        <n v="2093.0700000000002"/>
        <n v="3.2498"/>
        <n v="4.3122999999999996"/>
        <n v="9.6183999999999994"/>
        <n v="20.431999999999999"/>
        <n v="51.76"/>
        <n v="197.8"/>
        <n v="578.6"/>
        <n v="264.14999"/>
        <n v="963"/>
        <n v="1.3283"/>
        <n v="526.62"/>
        <n v="857.5"/>
        <n v="431.88"/>
        <n v="6700"/>
        <n v="828"/>
        <n v="149.61000000000001"/>
        <n v="15.56"/>
        <n v="356.21"/>
        <n v="327.8"/>
        <n v="36.998699999999999"/>
        <n v="472.3"/>
        <n v="5.8853999999999997"/>
        <n v="13.135400000000001"/>
        <n v="963.6"/>
        <n v="226.93"/>
        <n v="342.85"/>
        <n v="44.073"/>
        <n v="3.0235729999999998"/>
        <n v="4.0845000000000002"/>
        <n v="1353.6"/>
        <n v="360.2"/>
        <n v="2732"/>
        <n v="363.3"/>
        <n v="684.7"/>
        <n v="712.13"/>
        <n v="780.3"/>
        <n v="400.5"/>
        <n v="4.9473700000000003"/>
        <n v="2483.6999999999998"/>
        <n v="8619.9"/>
        <n v="1293"/>
        <n v="14.0726"/>
        <n v="95.944599999999994"/>
        <n v="119.27"/>
        <n v="637.1"/>
        <n v="1827"/>
        <n v="139.35"/>
        <n v="779.9"/>
        <n v="492.3"/>
        <n v="177.11"/>
        <n v="299.36"/>
        <n v="201.9"/>
        <n v="600.1"/>
        <n v="589.64"/>
        <n v="2.8180499999999999"/>
        <n v="358"/>
        <n v="45.790999999999997"/>
        <n v="21.998000000000001"/>
        <n v="577.6"/>
        <n v="5370"/>
        <n v="480.5"/>
        <n v="1973"/>
        <n v="352.2"/>
        <n v="2374"/>
        <n v="2496"/>
        <n v="1103"/>
        <n v="6.2771100000000004"/>
        <n v="8.6669999999999998"/>
        <n v="31.56"/>
        <n v="197"/>
        <n v="851.8"/>
        <n v="2068"/>
        <n v="615"/>
        <n v="858"/>
        <n v="3658"/>
        <n v="39.475000000000001"/>
        <n v="188.3"/>
        <n v="379.1"/>
        <n v="1750"/>
        <n v="51.645000000000003"/>
        <n v="2473"/>
        <n v="1255.5"/>
        <n v="3.5092699999999999"/>
        <n v="341.2"/>
        <n v="7900"/>
        <n v="422.9"/>
        <n v="3.9709699999999999"/>
        <n v="415.4"/>
        <n v="5.7361000000000004"/>
        <n v="5.3979200000000001"/>
        <n v="15.298999999999999"/>
        <n v="24.451000000000001"/>
        <n v="1807"/>
        <n v="111.4367"/>
        <n v="1001.70001"/>
        <n v="184.02"/>
        <n v="705"/>
        <n v="441.47"/>
        <n v="220.078"/>
        <n v="158.99100000000001"/>
        <n v="2.9857"/>
        <n v="1313"/>
        <n v="799.52"/>
        <n v="58.43"/>
        <n v="227"/>
        <n v="2.1378431"/>
        <n v="1695"/>
        <n v="1475"/>
        <n v="1634"/>
        <n v="1270"/>
        <n v="13.481"/>
        <n v="2754"/>
        <n v="3.4148839999999998"/>
        <n v="2166"/>
        <n v="11.814299999999999"/>
        <n v="256.77999999999997"/>
        <n v="49.77"/>
        <n v="1179"/>
        <n v="325.803"/>
        <n v="11611.297500000001"/>
        <n v="10354.8375"/>
        <n v="143.58000000000001"/>
        <n v="30.052"/>
        <n v="192.9"/>
        <n v="1576"/>
        <n v="1785"/>
        <n v="464.4"/>
        <n v="482"/>
        <n v="4375"/>
        <n v="362.5"/>
        <n v="647.29998999999998"/>
        <n v="498.04"/>
        <n v="9.4908999999999999"/>
        <n v="433.8"/>
        <n v="6022.9724999999999"/>
        <n v="968.8"/>
        <n v="439.29998999999998"/>
        <n v="17.043099999999999"/>
        <n v="841"/>
        <n v="1278"/>
        <n v="184.2"/>
        <n v="144.30000000000001"/>
        <n v="499.48"/>
        <n v="232.08"/>
        <n v="9.1204999999999998"/>
        <n v="57.435000000000002"/>
        <n v="6.6738920000000004"/>
        <n v="147.74700000000001"/>
        <n v="981.8"/>
        <n v="41.515999999999998"/>
        <n v="15.571199999999999"/>
        <n v="31.697800000000001"/>
        <n v="156"/>
        <n v="131"/>
        <n v="345.72"/>
        <n v="9017.76"/>
        <n v="7.76"/>
        <n v="15.144"/>
        <n v="8.1351999999999993"/>
        <n v="32.03"/>
        <n v="431.7"/>
        <n v="124.6"/>
        <n v="28.125"/>
        <n v="67.3"/>
        <n v="1084.5"/>
        <n v="2556.5"/>
        <n v="88.9"/>
        <n v="2131.8000000000002"/>
        <n v="17337.5"/>
        <n v="87.19"/>
        <n v="822.3"/>
        <n v="111.7"/>
        <n v="1560.2"/>
        <n v="5.0505000000000004"/>
        <n v="1058.8"/>
        <n v="302.79998999999998"/>
        <n v="170000"/>
        <n v="69000"/>
        <n v="37000"/>
        <n v="18000"/>
        <n v="734"/>
        <n v="19.304400000000001"/>
        <n v="1.6738329999999999"/>
        <n v="14.677286"/>
        <n v="9.9156150000000007"/>
        <n v="1.9742379999999999"/>
        <n v="8.2677040000000002"/>
        <n v="3.3139590000000001"/>
        <n v="4.7339989999999998"/>
        <n v="39.937669999999997"/>
        <n v="13.86387"/>
        <n v="5.3511699999999998"/>
        <n v="5.817685"/>
        <n v="11.391012999999999"/>
        <n v="20.272614999999998"/>
        <n v="4.655411"/>
        <n v="1.2916000000000001"/>
        <n v="5.4440169999999997"/>
        <n v="50.920920000000002"/>
        <n v="7.7272829999999999"/>
        <n v="8.2821200000000008"/>
        <n v="9.5627420000000001"/>
        <n v="5.1857610000000003"/>
        <n v="2.2192820000000002"/>
        <n v="30.951523999999999"/>
        <n v="6.4136509999999998"/>
        <n v="21.750264000000001"/>
        <n v="7.3856549999999999"/>
        <n v="3.5881630000000002"/>
        <n v="5.6758189999999997"/>
        <n v="8.2394929999999995"/>
        <n v="39.914879999999997"/>
        <n v="2.4941200000000001"/>
        <n v="0.36931000000000003"/>
        <n v="9.1751000000000005"/>
        <n v="3.0713300000000001"/>
        <n v="4.8678400000000002"/>
        <n v="11.02454"/>
        <n v="26.584099999999999"/>
        <n v="7.9752919999999996"/>
        <n v="17.307137000000001"/>
        <n v="25.575064999999999"/>
        <n v="0.17971500000000001"/>
        <n v="2.3532199999999999"/>
        <n v="3.5598700000000001"/>
        <n v="5.4047799999999997"/>
        <n v="8.2614400000000003"/>
        <n v="12.75759"/>
        <n v="28.380618999999999"/>
        <n v="8.3680199999999996"/>
        <n v="6.5691800000000002"/>
        <n v="0.28032439999999997"/>
        <n v="7.7484999999999999"/>
        <n v="2.6446610000000002"/>
        <n v="0.96191700000000002"/>
        <n v="4.3839499999999996"/>
        <n v="6.9226000000000001"/>
        <n v="9.7578999999999994"/>
        <n v="11.332000000000001"/>
        <n v="11.8104"/>
        <n v="10.59357"/>
        <n v="3.8354759999999999"/>
        <n v="32.6479"/>
        <n v="7.5157400000000001"/>
        <n v="3.6762600000000001"/>
        <n v="7.95486"/>
        <n v="6.3419999999999996"/>
        <n v="13.85"/>
        <n v="40.718000000000004"/>
        <n v="0.81313999999999997"/>
        <n v="0.365257"/>
        <n v="10.06049"/>
        <n v="5.9027900000000004"/>
        <n v="12.42205"/>
        <n v="7.6188000000000002"/>
        <n v="19.07863"/>
        <n v="3.7058710000000001"/>
        <n v="9.2831880000000009"/>
        <n v="9.4588900000000002"/>
        <n v="6.6731170000000004"/>
        <n v="17.355066000000001"/>
        <n v="2.3549920000000002"/>
        <n v="4.3827449999999999"/>
        <n v="14.101361000000001"/>
        <n v="8.5269499999999994"/>
        <n v="9.9774809999999992"/>
        <n v="15.853989"/>
        <n v="6.3808030000000002"/>
        <n v="17.96753"/>
        <n v="7.5765440000000002"/>
        <n v="12.400047000000001"/>
        <n v="5.6284660000000004"/>
        <n v="14.316941"/>
        <n v="29.626819999999999"/>
        <n v="5.8686990000000003"/>
        <n v="19.562307000000001"/>
        <n v="9.5259879999999999"/>
        <n v="5.3294389999999998"/>
        <n v="14.155184999999999"/>
        <n v="8.7478180000000005"/>
        <n v="5.1721909999999998"/>
        <n v="32.939622999999997"/>
        <n v="8.9619999999999997"/>
        <n v="8.8672090000000008"/>
        <n v="6.8942560000000004"/>
        <n v="4.7368370000000004"/>
        <n v="0.46926899999999999"/>
        <n v="10.792635000000001"/>
        <n v="22.631964"/>
        <n v="16.995730999999999"/>
        <n v="10.616645999999999"/>
        <n v="41.474218999999998"/>
        <n v="0.77392000000000005"/>
        <n v="2.872042"/>
        <n v="7.1492100000000001"/>
        <n v="13.609878"/>
        <n v="1.7421690000000001"/>
        <n v="7.8102530000000003"/>
        <n v="2.5883090000000002"/>
        <n v="6.679195"/>
        <n v="7.9194000000000004"/>
        <n v="11.90715"/>
        <n v="2.5085600000000001"/>
        <n v="10.098858"/>
        <n v="21.574023"/>
        <n v="2.8586459999999998"/>
        <n v="4.1628170000000004"/>
        <n v="14.786889"/>
        <n v="39.721386000000003"/>
        <n v="15.852975000000001"/>
        <n v="28.482786000000001"/>
        <n v="48.324221999999999"/>
        <n v="8.3578810000000008"/>
        <n v="17.043178999999999"/>
        <n v="3.2253379999999998"/>
        <n v="7.3746939999999999"/>
        <n v="2.8498830000000002"/>
        <n v="1.05979"/>
        <n v="22.779878"/>
        <n v="3.4051640000000001"/>
        <n v="9.6951009999999993"/>
        <n v="7.0557840000000001"/>
        <n v="26.672263000000001"/>
        <n v="18.294549"/>
        <n v="12.487489999999999"/>
        <n v="4.1909479999999997"/>
        <n v="2.0806149999999999"/>
        <n v="9.3250379999999993"/>
        <n v="15.50192"/>
        <n v="0.57023299999999999"/>
        <n v="0.66955799999999999"/>
        <n v="9.7955100000000002"/>
        <n v="8.1308699999999998"/>
        <n v="8.5968020000000003"/>
        <n v="8.2696480000000001"/>
        <n v="2.1747999999999998"/>
        <n v="14.074524"/>
        <n v="8.6798850000000005"/>
        <n v="3.9012869999999999"/>
        <n v="6.6676700000000002"/>
        <n v="11.137278"/>
        <n v="0.38107799999999997"/>
        <n v="13.683256"/>
        <n v="2.3990939999999998"/>
        <n v="15.387062999999999"/>
        <n v="0.50565000000000004"/>
        <n v="4.5632700000000002"/>
        <n v="4.4790400000000004"/>
        <n v="10.094889999999999"/>
        <n v="15.87209"/>
        <n v="3.27108"/>
        <n v="13.621831999999999"/>
        <n v="2.69828"/>
        <n v="0.58426"/>
        <n v="8.3272700000000004"/>
        <n v="2.8604099999999999"/>
        <n v="13.841901"/>
        <n v="11.168454000000001"/>
        <n v="2.46746"/>
        <n v="7.06142"/>
        <n v="24.366199999999999"/>
        <n v="2.1805577"/>
        <n v="3.2046600000000001"/>
        <n v="5.24"/>
        <n v="7.7750000000000004"/>
        <n v="10.115"/>
        <n v="20.889769999999999"/>
        <n v="42.339100000000002"/>
        <n v="6.0339999999999998"/>
        <n v="20.523"/>
        <n v="26.819900000000001"/>
        <n v="6.51389"/>
        <n v="11.54182"/>
        <n v="24.945979999999999"/>
        <n v="21.068840000000002"/>
        <n v="11.89307"/>
        <n v="5.7691800000000004"/>
        <n v="2.25021"/>
        <n v="6.4942399999999996"/>
        <n v="7.1725599999999998"/>
        <n v="12.409000000000001"/>
        <n v="3.4845519999999999"/>
        <n v="4.01457"/>
        <n v="9.3007500000000007"/>
        <n v="13.81513"/>
        <n v="4.0016699999999998"/>
        <n v="4.0963900000000004"/>
        <n v="12.11839"/>
        <n v="1.96417"/>
        <n v="5.5201099999999999"/>
        <n v="1.60588"/>
        <n v="19.092099999999999"/>
        <n v="15.48043"/>
        <n v="14.5665"/>
        <n v="2.6266657000000002"/>
        <n v="11.63344"/>
        <n v="50.818947000000001"/>
        <n v="5.8400020000000001"/>
        <n v="19.660302000000001"/>
        <n v="2.3691719999999998"/>
        <n v="0.658524"/>
        <n v="7.8140000000000001"/>
        <n v="14.696999999999999"/>
        <n v="19.481999999999999"/>
        <n v="2.151894"/>
        <n v="9.3268409999999999"/>
        <n v="4.144965"/>
        <n v="6.7713150000000004"/>
        <n v="1.543069"/>
        <n v="4.4000279999999998"/>
        <n v="8.5624210000000005"/>
        <n v="14.453533"/>
        <n v="11.716332"/>
        <n v="14.129714"/>
        <n v="3.280961"/>
        <n v="8.4387559999999997"/>
        <n v="18.718268999999999"/>
        <n v="6.3267629999999997"/>
        <n v="3.3349660000000001"/>
        <n v="7.1226050000000001"/>
        <n v="2.2604549999999999"/>
        <n v="19.895202000000001"/>
        <n v="8.6877209999999998"/>
        <n v="4.1698360000000001"/>
        <n v="1.921036"/>
        <n v="4.7950689999999998"/>
        <n v="3.4717449999999999"/>
        <n v="7.1380480000000004"/>
        <n v="10.455819999999999"/>
        <n v="14.762890000000001"/>
        <n v="27.359000000000002"/>
        <n v="14.893291"/>
        <n v="31.393463000000001"/>
        <n v="13.156969"/>
        <n v="3.2588320999999998"/>
        <n v="9.2116500000000006"/>
        <n v="48.366849999999999"/>
        <n v="2.225177"/>
        <n v="13.1225"/>
        <n v="2.50387"/>
        <n v="4.0248670000000004"/>
        <n v="10.054489999999999"/>
        <n v="24.643540000000002"/>
        <n v="44.559829999999998"/>
        <n v="4.098503"/>
        <n v="1.2578499999999999"/>
        <n v="8.9921299999999995"/>
        <n v="20.6602"/>
        <n v="31.715399999999999"/>
        <n v="5.4248649999999996"/>
        <n v="2.9956330000000002"/>
        <n v="5.608352"/>
        <n v="2.3999640000000002"/>
        <n v="1.42266"/>
        <n v="5.3405899999999997"/>
        <n v="4.4411699999999996"/>
        <n v="6.4290399999999996"/>
        <n v="14.091889999999999"/>
        <n v="4.01593"/>
        <n v="10.561030000000001"/>
        <n v="4.6054300000000001"/>
        <n v="10.003417000000001"/>
        <n v="6.6879600000000003"/>
        <n v="3.4713409999999998"/>
        <n v="5.6568800000000001"/>
        <n v="1.7292684"/>
        <n v="19.1541"/>
        <n v="31.6372"/>
        <n v="20.506499999999999"/>
        <n v="2.7706499999999998"/>
        <n v="5.7359400000000003"/>
        <n v="10.932410000000001"/>
        <n v="8.7529000000000003"/>
        <n v="3.5350549999999998"/>
        <n v="12.20772"/>
        <n v="9.7843"/>
        <n v="2.8492579999999998"/>
        <n v="9.0062999999999995"/>
        <n v="7.0525399999999996"/>
        <n v="2.5372599999999998"/>
        <n v="22.8827"/>
        <n v="20.6921"/>
        <n v="11.295400000000001"/>
        <n v="30.94191"/>
        <n v="3.00265"/>
        <n v="2.5730200000000001"/>
        <n v="6.6720199999999998"/>
        <n v="16.1966"/>
        <n v="20.257000000000001"/>
        <n v="25.4556"/>
        <n v="6.5304399999999996"/>
        <n v="12.647500000000001"/>
        <n v="5.0696300000000001"/>
        <n v="8.0542800000000003"/>
        <n v="7.0659900000000002"/>
        <n v="28.679919999999999"/>
        <n v="13.978960000000001"/>
        <n v="6.9854099999999999"/>
        <n v="5.5772120000000003"/>
        <n v="15.189033999999999"/>
        <n v="7.7601779999999998"/>
        <n v="24.158867999999998"/>
        <n v="7.4954299999999998"/>
        <n v="19.566600000000001"/>
        <n v="7.8141999999999996"/>
        <n v="18.311"/>
        <n v="8.1997959999999992"/>
        <n v="10.99573"/>
        <n v="10.35239"/>
        <n v="5.0641600000000002"/>
        <n v="19.091799999999999"/>
        <n v="5.6050000000000004"/>
        <n v="28.867253000000002"/>
        <n v="6.1023250000000004"/>
        <n v="2.7469700000000001"/>
        <n v="9.9976699999999994"/>
        <n v="6.4215"/>
        <n v="27.86"/>
        <n v="0.68453299999999995"/>
        <n v="8.7768300000000004"/>
        <n v="9.7266180000000002"/>
        <n v="4.6121999999999996"/>
        <n v="1.0960259999999999"/>
        <n v="18.4498"/>
        <n v="13.733314"/>
        <n v="2.900706"/>
        <n v="1.4195489999999999"/>
        <n v="10.134016000000001"/>
        <n v="8.4067260000000008"/>
        <n v="10.136448"/>
        <n v="18.251985000000001"/>
        <n v="1.217514"/>
        <n v="4.1662739000000002"/>
        <n v="4.7361000000000004"/>
        <n v="5.0316229999999997"/>
        <n v="1.7100565999999999"/>
        <n v="3.32944"/>
        <n v="0.9689951"/>
        <n v="3.0801715999999999"/>
        <n v="2.8717518000000002"/>
        <n v="4.6117093000000002"/>
        <n v="4.1137899999999998"/>
        <n v="3.4741084999999998"/>
        <n v="3.6127647000000001"/>
        <n v="2.7033900000000002"/>
        <n v="2.9895931999999998"/>
        <n v="7.8456999999999999"/>
        <n v="1276"/>
        <n v="2.7347700000000001"/>
        <n v="3.2440600000000002"/>
        <n v="1.4811235"/>
        <n v="0.21970000000000001"/>
        <n v="0.32528000000000001"/>
        <n v="0.81161000000000005"/>
        <n v="854.08299999999997"/>
        <n v="1322.3"/>
        <n v="440.78129999999999"/>
        <n v="1320.1"/>
        <n v="840"/>
        <n v="31.809899999999999"/>
        <n v="75.2"/>
        <n v="572.38469999999995"/>
        <n v="17.855229999999999"/>
        <n v="86.647660999999999"/>
        <n v="1.7635879999999999"/>
        <n v="10.95416"/>
        <n v="22.339500000000001"/>
        <n v="20.441500000000001"/>
        <n v="13.6088"/>
        <n v="3.9051200000000001"/>
        <n v="7.0081509999999998"/>
        <n v="8.7193749999999994"/>
        <n v="59.736669999999997"/>
        <n v="91.939130000000006"/>
        <n v="124.9144"/>
        <n v="210.60696999999999"/>
        <n v="331.60059000000001"/>
        <n v="14.449120000000001"/>
        <n v="141.241671"/>
        <n v="0.24010400000000001"/>
        <n v="0.342887"/>
        <n v="3.7432080000000001"/>
        <n v="10.423648"/>
        <n v="22.342988999999999"/>
        <n v="54.320309999999999"/>
        <n v="1.706291"/>
        <n v="121.54"/>
        <n v="0.83749099999999999"/>
        <n v="45.294300999999997"/>
        <n v="6.8870500000000003"/>
        <n v="12.815899999999999"/>
        <n v="35.333100000000002"/>
        <n v="120.0181272"/>
        <n v="14.305119830000001"/>
        <n v="4.3364293299999996"/>
        <n v="3.5548569099999998"/>
        <n v="5.2878978700000001"/>
        <n v="6.4980152499999999"/>
        <n v="19.76172042"/>
        <n v="5.1850020700000004"/>
        <n v="12.439311930000001"/>
        <n v="11.350119169999999"/>
        <n v="3.4876811999999999"/>
        <n v="6.0297599999999996"/>
        <n v="34.268570500000003"/>
        <n v="5.7532219700000002"/>
        <n v="5.5086043900000004"/>
        <n v="18.930549589999998"/>
        <n v="16.57110363"/>
        <n v="16.004942140000001"/>
        <n v="1.9545243400000001"/>
        <n v="105.6551369"/>
        <n v="7.2340046899999999"/>
        <n v="49.101351399999999"/>
        <n v="1.41122985"/>
        <n v="5.2869599999999997"/>
        <n v="7.0714199999999998"/>
        <n v="10.3117"/>
        <n v="16.145700000000001"/>
        <n v="27.453600000000002"/>
        <n v="96.915149600000007"/>
        <n v="13.474695710000001"/>
        <n v="10.99469878"/>
        <n v="62.138771400000003"/>
        <n v="66.416213299999995"/>
        <n v="37.322949299999998"/>
        <n v="36.515605299999997"/>
        <n v="1.9078052000000001"/>
        <n v="2.5146243199999998"/>
        <n v="4.41769648"/>
        <n v="15.965400000000001"/>
        <n v="179.61199999999999"/>
        <n v="19.329524159999998"/>
        <n v="1.2262173199999999"/>
        <n v="3.29011795"/>
        <n v="7.5605280600000002"/>
        <n v="12.124009429999999"/>
        <n v="2.7140775499999998"/>
        <n v="122.8808058"/>
        <n v="1.0637886700000001"/>
        <n v="148.4603382"/>
        <n v="0.93488424000000003"/>
        <n v="11.427548"/>
        <n v="23.668205"/>
        <n v="51.755394000000003"/>
        <n v="201.12139999999999"/>
        <n v="24.757642100000002"/>
        <n v="10.13202575"/>
        <n v="38.505339800000002"/>
        <n v="6.7740886800000002"/>
        <n v="26.410454779999998"/>
        <n v="14.375080349999999"/>
        <n v="56.1886887"/>
        <n v="3.1889760100000002"/>
        <n v="6.9210102100000004"/>
        <n v="3.27346074"/>
        <n v="5.4122000000000003"/>
        <n v="7.1261999999999999"/>
        <n v="15.378754600000001"/>
        <n v="21.1284569"/>
        <n v="25.96200249"/>
        <n v="34.853827600000002"/>
        <n v="2.41435165"/>
        <n v="4.3065568900000004"/>
        <n v="2.29503623"/>
        <n v="27.495605999999999"/>
        <n v="14.088274480000001"/>
        <n v="110.96545999999999"/>
        <n v="3.76419105"/>
        <n v="6.16486"/>
        <n v="13.5708"/>
        <n v="23.9802"/>
        <n v="43.844499999999996"/>
        <n v="46.877936699999999"/>
        <n v="2.7579826700000001"/>
        <n v="9.3041207799999999"/>
        <n v="14.07971466"/>
        <n v="16.540803220000001"/>
        <n v="3.6093089100000002"/>
        <n v="2.37030743"/>
        <n v="1.93155984"/>
        <n v="0.76212926000000003"/>
        <n v="16.92344113"/>
        <n v="23.899029599999999"/>
        <n v="3.1799970000000002"/>
        <n v="4.9014249999999997"/>
        <n v="7.9582030000000001"/>
        <n v="14.749048999999999"/>
        <n v="6.2216146999999999"/>
        <n v="6.1799844000000004"/>
        <n v="1.5690664999999999"/>
        <n v="8.6788859299999999"/>
        <n v="4.0258225400000001"/>
        <n v="5.9456653399999997"/>
        <n v="1.5237281600000001"/>
        <n v="6.14727918"/>
        <n v="34.351187400000001"/>
        <n v="3.0072524199999999"/>
        <n v="13.245031880000001"/>
        <n v="49.183920999999998"/>
        <n v="190.32349400000001"/>
        <n v="77.254839599999997"/>
        <n v="3.8569185500000001"/>
        <n v="1.5432066"/>
        <n v="33.417799299999999"/>
        <n v="2.0533367899999999"/>
        <n v="219.32175280000001"/>
        <n v="18.784257279999999"/>
        <n v="161.5163345"/>
        <n v="0.69384285000000001"/>
        <n v="23.127486439999998"/>
        <n v="5.1324856199999997"/>
        <n v="6.48163"/>
        <n v="21.2227"/>
        <n v="198.68017900000001"/>
        <n v="1.43474156"/>
        <n v="58.601792500000002"/>
        <n v="25.082462599999999"/>
        <n v="89.722291999999996"/>
        <n v="78.100023100000001"/>
        <n v="4.2710309100000003"/>
        <n v="2.89221751"/>
        <n v="187.747029"/>
        <n v="2.5430728600000001"/>
        <n v="2.1684525899999998"/>
        <n v="10.303900000000001"/>
        <n v="13.024100000000001"/>
        <n v="22.6845"/>
        <n v="31.999600000000001"/>
        <n v="46.688800000000001"/>
        <n v="118.3807"/>
        <n v="12.691112"/>
        <n v="31.719774999999998"/>
        <n v="6.4220005799999997"/>
        <n v="81.315105900000006"/>
        <n v="51.328562300000002"/>
        <n v="19.791919780000001"/>
        <n v="5.03728015"/>
        <n v="4.4215721800000001"/>
        <n v="1.2527521699999999"/>
        <n v="0.57103851999999999"/>
        <n v="4.5100574800000004"/>
        <n v="37.646738399999997"/>
        <n v="3.341815"/>
        <n v="224.78460799999999"/>
        <n v="9.6931203200000002"/>
        <n v="8.79617863"/>
        <n v="14.36267939"/>
        <n v="42.300495400000003"/>
        <n v="14.97435694"/>
        <n v="23.5540725"/>
        <n v="41.697782699999998"/>
        <n v="4.7902845899999997"/>
        <n v="38.671507499999997"/>
        <n v="8.3265153000000005"/>
        <n v="8.4088779999999996"/>
        <n v="28.574262999999998"/>
        <n v="2.94902905"/>
        <n v="13.15141081"/>
        <n v="42.191735700000002"/>
        <n v="4.3394645399999998"/>
        <n v="2.85234897"/>
        <n v="17.670064199999999"/>
        <n v="108.593329"/>
        <n v="5.1233034699999997"/>
        <n v="61.617816699999999"/>
        <n v="24.339780399999999"/>
        <n v="76.536958600000006"/>
        <n v="4.7539999999999996"/>
        <n v="8.9250699999999998"/>
        <n v="5.4529817500000002"/>
        <n v="3.5323244900000002"/>
        <n v="62.8916228"/>
        <n v="11.555623430000001"/>
        <n v="17.13263989"/>
        <n v="76.957857000000004"/>
        <n v="2.3617243299999999"/>
        <n v="23.9210791"/>
        <n v="3.17060005"/>
        <n v="0.81316672000000001"/>
        <n v="5.1885490000000001"/>
        <n v="8.0410000000000004"/>
        <n v="11.776"/>
        <n v="24.0862707"/>
        <n v="2.3445119399999998"/>
        <n v="18.3027248"/>
        <n v="2.8889048499999999"/>
        <n v="210.63059100000001"/>
        <n v="17.146473019999998"/>
        <n v="3.9707676599999999"/>
        <n v="2.3522658000000001"/>
        <n v="10.62784997"/>
        <n v="1.10446351"/>
        <n v="3.7308989800000001"/>
        <n v="2.4036789999999999"/>
        <n v="8.9908889999999992"/>
        <n v="2.7878683899999999"/>
        <n v="65.647842400000002"/>
        <n v="1.64680191"/>
        <n v="1.75583533"/>
        <n v="5.1856141999999998"/>
        <n v="8.4580831199999995"/>
        <n v="33.469743000000001"/>
        <n v="11.895205109999999"/>
        <n v="4.4574316400000003"/>
        <n v="13.5396293"/>
        <n v="22.70816791"/>
        <n v="5.9687340000000004"/>
        <n v="13.071630000000001"/>
        <n v="7.9703495799999997"/>
        <n v="10.71252541"/>
        <n v="32.5637069"/>
        <n v="6.1178689799999999"/>
        <n v="3.9759976799999999"/>
        <n v="9.4785219999999999"/>
        <n v="33.240688200000001"/>
        <n v="1.0039337399999999"/>
        <n v="55.822653899999999"/>
        <n v="6.1100913400000003"/>
        <n v="18.7959228"/>
        <n v="50.790391"/>
        <n v="9.9896932700000001"/>
        <n v="1.44259224"/>
        <n v="26.020442299999999"/>
        <n v="0.76985360000000003"/>
        <n v="6.8922522300000004"/>
        <n v="37.945630000000001"/>
        <n v="24.173857900000002"/>
        <n v="106.247547"/>
        <n v="31.806339999999999"/>
        <n v="2.6850574900000002"/>
        <n v="7.5184959999999998"/>
        <n v="20.17202"/>
        <n v="16.860128599999999"/>
        <n v="4.8933751900000004"/>
        <n v="11.173946170000001"/>
        <n v="28.505718900000002"/>
        <n v="53.599104400000002"/>
        <n v="104.3518976"/>
        <n v="16.076776150000001"/>
        <n v="18.870640680000001"/>
        <n v="17.136954299999999"/>
        <n v="3.7885898199999999"/>
        <n v="2.4220820000000001"/>
        <n v="4.1251030000000002"/>
        <n v="10.458434410000001"/>
        <n v="5.6001485100000004"/>
        <n v="25.203478700000002"/>
        <n v="2.83265213"/>
        <n v="16.223713069999999"/>
        <n v="8.4964224099999992"/>
        <n v="66.1849031"/>
        <n v="2.03231845"/>
        <n v="7.6847716000000004"/>
        <n v="15.044719799999999"/>
        <n v="4.4379628999999996"/>
        <n v="6.3125010000000001"/>
        <n v="12.794585"/>
        <n v="1.1185497200000001"/>
        <n v="15.187259320000001"/>
        <n v="28.685132400000001"/>
        <n v="0.58800076000000001"/>
        <n v="85.735028499999999"/>
        <n v="1.0783903500000001"/>
        <n v="1.2169976600000001"/>
        <n v="13.68237119"/>
        <n v="11.085076369999999"/>
        <n v="25.369116000000002"/>
        <n v="3.177422"/>
        <n v="41.008011000000003"/>
        <n v="8.0712407299999995"/>
        <n v="11.018168360000001"/>
        <n v="12.94130146"/>
        <n v="5.3498241200000001"/>
        <n v="18.82634264"/>
        <n v="4.7670396300000002"/>
        <n v="4.37034536"/>
        <n v="2.0323250700000002"/>
        <n v="22.922126599999999"/>
        <n v="16.10467749"/>
        <n v="5.7661930000000003"/>
        <n v="12.465987999999999"/>
        <n v="21.587475000000001"/>
        <n v="37.993273000000002"/>
        <n v="56.268000000000001"/>
        <n v="7.4269374099999999"/>
        <n v="12.00096042"/>
        <n v="1.91694425"/>
        <n v="16.301259000000002"/>
        <n v="13.323516010000001"/>
        <n v="7.0107543400000001"/>
        <n v="17.292345300000001"/>
        <n v="94.288757700000005"/>
        <n v="0.57736958000000005"/>
        <n v="86.828989000000007"/>
        <n v="17.232365999999999"/>
        <n v="26.695074000000002"/>
        <n v="9.9566153699999997"/>
        <n v="10.41725184"/>
        <n v="26.7839183"/>
        <n v="45.1263042"/>
        <n v="11.94014029"/>
        <n v="4.1605585600000001"/>
        <n v="31.057161799999999"/>
        <n v="84.573322599999997"/>
        <n v="4.1478755899999999"/>
        <n v="5.19104016"/>
        <n v="3.4104930000000002"/>
        <n v="13.821375"/>
        <n v="30.950851"/>
        <n v="4.8663815000000001"/>
        <n v="18.552570100000001"/>
        <n v="13.627984319999999"/>
        <n v="16.8320729"/>
        <n v="3.70428172"/>
        <n v="4.3540930400000004"/>
        <n v="2.9365846800000002"/>
        <n v="11.322715130000001"/>
        <n v="13.71220213"/>
        <n v="7.4672540700000001"/>
        <n v="24.334712700000001"/>
        <n v="4.1643889999999999"/>
        <n v="5.774464"/>
        <n v="2.60754383"/>
        <n v="45.090464300000001"/>
        <n v="15.054032899999999"/>
        <n v="68.886191499999995"/>
        <n v="9.9911331299999997"/>
        <n v="3.6008427599999999"/>
        <n v="5.7271722599999997"/>
        <n v="36.2919336"/>
        <n v="12.412775399999999"/>
        <n v="2.6683137600000002"/>
        <n v="0.98494017"/>
        <n v="0.66308526000000001"/>
        <n v="10.495711"/>
        <n v="21.869741000000001"/>
        <n v="100.283134"/>
        <n v="19.118775299999999"/>
        <n v="48.430899099999998"/>
        <n v="8.6790024199999998"/>
        <n v="4.5513996700000003"/>
        <n v="0.96852601999999999"/>
        <n v="6.4944128900000004"/>
        <n v="28.474748000000002"/>
        <n v="13.031394499999999"/>
        <n v="40.990398599999999"/>
        <n v="37.333153600000003"/>
        <n v="14.435889"/>
        <n v="29.393194999999999"/>
        <n v="48.630408000000003"/>
        <n v="6.0335619600000001"/>
        <n v="3.0255955000000001"/>
        <n v="51.130970400000002"/>
        <n v="28.625653"/>
        <n v="6.9815270299999996"/>
        <n v="3.65691115"/>
        <n v="12.5720095"/>
        <n v="40.836501200000001"/>
        <n v="3.2394134399999999"/>
        <n v="23.4774101"/>
        <n v="15.09"/>
        <n v="22.803999999999998"/>
        <n v="66.557905700000006"/>
        <n v="3.1160279100000001"/>
        <n v="2.1319465100000001"/>
        <n v="12.9460978"/>
        <n v="0.66407380999999999"/>
        <n v="14.7967458"/>
        <n v="11.25402929"/>
        <n v="11.47685909"/>
        <n v="2.76122421"/>
        <n v="7.9901962700000002"/>
        <n v="15.79186"/>
        <n v="82.20017"/>
        <n v="4.6950013400000001"/>
        <n v="8.6304327599999997"/>
        <n v="3.27646405"/>
        <n v="5.5765478399999999"/>
        <n v="115.6862258"/>
        <n v="3.8137197399999998"/>
        <n v="8.3839865000000007"/>
        <n v="1.68189002"/>
        <n v="7.1281192799999999"/>
        <n v="19.940087399999999"/>
        <n v="8.4574580000000008"/>
        <n v="27.508679999999998"/>
        <n v="87.517904999999999"/>
        <n v="22.241909199999998"/>
        <n v="9.0823704599999999"/>
        <n v="8.8392265900000009"/>
        <n v="7.5612722400000001"/>
        <n v="16.1288853"/>
        <n v="13.5630972"/>
        <n v="16.295953820000001"/>
        <n v="18.016210959999999"/>
        <n v="2.10433812"/>
        <n v="28.843264699999999"/>
        <n v="16.091999999999999"/>
        <n v="25.5169"/>
        <n v="0.67933626999999996"/>
        <n v="11.172699400000001"/>
        <n v="2.53573424"/>
        <n v="5.4483252899999997"/>
        <n v="3.8330911799999998"/>
        <n v="5.4247492800000003"/>
        <n v="0.84338011000000002"/>
        <n v="87.973213599999994"/>
        <n v="0.56887443000000004"/>
        <n v="213.25766300000001"/>
        <n v="2.8867626500000001"/>
        <n v="6.1781959999999998"/>
        <n v="6.4149139999999996"/>
        <n v="18.010199"/>
        <n v="110.2869374"/>
        <n v="0.86838652999999999"/>
        <n v="11.12830484"/>
        <n v="2.2264910900000001"/>
        <n v="0.96286738000000005"/>
        <n v="0.92990667999999999"/>
        <n v="4.1158446800000004"/>
        <n v="33.878683799999997"/>
        <n v="42.351426699999998"/>
        <n v="14.888010980000001"/>
        <n v="4.5215888800000004"/>
        <n v="9.3364659400000001"/>
        <n v="8.1299759999999992"/>
        <n v="31.517586000000001"/>
        <n v="10.107690679999999"/>
        <n v="0.78916165000000005"/>
        <n v="11.87456832"/>
        <n v="109.6471842"/>
        <n v="15.645917130000001"/>
        <n v="6.2640684599999998"/>
        <n v="23.198681000000001"/>
        <n v="5.7772121099999998"/>
        <n v="24.4002549"/>
        <n v="0.93511805999999997"/>
        <n v="1.3415551299999999"/>
        <n v="5.3174289999999997"/>
        <n v="10.105784999999999"/>
        <n v="0.66502691999999997"/>
        <n v="132.9968322"/>
        <n v="2.2157103600000001"/>
        <n v="3.3518315799999998"/>
        <n v="4.7683049000000004"/>
        <n v="44.616955699999998"/>
        <n v="3.4016566799999999"/>
        <n v="14.00947528"/>
        <n v="27.572274199999999"/>
        <n v="2.1282392799999998"/>
        <n v="6.0025300000000001"/>
        <n v="11.448708"/>
        <n v="4.4968604000000001"/>
        <n v="1.76678906"/>
        <n v="0.91614077000000005"/>
        <n v="1.8778827499999999"/>
        <n v="24.7543966"/>
        <n v="76.613377"/>
        <n v="1.28958811"/>
        <n v="0.63400294000000001"/>
        <n v="3.0091323999999999"/>
        <n v="7.0631734100000001"/>
        <n v="59.497095199999997"/>
        <n v="11.578900000000001"/>
        <n v="16.399235000000001"/>
        <n v="40.528641299999997"/>
        <n v="3.5755495599999998"/>
        <n v="136.205626"/>
        <n v="2.9419409399999998"/>
        <n v="13.32196237"/>
        <n v="7.69993485"/>
        <n v="4.7746800499999997"/>
        <n v="2.1645709700000002"/>
        <n v="1.5740902699999999"/>
        <n v="0.67564948999999996"/>
        <n v="25.873148"/>
        <n v="8.4363869999999999"/>
        <n v="18.735752999999999"/>
        <n v="20.264168399999999"/>
        <n v="7.4414211300000002"/>
        <n v="3.4462039"/>
        <n v="2.00541269"/>
        <n v="1.3115555699999999"/>
        <n v="1.29123275"/>
        <n v="10.652767069999999"/>
        <n v="3.3004191999999999"/>
        <n v="5.3088065599999998"/>
        <n v="0.74092842000000003"/>
        <n v="11.95398936"/>
        <n v="0.88184114999999996"/>
        <n v="10.3126"/>
        <n v="13.7813"/>
        <n v="23.088100000000001"/>
        <n v="10.310824500000001"/>
        <n v="25.384268599999999"/>
        <n v="16.3583055"/>
        <n v="13.909358299999999"/>
        <n v="15.362627529999999"/>
        <n v="2.8887986200000002"/>
        <n v="6.7397238100000001"/>
        <n v="2.2795266600000001"/>
        <n v="12.2854603"/>
        <n v="5.5360815099999998"/>
        <n v="20.956815800000001"/>
        <n v="37.632708399999999"/>
        <n v="99.253095099999996"/>
        <n v="15.771044"/>
        <n v="157.072878"/>
        <n v="6.4802167300000004"/>
        <n v="54.409233299999997"/>
        <n v="15.1410397"/>
        <n v="2.4435781200000002"/>
        <n v="3.9376637300000001"/>
        <n v="3.78470649"/>
        <n v="18.220642099999999"/>
        <n v="47.449955000000003"/>
        <n v="2.7881567899999999"/>
        <n v="4.1382759499999997"/>
        <n v="1.63865306"/>
        <n v="6.7901230000000004"/>
        <n v="3.25427"/>
        <n v="91.353281999999993"/>
        <n v="9.0668942099999992"/>
        <n v="11.20066445"/>
        <n v="2.0338791399999998"/>
        <n v="5.1949220199999999"/>
        <n v="15.9314739"/>
        <n v="28.227418400000001"/>
        <n v="11.629058280000001"/>
        <n v="20.071150400000001"/>
        <n v="2.9979319100000001"/>
        <n v="0.76486493"/>
        <n v="3.107675"/>
        <n v="7.0106060000000001"/>
        <n v="60.866168000000002"/>
        <n v="86.115088799999995"/>
        <n v="3.6146050999999999"/>
        <n v="13.182964200000001"/>
        <n v="3.5157631500000002"/>
        <n v="0.63642407999999995"/>
        <n v="1.49514952"/>
        <n v="20.3505213"/>
        <n v="22.476442500000001"/>
        <n v="42.521589499999997"/>
        <n v="2.024152"/>
        <n v="4.7617019999999997"/>
        <n v="41.809117999999998"/>
        <n v="6.6996000599999999"/>
        <n v="6.9131112000000003"/>
        <n v="18.6051942"/>
        <n v="23.955378"/>
        <n v="29.609174400000001"/>
        <n v="14.4541302"/>
        <n v="14.2563227"/>
        <n v="0.96897237999999997"/>
        <n v="10.676071690000001"/>
        <n v="4.4848749300000001"/>
        <n v="16.007583"/>
        <n v="27.082511"/>
        <n v="2.4605099300000002"/>
        <n v="5.8660152600000002"/>
        <n v="23.9109011"/>
        <n v="4.13592271"/>
        <n v="8.0533361800000005"/>
        <n v="4.4534328099999998"/>
        <n v="9.7057160000000007"/>
        <n v="10.9295461"/>
        <n v="2.3194200899999999"/>
        <n v="8.0739284900000001"/>
        <n v="5.8852729999999998"/>
        <n v="10.104665000000001"/>
        <n v="39.859484000000002"/>
        <n v="39.441983899999997"/>
        <n v="81.416294100000002"/>
        <n v="2.41811321"/>
        <n v="33.420350339999999"/>
        <n v="10.600522509999999"/>
        <n v="0.68996782999999995"/>
        <n v="56.674728500000001"/>
        <n v="12.27065865"/>
        <n v="13.2274528"/>
        <n v="22.951000000000001"/>
        <n v="42.881999999999998"/>
        <n v="54.509416600000002"/>
        <n v="35.622233000000001"/>
        <n v="42.913750999999998"/>
        <n v="47.161169600000001"/>
        <n v="47.031947899999999"/>
        <n v="49.276764"/>
        <n v="18.137382899999999"/>
        <n v="51.111024299999997"/>
        <n v="47.987276399999999"/>
        <n v="62.869161099999999"/>
        <n v="31.158798999999998"/>
        <n v="76.732170999999994"/>
        <n v="29.963324700000001"/>
        <n v="29.349477499999999"/>
        <n v="65.648834100000002"/>
        <n v="25.158639999999998"/>
        <n v="31.778590099999999"/>
        <n v="5.3278629200000003"/>
        <n v="31.827711099999998"/>
        <n v="31.175044799999998"/>
        <n v="47.056904299999999"/>
        <n v="8.2398486900000005"/>
        <n v="3.5455302099999999"/>
        <n v="21.863530099999998"/>
        <n v="12.610583999999999"/>
        <n v="33.416423000000002"/>
        <n v="16.295090299999998"/>
        <n v="3.63899398"/>
        <n v="38.131283099999997"/>
        <n v="14.4273551"/>
        <n v="36.433345199999998"/>
        <n v="82.177374"/>
        <n v="10.35863224"/>
        <n v="11.55530021"/>
        <n v="26.084059400000001"/>
        <n v="14.532613619999999"/>
        <n v="1.729366"/>
        <n v="4.1800430000000004"/>
        <n v="51.846885749999998"/>
        <n v="22.126799479999999"/>
        <n v="5.9422099800000003"/>
        <n v="12.253832170000001"/>
        <n v="9.5085156000000008"/>
        <n v="30.454913600000001"/>
        <n v="19.915772499999999"/>
        <n v="54.649575900000002"/>
        <n v="7.3194636300000004"/>
        <n v="39.818993200000001"/>
        <n v="82.294751000000005"/>
        <n v="29.198943"/>
        <n v="55.328327999999999"/>
        <n v="160.01803200000001"/>
        <n v="92.436297300000007"/>
        <n v="16.586176200000001"/>
        <n v="16.752550070000002"/>
        <n v="15.0217983"/>
        <n v="91.080482000000003"/>
        <n v="85.273256000000003"/>
        <n v="64.658801699999998"/>
        <n v="8.7419977200000005"/>
        <n v="48.051405000000003"/>
        <n v="44.200800000000001"/>
        <n v="4.9427820000000002"/>
        <n v="3.4280539999999999"/>
        <n v="7.3819980000000003"/>
        <n v="12.560930000000001"/>
        <n v="30.826557000000001"/>
        <n v="637.20929999999998"/>
        <n v="15.0330105"/>
        <n v="14.556453299999999"/>
        <n v="41.708362899999997"/>
        <n v="96.169870000000003"/>
        <n v="82.304002999999994"/>
        <n v="30.860936599999999"/>
        <n v="14.0329154"/>
        <n v="16.0506213"/>
        <n v="20.7056504"/>
        <n v="25.433819700000001"/>
        <n v="15.228958"/>
        <n v="24.674612"/>
        <n v="84.703920999999994"/>
        <n v="23.238279200000001"/>
        <n v="20.359725990000001"/>
        <n v="160.8846509"/>
        <n v="217.83176259999999"/>
        <n v="214.31141640000001"/>
        <n v="7.2593197900000002"/>
        <n v="5.5460836699999998"/>
        <n v="5.1117790400000001"/>
        <n v="240.79893970000001"/>
        <n v="18.207972999999999"/>
        <n v="88.255054999999999"/>
        <n v="0.65355357000000003"/>
        <n v="47.14840805"/>
        <n v="1.84788917"/>
        <n v="0.93875076999999996"/>
        <n v="70.967460299999999"/>
        <n v="2.4166011799999998"/>
        <n v="3.9086319999999999"/>
        <n v="160.129918"/>
        <n v="1.79111021"/>
        <n v="5.3390568600000003"/>
        <n v="18.870227"/>
        <n v="46.902320000000003"/>
        <n v="2.5904433999999998"/>
        <n v="5.3227406000000004"/>
        <n v="1.13854338"/>
        <n v="1.09366356"/>
        <n v="308.5471"/>
        <n v="5.7166887199999996"/>
        <n v="138.9442"/>
        <n v="364.75803100000002"/>
        <n v="1.4444538"/>
        <n v="175.13881900000001"/>
        <n v="133.30367409999999"/>
        <n v="33.040531999999999"/>
        <n v="62.303275999999997"/>
        <n v="20.54981883"/>
        <n v="3.9327646500000002"/>
        <n v="9.9193568400000007"/>
        <n v="125.4131177"/>
        <n v="8.4069119899999993"/>
        <n v="3.9511688199999999"/>
        <n v="2.8922302100000001"/>
        <n v="5.9927373800000003"/>
        <n v="5.1011575599999999"/>
        <n v="6.9671026899999999"/>
        <n v="168.81117399999999"/>
        <n v="163.69234900000001"/>
        <n v="19.597497099999998"/>
        <n v="0.69297967999999999"/>
        <n v="124.82867899999999"/>
        <n v="214.88654500000001"/>
        <n v="5.9311939999999996"/>
        <n v="52.661793000000003"/>
        <n v="225.582809"/>
        <n v="24.497369800000001"/>
        <n v="184.77185299999999"/>
        <n v="4.2426188099999997"/>
        <n v="198.088774"/>
        <n v="8.1050163499999996"/>
        <n v="8.8271345700000001"/>
        <n v="3.7403249600000001"/>
        <n v="3.5047035800000002"/>
        <n v="0.97191543000000002"/>
        <n v="4.9734559999999997"/>
        <n v="15.906801"/>
        <n v="3.0319574399999998"/>
        <n v="1.0052070099999999"/>
        <n v="64.273775200000003"/>
        <n v="3.4327659800000001"/>
        <n v="18.0540381"/>
        <n v="1.5381884400000001"/>
        <n v="0.53991524000000002"/>
        <n v="153.979578"/>
        <n v="20.925391999999999"/>
        <n v="5.7918015599999997"/>
        <n v="1.732342"/>
        <n v="13.5405"/>
        <n v="7.0257347399999999"/>
        <n v="26.548954999999999"/>
        <n v="3.3855548799999999"/>
        <n v="5.4954862100000001"/>
        <n v="2.6157553999999998"/>
        <n v="6.9424333999999996"/>
        <n v="2.5531421299999999"/>
        <n v="6.9847197300000001"/>
        <n v="6.3056024700000002"/>
        <n v="1.4508869099999999"/>
        <n v="0.84990789"/>
        <n v="16.709184"/>
        <n v="28.551383000000001"/>
        <n v="56.644927899999999"/>
        <n v="6.2838549099999996"/>
        <n v="4.8381771200000001"/>
        <n v="9.3280735499999992"/>
        <n v="13.3997099"/>
        <n v="3.5827463000000002"/>
        <n v="15.6049212"/>
        <n v="9.4060466999999992"/>
        <n v="7.8493173900000004"/>
        <n v="0.99166527000000004"/>
        <n v="10.139623"/>
        <n v="43.595792000000003"/>
        <n v="7.6176080400000004"/>
        <n v="8.1850494900000008"/>
        <n v="3.05710069"/>
        <n v="174.50983500000001"/>
        <n v="2.7160380900000001"/>
        <n v="4.5638046799999996"/>
        <n v="66.373379"/>
        <n v="2.9465417899999999"/>
        <n v="4.3419512300000003"/>
        <n v="122.363553"/>
        <n v="228.77600000000001"/>
        <n v="4.3094270000000003"/>
        <n v="13.699087"/>
        <n v="386.37054799999999"/>
        <n v="2.2092195100000001"/>
        <n v="11.179316050000001"/>
        <n v="2.2716392600000002"/>
        <n v="0.68368426000000004"/>
        <n v="85.756549500000006"/>
        <n v="196.43522400000001"/>
        <n v="13.647367600000001"/>
        <n v="16.4735686"/>
        <n v="114.34219"/>
        <n v="4.9213550000000001"/>
        <n v="7.0642399999999999"/>
        <n v="8.7018157400000007"/>
        <n v="5.1762429000000001"/>
        <n v="3.9179510099999999"/>
        <n v="1.5184299000000001"/>
        <n v="3.9466141000000001"/>
        <n v="47.3126192"/>
        <n v="6.7628437699999999"/>
        <n v="27.478557200000001"/>
        <n v="6.1082601900000002"/>
        <n v="23.6225913"/>
        <n v="6.9197980000000001"/>
        <n v="19.446355000000001"/>
        <n v="101.951829"/>
        <n v="92.263713999999993"/>
        <n v="10.8118737"/>
        <n v="4.36128348"/>
        <n v="3.2903045199999998"/>
        <n v="287.37894899999998"/>
        <n v="4.1396296599999998"/>
        <n v="7.2028365299999999"/>
        <n v="76.378033000000002"/>
        <n v="3.8759580699999998"/>
        <n v="7.810937"/>
        <n v="21.347262000000001"/>
        <n v="509.99740200000002"/>
        <n v="4.0951393200000004"/>
        <n v="448.30355800000001"/>
        <n v="186.40427099999999"/>
        <n v="374.876239"/>
        <n v="469.63110999999998"/>
        <n v="425.47784999999999"/>
        <n v="6.1096032400000002"/>
        <n v="259.33683000000002"/>
        <n v="9.878482"/>
        <n v="5.0350299999999999"/>
        <n v="10.945722999999999"/>
        <n v="28.986768999999999"/>
        <n v="7.5844126000000003"/>
        <n v="19.672266"/>
        <n v="32.657212000000001"/>
        <n v="12.205751299999999"/>
        <n v="6.6513802000000002"/>
        <n v="5.3426450699999997"/>
        <n v="21.090775799999999"/>
        <n v="16.177956099999999"/>
        <n v="4.4855838300000004"/>
        <n v="1107.5923"/>
        <n v="8.6890900000000002"/>
        <n v="8.1808479999999992"/>
        <n v="15.312989999999999"/>
        <n v="1.53818001"/>
        <n v="9.8786391699999996"/>
        <n v="38.09722"/>
        <n v="140.25239999999999"/>
        <n v="1047.8356000000001"/>
        <n v="11.872878699999999"/>
        <n v="31.578658999999998"/>
        <n v="3.8493727799999999"/>
        <n v="7.6502540000000003"/>
        <n v="34.260280999999999"/>
        <n v="1.5540039299999999"/>
        <n v="4.3931632"/>
        <n v="7.4061139999999996"/>
        <n v="21.803854999999999"/>
        <n v="1071.2322799999999"/>
        <n v="4.4253910000000003"/>
        <n v="13.193242"/>
        <n v="3.2506189999999999"/>
        <n v="6.1954690000000001"/>
        <n v="8.3481249999999996"/>
        <n v="13.767102"/>
        <n v="87.090194999999994"/>
        <n v="1.4857108000000001"/>
        <n v="7.9305919999999999"/>
        <n v="16.665863000000002"/>
        <n v="4.1669720000000003"/>
        <n v="11.463462"/>
        <n v="39.595519000000003"/>
        <n v="2.9403090000000001"/>
        <n v="6.3889959999999997"/>
        <n v="14.627119"/>
        <n v="35.118735999999998"/>
        <n v="4.2637419999999997"/>
        <n v="8.0057770000000001"/>
        <n v="13.98179"/>
        <n v="44.000529"/>
        <n v="247.35373000000001"/>
        <n v="11.903515000000001"/>
        <n v="34.035257000000001"/>
        <n v="5.4330740000000004"/>
        <n v="12.759712"/>
        <n v="25.751974000000001"/>
        <n v="51.165790000000001"/>
        <n v="36.854999999999997"/>
        <n v="49.411999999999999"/>
        <n v="9.5766939999999998"/>
        <n v="20.552802"/>
        <n v="96.678988000000004"/>
        <n v="2.7359260000000001"/>
        <n v="6.4001299999999999"/>
        <n v="3.5047250000000001"/>
        <n v="7.6415899999999999"/>
        <n v="14.858879999999999"/>
        <n v="13.817124"/>
        <n v="41.885775000000002"/>
        <n v="3.1378729999999999"/>
        <n v="4.302149"/>
        <n v="9.8257919999999999"/>
        <n v="20.684342000000001"/>
        <n v="5.687945"/>
        <n v="11.637071000000001"/>
        <n v="10.687576"/>
        <n v="20.303004999999999"/>
        <n v="29.022358000000001"/>
        <n v="1.6329"/>
        <n v="20.729042"/>
        <n v="3.8867907000000002"/>
        <n v="7.2673019999999999"/>
        <n v="13.342995999999999"/>
        <n v="22.407703999999999"/>
        <n v="129.94409999999999"/>
        <n v="4.9388639999999997"/>
        <n v="10.640262999999999"/>
        <n v="2.0618970000000001"/>
        <n v="5.9965529999999996"/>
        <n v="10.399931"/>
        <n v="20.134865999999999"/>
        <n v="9.2871600000000001"/>
        <n v="28.731000000000002"/>
        <n v="62.95"/>
        <n v="2.0199989999999999"/>
        <n v="3.7630240000000001"/>
        <n v="9.9396319999999996"/>
        <n v="17.738506000000001"/>
        <n v="5.9450410199999997"/>
        <n v="9.9267459999999996"/>
        <n v="21.223400000000002"/>
        <n v="6.4702757899999996"/>
        <n v="11.388479999999999"/>
        <n v="50.697493999999999"/>
        <n v="2.0922809999999998"/>
        <n v="17.308032000000001"/>
        <n v="52.814973000000002"/>
        <n v="8.3078719999999997"/>
        <n v="34.096862999999999"/>
        <n v="20.739885999999998"/>
        <n v="47.427737"/>
        <n v="5.5993079999999997"/>
        <n v="10.349695000000001"/>
        <n v="15.677562999999999"/>
        <n v="25.209714999999999"/>
        <n v="17.790037000000002"/>
        <n v="49.567416000000001"/>
        <n v="1.3118444300000001"/>
        <n v="23.637604"/>
        <n v="67.093407999999997"/>
        <n v="3.6961152500000001"/>
        <n v="10.85409089"/>
        <n v="77.611300170000007"/>
        <n v="6.0985228100000004"/>
        <n v="19.577584779999999"/>
        <n v="34.94"/>
        <n v="8.5948049999999991"/>
        <n v="10.222156999999999"/>
        <n v="25.672083000000001"/>
        <n v="151.88405800000001"/>
        <n v="4.0694270000000001"/>
        <n v="16.282492999999999"/>
        <n v="3.1626970000000001"/>
        <n v="5.3706469999999999"/>
        <n v="11.32972"/>
        <n v="14.400974"/>
        <n v="25.660592999999999"/>
        <n v="2.7556400000000001"/>
        <n v="20.306546000000001"/>
        <n v="7.781987"/>
        <n v="13.137471"/>
        <n v="23.442810000000001"/>
        <n v="1.6118650000000001"/>
        <n v="3.0715710000000001"/>
        <n v="5.8680750000000002"/>
        <n v="4.2286400000000004"/>
        <n v="7.4666230000000002"/>
        <n v="11.131786"/>
        <n v="16.259457999999999"/>
        <n v="16.087845000000002"/>
        <n v="41.749881999999999"/>
        <n v="2.7857799999999999"/>
        <n v="2.4532340000000001"/>
        <n v="7.9725130000000002"/>
        <n v="4.1385750000000003"/>
        <n v="6.0404499999999999"/>
        <n v="16.257581999999999"/>
        <n v="31.805174000000001"/>
        <n v="2.4623599999999999"/>
        <n v="4.8229620000000004"/>
        <n v="15.660544"/>
        <n v="28.779800000000002"/>
        <n v="9.3606719999999992"/>
        <n v="14.667108000000001"/>
        <n v="30.864422999999999"/>
        <n v="68.161010000000005"/>
        <n v="7.6936410000000004"/>
        <n v="17.406669000000001"/>
        <n v="5.374943"/>
        <n v="8.5860040000000009"/>
        <n v="3.8868952499999998"/>
        <n v="3.6193369999999998"/>
        <n v="44.699576"/>
        <n v="124.5244647"/>
        <n v="4.5855119999999996"/>
        <n v="22.714613"/>
        <n v="47.903644999999997"/>
        <n v="289.8623"/>
        <n v="4.1598069999999998"/>
        <n v="9.0341989999999992"/>
        <n v="28.122396999999999"/>
        <n v="45.902732999999998"/>
        <n v="2.795906"/>
        <n v="5.6905859999999997"/>
        <n v="10.04156"/>
        <n v="18.369917000000001"/>
        <n v="3.9369809999999998"/>
        <n v="10.08881"/>
        <n v="28.081911999999999"/>
        <n v="7.3844900000000004"/>
        <n v="9.8456399999999995"/>
        <n v="14.788690000000001"/>
        <n v="19.725670000000001"/>
        <n v="3.132924"/>
        <n v="5.9250030000000002"/>
        <n v="11.349392999999999"/>
        <n v="18.643577000000001"/>
        <n v="6.7389749999999999"/>
        <n v="18.794233999999999"/>
        <n v="3.9409969999999999"/>
        <n v="5.3495549999999996"/>
        <n v="8.1090440000000008"/>
        <n v="9.4880150000000008"/>
        <n v="54.418694000000002"/>
        <n v="2.5665460000000002"/>
        <n v="4.1344440000000002"/>
        <n v="11.094286"/>
        <n v="6.2529719999999998"/>
        <n v="16.068638"/>
        <n v="41.194912000000002"/>
        <n v="7.1073000000000004"/>
        <n v="10.742100000000001"/>
        <n v="15.274298999999999"/>
        <n v="32.625554999999999"/>
        <n v="91.773241999999996"/>
        <n v="10.065275"/>
        <n v="19.271566"/>
        <n v="4.431222"/>
        <n v="11.379348999999999"/>
        <n v="8.4723819999999996"/>
        <n v="60.418954999999997"/>
        <n v="2.711506"/>
        <n v="7.2120499999999996"/>
        <n v="3.3402219999999998"/>
        <n v="7.8249040000000001"/>
        <n v="20.060548000000001"/>
        <n v="46.183669000000002"/>
        <n v="8.2956109999999992"/>
        <n v="23.968126999999999"/>
        <n v="4.7151059999999996"/>
        <n v="8.1036359999999998"/>
        <n v="2.0908760000000002"/>
        <n v="6.1555569999999999"/>
        <n v="13.233549"/>
        <n v="23.654"/>
        <n v="50.447000000000003"/>
        <n v="11.763051000000001"/>
        <n v="56.228098000000003"/>
        <n v="8.1453000000000007"/>
        <n v="12.333500000000001"/>
        <n v="4.2443840000000002"/>
        <n v="18.998355"/>
        <n v="4.144495"/>
        <n v="7.9535280000000004"/>
        <n v="12.718092"/>
        <n v="36.065978000000001"/>
        <n v="8.2039500000000007"/>
        <n v="14.496480999999999"/>
        <n v="5.7154420000000004"/>
        <n v="20.026218"/>
        <n v="4.3117919999999996"/>
        <n v="9.7672919999999994"/>
        <n v="20.050401000000001"/>
        <n v="7.4901900000000001"/>
        <n v="17.460812000000001"/>
        <n v="36.277107999999998"/>
        <n v="3.2198210600000001"/>
        <n v="4.60182"/>
        <n v="11.187161"/>
        <n v="3.33616"/>
        <n v="9.4394519999999993"/>
        <n v="20.477912"/>
        <n v="6.3082050000000001"/>
        <n v="16.239494000000001"/>
        <n v="3.3065389999999999"/>
        <n v="7.113702"/>
        <n v="15.368459"/>
        <n v="6.2385000000000002"/>
        <n v="12.7204"/>
        <n v="123"/>
        <n v="4.1481409999999999"/>
        <n v="7.1568040000000002"/>
        <n v="17.648312000000001"/>
        <n v="4.7909360000000003"/>
        <n v="16.514043000000001"/>
        <n v="30.133001"/>
        <n v="99.640161000000006"/>
        <n v="6.6683909999999997"/>
        <n v="10.848463000000001"/>
        <n v="3.7839860000000001"/>
        <n v="10.281950999999999"/>
        <n v="18.119869000000001"/>
        <n v="5.8266619999999998"/>
        <n v="12.412183000000001"/>
        <n v="18.746476999999999"/>
        <n v="5.7146059999999999"/>
        <n v="9.9460470000000001"/>
        <n v="1.04562266"/>
        <n v="1.620493"/>
        <n v="3.38802"/>
        <n v="5.8391719999999996"/>
        <n v="10.681571999999999"/>
        <n v="2.3826670000000001"/>
        <n v="6.5814839999999997"/>
        <n v="24.664550999999999"/>
        <n v="13.19722"/>
        <n v="33.653078999999998"/>
        <n v="8.1153169999999992"/>
        <n v="36.924931000000001"/>
        <n v="12.28"/>
        <n v="17.2559"/>
        <n v="3.5439189999999998"/>
        <n v="46.827914999999997"/>
        <n v="8.1873989999999992"/>
        <n v="76.050178000000002"/>
        <n v="10.381227000000001"/>
        <n v="24.570858000000001"/>
        <n v="13.060855"/>
        <n v="21.853722000000001"/>
        <n v="16.568086999999998"/>
        <n v="47.332773000000003"/>
        <n v="40.806230999999997"/>
        <n v="140.10126099999999"/>
        <n v="6.8462620000000003"/>
        <n v="17.028936999999999"/>
        <n v="43.130617000000001"/>
        <n v="67.831023999999999"/>
        <n v="6.6183300000000003"/>
        <n v="107.723601"/>
        <n v="3.3537279999999998"/>
        <n v="6.8774499999999996"/>
        <n v="28.464514999999999"/>
        <n v="25.934138000000001"/>
        <n v="83.446393"/>
        <n v="5.3267179999999996"/>
        <n v="8.1278989999999993"/>
        <n v="15.3348"/>
        <n v="31.3309"/>
        <n v="11.476094"/>
        <n v="25.262886999999999"/>
        <n v="10.43547805"/>
        <n v="7.4108626700000002"/>
        <n v="5.2497254099999999"/>
        <n v="2.9713530000000001"/>
        <n v="6.0573420000000002"/>
        <n v="10.937303999999999"/>
        <n v="2.9365320000000001"/>
        <n v="8.0149270000000001"/>
        <n v="11.634788"/>
        <n v="33.197861000000003"/>
        <n v="10.300682"/>
        <n v="16.088134"/>
        <n v="35.676062000000002"/>
        <n v="14.128410000000001"/>
        <n v="31.884"/>
        <n v="48.648000000000003"/>
        <n v="17.324000000000002"/>
        <n v="33.006"/>
        <n v="30.160546"/>
        <n v="51.078775"/>
        <n v="12.309680999999999"/>
        <n v="35.735999999999997"/>
        <n v="54.414000000000001"/>
        <n v="5.9123000000000001"/>
        <n v="8.9857999999999993"/>
        <n v="2.1395420000000001"/>
        <n v="4.8070909999999998"/>
        <n v="14.646008"/>
        <n v="36.337372999999999"/>
        <n v="9.2205239999999993"/>
        <n v="13.638723000000001"/>
        <n v="24.806000000000001"/>
        <n v="44.347000000000001"/>
        <n v="11.008151"/>
        <n v="92.743711000000005"/>
        <n v="12.699149"/>
        <n v="37.514456000000003"/>
        <n v="2.633867"/>
        <n v="6.1866760000000003"/>
        <n v="1.7963020000000001"/>
        <n v="3.4680949999999999"/>
        <n v="5.9143230000000004"/>
        <n v="29.221288999999999"/>
        <n v="20.342199000000001"/>
        <n v="44.851896000000004"/>
        <n v="6.0973259999999998"/>
        <n v="19.305772000000001"/>
        <n v="56.633741999999998"/>
        <n v="34.545000000000002"/>
        <n v="125.8518"/>
        <n v="66.063400000000001"/>
        <n v="10.3384"/>
        <n v="13.288399999999999"/>
        <n v="14.589347"/>
        <n v="36.770310000000002"/>
        <n v="3.5465110000000002"/>
        <n v="5.7007859999999999"/>
        <n v="2.5808270000000002"/>
        <n v="3.7153350000000001"/>
        <n v="7.0556789999999996"/>
        <n v="11.979010000000001"/>
        <n v="20.834237000000002"/>
        <n v="19.254196"/>
        <n v="54.155743000000001"/>
        <n v="3.7012119999999999"/>
        <n v="6.6264000000000003"/>
        <n v="12.645163999999999"/>
        <n v="21.526257999999999"/>
        <n v="33.884053999999999"/>
        <n v="10.864383999999999"/>
        <n v="5.8416366000000002"/>
        <n v="19.850290999999999"/>
        <n v="34.142110000000002"/>
        <n v="63.336269999999999"/>
        <n v="38.871825999999999"/>
        <n v="74.920136999999997"/>
        <n v="10.475464000000001"/>
        <n v="22.928809999999999"/>
        <n v="77.473633000000007"/>
        <n v="2.9271280000000002"/>
        <n v="6.8858750000000004"/>
        <n v="15.054786"/>
        <n v="38.285488999999998"/>
        <n v="29.334340000000001"/>
        <n v="60.323104999999998"/>
        <n v="143.34394"/>
        <n v="10.446346999999999"/>
        <n v="40.714955000000003"/>
        <n v="2.508553"/>
        <n v="5.4190259999999997"/>
        <n v="13.751243000000001"/>
        <n v="30.184104000000001"/>
        <n v="127.282184"/>
        <n v="1.937055"/>
        <n v="7.0611490000000003"/>
        <n v="3.295709"/>
        <n v="5.3159460000000003"/>
        <n v="9.6534709999999997"/>
        <n v="1.4991469500000001"/>
        <n v="5.4870000000000001"/>
        <n v="8.2910000000000004"/>
        <n v="16.738661"/>
        <n v="4.6461860000000001"/>
        <n v="7.2401929999999997"/>
        <n v="17.326644000000002"/>
        <n v="44.840975"/>
        <n v="10.4208"/>
        <n v="13.072900000000001"/>
        <n v="9.6949280000000009"/>
        <n v="15.38231"/>
        <n v="5.9236529999999998"/>
        <n v="105.35638299999999"/>
        <n v="20.8613"/>
        <n v="42.631799999999998"/>
        <n v="87.645099999999999"/>
        <n v="13.930698"/>
        <n v="56.47542"/>
        <n v="92.876125000000002"/>
        <n v="9.1760920000000006"/>
        <n v="19.738285999999999"/>
        <n v="1.772419"/>
        <n v="19.747412000000001"/>
        <n v="14.970418"/>
        <n v="32.273273000000003"/>
        <n v="2.4610690000000002"/>
        <n v="5.9603919999999997"/>
        <n v="96.101140999999998"/>
        <n v="265.469335"/>
        <n v="2.2405080000000002"/>
        <n v="6.8277659999999996"/>
        <n v="5.5242420000000001"/>
        <n v="8.77501"/>
        <n v="4.6627150000000004"/>
        <n v="11.815007"/>
        <n v="4.3627050000000001"/>
        <n v="6.941357"/>
        <n v="31.781925000000001"/>
        <n v="5.9012399999999996"/>
        <n v="8.7522000000000002"/>
        <n v="22.780200000000001"/>
        <n v="2.8959999999999999"/>
        <n v="0.74295999999999995"/>
        <n v="8.3715539999999997"/>
        <n v="17.934937000000001"/>
        <n v="4.9153789999999997"/>
        <n v="13.093921"/>
        <n v="1.653888"/>
        <n v="4.3372339999999996"/>
        <n v="1.6783269999999999"/>
        <n v="3.5538219999999998"/>
        <n v="4.3853150000000003"/>
        <n v="51.805612000000004"/>
        <n v="4.5444389999999997"/>
        <n v="12.762172"/>
        <n v="38.715184999999998"/>
        <n v="2.248329"/>
        <n v="4.5803580000000004"/>
        <n v="6.7668879999999998"/>
        <n v="2.5495749999999999"/>
        <n v="5.2123330000000001"/>
        <n v="13.969457"/>
        <n v="34.920999999999999"/>
        <n v="71.311999999999998"/>
        <n v="7.4163969999999999"/>
        <n v="18.684736999999998"/>
        <n v="5.6679300000000001"/>
        <n v="13.17562"/>
        <n v="21.775960000000001"/>
        <n v="31.784400000000002"/>
        <n v="41.029020000000003"/>
        <n v="8.2597799999999992"/>
        <n v="15.955387"/>
        <n v="8.4574960000000008"/>
        <n v="17.281110000000002"/>
        <n v="32.134327999999996"/>
        <n v="7.6263240000000003"/>
        <n v="15.995621999999999"/>
        <n v="34.211539999999999"/>
        <n v="12.551157999999999"/>
        <n v="24.08821"/>
        <n v="5.4703189999999999"/>
        <n v="12.758005000000001"/>
        <n v="25.098490000000002"/>
        <n v="6.5623310000000004"/>
        <n v="67.844469000000004"/>
        <n v="2.024823"/>
        <n v="9.6000010000000007"/>
        <n v="20.678771999999999"/>
        <n v="3.2927810000000002"/>
        <n v="9.6932010000000002"/>
        <n v="13.726976000000001"/>
        <n v="24.310856000000001"/>
        <n v="44.431013999999998"/>
        <n v="9.3409999999999993"/>
        <n v="4.9776559999999996"/>
        <n v="6.9880550000000001"/>
        <n v="10.558344999999999"/>
        <n v="288.822"/>
        <n v="14.844386999999999"/>
        <n v="22.824669"/>
        <n v="5.1955280000000004"/>
        <n v="8.0104100000000003"/>
        <n v="27.666312999999999"/>
        <n v="42.473269000000002"/>
        <n v="15.170318"/>
        <n v="26.234138000000002"/>
        <n v="39.459356999999997"/>
        <n v="1.64422461"/>
        <n v="8.9685500000000005"/>
        <n v="23.221820000000001"/>
        <n v="21.963944999999999"/>
        <n v="125.59680899999999"/>
        <n v="7.4155629999999997"/>
        <n v="9.3874270000000006"/>
        <n v="6.5111270000000001"/>
        <n v="23.851548999999999"/>
        <n v="12.798360000000001"/>
        <n v="27.320871"/>
        <n v="7.0567700000000002"/>
        <n v="17.265426999999999"/>
        <n v="5.9297779999999998"/>
        <n v="12.247629"/>
        <n v="131.458"/>
        <n v="11.189562"/>
        <n v="17.849"/>
        <n v="26.135999999999999"/>
        <n v="37.054918999999998"/>
        <n v="57.248089999999998"/>
        <n v="142.54424700000001"/>
        <n v="10.05537"/>
        <n v="16.332995"/>
        <n v="5.7952779999999997"/>
        <n v="8.4108940000000008"/>
        <n v="5.4766599999999999"/>
        <n v="16.934401999999999"/>
        <n v="24.209841999999998"/>
        <n v="11.031890000000001"/>
        <n v="25.762294000000001"/>
        <n v="4.6126959999999997"/>
        <n v="13.121632"/>
        <n v="6.4754339999999999"/>
        <n v="16.858370000000001"/>
        <n v="49.499875000000003"/>
        <n v="34.060467000000003"/>
        <n v="83.488369000000006"/>
        <n v="25.563222"/>
        <n v="57.688020000000002"/>
        <n v="77.095691000000002"/>
        <n v="13.83989"/>
        <n v="16.23855"/>
        <n v="3.2896719999999999"/>
        <n v="7.1864340000000002"/>
        <n v="8.4866159999999997"/>
        <n v="55.188023000000001"/>
        <n v="10.327185999999999"/>
        <n v="37.866281000000001"/>
        <n v="3.6145679999999998"/>
        <n v="7.542427"/>
        <n v="11.932124999999999"/>
        <n v="25.745718"/>
        <n v="59.980626999999998"/>
        <n v="10.664903000000001"/>
        <n v="17.784129"/>
        <n v="3.2819590000000001"/>
        <n v="12.516159999999999"/>
        <n v="37.815724000000003"/>
        <n v="53.578637000000001"/>
        <n v="26.84768"/>
        <n v="72.379334"/>
        <n v="2.7327560000000002"/>
        <n v="14.871572"/>
        <n v="13.36731"/>
        <n v="21.302"/>
        <n v="39.792200000000001"/>
        <n v="51.195999999999998"/>
        <n v="4.5795300000000001"/>
        <n v="19.022929999999999"/>
        <n v="34.763278"/>
        <n v="67.968014999999994"/>
        <n v="6.8496920000000001"/>
        <n v="20.053763"/>
        <n v="30.092568"/>
        <n v="5.5353089999999998"/>
        <n v="16.725947999999999"/>
        <n v="1.8978060000000001"/>
        <n v="3.282807"/>
        <n v="5.028219"/>
        <n v="12.125934000000001"/>
        <n v="19.986325999999998"/>
        <n v="4.9201990000000002"/>
        <n v="14.172326999999999"/>
        <n v="12.509529000000001"/>
        <n v="27.014976000000001"/>
        <n v="16.092361"/>
        <n v="28.906009000000001"/>
        <n v="20.098379999999999"/>
        <n v="62.784697000000001"/>
        <n v="105.599"/>
        <n v="3.9308209999999999"/>
        <n v="7.6300039999999996"/>
        <n v="5.6290209999999998"/>
        <n v="13.391635000000001"/>
        <n v="5.2621549999999999"/>
        <n v="12.162701"/>
        <n v="12.904532"/>
        <n v="31.200751"/>
        <n v="22.597052999999999"/>
        <n v="45.348269000000002"/>
        <n v="10.043685999999999"/>
        <n v="15.163161000000001"/>
        <n v="12.31043"/>
        <n v="25.193458"/>
        <n v="6.7916359999999996"/>
        <n v="11.837548999999999"/>
        <n v="3.1733150000000001"/>
        <n v="13.297003999999999"/>
        <n v="3.2441070000000001"/>
        <n v="14.511430000000001"/>
        <n v="21.087209999999999"/>
        <n v="6.7380880000000003"/>
        <n v="13.060022"/>
        <n v="7.4167550000000002"/>
        <n v="20.485434999999999"/>
        <n v="5.3418530000000004"/>
        <n v="10.423118000000001"/>
        <n v="9.1824169999999992"/>
        <n v="14.613612"/>
        <n v="8.0050129999999999"/>
        <n v="12.130686000000001"/>
        <n v="7.0543459999999998"/>
        <n v="34.989261999999997"/>
        <n v="42.994"/>
        <n v="88.504999999999995"/>
        <n v="22.250948999999999"/>
        <n v="135.498527"/>
        <n v="4.081423"/>
        <n v="11.419411999999999"/>
        <n v="6.8343700099999998"/>
        <n v="14.425281"/>
        <n v="26.675689999999999"/>
        <n v="58.034616"/>
        <n v="3.21346"/>
        <n v="6.8734900000000003"/>
        <n v="9.0243889999999993"/>
        <n v="17.340824000000001"/>
        <n v="14.383035"/>
        <n v="47.318218000000002"/>
        <n v="184.256405"/>
        <n v="4.0287509999999997"/>
        <n v="6.1248209999999998"/>
        <n v="8.9210989999999999"/>
        <n v="11.242861"/>
        <n v="7.0314620000000003"/>
        <n v="54.280749"/>
        <n v="13.61159129"/>
        <n v="11.829851"/>
        <n v="14.751166"/>
        <n v="10.613839"/>
        <n v="29.726682"/>
        <n v="2.4262899999999998"/>
        <n v="4.6233199999999997"/>
        <n v="0.66930999999999996"/>
        <n v="3000"/>
        <n v="2.46502"/>
        <n v="68.958399999999997"/>
        <n v="1.8555581999999999"/>
        <n v="17.833648"/>
        <n v="3.0051600000000001"/>
        <n v="7.8344278799999998"/>
        <n v="1.7208604000000001"/>
        <n v="66.262"/>
        <n v="4.7"/>
        <n v="7.1710000000000003"/>
        <n v="4.1760000000000002"/>
        <n v="8.7080000000000002"/>
        <n v="6.319"/>
        <n v="12.209"/>
        <n v="12.331"/>
        <n v="15.943"/>
        <n v="86.678560000000004"/>
        <n v="69.754599999999996"/>
        <n v="675.47"/>
        <n v="1.2137671999999999"/>
        <n v="0.45328509"/>
        <n v="1.8651690000000001"/>
        <n v="704.19839999999999"/>
        <n v="7.8914483000000004"/>
        <n v="2.6843284999999999"/>
        <n v="3.3118644000000002"/>
        <n v="223.3"/>
        <n v="3.7970181599999999"/>
        <n v="3.2175188299999999"/>
        <n v="10.290994"/>
        <n v="3.5256325400000001"/>
        <n v="3.0240949000000001"/>
        <n v="35.968000000000004"/>
        <n v="110.979"/>
        <n v="6.8029999999999999"/>
        <n v="8.7029999999999994"/>
        <n v="11.922000000000001"/>
        <n v="52.501128999999999"/>
        <n v="406.2"/>
        <n v="5.3340838399999999"/>
        <n v="12.874709899999999"/>
        <n v="8.6001536000000005"/>
        <n v="64.002049999999997"/>
        <n v="16.797138740000001"/>
        <n v="66.650620000000004"/>
        <n v="35.23319"/>
        <n v="178.1396"/>
        <n v="3.2467293000000002"/>
        <n v="101.11141000000001"/>
        <n v="207.2482"/>
        <n v="112.3053"/>
        <n v="177.66929999999999"/>
        <n v="3.6001053000000001"/>
        <n v="4.5458841000000003"/>
        <n v="6.1893919999999998"/>
        <n v="7.743493"/>
        <n v="9.7404860000000006"/>
        <n v="2.9841510000000002"/>
        <n v="4.8712289999999996"/>
        <n v="8.1527499999999993"/>
        <n v="1.5654090000000001"/>
        <n v="3.0361790000000002"/>
        <n v="5.1489209999999996"/>
        <n v="7.7943013199999998"/>
        <n v="12.582420000000001"/>
        <n v="33.672699999999999"/>
        <n v="2.4552390000000002"/>
        <n v="28.454851000000001"/>
        <n v="15.413135"/>
        <n v="7.51464"/>
        <n v="384.84300000000002"/>
        <n v="240.50299999999999"/>
        <n v="10.57"/>
        <n v="523.9"/>
        <n v="20.740284129999999"/>
        <n v="33.60134"/>
        <n v="57.011000000000003"/>
        <n v="6.7665889999999997"/>
        <n v="220.13033569999999"/>
        <n v="8.3137830600000004"/>
        <n v="84.687980800000005"/>
        <n v="8.9810168299999997"/>
        <n v="7.2569652199999997"/>
        <n v="9.9406724700000009"/>
        <n v="51.079263070000003"/>
        <n v="3.7092138499999998"/>
        <n v="24.99324193"/>
        <n v="38.47875707"/>
        <n v="49.464300000000001"/>
        <n v="303.22699999999998"/>
        <n v="187.36600000000001"/>
        <n v="24.669195689999999"/>
        <n v="5.0142345700000002"/>
        <n v="4.1762555099999998"/>
        <n v="14.55731705"/>
        <n v="5.6606729400000004"/>
        <n v="3.1055081900000001"/>
        <n v="14.006406070000001"/>
        <n v="11.11990653"/>
        <n v="13.2217576"/>
        <n v="12.493413070000001"/>
        <n v="4.7779999999999996"/>
        <n v="9.6739499999999996"/>
        <n v="42.896099999999997"/>
        <n v="982"/>
        <n v="4.9195837999999998"/>
        <n v="10.06082567"/>
        <n v="56.35418576"/>
        <n v="30.229104"/>
        <n v="10.045569309999999"/>
        <n v="3.2432598000000001"/>
        <n v="30.360446670000002"/>
        <n v="15.358768400000001"/>
        <n v="38.651997600000001"/>
        <n v="3.12082923"/>
        <n v="17.276296120000001"/>
        <n v="7.2037944999999999"/>
        <n v="10.9129343"/>
        <n v="2.576549"/>
        <n v="18.596108000000001"/>
        <n v="3.2686951500000001"/>
        <n v="4.2253845099999996"/>
        <n v="11.720122659999999"/>
        <n v="3.00387658"/>
        <n v="8.0251182100000005"/>
        <n v="3.41303622"/>
        <n v="8.3086493699999995"/>
        <n v="3.5732036699999998"/>
        <n v="9.6137535599999993"/>
        <n v="5.6325284499999997"/>
        <n v="3.5484656999999999"/>
        <n v="7.8125400000000003"/>
        <n v="9.3764699999999994"/>
        <n v="8.5083243999999993"/>
        <n v="5.6406775700000003"/>
        <n v="4.2868643100000003"/>
        <n v="9.5492754200000007"/>
        <n v="27.521979940000001"/>
        <n v="6.8834055000000003"/>
        <n v="3.5680969299999998"/>
        <n v="25.308897479999999"/>
        <n v="41.74600392"/>
        <n v="45.154000000000003"/>
        <n v="85.311999999999998"/>
        <n v="130.19399999999999"/>
        <n v="19.556594180000001"/>
        <n v="296.63786499999998"/>
        <n v="34.435879749999998"/>
        <n v="28.862355839999999"/>
        <n v="5.6517960499999997"/>
        <n v="19.963713179999999"/>
        <n v="24.854624149999999"/>
        <n v="60.928322710000003"/>
        <n v="8.5120358800000009"/>
        <n v="24.307894600000001"/>
        <n v="7.8773565000000003"/>
        <n v="16.385002100000001"/>
        <n v="36.445171000000002"/>
        <n v="19.67416124"/>
        <n v="5.2110426099999998"/>
        <n v="22.20813214"/>
        <n v="38.584228490000001"/>
        <n v="5.8359831099999999"/>
        <n v="7.9741980699999999"/>
        <n v="1.88897906"/>
        <n v="18.684049330000001"/>
        <n v="5.4584983200000003"/>
        <n v="13.285356330000001"/>
        <n v="19.782974150000001"/>
        <n v="1.9803576599999999"/>
        <n v="12.834502199999999"/>
        <n v="18.6489525"/>
        <n v="38.558303799999997"/>
        <n v="9.7519620000000007"/>
        <n v="39.309419040000002"/>
        <n v="29.884857409999999"/>
        <n v="12.924916229999999"/>
        <n v="28.51120525"/>
        <n v="15.959945129999999"/>
        <n v="4.9033215500000003"/>
        <n v="1.8270823"/>
        <n v="3.2475552200000002"/>
        <n v="81.737806989999996"/>
        <n v="125.63243"/>
        <n v="1000"/>
        <n v="8.0109434000000004"/>
        <n v="12.0717249"/>
        <n v="20.995694"/>
        <n v="172.70497839999999"/>
        <n v="5.0800584799999999"/>
        <n v="13.14497566"/>
        <n v="13.899619660000001"/>
        <n v="21.41616926"/>
        <n v="13.249340589999999"/>
        <n v="4.1470202599999997"/>
        <n v="6.0103842900000002"/>
        <n v="4.4541943399999999"/>
        <n v="42.949564899999999"/>
        <n v="117.040498"/>
        <n v="27.948144899999999"/>
        <n v="42.1516418"/>
        <n v="2.2110989999999999"/>
        <n v="4.617534"/>
        <n v="10.198544999999999"/>
        <n v="8.6001041100000002"/>
        <n v="12.3764661"/>
        <n v="5.2634157699999999"/>
        <n v="4.0304680399999997"/>
        <n v="328.23995459999998"/>
        <n v="1.90220856"/>
        <n v="16.217754070000002"/>
        <n v="11.72292176"/>
        <n v="3.70598955"/>
        <n v="29.00790538"/>
        <n v="17.58752333"/>
        <n v="10.5016"/>
        <n v="21.40239"/>
        <n v="1002"/>
        <n v="18.477644489999999"/>
        <n v="58.362049499999998"/>
        <n v="5.3501619800000002"/>
        <n v="18.009314440000001"/>
        <n v="22.184327079999999"/>
        <n v="3.75083228"/>
        <n v="4.2437472300000003"/>
        <n v="18.427946240000001"/>
        <n v="16.542973750000002"/>
        <n v="11.02347475"/>
        <n v="34.188905210000001"/>
        <n v="5.7293196000000002"/>
        <n v="11.6092567"/>
        <n v="4.3016620000000003"/>
        <n v="4.7985993899999997"/>
        <n v="17.205234829999998"/>
        <n v="22.18329658"/>
        <n v="7.65880414"/>
        <n v="9.3789194400000007"/>
        <n v="29.911367940000002"/>
        <n v="25.695782510000001"/>
        <n v="1.6168837"/>
        <n v="9.6685772300000004"/>
        <n v="10.2184954"/>
        <n v="15.574156800000001"/>
        <n v="40.101371"/>
        <n v="8.2224196599999999"/>
        <n v="40.606982100000003"/>
        <n v="18.49235668"/>
        <n v="6.5100252999999997"/>
        <n v="35.181030399999997"/>
        <n v="2.7523597500000001"/>
        <n v="2.10472218"/>
        <n v="10.940278409999999"/>
        <n v="4.22162536"/>
        <n v="16.549649339999998"/>
        <n v="11.8681707"/>
        <n v="17.980123500000001"/>
        <n v="5.8529625699999999"/>
        <n v="81.169429899999997"/>
        <n v="2.8201924100000002"/>
        <n v="21.217089730000001"/>
        <n v="13.64618192"/>
        <n v="25.302923320000001"/>
        <n v="21.300226550000001"/>
        <n v="13.02365861"/>
        <n v="3.7017542799999998"/>
        <n v="15.65562652"/>
        <n v="3.2346995999999999"/>
        <n v="7.1334"/>
        <n v="8.9186999999999994"/>
        <n v="11.898099999999999"/>
        <n v="23.675176069999999"/>
        <n v="5.3788684399999998"/>
        <n v="15.28469497"/>
        <n v="21.053585959999999"/>
        <n v="127.90757739999999"/>
        <n v="6.2171291999999996"/>
        <n v="25.85501786"/>
        <n v="3.3835380700000002"/>
        <n v="2.3589515200000002"/>
        <n v="24.315759920000001"/>
        <n v="0.63816320000000004"/>
        <n v="6.4125150399999997"/>
        <n v="6.5212106700000003"/>
        <n v="59.877560000000003"/>
        <n v="6.9969265500000004"/>
        <n v="151.86392000000001"/>
        <n v="2.4370333"/>
        <n v="3.7221564100000002"/>
        <n v="15.77979614"/>
        <n v="14.034915140000001"/>
        <n v="10.355846570000001"/>
        <n v="9.9976185100000006"/>
        <n v="90.411355599999993"/>
        <n v="1.6826961499999999"/>
        <n v="3.5957696399999999"/>
        <n v="5.4042722000000003"/>
        <n v="1.2084650299999999"/>
        <n v="5.7149320000000001"/>
        <n v="12.441700000000001"/>
        <n v="18.164059999999999"/>
        <n v="122.3874"/>
        <n v="267.291"/>
        <n v="12.91375431"/>
        <n v="2.6281137499999998"/>
        <n v="14.282266760000001"/>
        <n v="9.0709773400000007"/>
        <n v="14.586496070000001"/>
        <n v="7.7519249200000004"/>
        <n v="4.1653650999999998"/>
        <n v="14.48585199"/>
        <n v="40.699444300000003"/>
        <n v="15.4580567"/>
        <n v="7.2385853999999998"/>
        <n v="9.4341504999999994"/>
        <n v="161.47439370000001"/>
        <n v="17.97979059"/>
        <n v="30.99660733"/>
        <n v="8.50340718"/>
        <n v="5.1695017700000001"/>
        <n v="23.449710039999999"/>
        <n v="16.080661150000001"/>
        <n v="23.205846229999999"/>
        <n v="6.0797288800000002"/>
        <n v="10.21420496"/>
        <n v="22.24813967"/>
        <n v="9.4896157100000007"/>
        <n v="4.4174585500000001"/>
        <n v="16.338896259999999"/>
        <n v="3.1739171000000002"/>
        <n v="3.27582262"/>
        <n v="15.87364565"/>
        <n v="16.225464899999999"/>
        <n v="17.4211749"/>
        <n v="29.907226739999999"/>
        <n v="2.1549100000000001"/>
        <n v="5.8599439999999996"/>
        <n v="8.1312300000000004"/>
        <n v="3.0321455899999998"/>
        <n v="21.38521506"/>
        <n v="4.1820025300000001"/>
        <n v="14.70748976"/>
        <n v="0.90037648000000003"/>
        <n v="13.724651290000001"/>
        <n v="46.406335800000001"/>
        <n v="1.2602590899999999"/>
        <n v="24.543504179999999"/>
        <n v="1.2870767599999999"/>
        <n v="17.671796000000001"/>
        <n v="17.815815000000001"/>
        <n v="9.2735819399999997"/>
        <n v="6.0293013200000001"/>
        <n v="21.676974860000001"/>
        <n v="4.9967828399999998"/>
        <n v="2.52559332"/>
        <n v="16.013102050000001"/>
        <n v="4.4987609199999996"/>
        <n v="41.439628079999999"/>
        <n v="8.3539063900000006"/>
        <n v="4.12554687"/>
        <n v="15.725899999999999"/>
        <n v="2.8165048499999998"/>
        <n v="4.28095859"/>
        <n v="38.377462299999998"/>
        <n v="3.7287310900000001"/>
        <n v="2.24338185"/>
        <n v="2.3374380100000001"/>
        <n v="11.59822172"/>
        <n v="6.5753167799999996"/>
        <n v="7.2750372399999996"/>
        <n v="12.393586040000001"/>
        <n v="5.3987600000000002"/>
        <n v="9.6050400000000007"/>
        <n v="625"/>
        <n v="3.6899262899999998"/>
        <n v="26.394356460000001"/>
        <n v="12.61190667"/>
        <n v="2.5391831800000002"/>
        <n v="6.77030201"/>
        <n v="1.6255222"/>
        <n v="1.5947454599999999"/>
        <n v="20.505869780000001"/>
        <n v="3.8959368400000001"/>
        <n v="22.366560790000001"/>
        <n v="13.722341"/>
        <n v="242.46129999999999"/>
        <n v="7.7480943699999996"/>
        <n v="8.1143789999999996"/>
        <n v="21.812934940000002"/>
        <n v="15.37563332"/>
        <n v="6.3658416100000004"/>
        <n v="3.0403304200000001"/>
        <n v="4.1904255700000004"/>
        <n v="3.70987065"/>
        <n v="16.329762179999999"/>
        <n v="27.80756293"/>
        <n v="4.8854892000000003"/>
        <n v="80.872063900000001"/>
        <n v="10.355331769999999"/>
        <n v="10.52629406"/>
        <n v="4.58352176"/>
        <n v="3.7618211499999998"/>
        <n v="56.056053800000001"/>
        <n v="41.408313470000003"/>
        <n v="2.2374927499999999"/>
        <n v="3.1678919400000001"/>
        <n v="16.08524954"/>
        <n v="4.3472855299999997"/>
        <n v="23.589143979999999"/>
        <n v="21.022476990000001"/>
        <n v="226.89046999999999"/>
        <n v="7.4111409999999998"/>
        <n v="8.0988879899999997"/>
        <n v="10.006529949999999"/>
        <n v="10.37168453"/>
        <n v="4.4084002299999998"/>
        <n v="2.0523498999999998"/>
        <n v="5.0073177800000002"/>
        <n v="4.7083265399999998"/>
        <n v="5.3920253899999997"/>
        <n v="4.0935732500000004"/>
        <n v="105.144749"/>
        <n v="4.0822750699999997"/>
        <n v="3.3149463400000001"/>
        <n v="39.643178110000001"/>
        <n v="21.804510879999999"/>
        <n v="5.1544844200000002"/>
        <n v="5.7434772699999996"/>
        <n v="3.1663537100000001"/>
        <n v="6.4916828100000004"/>
        <n v="2.8518833799999999"/>
        <n v="3.8556035500000001"/>
        <n v="9.4678140499999994"/>
        <n v="0.89304123999999996"/>
        <n v="20.834247260000001"/>
        <n v="6.1048528600000003"/>
        <n v="11.51516988"/>
        <n v="3.6014720100000002"/>
        <n v="28.599153990000001"/>
        <n v="24.58721573"/>
        <n v="12.532484650000001"/>
        <n v="7.3407109999999998"/>
        <n v="3.58410122"/>
        <n v="7.0390237400000002"/>
        <n v="8.3608682400000003"/>
        <n v="3.1792629200000002"/>
        <n v="12.062224430000001"/>
        <n v="9.9314355600000006"/>
        <n v="3.48159251"/>
        <n v="35.617605869999998"/>
        <n v="7.4074279299999999"/>
        <n v="17.317165849999999"/>
        <n v="8.8849116000000006"/>
        <n v="9.4288717900000005"/>
        <n v="4.0889902200000003"/>
        <n v="17.444906360000001"/>
        <n v="18.827472650000001"/>
        <n v="5.7477250099999999"/>
        <n v="14.5596237"/>
        <n v="1.26909037"/>
        <n v="2.8531336399999998"/>
        <n v="1.2248663200000001"/>
        <n v="1.0226788200000001"/>
        <n v="12.109710400000001"/>
        <n v="4.7579398599999996"/>
        <n v="20.4966197"/>
        <n v="8.1934719000000005"/>
        <n v="41.805985"/>
        <n v="1.5449298"/>
        <n v="8.7041941600000001"/>
        <n v="2.4669743899999999"/>
        <n v="10.128047889999999"/>
        <n v="3.7705521000000002"/>
        <n v="1.1965515600000001"/>
        <n v="7.3368393599999999"/>
        <n v="27.665522599999999"/>
        <n v="6.1002780400000001"/>
        <n v="161.52801009999999"/>
        <n v="11.391002500000001"/>
        <n v="7.4260899800000004"/>
        <n v="15.987017399999999"/>
        <n v="3.5787808700000001"/>
        <n v="18.925402739999999"/>
        <n v="1.4753223099999999"/>
        <n v="4.15244722"/>
        <n v="8.7348583600000005"/>
        <n v="12.99207337"/>
        <n v="3.74910006"/>
        <n v="11.0895723"/>
        <n v="0.97486892999999997"/>
        <n v="4.89718784"/>
        <n v="5.7281259899999997"/>
        <n v="3.7557442600000002"/>
        <n v="7.0971422300000002"/>
        <n v="0.35500744000000001"/>
        <n v="0.67737515999999998"/>
        <n v="13.2140732"/>
        <n v="158.6853308"/>
        <n v="4.2926463799999999"/>
        <n v="31.5922646"/>
        <n v="1.9737609300000001"/>
        <n v="53.5293487"/>
        <n v="0.92831050000000004"/>
        <n v="8.3984626900000006"/>
        <n v="8.6384772499999993"/>
        <n v="13.484500000000001"/>
        <n v="27.402899999999999"/>
        <n v="52.090200000000003"/>
        <n v="81.065899999999999"/>
        <n v="13.73469807"/>
        <n v="14.553975899999999"/>
        <n v="11.30119217"/>
        <n v="4.2415363900000003"/>
        <n v="11.131251320000001"/>
        <n v="29.619342100000001"/>
        <n v="6.40087618"/>
        <n v="27.072377110000001"/>
        <n v="13.719333689999999"/>
        <n v="133.46052349999999"/>
        <n v="3.5224991000000001"/>
        <n v="7.05246"/>
        <n v="9.5235500000000002"/>
        <n v="3.0722200000000002"/>
        <n v="4.6448900000000002"/>
        <n v="0.98678730000000003"/>
        <n v="14.645580000000001"/>
        <n v="14.13176026"/>
        <n v="11.41928253"/>
        <n v="40.0587473"/>
        <n v="50.286381919999997"/>
        <n v="14.374573509999999"/>
        <n v="9.6518501699999995"/>
        <n v="30.863893099999999"/>
        <n v="8.0921964200000005"/>
        <n v="117.9310878"/>
        <n v="0.63133234999999999"/>
        <n v="55.639339999999997"/>
        <n v="5.9550000000000001"/>
        <n v="12.04"/>
        <n v="20.837845999999999"/>
        <n v="4.5972538500000004"/>
        <n v="23.584476970000001"/>
        <n v="10.117165310000001"/>
        <n v="19.129473369999999"/>
        <n v="6.1469851000000002"/>
        <n v="8.5750355200000001"/>
        <n v="10.50682565"/>
        <n v="3.9901062299999999"/>
        <n v="10.035385809999999"/>
        <n v="33.199564799999997"/>
        <n v="26.443999999999999"/>
        <n v="51.537999999999997"/>
        <n v="2.3829609999999999"/>
        <n v="5.9022059999999996"/>
        <n v="127.8338098"/>
        <n v="1.92279873"/>
        <n v="3.2229692700000001"/>
        <n v="4.1680908199999998"/>
        <n v="4.5143663299999996"/>
        <n v="3.77360059"/>
        <n v="8.1818246000000006"/>
        <n v="4.4875890700000003"/>
        <n v="51.929275910000001"/>
        <n v="0.56785713999999998"/>
        <n v="6.8833756199999998"/>
        <n v="9.77"/>
        <n v="20.09"/>
        <n v="5.1697959999999998"/>
        <n v="11.29695137"/>
        <n v="5.6215394099999996"/>
        <n v="7.1396940999999998"/>
        <n v="18.754699800000001"/>
        <n v="13.323883009999999"/>
        <n v="11.41909375"/>
        <n v="11.36112327"/>
        <n v="16.560595039999999"/>
        <n v="15.74957994"/>
        <n v="37.814451400000003"/>
        <n v="8.7260000000000009"/>
        <n v="12.882999999999999"/>
        <n v="4.2245369999999998"/>
        <n v="27.434388999999999"/>
        <n v="44.552168999999999"/>
        <n v="2.49577962"/>
        <n v="124.41983980000001"/>
        <n v="1.2195682699999999"/>
        <n v="2.0538798200000001"/>
        <n v="2.6130208599999998"/>
        <n v="0.92785982"/>
        <n v="19.80792185"/>
        <n v="2.3432319000000001"/>
        <n v="6.9113441599999996"/>
        <n v="394.62449040000001"/>
        <n v="8.3059999999999992"/>
        <n v="12.513"/>
        <n v="17.913229999999999"/>
        <n v="25.216750999999999"/>
        <n v="7.1930387800000002"/>
        <n v="8.5069965799999991"/>
        <n v="44.930980400000003"/>
        <n v="7.1689246300000002"/>
        <n v="2.1446328499999998"/>
        <n v="7.8866310999999998"/>
        <n v="8.0276805899999992"/>
        <n v="85.351294269999997"/>
        <n v="76.136020279999997"/>
        <n v="20.381775730000001"/>
        <n v="5.1013794499999996"/>
        <n v="3.94963138"/>
        <n v="3.14866453"/>
        <n v="15.59461874"/>
        <n v="5.8337609199999996"/>
        <n v="14.16399294"/>
        <n v="2.6170325399999999"/>
        <n v="150.24212700000001"/>
        <n v="5.0325179100000001"/>
        <n v="40.4287755"/>
        <n v="114.73635"/>
        <n v="191.23179999999999"/>
        <n v="21.3587621"/>
        <n v="22.045901799999999"/>
        <n v="2.5788550699999999"/>
        <n v="20.553384399999999"/>
        <n v="40.0686727"/>
        <n v="27.5073799"/>
        <n v="5.1443801100000002"/>
        <n v="18.45847097"/>
        <n v="25.942203299999999"/>
        <n v="33.385593800000002"/>
        <n v="7.7146897499999998"/>
        <n v="4.4444801700000003"/>
        <n v="3.9895396700000001"/>
        <n v="12.984955729999999"/>
        <n v="5.6991951399999996"/>
        <n v="18.114729489999998"/>
        <n v="6.2414636699999999"/>
        <n v="20.42228798"/>
        <n v="7.6384602299999997"/>
        <n v="70.697906099999997"/>
        <n v="3.7444389999999999"/>
        <n v="52.75875577"/>
        <n v="53.449455929999999"/>
        <n v="13.752107199999999"/>
        <n v="6.3385576099999996"/>
        <n v="9.8032240000000002"/>
        <n v="2.8062423299999999"/>
        <n v="144.54739599999999"/>
        <n v="8.0472642000000008"/>
        <n v="5.8706190999999999"/>
        <n v="19.178912929999999"/>
        <n v="19.239999999999998"/>
        <n v="38.909999999999997"/>
        <n v="1.592851"/>
        <n v="6.9913086"/>
        <n v="3.51749439"/>
        <n v="40.109954700000003"/>
        <n v="10.3507721"/>
        <n v="62.9228557"/>
        <n v="3.0216686300000002"/>
        <n v="5.0827465199999997"/>
        <n v="41.697997600000001"/>
        <n v="15.86621821"/>
        <n v="1.3405974700000001"/>
        <n v="13.93290318"/>
        <n v="6.2465799999999998"/>
        <n v="2.3643690099999999"/>
        <n v="20.310500999999999"/>
        <n v="2.5347562699999999"/>
        <n v="10.29672521"/>
        <n v="4.4096654800000001"/>
        <n v="4.5948960400000001"/>
        <n v="32.296879799999999"/>
        <n v="2.9704143699999999"/>
        <n v="4.8538693300000002"/>
        <n v="11.04603384"/>
        <n v="13.749000000000001"/>
        <n v="26.722999999999999"/>
        <n v="49.3568"/>
        <n v="6.5319270400000002"/>
        <n v="100.82741129999999"/>
        <n v="51.300634000000002"/>
        <n v="0.93846682999999997"/>
        <n v="6.9336647600000001"/>
        <n v="61.037011700000001"/>
        <n v="33.867853099999998"/>
        <n v="52.068860100000002"/>
        <n v="9.1149903000000005"/>
        <n v="3.9324612999999999"/>
        <n v="0.92103214"/>
        <n v="4.7267400000000004"/>
        <n v="1460"/>
        <n v="71.451777500000006"/>
        <n v="8.0375587700000004"/>
        <n v="1.9214374000000001"/>
        <n v="14.204430090000001"/>
        <n v="55.673830899999999"/>
        <n v="4.8808385200000002"/>
        <n v="10.561342209999999"/>
        <n v="67.668826999999993"/>
        <n v="153.34336400000001"/>
        <n v="52.6298417"/>
        <n v="14.878296000000001"/>
        <n v="2.50806"/>
        <n v="820.3"/>
        <n v="59.622525699999997"/>
        <n v="17.423951979999998"/>
        <n v="44.964174880000002"/>
        <n v="49.7701438"/>
        <n v="43.316773699999999"/>
        <n v="31.003381399999999"/>
        <n v="11.791625720000001"/>
        <n v="26.964431699999999"/>
        <n v="7.7684662199999996"/>
        <n v="8.6893072999999994"/>
        <n v="11.523099999999999"/>
        <n v="98.718040599999995"/>
        <n v="71.525308449999997"/>
        <n v="130.35469190000001"/>
        <n v="88.406552579999996"/>
        <n v="9.1096711199999998"/>
        <n v="16.781766019999999"/>
        <n v="14.53244172"/>
        <n v="5.2486726299999997"/>
        <n v="5.9074135400000003"/>
        <n v="9.7678805000000004"/>
        <n v="14.80074836"/>
        <n v="16.238499999999998"/>
        <n v="3.12686223"/>
        <n v="16.877274140000001"/>
        <n v="12.05707239"/>
        <n v="9.9768370500000003"/>
        <n v="13.5225106"/>
        <n v="134.2527298"/>
        <n v="99.747622000000007"/>
        <n v="13.22713379"/>
        <n v="198.71125019999999"/>
        <n v="3.6929837299999999"/>
        <n v="5.7094049199999999"/>
        <n v="34.173171400000001"/>
        <n v="1.6829346000000001"/>
        <n v="2.5866400000000001"/>
        <n v="789"/>
        <n v="16.736522310000002"/>
        <n v="9.5907071599999991"/>
        <n v="7.0393255300000002"/>
        <n v="49.607733099999997"/>
        <n v="4.1944965099999996"/>
        <n v="1.9703424599999999"/>
        <n v="105.9564148"/>
        <n v="26.853283220000002"/>
        <n v="49.622150900000001"/>
        <n v="8.0880135000000006"/>
        <n v="1.5416799999999999"/>
        <n v="11.551025040000001"/>
        <n v="4.4697577400000004"/>
        <n v="15.7738221"/>
        <n v="60.0855082"/>
        <n v="43.034227199999997"/>
        <n v="116.331901"/>
        <n v="56.434993800000001"/>
        <n v="105.3033148"/>
        <n v="17.760800530000001"/>
        <n v="7.9643153499999997"/>
        <n v="4.60358"/>
        <n v="9.9172342800000006"/>
        <n v="0.53835431"/>
        <n v="82.534251900000001"/>
        <n v="20.16034462"/>
        <n v="22.085575630000001"/>
        <n v="1.1511665099999999"/>
        <n v="28.26731672"/>
        <n v="3.7705905799999999"/>
        <n v="2.7073067200000001"/>
        <n v="5.6537773299999996"/>
        <n v="5.9918570200000003"/>
        <n v="24.736958999999999"/>
        <n v="3.7779310000000002"/>
        <n v="0.46292913000000002"/>
        <n v="3.91405"/>
        <n v="2.1487799999999999"/>
        <n v="2774"/>
        <n v="1982"/>
        <n v="760"/>
        <n v="121.71"/>
        <n v="511.21"/>
        <n v="6.9589999999999996"/>
        <n v="5.1180000000000003"/>
        <n v="4.0869999999999997"/>
        <n v="2.6472980000000002"/>
        <n v="4.511164"/>
        <n v="1.6753728000000001"/>
        <n v="1.3373508000000001"/>
        <n v="3.3569865999999999"/>
        <n v="5573.55"/>
        <n v="2883.5"/>
        <n v="2985.7"/>
        <n v="3285"/>
        <n v="1788.5"/>
        <n v="4927.5"/>
        <n v="2557"/>
        <n v="1224"/>
        <n v="1.2119188999999999"/>
        <n v="3.1012780000000002"/>
        <n v="4.0144463000000004"/>
        <n v="1.4324752000000001"/>
        <n v="1.6898679999999999"/>
        <n v="3.9790999999999999"/>
        <n v="3.6772399999999998"/>
        <n v="2.4855334999999998"/>
        <n v="7300000"/>
        <n v="43500"/>
        <n v="138.31700000000001"/>
        <n v="282.52550000000002"/>
        <n v="3.1606296"/>
        <n v="25.262"/>
        <n v="66.541899999999998"/>
        <n v="98.211399999999998"/>
        <n v="9.0706289999999995E-2"/>
        <n v="0.32296399999999997"/>
        <n v="4.4264000000000001"/>
        <n v="2.1461000000000001"/>
        <n v="4850"/>
        <n v="11.186"/>
        <n v="1.4200242000000001"/>
        <n v="1.645321"/>
        <n v="1.33711647"/>
        <n v="2.5079204000000002"/>
        <n v="1.8053564"/>
        <n v="2.8792319000000002"/>
        <n v="2.0320459999999998"/>
        <n v="3.71495"/>
        <n v="1.5407310000000001"/>
        <n v="4343.5"/>
        <n v="9.8658000000000001"/>
        <n v="1.796"/>
        <n v="4.2"/>
        <n v="10.79"/>
        <n v="9.4772499999999997"/>
        <n v="17.088999999999999"/>
        <n v="34.555999999999997"/>
        <n v="1.5108708099999999"/>
        <n v="2.4218232999999998"/>
        <n v="4.0496100000000004"/>
        <n v="6.099615"/>
        <n v="9.20669"/>
        <n v="12.35294"/>
        <n v="18.766999999999999"/>
        <n v="198.4"/>
        <n v="559.29999999999995"/>
        <n v="562"/>
        <n v="26.468"/>
        <n v="101.54"/>
        <n v="3.0300699999999998"/>
        <n v="2.4706299999999999"/>
        <n v="1.3061858099999999"/>
        <n v="3.5539499999999999"/>
        <n v="1.4822468600000001"/>
        <n v="5840"/>
        <n v="1916.25"/>
        <n v="1170"/>
        <n v="4.9269999999999996"/>
        <n v="2.5199454000000001"/>
        <n v="3.0927616000000002"/>
        <n v="2.84938"/>
        <n v="3.5857199999999998"/>
        <n v="0.92554199999999998"/>
        <n v="1.7554137000000001"/>
        <n v="7.8728800000000003"/>
        <n v="9.2897099999999995"/>
        <n v="5.7214900000000002"/>
        <n v="3.7224699999999999"/>
        <n v="4.5421687500000001"/>
        <n v="1.5487743"/>
        <n v="10.021649999999999"/>
        <n v="4.0460434999999997"/>
        <n v="2.49979"/>
        <n v="1.09142245"/>
        <n v="3.6112706000000001"/>
        <n v="1.2749254999999999"/>
        <n v="2.9776411999999999"/>
        <n v="3.3726500000000001"/>
        <n v="3.2888000000000002"/>
        <n v="4.1780619999999997"/>
        <n v="5.7481450000000001"/>
        <n v="4.3530100000000003"/>
        <n v="11.550979999999999"/>
        <n v="5.3220229999999997"/>
        <n v="7.133521"/>
        <n v="2.1764230000000002"/>
        <n v="1.4013793999999999"/>
        <n v="5.215357"/>
        <n v="3.634433"/>
        <n v="5.9242619999999997"/>
        <n v="2.2437499999999999"/>
        <n v="2.2359835000000001"/>
        <n v="3.310651"/>
        <n v="2.0528680000000001"/>
        <n v="2.2783152000000002"/>
        <n v="1.7690380999999999"/>
        <n v="4.6027300000000002"/>
        <n v="3.7521"/>
        <n v="4.5334709999999996"/>
        <n v="3.3326090000000002"/>
        <n v="3.8361689999999999"/>
        <n v="3.9516230000000001"/>
        <n v="3.6563330000000001"/>
        <n v="3.840401"/>
        <n v="3.1185999999999998"/>
        <n v="3.7684951999999998"/>
        <n v="5.4060424999999999"/>
        <n v="9.6246799999999997"/>
        <n v="1.6096884"/>
        <n v="1.7771254999999999"/>
        <n v="3.465509"/>
        <n v="2.0219596000000002"/>
        <n v="4.1536580000000001"/>
        <n v="3.73543"/>
        <n v="2.3447802200000001"/>
        <n v="5.4774330000000004"/>
        <n v="1.3866531799999999"/>
        <n v="4.2336999999999998"/>
        <n v="3.0717219999999998"/>
        <n v="0.94145000000000001"/>
        <n v="4.5195064"/>
        <n v="4.1117771000000003"/>
        <n v="0.78883899000000002"/>
        <n v="5.3677530000000004"/>
        <n v="2.1522260000000002"/>
        <n v="4.8996284000000001"/>
        <n v="4.3224819999999999"/>
        <n v="3.5326900000000001"/>
        <n v="2.9444256000000002"/>
        <n v="2.3412099999999998"/>
        <n v="3.7648299999999999"/>
        <n v="2.7566000000000002"/>
        <n v="3.40883"/>
        <n v="3.9227300000000001"/>
        <n v="1.84683"/>
        <n v="3.4059096000000002"/>
        <n v="2.7186599999999999"/>
        <n v="1.2198698299999999"/>
        <n v="4.3176800000000002"/>
        <n v="3.1615799999999998"/>
        <n v="1.53736596"/>
        <n v="3.5774689999999998"/>
        <n v="6.87188"/>
        <n v="4.0552590000000004"/>
        <n v="1.33823"/>
        <n v="3.0524"/>
        <n v="421"/>
        <n v="4.9816818999999999"/>
        <n v="0.81347499999999995"/>
        <n v="2.4238038999999998"/>
        <n v="3.12609"/>
        <n v="1.4303676299999999"/>
        <n v="4.1591288999999998"/>
        <n v="588.5"/>
        <n v="9.0307700000000004"/>
        <n v="0.78959199999999996"/>
        <n v="2.1436299999999999"/>
        <n v="2.7817400000000001"/>
        <n v="1.6284278999999999"/>
        <n v="1.9551000000000001"/>
        <n v="1.7497798"/>
        <n v="3.3098443"/>
        <n v="2840"/>
        <n v="3.6936399999999998"/>
        <n v="4.46563"/>
        <n v="4.6170999999999998"/>
        <n v="2.8389185600000002"/>
        <n v="5.0171799999999998"/>
        <n v="7.9195849999999997"/>
        <n v="3.3610099999999998"/>
        <n v="4.3049999999999997"/>
        <n v="3.8559000000000001"/>
        <n v="4.41195"/>
        <n v="4.3780799999999997"/>
        <n v="1.5732918"/>
        <n v="2.3114243000000001"/>
        <n v="4.0860500000000002"/>
        <n v="4.61442"/>
        <n v="5.0842999999999998"/>
        <n v="3.8681399999999999"/>
        <n v="4.9546416000000004"/>
        <n v="3.7130203000000002"/>
        <n v="2.90367"/>
        <n v="2.2167300000000001"/>
        <n v="4.0872200000000003"/>
        <n v="2.13775"/>
        <n v="2.4841929999999999"/>
        <n v="1.8098860000000001"/>
        <n v="1.3600300000000001"/>
        <n v="2.1751800000000001"/>
        <n v="3.6623800000000002"/>
        <n v="8.1587200000000006"/>
        <n v="4323"/>
        <n v="3.06785234"/>
        <n v="2.7164761999999998"/>
        <n v="2.7057899999999999"/>
        <n v="4.9712519999999998"/>
        <n v="8.5234865000000006"/>
        <n v="2.6556777"/>
        <n v="4.9539999999999997"/>
        <n v="3.3564227"/>
        <n v="3.9162430000000001"/>
        <n v="2.798581"/>
        <n v="2.1746742000000001"/>
        <n v="2.7325320999999998"/>
        <n v="3.9501900000000001"/>
        <n v="2.0083899999999999"/>
        <n v="2.1846700000000001"/>
        <n v="3.4252601999999999"/>
        <n v="2.0727600000000002"/>
        <n v="2.96264036"/>
        <n v="5.75251"/>
        <n v="3.3520569999999998"/>
        <n v="1.0187067999999999"/>
        <n v="4.8868999999999998"/>
        <n v="17.8719"/>
        <n v="217.21"/>
        <n v="6.0011799999999997"/>
        <n v="3.9415300000000002"/>
        <n v="2.6158617799999999"/>
        <n v="18.157"/>
        <n v="120.8"/>
        <n v="3.1915399999999998"/>
        <n v="4.1250799999999996"/>
        <n v="4.1877557999999997"/>
        <n v="3.7650006999999999"/>
        <n v="1.9687600000000001"/>
        <n v="3.0600800000000001"/>
        <n v="4.6562700000000001"/>
        <n v="380.8"/>
        <n v="628.96"/>
        <n v="605.20000000000005"/>
        <n v="7665"/>
        <n v="522.29999999999995"/>
        <n v="417.9"/>
        <n v="2502"/>
        <n v="594.9"/>
        <n v="903.3"/>
        <n v="415.2"/>
        <n v="964.6"/>
        <n v="511.09800000000001"/>
        <n v="1285"/>
        <n v="357.8"/>
        <n v="530.32000000000005"/>
        <n v="3186"/>
        <n v="277.02"/>
        <n v="187.83"/>
        <n v="1630"/>
        <n v="6.2679"/>
        <n v="3117"/>
        <n v="39.845799999999997"/>
        <n v="102.54"/>
        <n v="3.3124568000000001"/>
        <n v="162.87"/>
        <n v="636.13"/>
        <n v="20"/>
        <n v="49.41"/>
        <n v="305.5"/>
        <n v="4.6170330000000002"/>
        <n v="241.25800000000001"/>
        <n v="1276.46"/>
        <n v="136.75"/>
      </sharedItems>
    </cacheField>
    <cacheField name="st_dist" numFmtId="0">
      <sharedItems containsString="0" containsBlank="1" containsNumber="1" minValue="1.29" maxValue="8500"/>
    </cacheField>
    <cacheField name="st_age" numFmtId="0">
      <sharedItems containsString="0" containsBlank="1" containsNumber="1" minValue="1E-3" maxValue="14.9" count="333">
        <m/>
        <n v="5.0000000000000001E-3"/>
        <n v="6.92"/>
        <n v="2.7"/>
        <n v="0.12"/>
        <n v="3.5000000000000003E-2"/>
        <n v="1E-3"/>
        <n v="8.0000000000000002E-3"/>
        <n v="4.6040000000000001"/>
        <n v="9.49"/>
        <n v="7.3"/>
        <n v="0.02"/>
        <n v="4"/>
        <n v="10.199999999999999"/>
        <n v="8.9600000000000009"/>
        <n v="3.56"/>
        <n v="0.03"/>
        <n v="5.2"/>
        <n v="7.41"/>
        <n v="7.1"/>
        <n v="2.34"/>
        <n v="4.4000000000000004"/>
        <n v="2E-3"/>
        <n v="3"/>
        <n v="2"/>
        <n v="6.3"/>
        <n v="1.635"/>
        <n v="4.2"/>
        <n v="6.73"/>
        <n v="10.7"/>
        <n v="5"/>
        <n v="4.0999999999999996"/>
        <n v="3.3"/>
        <n v="7.2"/>
        <n v="11"/>
        <n v="4.5"/>
        <n v="8.6"/>
        <n v="4.21"/>
        <n v="12"/>
        <n v="2.2000000000000002"/>
        <n v="1"/>
        <n v="6.9"/>
        <n v="6"/>
        <n v="3.02"/>
        <n v="3.8"/>
        <n v="0.16"/>
        <n v="0.55000000000000004"/>
        <n v="0.1"/>
        <n v="6.5"/>
        <n v="2.5"/>
        <n v="12.4"/>
        <n v="8.8000000000000007"/>
        <n v="1.44"/>
        <n v="6.7"/>
        <n v="6.1"/>
        <n v="5.7"/>
        <n v="7.5"/>
        <n v="3.37"/>
        <n v="8.1999999999999993"/>
        <n v="9.4"/>
        <n v="4.67"/>
        <n v="3.9"/>
        <n v="5.46"/>
        <n v="4.66"/>
        <n v="1.24"/>
        <n v="4.9000000000000004"/>
        <n v="9.5"/>
        <n v="2.1"/>
        <n v="9.6999999999999993"/>
        <n v="0.88"/>
        <n v="4.04"/>
        <n v="2.2999999999999998"/>
        <n v="6.2"/>
        <n v="5.5"/>
        <n v="3.2"/>
        <n v="4.3"/>
        <n v="3.5"/>
        <n v="7.7"/>
        <n v="2.13"/>
        <n v="2.06"/>
        <n v="2.0699999999999998"/>
        <n v="1.34"/>
        <n v="3.26"/>
        <n v="1.52"/>
        <n v="3.6"/>
        <n v="1.2"/>
        <n v="4.74"/>
        <n v="9"/>
        <n v="8.1"/>
        <n v="7.55"/>
        <n v="8.9"/>
        <n v="9.5500000000000007"/>
        <n v="10.3"/>
        <n v="1.861"/>
        <n v="1.78"/>
        <n v="2.17"/>
        <n v="0.51"/>
        <n v="8"/>
        <n v="7.8"/>
        <n v="0.81"/>
        <n v="5.0999999999999996"/>
        <n v="1.05"/>
        <n v="1.4"/>
        <n v="11.7"/>
        <n v="1.2999999999999999E-2"/>
        <n v="0.95"/>
        <n v="1.41"/>
        <n v="1.9"/>
        <n v="0.15"/>
        <n v="3.24"/>
        <n v="6.8"/>
        <n v="1.77"/>
        <n v="0.96"/>
        <n v="10"/>
        <n v="2.31"/>
        <n v="0.76"/>
        <n v="2.9"/>
        <n v="3.07"/>
        <n v="4.51"/>
        <n v="0.69"/>
        <n v="6.36"/>
        <n v="0.3"/>
        <n v="2.41"/>
        <n v="8.66"/>
        <n v="4.28"/>
        <n v="1.6"/>
        <n v="1.25"/>
        <n v="4.3600000000000003"/>
        <n v="6.4"/>
        <n v="2.3199999999999998"/>
        <n v="1.76"/>
        <n v="2.8"/>
        <n v="7.56"/>
        <n v="10.32"/>
        <n v="8.4"/>
        <n v="6.99"/>
        <n v="6.32"/>
        <n v="7.81"/>
        <n v="3.12"/>
        <n v="1.32"/>
        <n v="1.7"/>
        <n v="0.22"/>
        <n v="5.22"/>
        <n v="2.84"/>
        <n v="1.36"/>
        <n v="5.76"/>
        <n v="4.34"/>
        <n v="5.8"/>
        <n v="7.6"/>
        <n v="7.59"/>
        <n v="5.69"/>
        <n v="1.3"/>
        <n v="4.12"/>
        <n v="4.8"/>
        <n v="3.43"/>
        <n v="2.4"/>
        <n v="7.4"/>
        <n v="5.83"/>
        <n v="4.99"/>
        <n v="3.63"/>
        <n v="5.65"/>
        <n v="2.98"/>
        <n v="1.35"/>
        <n v="2.39"/>
        <n v="1.61"/>
        <n v="10.15"/>
        <n v="2.16"/>
        <n v="2.64"/>
        <n v="1.73"/>
        <n v="0.98"/>
        <n v="6.84"/>
        <n v="1.45"/>
        <n v="7"/>
        <n v="0.10199999999999999"/>
        <n v="2.71"/>
        <n v="3.61"/>
        <n v="1.5"/>
        <n v="2.2400000000000002"/>
        <n v="7.53"/>
        <n v="2.5499999999999998"/>
        <n v="7.75"/>
        <n v="1.7000000000000001E-2"/>
        <n v="2.42"/>
        <n v="7.39"/>
        <n v="5.84"/>
        <n v="1.4E-2"/>
        <n v="3.1"/>
        <n v="0.6"/>
        <n v="1.1399999999999999"/>
        <n v="0.79"/>
        <n v="10.77"/>
        <n v="8.5"/>
        <n v="1.43"/>
        <n v="0.36"/>
        <n v="5.63"/>
        <n v="2.6"/>
        <n v="3.72"/>
        <n v="7.9"/>
        <n v="8.9999999999999993E-3"/>
        <n v="0.85"/>
        <n v="5.1100000000000003"/>
        <n v="0.65"/>
        <n v="4.4400000000000004"/>
        <n v="9.3000000000000007"/>
        <n v="3.16"/>
        <n v="6.46"/>
        <n v="1.26"/>
        <n v="4.68"/>
        <n v="4.07"/>
        <n v="7.76"/>
        <n v="6.17"/>
        <n v="4.2699999999999996"/>
        <n v="4.17"/>
        <n v="6.76"/>
        <n v="5.9"/>
        <n v="4.79"/>
        <n v="4.47"/>
        <n v="1.58"/>
        <n v="3.89"/>
        <n v="2.95"/>
        <n v="3.55"/>
        <n v="5.25"/>
        <n v="3.31"/>
        <n v="4.57"/>
        <n v="4.37"/>
        <n v="3.39"/>
        <n v="1.86"/>
        <n v="5.01"/>
        <n v="5.13"/>
        <n v="3.98"/>
        <n v="1.74"/>
        <n v="3.09"/>
        <n v="2.82"/>
        <n v="5.37"/>
        <n v="4.83"/>
        <n v="2.14"/>
        <n v="2.4500000000000002"/>
        <n v="2.75"/>
        <n v="2.88"/>
        <n v="6.61"/>
        <n v="5.75"/>
        <n v="5.73"/>
        <n v="3.47"/>
        <n v="2.69"/>
        <n v="2.04"/>
        <n v="8.7100000000000009"/>
        <n v="2.09"/>
        <n v="1.1200000000000001"/>
        <n v="6.89"/>
        <n v="2.29"/>
        <n v="1.38"/>
        <n v="5.3"/>
        <n v="1.55"/>
        <n v="1.62"/>
        <n v="5.62"/>
        <n v="1.51"/>
        <n v="7.08"/>
        <n v="2.5099999999999998"/>
        <n v="2.57"/>
        <n v="3.66"/>
        <n v="6.03"/>
        <n v="12.3"/>
        <n v="1.82"/>
        <n v="1.66"/>
        <n v="1.91"/>
        <n v="6.31"/>
        <n v="2.63"/>
        <n v="1.95"/>
        <n v="3.7"/>
        <n v="1.48"/>
        <n v="2.19"/>
        <n v="8.51"/>
        <n v="2.56"/>
        <n v="3.03"/>
        <n v="7.47"/>
        <n v="6.68"/>
        <n v="2.76"/>
        <n v="2.67"/>
        <n v="2.25"/>
        <n v="11.23"/>
        <n v="0.5"/>
        <n v="2.4900000000000002"/>
        <n v="8.1300000000000008"/>
        <n v="3.14"/>
        <n v="10.47"/>
        <n v="7.94"/>
        <n v="5.89"/>
        <n v="0.21"/>
        <n v="11.75"/>
        <n v="12.02"/>
        <n v="0.8"/>
        <n v="9.1199999999999992"/>
        <n v="3.44"/>
        <n v="8.32"/>
        <n v="8.42"/>
        <n v="2.79"/>
        <n v="1.47"/>
        <n v="12.5"/>
        <n v="0.57799999999999996"/>
        <n v="0.31"/>
        <n v="0.17"/>
        <n v="0.53"/>
        <n v="1.69"/>
        <n v="8.3000000000000007"/>
        <n v="3.0000000000000001E-3"/>
        <n v="10.1"/>
        <n v="0.22500000000000001"/>
        <n v="3.4"/>
        <n v="1.17"/>
        <n v="11.41"/>
        <n v="3.62"/>
        <n v="8.4700000000000006"/>
        <n v="1.93"/>
        <n v="9.75"/>
        <n v="12.97"/>
        <n v="4.08"/>
        <n v="4.7699999999999996"/>
        <n v="1.29"/>
        <n v="3.96"/>
        <n v="1.79"/>
        <n v="6.78"/>
        <n v="1.65"/>
        <n v="14.9"/>
        <n v="5.6"/>
        <n v="9.6"/>
        <n v="5.4"/>
        <n v="0.4"/>
        <n v="0.7"/>
        <n v="1.88"/>
        <n v="6.6"/>
        <n v="1.85"/>
        <n v="3.35"/>
        <n v="1.22"/>
      </sharedItems>
    </cacheField>
    <cacheField name="pl_masse" numFmtId="0">
      <sharedItems containsString="0" containsBlank="1" containsNumber="1" minValue="0.02" maxValue="9534.9" count="703">
        <m/>
        <n v="3000"/>
        <n v="7786.5"/>
        <n v="4417.8370000000004"/>
        <n v="2383.6"/>
        <n v="1271"/>
        <n v="603.87699999999995"/>
        <n v="6657.48"/>
        <n v="3972.875"/>
        <n v="635.66"/>
        <n v="263.9785"/>
        <n v="54.473799999999997"/>
        <n v="1232.4929999999999"/>
        <n v="8.08"/>
        <n v="44.811999999999998"/>
        <n v="4290.5"/>
        <n v="22.248100000000001"/>
        <n v="3337.1"/>
        <n v="3994.4859999999999"/>
        <n v="5403"/>
        <n v="327.35000000000002"/>
        <n v="874"/>
        <n v="740.51"/>
        <n v="291.43799999999999"/>
        <n v="415.70400000000001"/>
        <n v="2415.4"/>
        <n v="170.03200000000001"/>
        <n v="772.29"/>
        <n v="1102.82"/>
        <n v="352.78"/>
        <n v="1366.6690000000001"/>
        <n v="718.29579999999999"/>
        <n v="12.2"/>
        <n v="889.9"/>
        <n v="5.7"/>
        <n v="28"/>
        <n v="85.81"/>
        <n v="165.26"/>
        <n v="3302.11"/>
        <n v="153.82972000000001"/>
        <n v="270.15550000000002"/>
        <n v="6883.91"/>
        <n v="228.83"/>
        <n v="148.41999999999999"/>
        <n v="940.74"/>
        <n v="3.1783000000000001"/>
        <n v="8.4"/>
        <n v="69.92"/>
        <n v="266.97719999999998"/>
        <n v="47.674500000000002"/>
        <n v="9057.77"/>
        <n v="3496"/>
        <n v="953.49"/>
        <n v="5085.28"/>
        <n v="1.66"/>
        <n v="6.2612500000000004"/>
        <n v="22.7"/>
        <n v="794.5"/>
        <n v="13.9"/>
        <n v="22.1"/>
        <n v="1271.3"/>
        <n v="723.22349999999994"/>
        <n v="226.9846"/>
        <n v="6.83"/>
        <n v="14.6"/>
        <n v="3.42"/>
        <n v="2.42"/>
        <n v="5.2"/>
        <n v="6356"/>
        <n v="5000"/>
        <n v="3591.3"/>
        <n v="166.86075"/>
        <n v="67.058999999999997"/>
        <n v="270.46199999999999"/>
        <n v="1093.3352"/>
        <n v="616.59019999999998"/>
        <n v="1332.605"/>
        <n v="184.34139999999999"/>
        <n v="62.61"/>
        <n v="92.802000000000007"/>
        <n v="2302.8989999999999"/>
        <n v="1547.8321000000001"/>
        <n v="785.04010000000005"/>
        <n v="425.8922"/>
        <n v="238.3725"/>
        <n v="180.84527"/>
        <n v="197.05"/>
        <n v="198.953"/>
        <n v="279.69040000000001"/>
        <n v="206.58949999999999"/>
        <n v="263.7989"/>
        <n v="721.47410000000002"/>
        <n v="292.40359999999998"/>
        <n v="2227.9883"/>
        <n v="2390.0816"/>
        <n v="486.2799"/>
        <n v="371.52800000000002"/>
        <n v="84.856999999999999"/>
        <n v="190.37200000000001"/>
        <n v="213.255"/>
        <n v="152.55840000000001"/>
        <n v="378.21769999999998"/>
        <n v="331.80099999999999"/>
        <n v="210.39500000000001"/>
        <n v="111.871"/>
        <n v="283.49200000000002"/>
        <n v="156.684"/>
        <n v="699.226"/>
        <n v="311.47340000000003"/>
        <n v="429.07049999999998"/>
        <n v="98.209469999999996"/>
        <n v="259.98493999999999"/>
        <n v="471.65971999999999"/>
        <n v="241.55080000000001"/>
        <n v="184.97705999999999"/>
        <n v="734.18730000000005"/>
        <n v="448.14030000000002"/>
        <n v="419.53559999999999"/>
        <n v="167.49641"/>
        <n v="248.86089000000001"/>
        <n v="108.0622"/>
        <n v="584.80719999999997"/>
        <n v="406.82240000000002"/>
        <n v="247.9"/>
        <n v="589.54999999999995"/>
        <n v="167.17858000000001"/>
        <n v="172.58169000000001"/>
        <n v="340.39593000000002"/>
        <n v="689.69110000000001"/>
        <n v="1039.3041000000001"/>
        <n v="425.25653999999997"/>
        <n v="629.30340000000001"/>
        <n v="427.46300000000002"/>
        <n v="870.85419999999999"/>
        <n v="467.21010000000001"/>
        <n v="775.50519999999995"/>
        <n v="194.82979"/>
        <n v="168.44990000000001"/>
        <n v="213.58176"/>
        <n v="207.54299"/>
        <n v="340.38200000000001"/>
        <n v="224.38798"/>
        <n v="378.85336000000001"/>
        <n v="299.07803000000001"/>
        <n v="388.38826"/>
        <n v="200.2329"/>
        <n v="420.471"/>
        <n v="505.34969999999998"/>
        <n v="3082.951"/>
        <n v="597.5204"/>
        <n v="82.953630000000004"/>
        <n v="177.98480000000001"/>
        <n v="222.48099999999999"/>
        <n v="54.984589999999997"/>
        <n v="75.322999999999993"/>
        <n v="123.9537"/>
        <n v="244.09343999999999"/>
        <n v="711.93920000000003"/>
        <n v="189.10884999999999"/>
        <n v="256.17097999999999"/>
        <n v="101.38777"/>
        <n v="210.40346"/>
        <n v="1080.6220000000001"/>
        <n v="56.891570000000002"/>
        <n v="305.11680000000001"/>
        <n v="260.93842999999998"/>
        <n v="1694.0338999999999"/>
        <n v="460.8535"/>
        <n v="410.00069999999999"/>
        <n v="183.38791000000001"/>
        <n v="38.139600000000002"/>
        <n v="4100.0069999999996"/>
        <n v="43.86054"/>
        <n v="24.5"/>
        <n v="1204.2578699999999"/>
        <n v="131.89945"/>
        <n v="120.7754"/>
        <n v="7.51"/>
        <n v="8.11"/>
        <n v="1115.5833"/>
        <n v="359.14789999999999"/>
        <n v="5689.1570000000002"/>
        <n v="634.38868000000002"/>
        <n v="592.43511999999998"/>
        <n v="323.23311000000001"/>
        <n v="7656.0969999999998"/>
        <n v="232.01589999999999"/>
        <n v="3.7"/>
        <n v="4.74"/>
        <n v="4.3600000000000003"/>
        <n v="16.170000000000002"/>
        <n v="7.3"/>
        <n v="16.600000000000001"/>
        <n v="60.5"/>
        <n v="17.920000000000002"/>
        <n v="17.18"/>
        <n v="1392.0953999999999"/>
        <n v="534.25"/>
        <n v="622.60299999999995"/>
        <n v="34.961300000000001"/>
        <n v="1589"/>
        <n v="9.5349000000000004"/>
        <n v="12.713200000000001"/>
        <n v="2860.47"/>
        <n v="7300"/>
        <n v="6991.57"/>
        <n v="9534.9"/>
        <n v="2000"/>
        <n v="27"/>
        <n v="8.6"/>
        <n v="155.73670000000001"/>
        <n v="158.91499999999999"/>
        <n v="5.08"/>
        <n v="7.4"/>
        <n v="8.92"/>
        <n v="8"/>
        <n v="444.96199999999999"/>
        <n v="126.49634"/>
        <n v="392.83787999999998"/>
        <n v="273.3338"/>
        <n v="19"/>
        <n v="15.4"/>
        <n v="451.3186"/>
        <n v="70.876090000000005"/>
        <n v="14.8"/>
        <n v="6.54"/>
        <n v="11.3"/>
        <n v="0.28999999999999998"/>
        <n v="9.4"/>
        <n v="8.3000000000000007"/>
        <n v="30.9"/>
        <n v="9.68"/>
        <n v="15.68"/>
        <n v="6.5"/>
        <n v="10.7"/>
        <n v="100.11645"/>
        <n v="10.9"/>
        <n v="246.00041999999999"/>
        <n v="6.49"/>
        <n v="106.47305"/>
        <n v="184.02357000000001"/>
        <n v="563.83042"/>
        <n v="16.5"/>
        <n v="12.1"/>
        <n v="10.3"/>
        <n v="1175.971"/>
        <n v="19.069800000000001"/>
        <n v="9.9"/>
        <n v="28.604700000000001"/>
        <n v="135.39558"/>
        <n v="21.3"/>
        <n v="8654.15"/>
        <n v="215.80656999999999"/>
        <n v="54.348930000000003"/>
        <n v="301.93849999999998"/>
        <n v="408.09372000000002"/>
        <n v="416.35730000000001"/>
        <n v="874.03250000000003"/>
        <n v="375.0394"/>
        <n v="1293.5681"/>
        <n v="540.31100000000004"/>
        <n v="1074.9010599999999"/>
        <n v="1242.7153000000001"/>
        <n v="286.68266"/>
        <n v="165.27160000000001"/>
        <n v="441.78370000000001"/>
        <n v="209.76779999999999"/>
        <n v="915.35040000000004"/>
        <n v="1043.43589"/>
        <n v="2224.81"/>
        <n v="1452.4830999999999"/>
        <n v="4923.1867000000002"/>
        <n v="225.6593"/>
        <n v="1690.8556000000001"/>
        <n v="460.83"/>
        <n v="2949.4623999999999"/>
        <n v="8.6999999999999993"/>
        <n v="198.8"/>
        <n v="4.5999999999999996"/>
        <n v="9"/>
        <n v="613.41189999999995"/>
        <n v="0.44"/>
        <n v="0.65500000000000003"/>
        <n v="10.5"/>
        <n v="15.6"/>
        <n v="106"/>
        <n v="35"/>
        <n v="346.43470000000002"/>
        <n v="4.60853"/>
        <n v="17.2"/>
        <n v="7.34"/>
        <n v="7.05"/>
        <n v="3"/>
        <n v="51.1"/>
        <n v="3.78"/>
        <n v="4.3"/>
        <n v="3.8"/>
        <n v="8.93"/>
        <n v="9.6999999999999993"/>
        <n v="36.1"/>
        <n v="5.3"/>
        <n v="10.44"/>
        <n v="8.1"/>
        <n v="11.17"/>
        <n v="21.8"/>
        <n v="1.9"/>
        <n v="2.9"/>
        <n v="2"/>
        <n v="25"/>
        <n v="11.7"/>
        <n v="2.8"/>
        <n v="3.9"/>
        <n v="29.875"/>
        <n v="584.78"/>
        <n v="137.30256"/>
        <n v="36"/>
        <n v="30.7"/>
        <n v="33.299999999999997"/>
        <n v="16.13"/>
        <n v="8.25"/>
        <n v="6.6000000000000003E-2"/>
        <n v="1.97"/>
        <n v="0.64"/>
        <n v="2669.66"/>
        <n v="37.1"/>
        <n v="79.400000000000006"/>
        <n v="209.76"/>
        <n v="105.833"/>
        <n v="483"/>
        <n v="5"/>
        <n v="48.6"/>
        <n v="1868.8404"/>
        <n v="778.65"/>
        <n v="7.5"/>
        <n v="6.9"/>
        <n v="17.3"/>
        <n v="16.399999999999999"/>
        <n v="13.1"/>
        <n v="22.5"/>
        <n v="12.75"/>
        <n v="10.07"/>
        <n v="5.0999999999999996"/>
        <n v="4.8"/>
        <n v="254.3"/>
        <n v="858.1"/>
        <n v="169.7"/>
        <n v="13.5"/>
        <n v="508.5"/>
        <n v="9.6"/>
        <n v="24.6"/>
        <n v="89.9"/>
        <n v="5.12"/>
        <n v="6.2"/>
        <n v="2895.31"/>
        <n v="4385.87"/>
        <n v="16.3"/>
        <n v="87.3"/>
        <n v="64.2"/>
        <n v="49.4"/>
        <n v="37.5"/>
        <n v="479.9"/>
        <n v="432.23"/>
        <n v="61"/>
        <n v="56.2"/>
        <n v="132"/>
        <n v="4"/>
        <n v="4.51"/>
        <n v="640"/>
        <n v="23.1"/>
        <n v="6"/>
        <n v="7.44"/>
        <n v="3.64"/>
        <n v="1493.7"/>
        <n v="2161.2440000000001"/>
        <n v="1303"/>
        <n v="158.9"/>
        <n v="28.5"/>
        <n v="39.4"/>
        <n v="8.5"/>
        <n v="40.363"/>
        <n v="6.1"/>
        <n v="14.9"/>
        <n v="4.45"/>
        <n v="12"/>
        <n v="122"/>
        <n v="6388.1"/>
        <n v="75.5"/>
        <n v="17.899999999999999"/>
        <n v="24.472000000000001"/>
        <n v="699.2"/>
        <n v="6.35"/>
        <n v="2.71"/>
        <n v="3.2"/>
        <n v="4000"/>
        <n v="22"/>
        <n v="177.98"/>
        <n v="67"/>
        <n v="3.5"/>
        <n v="29.9"/>
        <n v="119.9"/>
        <n v="58.2"/>
        <n v="11"/>
        <n v="349.6"/>
        <n v="2320.1"/>
        <n v="136.66"/>
        <n v="189.101"/>
        <n v="79.45"/>
        <n v="108.06"/>
        <n v="92.17"/>
        <n v="403.63"/>
        <n v="1026.5908999999999"/>
        <n v="1719.4603"/>
        <n v="896.24"/>
        <n v="908.96"/>
        <n v="266.97000000000003"/>
        <n v="317.82"/>
        <n v="435.41"/>
        <n v="160.49700000000001"/>
        <n v="16"/>
        <n v="6.3566000000000003"/>
        <n v="1907"/>
        <n v="119.499"/>
        <n v="2.0699999999999998"/>
        <n v="3.17"/>
        <n v="19.02"/>
        <n v="3.94"/>
        <n v="14.61"/>
        <n v="7.93"/>
        <n v="657"/>
        <n v="311.45999999999998"/>
        <n v="670.93912999999998"/>
        <n v="2.1"/>
        <n v="7.6"/>
        <n v="2765"/>
        <n v="3308.41"/>
        <n v="5851"/>
        <n v="5002.43"/>
        <n v="308.29509999999999"/>
        <n v="762.79200000000003"/>
        <n v="292.39"/>
        <n v="117.59"/>
        <n v="473.55"/>
        <n v="181"/>
        <n v="5994.02"/>
        <n v="2208.83"/>
        <n v="441.77"/>
        <n v="696.02"/>
        <n v="651.52"/>
        <n v="212.31044"/>
        <n v="4.1900000000000004"/>
        <n v="3.85"/>
        <n v="4.16"/>
        <n v="14"/>
        <n v="120"/>
        <n v="7.2"/>
        <n v="267"/>
        <n v="140.16302999999999"/>
        <n v="200.22"/>
        <n v="3209.9"/>
        <n v="638.8383"/>
        <n v="136.661"/>
        <n v="5.9"/>
        <n v="4.0999999999999996"/>
        <n v="187.5197"/>
        <n v="6.93"/>
        <n v="6.74"/>
        <n v="6.75"/>
        <n v="4.13"/>
        <n v="324.2"/>
        <n v="6.4"/>
        <n v="80.09"/>
        <n v="54.347000000000001"/>
        <n v="257.44229999999999"/>
        <n v="64.3"/>
        <n v="954"/>
        <n v="10.84"/>
        <n v="3126"/>
        <n v="13"/>
        <n v="8.4600000000000009"/>
        <n v="3.51"/>
        <n v="344"/>
        <n v="3.55"/>
        <n v="6.15"/>
        <n v="6.98"/>
        <n v="1.81"/>
        <n v="257.43099999999998"/>
        <n v="3.3"/>
        <n v="263.79000000000002"/>
        <n v="23.4"/>
        <n v="10.4"/>
        <n v="50"/>
        <n v="813.64480000000003"/>
        <n v="171.62819999999999"/>
        <n v="9.1999999999999993"/>
        <n v="85.814099999999996"/>
        <n v="476.7"/>
        <n v="30"/>
        <n v="18"/>
        <n v="1525.5"/>
        <n v="3686.7"/>
        <n v="2669.7719999999999"/>
        <n v="6.7"/>
        <n v="33.700000000000003"/>
        <n v="889.92399999999998"/>
        <n v="197.05459999999999"/>
        <n v="1175.9000000000001"/>
        <n v="7532.5709999999999"/>
        <n v="258.07796000000002"/>
        <n v="235.1942"/>
        <n v="756.43539999999996"/>
        <n v="20.6"/>
        <n v="72.783069999999995"/>
        <n v="2329.6"/>
        <n v="731"/>
        <n v="826.35799999999995"/>
        <n v="1207.7"/>
        <n v="14.1"/>
        <n v="5.5"/>
        <n v="231"/>
        <n v="86"/>
        <n v="80"/>
        <n v="20"/>
        <n v="56.6"/>
        <n v="1462"/>
        <n v="60.387700000000002"/>
        <n v="168.44"/>
        <n v="279.68"/>
        <n v="46.085349999999998"/>
        <n v="587.96"/>
        <n v="867.64"/>
        <n v="123"/>
        <n v="149.3801"/>
        <n v="92.170699999999997"/>
        <n v="2.3199999999999998"/>
        <n v="203.41120000000001"/>
        <n v="858.14099999999996"/>
        <n v="162.09"/>
        <n v="982.09469999999999"/>
        <n v="55.3"/>
        <n v="83.7"/>
        <n v="228.83760000000001"/>
        <n v="21"/>
        <n v="1303.1030000000001"/>
        <n v="1328.5293999999999"/>
        <n v="4252.5654000000004"/>
        <n v="1.43"/>
        <n v="3.2690000000000001"/>
        <n v="127.44983000000001"/>
        <n v="4.4496200000000004"/>
        <n v="197.04599999999999"/>
        <n v="400.44900000000001"/>
        <n v="375.02"/>
        <n v="320.995"/>
        <n v="327.351"/>
        <n v="1430.175"/>
        <n v="4449.62"/>
        <n v="2542.64"/>
        <n v="169"/>
        <n v="734.16"/>
        <n v="0.02"/>
        <n v="794.57500000000005"/>
        <n v="382.8"/>
        <n v="411.27202"/>
        <n v="233.92287999999999"/>
        <n v="792.63499999999999"/>
        <n v="1369.8472999999999"/>
        <n v="1938.7629999999999"/>
        <n v="1373.0255999999999"/>
        <n v="117.91493"/>
        <n v="5085"/>
        <n v="2860"/>
        <n v="1997.59"/>
        <n v="4131.62"/>
        <n v="3082.82"/>
        <n v="1722.6386"/>
        <n v="200"/>
        <n v="0.85"/>
        <n v="1.38"/>
        <n v="0.41"/>
        <n v="0.62"/>
        <n v="0.68"/>
        <n v="1.34"/>
        <n v="473.56670000000003"/>
        <n v="607.03"/>
        <n v="247.9074"/>
        <n v="568.91570000000002"/>
        <n v="2002.2"/>
        <n v="2447.1999999999998"/>
        <n v="3559.6959999999999"/>
        <n v="271.41500000000002"/>
        <n v="1001.12"/>
        <n v="400.4658"/>
        <n v="162.0933"/>
        <n v="473.54700000000003"/>
        <n v="404.26299999999998"/>
        <n v="572.09400000000005"/>
        <n v="514.88459999999998"/>
        <n v="251.0857"/>
        <n v="150.96924999999999"/>
        <n v="562.24126999999999"/>
        <n v="95.349000000000004"/>
        <n v="163.36462"/>
        <n v="390.93090000000001"/>
        <n v="1541.4755"/>
        <n v="375.99288999999999"/>
        <n v="285.72917000000001"/>
        <n v="190.69800000000001"/>
        <n v="88.992400000000004"/>
        <n v="57.209400000000002"/>
        <n v="317.83"/>
        <n v="114.4188"/>
        <n v="130.31030000000001"/>
        <n v="368.68279999999999"/>
        <n v="479.92329999999998"/>
        <n v="387.75259999999997"/>
        <n v="37.186109999999999"/>
        <n v="2809.6172000000001"/>
        <n v="854.96270000000004"/>
        <n v="139.84520000000001"/>
        <n v="282.86869999999999"/>
        <n v="87.40325"/>
        <n v="98.527299999999997"/>
        <n v="40.68224"/>
        <n v="886.74570000000006"/>
        <n v="174.8065"/>
        <n v="394.10919999999999"/>
        <n v="88.356740000000002"/>
        <n v="791.39670000000001"/>
        <n v="1652.7159999999999"/>
        <n v="594.34209999999996"/>
        <n v="676.97789999999998"/>
        <n v="209.13213999999999"/>
        <n v="133.48859999999999"/>
        <n v="508.52800000000002"/>
        <n v="1172.7927"/>
        <n v="413.17899999999997"/>
        <n v="161.45764"/>
        <n v="3635.9751999999999"/>
        <n v="95.031170000000003"/>
        <n v="159.55065999999999"/>
        <n v="339.76026999999999"/>
        <n v="290.80200000000002"/>
        <n v="98.840999999999994"/>
        <n v="95.344999999999999"/>
        <n v="212.9461"/>
        <n v="280.95"/>
        <n v="288.26"/>
        <n v="73.100899999999996"/>
        <n v="772.32690000000002"/>
        <n v="151.916"/>
        <n v="835.89290000000005"/>
        <n v="371.86110000000002"/>
        <n v="750.39662999999996"/>
        <n v="572.07000000000005"/>
        <n v="88.989000000000004"/>
        <n v="565.71400000000006"/>
        <n v="282.53899999999999"/>
        <n v="330.54320000000001"/>
        <n v="607.05529999999999"/>
        <n v="363.1"/>
        <n v="254.26400000000001"/>
        <n v="117.5971"/>
        <n v="502.15"/>
        <n v="524.41949999999997"/>
        <n v="146.19999999999999"/>
        <n v="677.61356000000001"/>
        <n v="193.87629999999999"/>
        <n v="143.02350000000001"/>
        <n v="204.68252000000001"/>
        <n v="274.27600000000001"/>
        <n v="851.78440000000001"/>
        <n v="403.94499999999999"/>
        <n v="492.62"/>
        <n v="746.90049999999997"/>
        <n v="136.6669"/>
        <n v="343.25639999999999"/>
        <n v="187.512"/>
        <n v="731.00900000000001"/>
        <n v="908.99379999999996"/>
        <n v="340.06"/>
        <n v="727.83069999999998"/>
        <n v="352.79129999999998"/>
        <n v="807.28819999999996"/>
        <n v="170.99253999999999"/>
        <n v="231.69807"/>
        <n v="220.565"/>
        <n v="402.05495000000002"/>
        <n v="1875.1969999999999"/>
        <n v="255.85315"/>
        <n v="457.67520000000002"/>
        <n v="152.55000000000001"/>
        <n v="432.24880000000002"/>
        <n v="293.03926000000001"/>
        <n v="6992"/>
        <n v="1274.44"/>
        <n v="355.96960000000001"/>
        <n v="179.89178000000001"/>
        <n v="2316.9807000000001"/>
        <n v="378.2"/>
        <n v="1398.452"/>
        <n v="492.63650000000001"/>
        <n v="4327.3599999999997"/>
        <n v="4.82"/>
      </sharedItems>
    </cacheField>
    <cacheField name="pl_rade" numFmtId="0">
      <sharedItems containsString="0" containsBlank="1" containsNumber="1" minValue="0.33600000000000002" maxValue="77.341999999999999" count="941">
        <m/>
        <n v="16.140999999999998"/>
        <n v="10.31"/>
        <n v="1.91"/>
        <n v="2.5779999999999998"/>
        <n v="24.66"/>
        <n v="16.7"/>
        <n v="10.87"/>
        <n v="16.03"/>
        <n v="16.14"/>
        <n v="9.92"/>
        <n v="12.22"/>
        <n v="13.11"/>
        <n v="11.43"/>
        <n v="14.68"/>
        <n v="14.46"/>
        <n v="16.431999999999999"/>
        <n v="14.571999999999999"/>
        <n v="4.88"/>
        <n v="11.77"/>
        <n v="3.7"/>
        <n v="5"/>
        <n v="12.11"/>
        <n v="14.12"/>
        <n v="11.287000000000001"/>
        <n v="10.705"/>
        <n v="10.087999999999999"/>
        <n v="11.32"/>
        <n v="13.34"/>
        <n v="15.558"/>
        <n v="13.068"/>
        <n v="1.681"/>
        <n v="6.39"/>
        <n v="11.949"/>
        <n v="6.3890000000000002"/>
        <n v="1.98"/>
        <n v="5.76"/>
        <n v="1.82"/>
        <n v="2.73"/>
        <n v="11.781000000000001"/>
        <n v="2.847"/>
        <n v="2.61"/>
        <n v="4.57"/>
        <n v="4.17"/>
        <n v="1.62"/>
        <n v="1.2689999999999999"/>
        <n v="2.0699999999999998"/>
        <n v="33.6"/>
        <n v="14.179"/>
        <n v="14.785"/>
        <n v="4.3600000000000003"/>
        <n v="10.749000000000001"/>
        <n v="14.257999999999999"/>
        <n v="15.917"/>
        <n v="11.882"/>
        <n v="14.448"/>
        <n v="11.769"/>
        <n v="11.153"/>
        <n v="12.689"/>
        <n v="9.718"/>
        <n v="12.442"/>
        <n v="12.89"/>
        <n v="12.218"/>
        <n v="12.722"/>
        <n v="7.0620000000000003"/>
        <n v="13.585000000000001"/>
        <n v="13.115"/>
        <n v="10.536"/>
        <n v="19.616"/>
        <n v="20.736999999999998"/>
        <n v="15.132"/>
        <n v="39.792000000000002"/>
        <n v="13.204000000000001"/>
        <n v="9.2469999999999999"/>
        <n v="17.609000000000002"/>
        <n v="14.28"/>
        <n v="17.038"/>
        <n v="22.978000000000002"/>
        <n v="14.348000000000001"/>
        <n v="14.359"/>
        <n v="13.922000000000001"/>
        <n v="15.984"/>
        <n v="14.391999999999999"/>
        <n v="17.821999999999999"/>
        <n v="13.563000000000001"/>
        <n v="14.436999999999999"/>
        <n v="14.493"/>
        <n v="11.31"/>
        <n v="14.773"/>
        <n v="10.581"/>
        <n v="13.249000000000001"/>
        <n v="16.925999999999998"/>
        <n v="19.504000000000001"/>
        <n v="16.588999999999999"/>
        <n v="21.184999999999999"/>
        <n v="23.370999999999999"/>
        <n v="15.693"/>
        <n v="15.69"/>
        <n v="14.593999999999999"/>
        <n v="10.862"/>
        <n v="18.03"/>
        <n v="7.76"/>
        <n v="11.646000000000001"/>
        <n v="12.385999999999999"/>
        <n v="8.7089999999999996"/>
        <n v="14.986000000000001"/>
        <n v="13.092000000000001"/>
        <n v="10.682"/>
        <n v="20.849"/>
        <n v="16.667999999999999"/>
        <n v="14.122999999999999"/>
        <n v="16.814"/>
        <n v="13.384"/>
        <n v="14.022"/>
        <n v="15.48"/>
        <n v="13.170999999999999"/>
        <n v="18.382999999999999"/>
        <n v="14"/>
        <n v="13.787000000000001"/>
        <n v="16.029"/>
        <n v="16.41"/>
        <n v="12.92"/>
        <n v="17.597999999999999"/>
        <n v="11.433"/>
        <n v="17.71"/>
        <n v="14.907999999999999"/>
        <n v="13.227"/>
        <n v="11.96"/>
        <n v="14.414999999999999"/>
        <n v="10.122"/>
        <n v="10.223000000000001"/>
        <n v="12.666"/>
        <n v="15.805"/>
        <n v="15.491"/>
        <n v="15.02"/>
        <n v="12.621"/>
        <n v="11.186999999999999"/>
        <n v="12.923999999999999"/>
        <n v="13.395"/>
        <n v="11.824999999999999"/>
        <n v="13.529"/>
        <n v="18.82"/>
        <n v="16.824999999999999"/>
        <n v="15.816000000000001"/>
        <n v="18.887"/>
        <n v="13.808999999999999"/>
        <n v="10.593"/>
        <n v="6.3109999999999999"/>
        <n v="15.513"/>
        <n v="9.7850000000000001"/>
        <n v="13.85"/>
        <n v="77.341999999999999"/>
        <n v="2.3199999999999998"/>
        <n v="4.3099999999999996"/>
        <n v="2.63"/>
        <n v="11.5"/>
        <n v="8.2949999999999999"/>
        <n v="1.64"/>
        <n v="2.39"/>
        <n v="12.33"/>
        <n v="17.318000000000001"/>
        <n v="15.581"/>
        <n v="0.89200000000000002"/>
        <n v="1.6020000000000001"/>
        <n v="1.5109999999999999"/>
        <n v="1.61"/>
        <n v="1.31"/>
        <n v="4.71"/>
        <n v="9.17"/>
        <n v="1.7"/>
        <n v="2.86"/>
        <n v="11.994"/>
        <n v="7.3979999999999997"/>
        <n v="2.3540000000000001"/>
        <n v="2.4660000000000002"/>
        <n v="2.9"/>
        <n v="2.56"/>
        <n v="3.96"/>
        <n v="5.51"/>
        <n v="10.199999999999999"/>
        <n v="11.776999999999999"/>
        <n v="13"/>
        <n v="3.84"/>
        <n v="3.59"/>
        <n v="2"/>
        <n v="1.3"/>
        <n v="1.96"/>
        <n v="3.37"/>
        <n v="15.98"/>
        <n v="5.33"/>
        <n v="7.55"/>
        <n v="1.9"/>
        <n v="12.14"/>
        <n v="10.67"/>
        <n v="12.06"/>
        <n v="0.69"/>
        <n v="2.0299999999999998"/>
        <n v="2.06"/>
        <n v="2.54"/>
        <n v="2.5299999999999998"/>
        <n v="2.33"/>
        <n v="2.0099999999999998"/>
        <n v="7.5"/>
        <n v="1.21"/>
        <n v="2.76"/>
        <n v="2.1800000000000002"/>
        <n v="1.97"/>
        <n v="8.3699999999999992"/>
        <n v="1.42"/>
        <n v="1.04"/>
        <n v="1.89"/>
        <n v="1.25"/>
        <n v="1.34"/>
        <n v="1.603"/>
        <n v="2.0030000000000001"/>
        <n v="1.73"/>
        <n v="0.99"/>
        <n v="2.91"/>
        <n v="1.45"/>
        <n v="0.89"/>
        <n v="1.57"/>
        <n v="2.52"/>
        <n v="2.66"/>
        <n v="3.29"/>
        <n v="2.81"/>
        <n v="9.11"/>
        <n v="4.8099999999999996"/>
        <n v="12.25"/>
        <n v="1.51"/>
        <n v="7"/>
        <n v="2.15"/>
        <n v="1.38"/>
        <n v="1.33"/>
        <n v="2.48"/>
        <n v="1.49"/>
        <n v="2.29"/>
        <n v="1.99"/>
        <n v="1.8"/>
        <n v="2.6"/>
        <n v="1.1499999999999999"/>
        <n v="1.0549999999999999"/>
        <n v="2.64"/>
        <n v="1.28"/>
        <n v="2.2599999999999998"/>
        <n v="2.02"/>
        <n v="3.1779999999999999"/>
        <n v="6.117"/>
        <n v="1.44"/>
        <n v="3.2490000000000001"/>
        <n v="1.274"/>
        <n v="1.554"/>
        <n v="2.6480000000000001"/>
        <n v="2.19"/>
        <n v="2.819"/>
        <n v="2.1440000000000001"/>
        <n v="1.2729999999999999"/>
        <n v="2.23"/>
        <n v="1.4179999999999999"/>
        <n v="1.802"/>
        <n v="2.6869999999999998"/>
        <n v="1.6659999999999999"/>
        <n v="3.206"/>
        <n v="1.6080000000000001"/>
        <n v="2.0379999999999998"/>
        <n v="1.4910000000000001"/>
        <n v="2.1160000000000001"/>
        <n v="3.5579999999999998"/>
        <n v="2.5129999999999999"/>
        <n v="2.37"/>
        <n v="2.31"/>
        <n v="2.84"/>
        <n v="2.5990000000000002"/>
        <n v="2.87"/>
        <n v="1.55"/>
        <n v="1.3129999999999999"/>
        <n v="3.1720000000000002"/>
        <n v="3.17"/>
        <n v="2.38"/>
        <n v="1.35"/>
        <n v="2.83"/>
        <n v="1.52"/>
        <n v="2.5"/>
        <n v="7.74"/>
        <n v="4.8600000000000003"/>
        <n v="1.1399999999999999"/>
        <n v="1.357"/>
        <n v="1.093"/>
        <n v="1.579"/>
        <n v="3.95"/>
        <n v="3.6419999999999999"/>
        <n v="3.13"/>
        <n v="2.5760000000000001"/>
        <n v="3.6"/>
        <n v="4.1189999999999998"/>
        <n v="1.87"/>
        <n v="2.78"/>
        <n v="1.3640000000000001"/>
        <n v="1.4"/>
        <n v="3.286"/>
        <n v="2.302"/>
        <n v="1.371"/>
        <n v="3.0459999999999998"/>
        <n v="1.996"/>
        <n v="2.7949999999999999"/>
        <n v="2.6059999999999999"/>
        <n v="1.679"/>
        <n v="0.86899999999999999"/>
        <n v="1.84"/>
        <n v="2.4900000000000002"/>
        <n v="0.81899999999999995"/>
        <n v="1.375"/>
        <n v="1.514"/>
        <n v="2.4300000000000002"/>
        <n v="2.1240000000000001"/>
        <n v="1.75"/>
        <n v="3.5790000000000002"/>
        <n v="2.569"/>
        <n v="1.3480000000000001"/>
        <n v="1.4379999999999999"/>
        <n v="1.56"/>
        <n v="2.41"/>
        <n v="3.49"/>
        <n v="1.54"/>
        <n v="11.209"/>
        <n v="1.3979999999999999"/>
        <n v="1.335"/>
        <n v="18.405000000000001"/>
        <n v="1.1000000000000001"/>
        <n v="1"/>
        <n v="5.4"/>
        <n v="2.5499999999999998"/>
        <n v="2.17"/>
        <n v="4.34"/>
        <n v="2.12"/>
        <n v="2.57"/>
        <n v="2.79"/>
        <n v="3.43"/>
        <n v="2.44"/>
        <n v="2.35"/>
        <n v="1.74"/>
        <n v="12.67"/>
        <n v="1.63"/>
        <n v="0.83"/>
        <n v="3"/>
        <n v="2.67"/>
        <n v="17.396000000000001"/>
        <n v="9.5280000000000005"/>
        <n v="2.2309999999999999"/>
        <n v="2.6680000000000001"/>
        <n v="1.71"/>
        <n v="3.3"/>
        <n v="0.70499999999999996"/>
        <n v="2.93"/>
        <n v="1.41"/>
        <n v="2.69"/>
        <n v="4.4800000000000004"/>
        <n v="2.95"/>
        <n v="7.28"/>
        <n v="4.42"/>
        <n v="2.2000000000000002"/>
        <n v="2.2400000000000002"/>
        <n v="2.34"/>
        <n v="3.77"/>
        <n v="2.98"/>
        <n v="7.67"/>
        <n v="8.18"/>
        <n v="2.82"/>
        <n v="3.52"/>
        <n v="2.59"/>
        <n v="3.53"/>
        <n v="1.95"/>
        <n v="2.1"/>
        <n v="9.4939999999999998"/>
        <n v="9.1"/>
        <n v="13.339"/>
        <n v="3.06"/>
        <n v="11.276"/>
        <n v="1.589"/>
        <n v="2.4500000000000002"/>
        <n v="1.66"/>
        <n v="10.054"/>
        <n v="1.85"/>
        <n v="5.13"/>
        <n v="3.01"/>
        <n v="5.04"/>
        <n v="13.96"/>
        <n v="1.93"/>
        <n v="1.32"/>
        <n v="2.8"/>
        <n v="2.75"/>
        <n v="1.9059999999999999"/>
        <n v="2.42"/>
        <n v="6.2770000000000001"/>
        <n v="4.75"/>
        <n v="2.72"/>
        <n v="6.71"/>
        <n v="2.0499999999999998"/>
        <n v="1.59"/>
        <n v="18"/>
        <n v="3.82"/>
        <n v="2.68"/>
        <n v="2.2999999999999998"/>
        <n v="7.6559999999999997"/>
        <n v="2.14"/>
        <n v="3.22"/>
        <n v="3.9"/>
        <n v="1.58"/>
        <n v="2.89"/>
        <n v="1.08"/>
        <n v="1.1599999999999999"/>
        <n v="1.01"/>
        <n v="1.29"/>
        <n v="2.77"/>
        <n v="3.69"/>
        <n v="3.58"/>
        <n v="1.47"/>
        <n v="2.552"/>
        <n v="1.244"/>
        <n v="1.4830000000000001"/>
        <n v="7.6"/>
        <n v="1.23"/>
        <n v="0.61499999999999999"/>
        <n v="2.25"/>
        <n v="3.88"/>
        <n v="10.61"/>
        <n v="5.2"/>
        <n v="11.73"/>
        <n v="15.680999999999999"/>
        <n v="19.952000000000002"/>
        <n v="19.536999999999999"/>
        <n v="15.861000000000001"/>
        <n v="17.094000000000001"/>
        <n v="21.408999999999999"/>
        <n v="19.515000000000001"/>
        <n v="17.777000000000001"/>
        <n v="17.486000000000001"/>
        <n v="19.044"/>
        <n v="17.934000000000001"/>
        <n v="18.158999999999999"/>
        <n v="21.196000000000002"/>
        <n v="5.5"/>
        <n v="6.9"/>
        <n v="6.4"/>
        <n v="6.6"/>
        <n v="4.0999999999999996"/>
        <n v="2.4"/>
        <n v="4.5999999999999996"/>
        <n v="17.262"/>
        <n v="10.54"/>
        <n v="16.948"/>
        <n v="3.78"/>
        <n v="1.19"/>
        <n v="2.88"/>
        <n v="8.1"/>
        <n v="11.3"/>
        <n v="11.097"/>
        <n v="0.75900000000000001"/>
        <n v="0.86699999999999999"/>
        <n v="4.32"/>
        <n v="11.27"/>
        <n v="6.56"/>
        <n v="11.545"/>
        <n v="1.4810000000000001"/>
        <n v="4.76"/>
        <n v="3.15"/>
        <n v="1.78"/>
        <n v="6.28"/>
        <n v="1.5"/>
        <n v="5.77"/>
        <n v="3.55"/>
        <n v="3.68"/>
        <n v="2.58"/>
        <n v="1.46"/>
        <n v="0.47"/>
        <n v="0.57999999999999996"/>
        <n v="1.18"/>
        <n v="2.2200000000000002"/>
        <n v="0.88"/>
        <n v="2.2799999999999998"/>
        <n v="2.36"/>
        <n v="3.91"/>
        <n v="2.21"/>
        <n v="1.26"/>
        <n v="5.14"/>
        <n v="0.87"/>
        <n v="2.5099999999999998"/>
        <n v="1.17"/>
        <n v="3.1"/>
        <n v="2.08"/>
        <n v="2.94"/>
        <n v="2.09"/>
        <n v="0.95"/>
        <n v="1.6"/>
        <n v="1.48"/>
        <n v="3.4"/>
        <n v="0.98"/>
        <n v="3.36"/>
        <n v="0.82"/>
        <n v="1.76"/>
        <n v="3.73"/>
        <n v="0.8"/>
        <n v="3.63"/>
        <n v="1.81"/>
        <n v="1.07"/>
        <n v="3.45"/>
        <n v="8.65"/>
        <n v="3.28"/>
        <n v="1.1200000000000001"/>
        <n v="1.1100000000000001"/>
        <n v="7.22"/>
        <n v="0.61"/>
        <n v="1.83"/>
        <n v="3.18"/>
        <n v="1.24"/>
        <n v="3.26"/>
        <n v="3.12"/>
        <n v="4.1900000000000004"/>
        <n v="3.33"/>
        <n v="2.4700000000000002"/>
        <n v="2.27"/>
        <n v="1.65"/>
        <n v="7.3"/>
        <n v="3.02"/>
        <n v="2.74"/>
        <n v="1.92"/>
        <n v="2.04"/>
        <n v="1.67"/>
        <n v="3.65"/>
        <n v="2.96"/>
        <n v="1.69"/>
        <n v="1.0900000000000001"/>
        <n v="1.02"/>
        <n v="3.42"/>
        <n v="2.13"/>
        <n v="1.03"/>
        <n v="0.94"/>
        <n v="8.0589999999999993"/>
        <n v="12.340999999999999"/>
        <n v="3.2"/>
        <n v="2.99"/>
        <n v="7.68"/>
        <n v="1.77"/>
        <n v="0.92"/>
        <n v="19.661000000000001"/>
        <n v="1.53"/>
        <n v="1.06"/>
        <n v="3.05"/>
        <n v="1.22"/>
        <n v="1.39"/>
        <n v="5.87"/>
        <n v="1.88"/>
        <n v="0.79"/>
        <n v="2.71"/>
        <n v="0.73"/>
        <n v="1.36"/>
        <n v="0.74"/>
        <n v="0.86"/>
        <n v="1.43"/>
        <n v="3.32"/>
        <n v="1.1299999999999999"/>
        <n v="0.97"/>
        <n v="3.19"/>
        <n v="0.91"/>
        <n v="1.37"/>
        <n v="0.52"/>
        <n v="0.84"/>
        <n v="5.1100000000000003"/>
        <n v="3.54"/>
        <n v="3.11"/>
        <n v="4.92"/>
        <n v="4.18"/>
        <n v="1.05"/>
        <n v="0.71"/>
        <n v="1.94"/>
        <n v="0.7"/>
        <n v="0.65"/>
        <n v="2.97"/>
        <n v="1.27"/>
        <n v="0.64"/>
        <n v="0.52200000000000002"/>
        <n v="1.1970000000000001"/>
        <n v="1.212"/>
        <n v="0.85"/>
        <n v="0.93"/>
        <n v="2.46"/>
        <n v="3.38"/>
        <n v="1.68"/>
        <n v="1.72"/>
        <n v="0.9"/>
        <n v="12.733000000000001"/>
        <n v="0.76"/>
        <n v="2.16"/>
        <n v="3.93"/>
        <n v="0.96"/>
        <n v="2.65"/>
        <n v="3.35"/>
        <n v="2.7"/>
        <n v="3.71"/>
        <n v="1.86"/>
        <n v="2.92"/>
        <n v="8.68"/>
        <n v="2.11"/>
        <n v="4.21"/>
        <n v="3.04"/>
        <n v="3.07"/>
        <n v="10.76"/>
        <n v="3.64"/>
        <n v="1.2"/>
        <n v="8.4600000000000009"/>
        <n v="11.82"/>
        <n v="9.5500000000000007"/>
        <n v="9.76"/>
        <n v="7.06"/>
        <n v="4.7699999999999996"/>
        <n v="3.46"/>
        <n v="3.14"/>
        <n v="0.68"/>
        <n v="0.72"/>
        <n v="0.75"/>
        <n v="0.6"/>
        <n v="1.79"/>
        <n v="3.41"/>
        <n v="8.4489999999999998"/>
        <n v="3.61"/>
        <n v="0.81"/>
        <n v="3.03"/>
        <n v="5.7"/>
        <n v="6.06"/>
        <n v="6.43"/>
        <n v="0.77"/>
        <n v="3.23"/>
        <n v="4.82"/>
        <n v="11.874000000000001"/>
        <n v="9.18"/>
        <n v="2.2130000000000001"/>
        <n v="5.0199999999999996"/>
        <n v="1.615"/>
        <n v="1.548"/>
        <n v="1.194"/>
        <n v="10.15"/>
        <n v="7.1"/>
        <n v="5.49"/>
        <n v="6.98"/>
        <n v="3.25"/>
        <n v="1.8680000000000001"/>
        <n v="3.0470000000000002"/>
        <n v="2.7440000000000002"/>
        <n v="0.86499999999999999"/>
        <n v="1.0029999999999999"/>
        <n v="2.85"/>
        <n v="3.31"/>
        <n v="1.639"/>
        <n v="3.62"/>
        <n v="3.16"/>
        <n v="4.6399999999999997"/>
        <n v="3.44"/>
        <n v="5.24"/>
        <n v="4.04"/>
        <n v="3.85"/>
        <n v="4.26"/>
        <n v="3.08"/>
        <n v="3.83"/>
        <n v="3.51"/>
        <n v="5.6"/>
        <n v="4.09"/>
        <n v="3.94"/>
        <n v="4.07"/>
        <n v="3.87"/>
        <n v="5.41"/>
        <n v="4.95"/>
        <n v="4.0599999999999996"/>
        <n v="3.89"/>
        <n v="4"/>
        <n v="4.9000000000000004"/>
        <n v="0.66"/>
        <n v="4.3"/>
        <n v="5.31"/>
        <n v="11.59"/>
        <n v="6.54"/>
        <n v="12.3"/>
        <n v="8.8000000000000007"/>
        <n v="12.45"/>
        <n v="5.3"/>
        <n v="4.1500000000000004"/>
        <n v="5.35"/>
        <n v="4.0199999999999996"/>
        <n v="4.46"/>
        <n v="3.39"/>
        <n v="8.5640000000000001"/>
        <n v="8.16"/>
        <n v="4.01"/>
        <n v="1.486"/>
        <n v="3.6789999999999998"/>
        <n v="0.33600000000000002"/>
        <n v="13.9"/>
        <n v="3.5"/>
        <n v="6.18"/>
        <n v="4.0019999999999998"/>
        <n v="4.66"/>
        <n v="2.8380000000000001"/>
        <n v="3.27"/>
        <n v="15.031000000000001"/>
        <n v="4.3470000000000004"/>
        <n v="13.45"/>
        <n v="10.8"/>
        <n v="0.78"/>
        <n v="0.56999999999999995"/>
        <n v="4.16"/>
        <n v="13.361000000000001"/>
        <n v="9.98"/>
        <n v="10.962"/>
        <n v="13.79"/>
        <n v="13.664"/>
        <n v="0.76400000000000001"/>
        <n v="0.66800000000000004"/>
        <n v="12.834"/>
        <n v="16.25"/>
        <n v="22.31"/>
        <n v="0.40300000000000002"/>
        <n v="0.497"/>
        <n v="0.53"/>
        <n v="0.54600000000000004"/>
        <n v="0.74099999999999999"/>
        <n v="18.489999999999998"/>
        <n v="2.056"/>
        <n v="2.7639999999999998"/>
        <n v="6.14"/>
        <n v="2.62"/>
        <n v="0.83699999999999997"/>
        <n v="6.2039999999999997"/>
        <n v="4.2"/>
        <n v="9.0570000000000004"/>
        <n v="5.52"/>
        <n v="4.6500000000000004"/>
        <n v="7.04"/>
        <n v="14.44"/>
        <n v="14.96"/>
        <n v="4.08"/>
        <n v="3.21"/>
        <n v="14.41"/>
        <n v="11"/>
        <n v="11.42"/>
        <n v="15.79"/>
        <n v="7.72"/>
        <n v="11.65"/>
        <n v="8.92"/>
        <n v="9.59"/>
        <n v="15.13"/>
        <n v="7.14"/>
        <n v="5.23"/>
        <n v="6.04"/>
        <n v="9"/>
        <n v="9.6999999999999993"/>
        <n v="6.35"/>
        <n v="5.74"/>
        <n v="6.91"/>
        <n v="8.3729999999999993"/>
        <n v="11.99"/>
        <n v="4.63"/>
        <n v="11.2"/>
        <n v="4.29"/>
        <n v="6.51"/>
        <n v="9.8000000000000007"/>
        <n v="6.96"/>
        <n v="5.21"/>
        <n v="3.09"/>
        <n v="3.81"/>
        <n v="14.617000000000001"/>
        <n v="6.5"/>
        <n v="0.54"/>
        <n v="8.4"/>
        <n v="6.11"/>
        <n v="4.45"/>
        <n v="10.16"/>
        <n v="4.7300000000000004"/>
        <n v="4.83"/>
        <n v="13.18"/>
        <n v="5.38"/>
        <n v="7.37"/>
        <n v="10.58"/>
        <n v="12.15"/>
        <n v="5.95"/>
        <n v="10.18"/>
        <n v="9.2100000000000009"/>
        <n v="4.13"/>
        <n v="14.11"/>
        <n v="18.181000000000001"/>
        <n v="5.99"/>
        <n v="8.1999999999999993"/>
        <n v="13.17"/>
        <n v="4.8499999999999996"/>
        <n v="9.67"/>
        <n v="3.75"/>
        <n v="16.559999999999999"/>
        <n v="8.52"/>
        <n v="8.41"/>
        <n v="12.19"/>
        <n v="10.63"/>
        <n v="3.34"/>
        <n v="1.569"/>
        <n v="13.88"/>
        <n v="3.56"/>
        <n v="3.24"/>
        <n v="5.27"/>
        <n v="15.244"/>
        <n v="12.68"/>
        <n v="6.64"/>
        <n v="10.760999999999999"/>
        <n v="1.121"/>
        <n v="13.02"/>
        <n v="3.47"/>
        <n v="3.72"/>
        <n v="7.16"/>
        <n v="6.88"/>
        <n v="15.872"/>
        <n v="3.79"/>
        <n v="10.42"/>
        <n v="4.1100000000000003"/>
        <n v="10.24"/>
        <n v="9.0299999999999994"/>
        <n v="6.09"/>
        <n v="5.63"/>
        <n v="17.07"/>
        <n v="16.72"/>
        <n v="8.35"/>
        <n v="9.3000000000000007"/>
        <n v="6.8"/>
        <n v="4.87"/>
        <n v="13.49"/>
        <n v="3.74"/>
        <n v="8.89"/>
        <n v="6.41"/>
        <n v="9.4380000000000006"/>
        <n v="9.2249999999999996"/>
        <n v="15.323"/>
        <n v="2.0670000000000002"/>
        <n v="3.8"/>
        <n v="5.93"/>
        <n v="8.98"/>
        <n v="5.59"/>
        <n v="7.65"/>
        <n v="4.38"/>
        <n v="1.7270000000000001"/>
        <n v="1.282"/>
        <n v="1.3029999999999999"/>
        <n v="9.9760000000000009"/>
        <n v="17.878"/>
        <n v="15.278"/>
        <n v="14.010999999999999"/>
        <n v="11.422000000000001"/>
        <n v="12.250999999999999"/>
        <n v="18.045999999999999"/>
        <n v="10.119999999999999"/>
        <n v="10.548"/>
        <n v="12.811999999999999"/>
        <n v="17.295000000000002"/>
        <n v="14.055999999999999"/>
        <n v="12.285"/>
        <n v="12.407999999999999"/>
        <n v="19.055"/>
        <n v="14.404"/>
        <n v="13.675000000000001"/>
        <n v="9.0790000000000006"/>
        <n v="10.817"/>
        <n v="7.69"/>
        <n v="11.29"/>
        <n v="1.0860000000000001"/>
        <n v="1.056"/>
        <n v="0.77200000000000002"/>
        <n v="0.91800000000000004"/>
        <n v="1.0449999999999999"/>
        <n v="1.127"/>
        <n v="0.752"/>
        <n v="14.975"/>
        <n v="16.623000000000001"/>
        <n v="12.106"/>
        <n v="17.126999999999999"/>
        <n v="12.744999999999999"/>
        <n v="15.792999999999999"/>
        <n v="15.009"/>
        <n v="20.399999999999999"/>
        <n v="16.510999999999999"/>
        <n v="20.905000000000001"/>
        <n v="13.898999999999999"/>
        <n v="15.356"/>
        <n v="10.423999999999999"/>
        <n v="9.7520000000000007"/>
        <n v="15.468"/>
        <n v="8.9670000000000005"/>
        <n v="17.149999999999999"/>
        <n v="12.497999999999999"/>
        <n v="17.373999999999999"/>
        <n v="5.7169999999999996"/>
        <n v="11.19"/>
        <n v="13.473000000000001"/>
        <n v="12.644"/>
        <n v="20.960999999999999"/>
        <n v="13.451000000000001"/>
        <n v="13.271000000000001"/>
        <n v="16.477"/>
        <n v="15.603"/>
        <n v="12.005000000000001"/>
        <n v="16.388000000000002"/>
        <n v="10.782999999999999"/>
        <n v="13.597"/>
        <n v="8.6310000000000002"/>
        <n v="17.363"/>
        <n v="14.874000000000001"/>
        <n v="13.002000000000001"/>
        <n v="14.234999999999999"/>
        <n v="12.576000000000001"/>
        <n v="12.778"/>
        <n v="13.159000000000001"/>
        <n v="12.63"/>
        <n v="3.5760000000000001"/>
        <n v="12.183999999999999"/>
        <n v="14.24"/>
        <n v="12.038"/>
        <n v="8.6869999999999994"/>
        <n v="9.8640000000000008"/>
        <n v="14.795999999999999"/>
        <n v="14.247"/>
        <n v="12.464"/>
        <n v="13.047000000000001"/>
        <n v="20.512"/>
        <n v="21.632999999999999"/>
        <n v="18.719000000000001"/>
        <n v="11.198"/>
        <n v="16.018000000000001"/>
        <n v="11.657"/>
        <n v="10.558999999999999"/>
        <n v="16.364999999999998"/>
        <n v="18.271000000000001"/>
        <n v="16.376000000000001"/>
        <n v="17.901"/>
        <n v="12.823"/>
        <n v="10.468"/>
        <n v="11.131"/>
        <n v="12.78"/>
        <n v="23.202999999999999"/>
        <n v="2.0419999999999998"/>
      </sharedItems>
    </cacheField>
    <cacheField name="pl_bmassj" numFmtId="0">
      <sharedItems containsString="0" containsBlank="1" containsNumber="1" minValue="6.0000000000000002E-5" maxValue="55.59"/>
    </cacheField>
    <cacheField name="pl_radj" numFmtId="0">
      <sharedItems containsString="0" containsBlank="1" containsNumber="1" minValue="0.03" maxValue="6.9"/>
    </cacheField>
    <cacheField name="pl_dens" numFmtId="0">
      <sharedItems containsString="0" containsBlank="1" containsNumber="1" minValue="0.03" maxValue="77.7"/>
    </cacheField>
    <cacheField name="st_mass" numFmtId="0">
      <sharedItems containsString="0" containsBlank="1" containsNumber="1" minValue="0.01" maxValue="23.56" count="226">
        <n v="2.7"/>
        <n v="2.78"/>
        <n v="2.2000000000000002"/>
        <n v="0.9"/>
        <n v="1.08"/>
        <n v="2.2999999999999998"/>
        <n v="0.85"/>
        <n v="0.99"/>
        <n v="1.54"/>
        <n v="0.4"/>
        <n v="0.11"/>
        <n v="0.02"/>
        <n v="0.48"/>
        <n v="0.08"/>
        <n v="0.6"/>
        <n v="1.93"/>
        <n v="1.23"/>
        <n v="0.98"/>
        <n v="1.03"/>
        <n v="1.75"/>
        <n v="1.1200000000000001"/>
        <n v="0.91"/>
        <n v="1.44"/>
        <n v="0.94"/>
        <n v="1.52"/>
        <n v="1.0900000000000001"/>
        <n v="2.4900000000000002"/>
        <n v="2.4"/>
        <n v="1.4"/>
        <m/>
        <n v="1.1399999999999999"/>
        <n v="0.49"/>
        <n v="1.1000000000000001"/>
        <n v="10.83"/>
        <n v="0.8"/>
        <n v="1.67"/>
        <n v="0.74"/>
        <n v="0.7"/>
        <n v="0.5"/>
        <n v="1.47"/>
        <n v="0.56999999999999995"/>
        <n v="2.12"/>
        <n v="0.31"/>
        <n v="0.35"/>
        <n v="0.95"/>
        <n v="0.89"/>
        <n v="1.27"/>
        <n v="1.1299999999999999"/>
        <n v="1.04"/>
        <n v="1.21"/>
        <n v="0.96"/>
        <n v="1.29"/>
        <n v="1.05"/>
        <n v="1.01"/>
        <n v="0.97"/>
        <n v="1.37"/>
        <n v="1.1599999999999999"/>
        <n v="1"/>
        <n v="0.82"/>
        <n v="0.88"/>
        <n v="7.0000000000000007E-2"/>
        <n v="0.33"/>
        <n v="0.66"/>
        <n v="1.17"/>
        <n v="1.32"/>
        <n v="0.05"/>
        <n v="1.92"/>
        <n v="0.18"/>
        <n v="0.15"/>
        <n v="0.73"/>
        <n v="0.36"/>
        <n v="0.28999999999999998"/>
        <n v="0.68"/>
        <n v="0.42"/>
        <n v="0.69"/>
        <n v="0.16"/>
        <n v="0.47"/>
        <n v="0.54"/>
        <n v="0.45"/>
        <n v="0.27"/>
        <n v="0.63"/>
        <n v="0.39"/>
        <n v="0.41"/>
        <n v="0.59"/>
        <n v="1.22"/>
        <n v="0.52"/>
        <n v="0.3"/>
        <n v="0.55000000000000004"/>
        <n v="0.65"/>
        <n v="0.93"/>
        <n v="0.32"/>
        <n v="0.61"/>
        <n v="0.56000000000000005"/>
        <n v="1.1499999999999999"/>
        <n v="0.81"/>
        <n v="2.65"/>
        <n v="0.77"/>
        <n v="0.84"/>
        <n v="1.33"/>
        <n v="0.76"/>
        <n v="1.24"/>
        <n v="0.57999999999999996"/>
        <n v="1.02"/>
        <n v="1.45"/>
        <n v="1.06"/>
        <n v="1.55"/>
        <n v="1.31"/>
        <n v="1.82"/>
        <n v="4.26"/>
        <n v="23.56"/>
        <n v="0.78"/>
        <n v="2.56"/>
        <n v="1.18"/>
        <n v="1.26"/>
        <n v="1.28"/>
        <n v="2.2200000000000002"/>
        <n v="1.42"/>
        <n v="2.77"/>
        <n v="1.79"/>
        <n v="1.25"/>
        <n v="1.64"/>
        <n v="1.56"/>
        <n v="0.87"/>
        <n v="1.3"/>
        <n v="1.38"/>
        <n v="1.5"/>
        <n v="0.86"/>
        <n v="0.92"/>
        <n v="1.19"/>
        <n v="1.1100000000000001"/>
        <n v="1.41"/>
        <n v="1.35"/>
        <n v="1.78"/>
        <n v="2.2799999999999998"/>
        <n v="0.83"/>
        <n v="3.21"/>
        <n v="1.66"/>
        <n v="0.79"/>
        <n v="0.62"/>
        <n v="1.39"/>
        <n v="1.59"/>
        <n v="1.2"/>
        <n v="2.17"/>
        <n v="1.94"/>
        <n v="1.49"/>
        <n v="0.72"/>
        <n v="1.84"/>
        <n v="1.91"/>
        <n v="2.39"/>
        <n v="1.62"/>
        <n v="0.67"/>
        <n v="1.34"/>
        <n v="2.2400000000000002"/>
        <n v="1.48"/>
        <n v="1.07"/>
        <n v="3.5"/>
        <n v="1.51"/>
        <n v="1.43"/>
        <n v="1.46"/>
        <n v="0.71"/>
        <n v="1.96"/>
        <n v="1.69"/>
        <n v="1.8"/>
        <n v="1.63"/>
        <n v="1.86"/>
        <n v="6.73"/>
        <n v="1.53"/>
        <n v="2"/>
        <n v="1.7"/>
        <n v="1.36"/>
        <n v="1.72"/>
        <n v="1.6"/>
        <n v="1.61"/>
        <n v="1.57"/>
        <n v="0.75"/>
        <n v="8.76"/>
        <n v="1.97"/>
        <n v="1.74"/>
        <n v="1.81"/>
        <n v="1.9"/>
        <n v="2.1"/>
        <n v="2.5299999999999998"/>
        <n v="0.43"/>
        <n v="3.7"/>
        <n v="10.94"/>
        <n v="2.42"/>
        <n v="2.5"/>
        <n v="2.41"/>
        <n v="0.46"/>
        <n v="0.38"/>
        <n v="0.26"/>
        <n v="0.64"/>
        <n v="0.51"/>
        <n v="0.44"/>
        <n v="2.06"/>
        <n v="1.76"/>
        <n v="2.52"/>
        <n v="0.09"/>
        <n v="0.04"/>
        <n v="0.37"/>
        <n v="0.28000000000000003"/>
        <n v="1.58"/>
        <n v="0.24"/>
        <n v="0.22"/>
        <n v="0.13"/>
        <n v="0.34"/>
        <n v="0.53"/>
        <n v="0.06"/>
        <n v="0.21"/>
        <n v="0.19"/>
        <n v="0.12"/>
        <n v="0.1"/>
        <n v="0.03"/>
        <n v="0.01"/>
        <n v="1.98"/>
        <n v="9.06"/>
        <n v="0.25"/>
        <n v="0.2"/>
        <n v="0.23"/>
        <n v="0.17"/>
        <n v="1.87"/>
        <n v="1.85"/>
        <n v="2.6"/>
        <n v="3.04"/>
        <n v="2.13"/>
        <n v="3.09"/>
      </sharedItems>
    </cacheField>
    <cacheField name="st_rad" numFmtId="0">
      <sharedItems containsString="0" containsBlank="1" containsNumber="1" minValue="0.01" maxValue="71.23" count="361">
        <n v="19"/>
        <n v="29.79"/>
        <n v="11"/>
        <n v="0.93"/>
        <n v="1.1299999999999999"/>
        <n v="8.5"/>
        <m/>
        <n v="10.64"/>
        <n v="4.9000000000000004"/>
        <n v="0.28000000000000003"/>
        <n v="0.12"/>
        <n v="1.41"/>
        <n v="18.11"/>
        <n v="22.03"/>
        <n v="1.23"/>
        <n v="1.2"/>
        <n v="0.94"/>
        <n v="5.2"/>
        <n v="0.96"/>
        <n v="2.2999999999999998"/>
        <n v="1.89"/>
        <n v="10.5"/>
        <n v="10.3"/>
        <n v="32.35"/>
        <n v="0.86"/>
        <n v="8.9499999999999993"/>
        <n v="14.7"/>
        <n v="71.02"/>
        <n v="17.3"/>
        <n v="1.08"/>
        <n v="10.33"/>
        <n v="7.6"/>
        <n v="0.71"/>
        <n v="0.91"/>
        <n v="0.52"/>
        <n v="19.170000000000002"/>
        <n v="0.74"/>
        <n v="1.1100000000000001"/>
        <n v="0.79"/>
        <n v="1.37"/>
        <n v="1.1200000000000001"/>
        <n v="1.01"/>
        <n v="1.21"/>
        <n v="1.19"/>
        <n v="1.59"/>
        <n v="1"/>
        <n v="1.65"/>
        <n v="1.95"/>
        <n v="1.1399999999999999"/>
        <n v="1.61"/>
        <n v="1.79"/>
        <n v="1.78"/>
        <n v="0.9"/>
        <n v="1.56"/>
        <n v="1.17"/>
        <n v="1.02"/>
        <n v="0.83"/>
        <n v="0.77"/>
        <n v="0.27"/>
        <n v="0.01"/>
        <n v="0.56999999999999995"/>
        <n v="1.39"/>
        <n v="0.98"/>
        <n v="0.21"/>
        <n v="0.4"/>
        <n v="0.22"/>
        <n v="0.19"/>
        <n v="0.69"/>
        <n v="0.38"/>
        <n v="0.28999999999999998"/>
        <n v="0.5"/>
        <n v="0.44"/>
        <n v="0.55000000000000004"/>
        <n v="0.43"/>
        <n v="0.61"/>
        <n v="0.49"/>
        <n v="0.39"/>
        <n v="0.41"/>
        <n v="0.46"/>
        <n v="0.31"/>
        <n v="0.54"/>
        <n v="0.53"/>
        <n v="0.3"/>
        <n v="0.56000000000000005"/>
        <n v="0.42"/>
        <n v="0.68"/>
        <n v="0.7"/>
        <n v="1.82"/>
        <n v="1.07"/>
        <n v="1.24"/>
        <n v="0.87"/>
        <n v="0.75"/>
        <n v="0.82"/>
        <n v="1.38"/>
        <n v="0.92"/>
        <n v="1.1000000000000001"/>
        <n v="1.3"/>
        <n v="1.31"/>
        <n v="1.73"/>
        <n v="3.82"/>
        <n v="0.88"/>
        <n v="1.62"/>
        <n v="1.94"/>
        <n v="2.0499999999999998"/>
        <n v="1.53"/>
        <n v="0.95"/>
        <n v="1.32"/>
        <n v="1.4"/>
        <n v="2.06"/>
        <n v="1.7"/>
        <n v="1.04"/>
        <n v="0.89"/>
        <n v="0.62"/>
        <n v="1.47"/>
        <n v="1.85"/>
        <n v="1.86"/>
        <n v="1.88"/>
        <n v="2.5499999999999998"/>
        <n v="2"/>
        <n v="1.57"/>
        <n v="1.54"/>
        <n v="1.0900000000000001"/>
        <n v="2.04"/>
        <n v="1.74"/>
        <n v="1.06"/>
        <n v="1.87"/>
        <n v="1.43"/>
        <n v="2.2599999999999998"/>
        <n v="1.71"/>
        <n v="1.48"/>
        <n v="0.81"/>
        <n v="0.85"/>
        <n v="1.44"/>
        <n v="1.05"/>
        <n v="1.46"/>
        <n v="1.66"/>
        <n v="2.11"/>
        <n v="1.84"/>
        <n v="1.75"/>
        <n v="10.06"/>
        <n v="9.82"/>
        <n v="4.55"/>
        <n v="0.73"/>
        <n v="1.97"/>
        <n v="2.66"/>
        <n v="1.29"/>
        <n v="5.74"/>
        <n v="1.22"/>
        <n v="20.9"/>
        <n v="8.0299999999999994"/>
        <n v="1.45"/>
        <n v="1.5"/>
        <n v="25.11"/>
        <n v="0.76"/>
        <n v="2.14"/>
        <n v="1.55"/>
        <n v="1.34"/>
        <n v="4.8899999999999997"/>
        <n v="20.58"/>
        <n v="10.09"/>
        <n v="9.1199999999999992"/>
        <n v="11.02"/>
        <n v="4.4400000000000004"/>
        <n v="2.39"/>
        <n v="38.409999999999997"/>
        <n v="3.78"/>
        <n v="1.67"/>
        <n v="1.25"/>
        <n v="11.47"/>
        <n v="2.34"/>
        <n v="12.4"/>
        <n v="1.03"/>
        <n v="4.63"/>
        <n v="0.99"/>
        <n v="10.52"/>
        <n v="5.38"/>
        <n v="5.01"/>
        <n v="2.29"/>
        <n v="3.86"/>
        <n v="4.67"/>
        <n v="1.1499999999999999"/>
        <n v="5.14"/>
        <n v="1.28"/>
        <n v="5.03"/>
        <n v="2.16"/>
        <n v="0.72"/>
        <n v="1.9"/>
        <n v="4.5"/>
        <n v="50.3"/>
        <n v="2.13"/>
        <n v="3.49"/>
        <n v="1.72"/>
        <n v="1.76"/>
        <n v="0.97"/>
        <n v="1.93"/>
        <n v="1.51"/>
        <n v="21.66"/>
        <n v="13.58"/>
        <n v="2.4700000000000002"/>
        <n v="13.5"/>
        <n v="4.1900000000000004"/>
        <n v="1.18"/>
        <n v="0.78"/>
        <n v="3.26"/>
        <n v="1.63"/>
        <n v="4.0599999999999996"/>
        <n v="3.13"/>
        <n v="8.1300000000000008"/>
        <n v="4.16"/>
        <n v="4.71"/>
        <n v="5.13"/>
        <n v="4.41"/>
        <n v="1.42"/>
        <n v="4.92"/>
        <n v="6.43"/>
        <n v="2.59"/>
        <n v="1.33"/>
        <n v="6.12"/>
        <n v="51.1"/>
        <n v="4.9800000000000004"/>
        <n v="1.1599999999999999"/>
        <n v="5.27"/>
        <n v="9.83"/>
        <n v="1.27"/>
        <n v="1.91"/>
        <n v="2.9"/>
        <n v="54.92"/>
        <n v="2.94"/>
        <n v="4.0999999999999996"/>
        <n v="1.64"/>
        <n v="10.9"/>
        <n v="12.73"/>
        <n v="71.23"/>
        <n v="40"/>
        <n v="0.45"/>
        <n v="6.48"/>
        <n v="10.76"/>
        <n v="4.4000000000000004"/>
        <n v="10.220000000000001"/>
        <n v="0.84"/>
        <n v="4.45"/>
        <n v="5.39"/>
        <n v="1.49"/>
        <n v="2.56"/>
        <n v="2.41"/>
        <n v="8.56"/>
        <n v="1.6"/>
        <n v="5.4"/>
        <n v="7.3"/>
        <n v="22.39"/>
        <n v="1.52"/>
        <n v="9.09"/>
        <n v="13.2"/>
        <n v="2.57"/>
        <n v="8.31"/>
        <n v="21.4"/>
        <n v="4.96"/>
        <n v="2.58"/>
        <n v="3.4"/>
        <n v="1.58"/>
        <n v="7.47"/>
        <n v="13"/>
        <n v="5.26"/>
        <n v="8.8000000000000007"/>
        <n v="2.2000000000000002"/>
        <n v="4.2"/>
        <n v="5.08"/>
        <n v="41.01"/>
        <n v="4.75"/>
        <n v="4.5999999999999996"/>
        <n v="5.52"/>
        <n v="11.6"/>
        <n v="0.65"/>
        <n v="1.77"/>
        <n v="8.93"/>
        <n v="8.69"/>
        <n v="5.92"/>
        <n v="5.77"/>
        <n v="7.83"/>
        <n v="5.34"/>
        <n v="1.81"/>
        <n v="5.15"/>
        <n v="0.67"/>
        <n v="0.51"/>
        <n v="0.6"/>
        <n v="0.59"/>
        <n v="0.66"/>
        <n v="0.36"/>
        <n v="3.85"/>
        <n v="0.33"/>
        <n v="0.63"/>
        <n v="0.57999999999999996"/>
        <n v="0.8"/>
        <n v="1.83"/>
        <n v="0.37"/>
        <n v="1.69"/>
        <n v="0.47"/>
        <n v="0.32"/>
        <n v="2.97"/>
        <n v="0.64"/>
        <n v="2.19"/>
        <n v="1.36"/>
        <n v="0.26"/>
        <n v="4.47"/>
        <n v="2.63"/>
        <n v="2.69"/>
        <n v="2.37"/>
        <n v="2.36"/>
        <n v="1.26"/>
        <n v="0.2"/>
        <n v="3.39"/>
        <n v="1.35"/>
        <n v="0.34"/>
        <n v="3.38"/>
        <n v="2.17"/>
        <n v="1.98"/>
        <n v="2.15"/>
        <n v="0.25"/>
        <n v="2.89"/>
        <n v="1.8"/>
        <n v="0.48"/>
        <n v="2.02"/>
        <n v="3.57"/>
        <n v="0.17"/>
        <n v="3.21"/>
        <n v="0.24"/>
        <n v="4.2300000000000004"/>
        <n v="2.52"/>
        <n v="2.42"/>
        <n v="3.42"/>
        <n v="6.3"/>
        <n v="1.99"/>
        <n v="2.0099999999999998"/>
        <n v="2.1"/>
        <n v="39.590000000000003"/>
        <n v="0.04"/>
        <n v="0.14000000000000001"/>
        <n v="6.85"/>
        <n v="5.9"/>
        <n v="6.26"/>
        <n v="16.21"/>
        <n v="0.23"/>
        <n v="2.21"/>
        <n v="2.1800000000000002"/>
        <n v="2.46"/>
        <n v="0.09"/>
        <n v="13.9"/>
        <n v="45.1"/>
        <n v="47.2"/>
        <n v="38.299999999999997"/>
        <n v="21"/>
        <n v="13.7"/>
        <n v="31.88"/>
        <n v="11.1"/>
        <n v="4.8499999999999996"/>
        <n v="11.4"/>
        <n v="15.1"/>
        <n v="12.3"/>
        <n v="14.1"/>
        <n v="26.8"/>
        <n v="12"/>
      </sharedItems>
    </cacheField>
    <cacheField name="st_dens" numFmtId="0">
      <sharedItems containsString="0" containsBlank="1" containsNumber="1" minValue="2.46E-2" maxValue="84.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72">
  <r>
    <x v="0"/>
    <x v="0"/>
    <x v="0"/>
    <x v="0"/>
    <x v="0"/>
    <x v="0"/>
    <x v="0"/>
    <x v="0"/>
    <x v="0"/>
    <n v="93.37"/>
    <x v="0"/>
    <x v="0"/>
    <x v="0"/>
    <n v="19.399999999999999"/>
    <m/>
    <m/>
    <x v="0"/>
    <x v="0"/>
    <m/>
  </r>
  <r>
    <x v="1"/>
    <x v="1"/>
    <x v="1"/>
    <x v="0"/>
    <x v="0"/>
    <x v="0"/>
    <x v="1"/>
    <x v="0"/>
    <x v="1"/>
    <n v="125.72"/>
    <x v="0"/>
    <x v="0"/>
    <x v="0"/>
    <n v="14.74"/>
    <m/>
    <m/>
    <x v="1"/>
    <x v="1"/>
    <m/>
  </r>
  <r>
    <x v="2"/>
    <x v="2"/>
    <x v="2"/>
    <x v="0"/>
    <x v="0"/>
    <x v="0"/>
    <x v="2"/>
    <x v="0"/>
    <x v="2"/>
    <n v="75.59"/>
    <x v="0"/>
    <x v="0"/>
    <x v="0"/>
    <n v="4.8"/>
    <m/>
    <m/>
    <x v="2"/>
    <x v="2"/>
    <m/>
  </r>
  <r>
    <x v="3"/>
    <x v="3"/>
    <x v="3"/>
    <x v="0"/>
    <x v="0"/>
    <x v="0"/>
    <x v="3"/>
    <x v="0"/>
    <x v="3"/>
    <n v="17.940000000000001"/>
    <x v="0"/>
    <x v="0"/>
    <x v="0"/>
    <n v="4.66"/>
    <m/>
    <m/>
    <x v="3"/>
    <x v="3"/>
    <m/>
  </r>
  <r>
    <x v="4"/>
    <x v="4"/>
    <x v="4"/>
    <x v="0"/>
    <x v="0"/>
    <x v="0"/>
    <x v="4"/>
    <x v="0"/>
    <x v="4"/>
    <n v="21.41"/>
    <x v="0"/>
    <x v="0"/>
    <x v="0"/>
    <n v="1.78"/>
    <m/>
    <m/>
    <x v="4"/>
    <x v="4"/>
    <m/>
  </r>
  <r>
    <x v="5"/>
    <x v="5"/>
    <x v="2"/>
    <x v="0"/>
    <x v="0"/>
    <x v="0"/>
    <x v="2"/>
    <x v="0"/>
    <x v="5"/>
    <n v="76.38"/>
    <x v="0"/>
    <x v="0"/>
    <x v="0"/>
    <n v="10.3"/>
    <m/>
    <m/>
    <x v="5"/>
    <x v="5"/>
    <m/>
  </r>
  <r>
    <x v="6"/>
    <x v="6"/>
    <x v="2"/>
    <x v="0"/>
    <x v="0"/>
    <x v="1"/>
    <x v="5"/>
    <x v="0"/>
    <x v="6"/>
    <n v="145"/>
    <x v="1"/>
    <x v="1"/>
    <x v="0"/>
    <n v="8"/>
    <m/>
    <m/>
    <x v="6"/>
    <x v="6"/>
    <m/>
  </r>
  <r>
    <x v="7"/>
    <x v="7"/>
    <x v="5"/>
    <x v="0"/>
    <x v="0"/>
    <x v="0"/>
    <x v="2"/>
    <x v="0"/>
    <x v="7"/>
    <n v="96.25"/>
    <x v="2"/>
    <x v="0"/>
    <x v="0"/>
    <n v="0.91"/>
    <m/>
    <m/>
    <x v="7"/>
    <x v="7"/>
    <m/>
  </r>
  <r>
    <x v="8"/>
    <x v="8"/>
    <x v="6"/>
    <x v="0"/>
    <x v="0"/>
    <x v="0"/>
    <x v="6"/>
    <x v="1"/>
    <x v="8"/>
    <n v="72.209999999999994"/>
    <x v="3"/>
    <x v="0"/>
    <x v="0"/>
    <n v="1.99"/>
    <m/>
    <m/>
    <x v="8"/>
    <x v="8"/>
    <m/>
  </r>
  <r>
    <x v="8"/>
    <x v="9"/>
    <x v="6"/>
    <x v="0"/>
    <x v="0"/>
    <x v="0"/>
    <x v="6"/>
    <x v="1"/>
    <x v="9"/>
    <n v="72.209999999999994"/>
    <x v="3"/>
    <x v="0"/>
    <x v="0"/>
    <n v="0.86"/>
    <m/>
    <m/>
    <x v="8"/>
    <x v="8"/>
    <m/>
  </r>
  <r>
    <x v="9"/>
    <x v="10"/>
    <x v="7"/>
    <x v="0"/>
    <x v="0"/>
    <x v="1"/>
    <x v="3"/>
    <x v="0"/>
    <x v="6"/>
    <n v="36"/>
    <x v="4"/>
    <x v="2"/>
    <x v="0"/>
    <n v="24.5"/>
    <m/>
    <m/>
    <x v="9"/>
    <x v="6"/>
    <m/>
  </r>
  <r>
    <x v="10"/>
    <x v="11"/>
    <x v="8"/>
    <x v="0"/>
    <x v="0"/>
    <x v="1"/>
    <x v="7"/>
    <x v="0"/>
    <x v="6"/>
    <n v="39.4"/>
    <x v="5"/>
    <x v="3"/>
    <x v="1"/>
    <n v="13.9"/>
    <n v="1.44"/>
    <m/>
    <x v="10"/>
    <x v="9"/>
    <m/>
  </r>
  <r>
    <x v="11"/>
    <x v="12"/>
    <x v="6"/>
    <x v="0"/>
    <x v="1"/>
    <x v="1"/>
    <x v="8"/>
    <x v="0"/>
    <x v="6"/>
    <n v="140"/>
    <x v="6"/>
    <x v="4"/>
    <x v="0"/>
    <n v="7.5"/>
    <m/>
    <m/>
    <x v="11"/>
    <x v="6"/>
    <m/>
  </r>
  <r>
    <x v="12"/>
    <x v="13"/>
    <x v="9"/>
    <x v="0"/>
    <x v="0"/>
    <x v="1"/>
    <x v="9"/>
    <x v="0"/>
    <x v="6"/>
    <n v="52.4"/>
    <x v="7"/>
    <x v="5"/>
    <x v="0"/>
    <n v="4"/>
    <m/>
    <m/>
    <x v="11"/>
    <x v="6"/>
    <m/>
  </r>
  <r>
    <x v="13"/>
    <x v="14"/>
    <x v="8"/>
    <x v="1"/>
    <x v="1"/>
    <x v="2"/>
    <x v="10"/>
    <x v="0"/>
    <x v="10"/>
    <n v="396.36"/>
    <x v="0"/>
    <x v="6"/>
    <x v="0"/>
    <n v="1.9"/>
    <m/>
    <m/>
    <x v="12"/>
    <x v="6"/>
    <m/>
  </r>
  <r>
    <x v="14"/>
    <x v="15"/>
    <x v="1"/>
    <x v="0"/>
    <x v="0"/>
    <x v="1"/>
    <x v="3"/>
    <x v="0"/>
    <x v="11"/>
    <n v="25"/>
    <x v="0"/>
    <x v="7"/>
    <x v="2"/>
    <n v="20.95"/>
    <n v="0.92"/>
    <m/>
    <x v="13"/>
    <x v="10"/>
    <m/>
  </r>
  <r>
    <x v="15"/>
    <x v="16"/>
    <x v="10"/>
    <x v="0"/>
    <x v="0"/>
    <x v="1"/>
    <x v="3"/>
    <x v="0"/>
    <x v="6"/>
    <n v="74"/>
    <x v="4"/>
    <x v="8"/>
    <x v="0"/>
    <n v="12.5"/>
    <m/>
    <m/>
    <x v="14"/>
    <x v="6"/>
    <m/>
  </r>
  <r>
    <x v="16"/>
    <x v="17"/>
    <x v="1"/>
    <x v="0"/>
    <x v="0"/>
    <x v="0"/>
    <x v="1"/>
    <x v="0"/>
    <x v="12"/>
    <n v="44.71"/>
    <x v="0"/>
    <x v="0"/>
    <x v="0"/>
    <n v="13.82"/>
    <m/>
    <m/>
    <x v="15"/>
    <x v="11"/>
    <m/>
  </r>
  <r>
    <x v="17"/>
    <x v="18"/>
    <x v="11"/>
    <x v="0"/>
    <x v="0"/>
    <x v="0"/>
    <x v="1"/>
    <x v="0"/>
    <x v="13"/>
    <n v="73.58"/>
    <x v="8"/>
    <x v="0"/>
    <x v="0"/>
    <n v="7.1"/>
    <m/>
    <m/>
    <x v="16"/>
    <x v="12"/>
    <m/>
  </r>
  <r>
    <x v="18"/>
    <x v="19"/>
    <x v="2"/>
    <x v="0"/>
    <x v="0"/>
    <x v="0"/>
    <x v="1"/>
    <x v="0"/>
    <x v="14"/>
    <n v="90.86"/>
    <x v="9"/>
    <x v="0"/>
    <x v="0"/>
    <n v="3.88"/>
    <m/>
    <m/>
    <x v="17"/>
    <x v="13"/>
    <m/>
  </r>
  <r>
    <x v="19"/>
    <x v="20"/>
    <x v="4"/>
    <x v="0"/>
    <x v="0"/>
    <x v="0"/>
    <x v="6"/>
    <x v="2"/>
    <x v="15"/>
    <n v="13.8"/>
    <x v="10"/>
    <x v="0"/>
    <x v="0"/>
    <n v="2.5299999999999998"/>
    <m/>
    <m/>
    <x v="18"/>
    <x v="14"/>
    <m/>
  </r>
  <r>
    <x v="19"/>
    <x v="21"/>
    <x v="12"/>
    <x v="0"/>
    <x v="0"/>
    <x v="0"/>
    <x v="6"/>
    <x v="2"/>
    <x v="16"/>
    <n v="13.8"/>
    <x v="10"/>
    <x v="0"/>
    <x v="0"/>
    <n v="0.54"/>
    <m/>
    <m/>
    <x v="18"/>
    <x v="14"/>
    <m/>
  </r>
  <r>
    <x v="19"/>
    <x v="22"/>
    <x v="1"/>
    <x v="0"/>
    <x v="0"/>
    <x v="0"/>
    <x v="6"/>
    <x v="2"/>
    <x v="17"/>
    <n v="13.8"/>
    <x v="10"/>
    <x v="0"/>
    <x v="0"/>
    <n v="1.64"/>
    <m/>
    <m/>
    <x v="18"/>
    <x v="14"/>
    <m/>
  </r>
  <r>
    <x v="20"/>
    <x v="23"/>
    <x v="8"/>
    <x v="0"/>
    <x v="0"/>
    <x v="1"/>
    <x v="5"/>
    <x v="0"/>
    <x v="6"/>
    <n v="29.4"/>
    <x v="11"/>
    <x v="9"/>
    <x v="0"/>
    <n v="2"/>
    <m/>
    <m/>
    <x v="19"/>
    <x v="6"/>
    <m/>
  </r>
  <r>
    <x v="21"/>
    <x v="24"/>
    <x v="13"/>
    <x v="0"/>
    <x v="0"/>
    <x v="0"/>
    <x v="11"/>
    <x v="0"/>
    <x v="18"/>
    <n v="15.47"/>
    <x v="12"/>
    <x v="0"/>
    <x v="0"/>
    <n v="0.47199999999999998"/>
    <m/>
    <m/>
    <x v="20"/>
    <x v="15"/>
    <m/>
  </r>
  <r>
    <x v="22"/>
    <x v="25"/>
    <x v="4"/>
    <x v="0"/>
    <x v="0"/>
    <x v="0"/>
    <x v="6"/>
    <x v="3"/>
    <x v="19"/>
    <n v="12.59"/>
    <x v="13"/>
    <x v="10"/>
    <x v="0"/>
    <n v="0.8306"/>
    <m/>
    <m/>
    <x v="21"/>
    <x v="16"/>
    <m/>
  </r>
  <r>
    <x v="22"/>
    <x v="26"/>
    <x v="9"/>
    <x v="0"/>
    <x v="0"/>
    <x v="0"/>
    <x v="12"/>
    <x v="3"/>
    <x v="20"/>
    <n v="12.59"/>
    <x v="13"/>
    <x v="11"/>
    <x v="0"/>
    <n v="0.1714"/>
    <m/>
    <m/>
    <x v="21"/>
    <x v="16"/>
    <m/>
  </r>
  <r>
    <x v="22"/>
    <x v="27"/>
    <x v="3"/>
    <x v="0"/>
    <x v="0"/>
    <x v="0"/>
    <x v="6"/>
    <x v="3"/>
    <x v="21"/>
    <n v="12.59"/>
    <x v="13"/>
    <x v="12"/>
    <x v="0"/>
    <n v="3.8780000000000001"/>
    <m/>
    <m/>
    <x v="21"/>
    <x v="16"/>
    <m/>
  </r>
  <r>
    <x v="22"/>
    <x v="28"/>
    <x v="9"/>
    <x v="0"/>
    <x v="0"/>
    <x v="0"/>
    <x v="12"/>
    <x v="3"/>
    <x v="22"/>
    <n v="12.59"/>
    <x v="13"/>
    <x v="13"/>
    <x v="3"/>
    <n v="2.5420000000000002E-2"/>
    <n v="0.17"/>
    <n v="6.4"/>
    <x v="21"/>
    <x v="16"/>
    <m/>
  </r>
  <r>
    <x v="22"/>
    <x v="29"/>
    <x v="0"/>
    <x v="0"/>
    <x v="0"/>
    <x v="0"/>
    <x v="4"/>
    <x v="3"/>
    <x v="23"/>
    <n v="12.59"/>
    <x v="13"/>
    <x v="14"/>
    <x v="0"/>
    <n v="0.14099999999999999"/>
    <m/>
    <m/>
    <x v="21"/>
    <x v="16"/>
    <m/>
  </r>
  <r>
    <x v="23"/>
    <x v="30"/>
    <x v="2"/>
    <x v="0"/>
    <x v="0"/>
    <x v="0"/>
    <x v="2"/>
    <x v="0"/>
    <x v="24"/>
    <n v="54.74"/>
    <x v="0"/>
    <x v="0"/>
    <x v="0"/>
    <n v="2.0099999999999998"/>
    <m/>
    <m/>
    <x v="22"/>
    <x v="17"/>
    <m/>
  </r>
  <r>
    <x v="24"/>
    <x v="31"/>
    <x v="1"/>
    <x v="0"/>
    <x v="0"/>
    <x v="0"/>
    <x v="4"/>
    <x v="2"/>
    <x v="25"/>
    <n v="8.51"/>
    <x v="14"/>
    <x v="0"/>
    <x v="0"/>
    <n v="1.6E-2"/>
    <m/>
    <m/>
    <x v="23"/>
    <x v="18"/>
    <m/>
  </r>
  <r>
    <x v="24"/>
    <x v="32"/>
    <x v="1"/>
    <x v="0"/>
    <x v="0"/>
    <x v="0"/>
    <x v="4"/>
    <x v="2"/>
    <x v="26"/>
    <n v="8.51"/>
    <x v="14"/>
    <x v="0"/>
    <x v="0"/>
    <n v="5.7000000000000002E-2"/>
    <m/>
    <m/>
    <x v="23"/>
    <x v="18"/>
    <m/>
  </r>
  <r>
    <x v="24"/>
    <x v="33"/>
    <x v="1"/>
    <x v="0"/>
    <x v="0"/>
    <x v="0"/>
    <x v="4"/>
    <x v="2"/>
    <x v="27"/>
    <n v="8.51"/>
    <x v="14"/>
    <x v="0"/>
    <x v="0"/>
    <n v="7.1999999999999995E-2"/>
    <m/>
    <m/>
    <x v="23"/>
    <x v="18"/>
    <m/>
  </r>
  <r>
    <x v="25"/>
    <x v="34"/>
    <x v="14"/>
    <x v="0"/>
    <x v="0"/>
    <x v="0"/>
    <x v="13"/>
    <x v="0"/>
    <x v="28"/>
    <n v="19.82"/>
    <x v="0"/>
    <x v="0"/>
    <x v="0"/>
    <n v="2.46"/>
    <m/>
    <m/>
    <x v="24"/>
    <x v="19"/>
    <m/>
  </r>
  <r>
    <x v="26"/>
    <x v="35"/>
    <x v="4"/>
    <x v="0"/>
    <x v="0"/>
    <x v="0"/>
    <x v="6"/>
    <x v="0"/>
    <x v="29"/>
    <n v="17.91"/>
    <x v="0"/>
    <x v="0"/>
    <x v="0"/>
    <n v="7.4160000000000004"/>
    <m/>
    <m/>
    <x v="25"/>
    <x v="20"/>
    <m/>
  </r>
  <r>
    <x v="27"/>
    <x v="36"/>
    <x v="15"/>
    <x v="0"/>
    <x v="0"/>
    <x v="0"/>
    <x v="2"/>
    <x v="0"/>
    <x v="30"/>
    <n v="83.15"/>
    <x v="0"/>
    <x v="0"/>
    <x v="0"/>
    <n v="3"/>
    <m/>
    <m/>
    <x v="26"/>
    <x v="21"/>
    <m/>
  </r>
  <r>
    <x v="28"/>
    <x v="37"/>
    <x v="8"/>
    <x v="0"/>
    <x v="0"/>
    <x v="0"/>
    <x v="14"/>
    <x v="0"/>
    <x v="31"/>
    <n v="159.1"/>
    <x v="0"/>
    <x v="0"/>
    <x v="0"/>
    <n v="1.31"/>
    <m/>
    <m/>
    <x v="22"/>
    <x v="22"/>
    <m/>
  </r>
  <r>
    <x v="29"/>
    <x v="38"/>
    <x v="2"/>
    <x v="0"/>
    <x v="0"/>
    <x v="0"/>
    <x v="2"/>
    <x v="0"/>
    <x v="32"/>
    <n v="101.53"/>
    <x v="0"/>
    <x v="0"/>
    <x v="0"/>
    <n v="5.3"/>
    <m/>
    <m/>
    <x v="27"/>
    <x v="2"/>
    <m/>
  </r>
  <r>
    <x v="30"/>
    <x v="39"/>
    <x v="7"/>
    <x v="0"/>
    <x v="0"/>
    <x v="0"/>
    <x v="6"/>
    <x v="0"/>
    <x v="33"/>
    <n v="44.08"/>
    <x v="15"/>
    <x v="0"/>
    <x v="0"/>
    <n v="3.2"/>
    <m/>
    <m/>
    <x v="28"/>
    <x v="2"/>
    <m/>
  </r>
  <r>
    <x v="31"/>
    <x v="40"/>
    <x v="16"/>
    <x v="0"/>
    <x v="0"/>
    <x v="1"/>
    <x v="9"/>
    <x v="0"/>
    <x v="6"/>
    <n v="50.12"/>
    <x v="16"/>
    <x v="15"/>
    <x v="0"/>
    <n v="13.5"/>
    <m/>
    <m/>
    <x v="29"/>
    <x v="6"/>
    <m/>
  </r>
  <r>
    <x v="32"/>
    <x v="41"/>
    <x v="17"/>
    <x v="0"/>
    <x v="0"/>
    <x v="0"/>
    <x v="4"/>
    <x v="0"/>
    <x v="34"/>
    <n v="2618"/>
    <x v="17"/>
    <x v="0"/>
    <x v="0"/>
    <n v="6.4"/>
    <m/>
    <m/>
    <x v="30"/>
    <x v="23"/>
    <m/>
  </r>
  <r>
    <x v="33"/>
    <x v="42"/>
    <x v="1"/>
    <x v="0"/>
    <x v="0"/>
    <x v="0"/>
    <x v="12"/>
    <x v="0"/>
    <x v="35"/>
    <n v="49.42"/>
    <x v="0"/>
    <x v="0"/>
    <x v="0"/>
    <n v="1.04"/>
    <m/>
    <m/>
    <x v="31"/>
    <x v="24"/>
    <m/>
  </r>
  <r>
    <x v="34"/>
    <x v="43"/>
    <x v="10"/>
    <x v="0"/>
    <x v="0"/>
    <x v="0"/>
    <x v="15"/>
    <x v="0"/>
    <x v="36"/>
    <n v="774"/>
    <x v="18"/>
    <x v="0"/>
    <x v="0"/>
    <n v="1.0609999999999999"/>
    <m/>
    <m/>
    <x v="4"/>
    <x v="25"/>
    <m/>
  </r>
  <r>
    <x v="35"/>
    <x v="44"/>
    <x v="7"/>
    <x v="0"/>
    <x v="0"/>
    <x v="0"/>
    <x v="12"/>
    <x v="0"/>
    <x v="37"/>
    <n v="431.61"/>
    <x v="19"/>
    <x v="0"/>
    <x v="0"/>
    <n v="1.1100000000000001"/>
    <m/>
    <m/>
    <x v="32"/>
    <x v="26"/>
    <m/>
  </r>
  <r>
    <x v="36"/>
    <x v="45"/>
    <x v="1"/>
    <x v="0"/>
    <x v="0"/>
    <x v="0"/>
    <x v="12"/>
    <x v="1"/>
    <x v="38"/>
    <n v="200"/>
    <x v="0"/>
    <x v="0"/>
    <x v="0"/>
    <n v="55.59"/>
    <m/>
    <m/>
    <x v="33"/>
    <x v="27"/>
    <m/>
  </r>
  <r>
    <x v="36"/>
    <x v="46"/>
    <x v="1"/>
    <x v="0"/>
    <x v="0"/>
    <x v="0"/>
    <x v="12"/>
    <x v="1"/>
    <x v="39"/>
    <n v="200"/>
    <x v="0"/>
    <x v="0"/>
    <x v="0"/>
    <n v="12.47"/>
    <m/>
    <m/>
    <x v="33"/>
    <x v="27"/>
    <m/>
  </r>
  <r>
    <x v="37"/>
    <x v="47"/>
    <x v="15"/>
    <x v="0"/>
    <x v="0"/>
    <x v="0"/>
    <x v="12"/>
    <x v="0"/>
    <x v="40"/>
    <n v="1383.85"/>
    <x v="0"/>
    <x v="0"/>
    <x v="0"/>
    <n v="4.2"/>
    <m/>
    <m/>
    <x v="34"/>
    <x v="28"/>
    <m/>
  </r>
  <r>
    <x v="38"/>
    <x v="48"/>
    <x v="10"/>
    <x v="0"/>
    <x v="1"/>
    <x v="3"/>
    <x v="16"/>
    <x v="0"/>
    <x v="41"/>
    <n v="180.39"/>
    <x v="0"/>
    <x v="16"/>
    <x v="4"/>
    <n v="7.0000000000000007E-2"/>
    <n v="0.23"/>
    <m/>
    <x v="35"/>
    <x v="29"/>
    <n v="1.89"/>
  </r>
  <r>
    <x v="39"/>
    <x v="49"/>
    <x v="14"/>
    <x v="0"/>
    <x v="0"/>
    <x v="0"/>
    <x v="12"/>
    <x v="0"/>
    <x v="42"/>
    <n v="892.17"/>
    <x v="0"/>
    <x v="0"/>
    <x v="0"/>
    <n v="0.91"/>
    <m/>
    <m/>
    <x v="36"/>
    <x v="2"/>
    <m/>
  </r>
  <r>
    <x v="40"/>
    <x v="50"/>
    <x v="5"/>
    <x v="0"/>
    <x v="0"/>
    <x v="0"/>
    <x v="4"/>
    <x v="0"/>
    <x v="43"/>
    <n v="678.94"/>
    <x v="0"/>
    <x v="0"/>
    <x v="0"/>
    <n v="1.7"/>
    <m/>
    <m/>
    <x v="25"/>
    <x v="30"/>
    <m/>
  </r>
  <r>
    <x v="41"/>
    <x v="51"/>
    <x v="8"/>
    <x v="0"/>
    <x v="0"/>
    <x v="0"/>
    <x v="12"/>
    <x v="0"/>
    <x v="44"/>
    <n v="447.59"/>
    <x v="20"/>
    <x v="0"/>
    <x v="0"/>
    <n v="1.6"/>
    <m/>
    <m/>
    <x v="24"/>
    <x v="31"/>
    <m/>
  </r>
  <r>
    <x v="42"/>
    <x v="52"/>
    <x v="7"/>
    <x v="0"/>
    <x v="0"/>
    <x v="0"/>
    <x v="17"/>
    <x v="1"/>
    <x v="45"/>
    <n v="20.28"/>
    <x v="21"/>
    <x v="0"/>
    <x v="0"/>
    <n v="2.7E-2"/>
    <m/>
    <m/>
    <x v="37"/>
    <x v="6"/>
    <m/>
  </r>
  <r>
    <x v="42"/>
    <x v="53"/>
    <x v="7"/>
    <x v="0"/>
    <x v="0"/>
    <x v="0"/>
    <x v="17"/>
    <x v="1"/>
    <x v="46"/>
    <n v="20.28"/>
    <x v="21"/>
    <x v="0"/>
    <x v="0"/>
    <n v="0.17"/>
    <m/>
    <m/>
    <x v="37"/>
    <x v="6"/>
    <m/>
  </r>
  <r>
    <x v="43"/>
    <x v="54"/>
    <x v="1"/>
    <x v="0"/>
    <x v="0"/>
    <x v="0"/>
    <x v="17"/>
    <x v="1"/>
    <x v="47"/>
    <n v="41.38"/>
    <x v="0"/>
    <x v="0"/>
    <x v="0"/>
    <n v="0.04"/>
    <m/>
    <m/>
    <x v="38"/>
    <x v="32"/>
    <m/>
  </r>
  <r>
    <x v="43"/>
    <x v="55"/>
    <x v="1"/>
    <x v="0"/>
    <x v="0"/>
    <x v="0"/>
    <x v="17"/>
    <x v="1"/>
    <x v="48"/>
    <n v="41.38"/>
    <x v="0"/>
    <x v="0"/>
    <x v="0"/>
    <n v="0.33"/>
    <m/>
    <m/>
    <x v="38"/>
    <x v="32"/>
    <m/>
  </r>
  <r>
    <x v="44"/>
    <x v="56"/>
    <x v="18"/>
    <x v="0"/>
    <x v="0"/>
    <x v="0"/>
    <x v="3"/>
    <x v="0"/>
    <x v="49"/>
    <n v="80"/>
    <x v="0"/>
    <x v="0"/>
    <x v="0"/>
    <n v="0.59"/>
    <m/>
    <m/>
    <x v="39"/>
    <x v="33"/>
    <m/>
  </r>
  <r>
    <x v="45"/>
    <x v="57"/>
    <x v="19"/>
    <x v="0"/>
    <x v="0"/>
    <x v="0"/>
    <x v="17"/>
    <x v="0"/>
    <x v="50"/>
    <n v="27.3"/>
    <x v="21"/>
    <x v="0"/>
    <x v="0"/>
    <n v="0.53"/>
    <m/>
    <m/>
    <x v="40"/>
    <x v="34"/>
    <m/>
  </r>
  <r>
    <x v="46"/>
    <x v="58"/>
    <x v="0"/>
    <x v="0"/>
    <x v="0"/>
    <x v="0"/>
    <x v="17"/>
    <x v="0"/>
    <x v="51"/>
    <n v="766"/>
    <x v="0"/>
    <x v="0"/>
    <x v="0"/>
    <n v="9.7799999999999994"/>
    <m/>
    <m/>
    <x v="41"/>
    <x v="35"/>
    <m/>
  </r>
  <r>
    <x v="47"/>
    <x v="59"/>
    <x v="2"/>
    <x v="0"/>
    <x v="0"/>
    <x v="0"/>
    <x v="17"/>
    <x v="0"/>
    <x v="52"/>
    <n v="34.49"/>
    <x v="0"/>
    <x v="0"/>
    <x v="0"/>
    <n v="2.85"/>
    <m/>
    <m/>
    <x v="42"/>
    <x v="36"/>
    <m/>
  </r>
  <r>
    <x v="48"/>
    <x v="60"/>
    <x v="14"/>
    <x v="0"/>
    <x v="0"/>
    <x v="1"/>
    <x v="3"/>
    <x v="0"/>
    <x v="53"/>
    <n v="23.1"/>
    <x v="0"/>
    <x v="17"/>
    <x v="0"/>
    <n v="10.5"/>
    <m/>
    <m/>
    <x v="11"/>
    <x v="6"/>
    <m/>
  </r>
  <r>
    <x v="49"/>
    <x v="61"/>
    <x v="11"/>
    <x v="0"/>
    <x v="1"/>
    <x v="1"/>
    <x v="8"/>
    <x v="0"/>
    <x v="6"/>
    <n v="191.05"/>
    <x v="22"/>
    <x v="18"/>
    <x v="0"/>
    <n v="12.569000000000001"/>
    <m/>
    <m/>
    <x v="43"/>
    <x v="6"/>
    <m/>
  </r>
  <r>
    <x v="50"/>
    <x v="62"/>
    <x v="0"/>
    <x v="0"/>
    <x v="0"/>
    <x v="1"/>
    <x v="9"/>
    <x v="0"/>
    <x v="6"/>
    <n v="165"/>
    <x v="22"/>
    <x v="19"/>
    <x v="5"/>
    <n v="17"/>
    <n v="2.2000000000000002"/>
    <m/>
    <x v="29"/>
    <x v="6"/>
    <m/>
  </r>
  <r>
    <x v="51"/>
    <x v="63"/>
    <x v="2"/>
    <x v="0"/>
    <x v="1"/>
    <x v="3"/>
    <x v="18"/>
    <x v="0"/>
    <x v="54"/>
    <n v="805.31"/>
    <x v="0"/>
    <x v="20"/>
    <x v="6"/>
    <n v="1.03"/>
    <n v="1.49"/>
    <n v="0.38"/>
    <x v="44"/>
    <x v="37"/>
    <m/>
  </r>
  <r>
    <x v="52"/>
    <x v="64"/>
    <x v="6"/>
    <x v="0"/>
    <x v="1"/>
    <x v="3"/>
    <x v="18"/>
    <x v="0"/>
    <x v="55"/>
    <n v="345"/>
    <x v="23"/>
    <x v="21"/>
    <x v="7"/>
    <n v="2.75"/>
    <n v="0.97"/>
    <n v="3.7"/>
    <x v="45"/>
    <x v="38"/>
    <n v="3.32"/>
  </r>
  <r>
    <x v="53"/>
    <x v="65"/>
    <x v="6"/>
    <x v="0"/>
    <x v="1"/>
    <x v="3"/>
    <x v="18"/>
    <x v="0"/>
    <x v="56"/>
    <n v="560"/>
    <x v="24"/>
    <x v="22"/>
    <x v="8"/>
    <n v="2.33"/>
    <n v="1.43"/>
    <n v="0.99"/>
    <x v="46"/>
    <x v="39"/>
    <n v="0.69"/>
  </r>
  <r>
    <x v="54"/>
    <x v="66"/>
    <x v="6"/>
    <x v="0"/>
    <x v="1"/>
    <x v="3"/>
    <x v="18"/>
    <x v="0"/>
    <x v="57"/>
    <n v="1150"/>
    <x v="25"/>
    <x v="23"/>
    <x v="9"/>
    <n v="0.91700000000000004"/>
    <n v="1.44"/>
    <n v="0.41099999999999998"/>
    <x v="4"/>
    <x v="40"/>
    <n v="1.08"/>
  </r>
  <r>
    <x v="55"/>
    <x v="67"/>
    <x v="6"/>
    <x v="0"/>
    <x v="1"/>
    <x v="3"/>
    <x v="18"/>
    <x v="0"/>
    <x v="58"/>
    <n v="1060"/>
    <x v="26"/>
    <x v="24"/>
    <x v="10"/>
    <n v="1.3080000000000001"/>
    <n v="0.88500000000000001"/>
    <n v="2.34"/>
    <x v="25"/>
    <x v="41"/>
    <n v="1.468"/>
  </r>
  <r>
    <x v="56"/>
    <x v="68"/>
    <x v="6"/>
    <x v="0"/>
    <x v="1"/>
    <x v="3"/>
    <x v="18"/>
    <x v="0"/>
    <x v="59"/>
    <n v="1340"/>
    <x v="27"/>
    <x v="25"/>
    <x v="11"/>
    <n v="7.6"/>
    <n v="1.0900000000000001"/>
    <n v="7.3"/>
    <x v="47"/>
    <x v="42"/>
    <n v="0.91"/>
  </r>
  <r>
    <x v="57"/>
    <x v="69"/>
    <x v="14"/>
    <x v="0"/>
    <x v="1"/>
    <x v="3"/>
    <x v="18"/>
    <x v="0"/>
    <x v="60"/>
    <n v="840"/>
    <x v="28"/>
    <x v="26"/>
    <x v="12"/>
    <n v="0.53500000000000003"/>
    <n v="1.17"/>
    <n v="0.44"/>
    <x v="32"/>
    <x v="43"/>
    <n v="0.93"/>
  </r>
  <r>
    <x v="58"/>
    <x v="70"/>
    <x v="14"/>
    <x v="0"/>
    <x v="1"/>
    <x v="3"/>
    <x v="18"/>
    <x v="0"/>
    <x v="61"/>
    <n v="920"/>
    <x v="29"/>
    <x v="27"/>
    <x v="13"/>
    <n v="2.4300000000000002"/>
    <n v="1.02"/>
    <n v="2.82"/>
    <x v="48"/>
    <x v="44"/>
    <n v="0.32"/>
  </r>
  <r>
    <x v="59"/>
    <x v="71"/>
    <x v="14"/>
    <x v="0"/>
    <x v="1"/>
    <x v="3"/>
    <x v="18"/>
    <x v="0"/>
    <x v="62"/>
    <n v="870"/>
    <x v="0"/>
    <x v="28"/>
    <x v="14"/>
    <n v="3.47"/>
    <n v="1.31"/>
    <n v="2.2000000000000002"/>
    <x v="44"/>
    <x v="45"/>
    <n v="1.35"/>
  </r>
  <r>
    <x v="60"/>
    <x v="72"/>
    <x v="14"/>
    <x v="0"/>
    <x v="1"/>
    <x v="3"/>
    <x v="18"/>
    <x v="0"/>
    <x v="63"/>
    <n v="770"/>
    <x v="30"/>
    <x v="29"/>
    <x v="15"/>
    <n v="1.1100000000000001"/>
    <n v="1.29"/>
    <n v="0.71"/>
    <x v="49"/>
    <x v="46"/>
    <n v="0.38"/>
  </r>
  <r>
    <x v="61"/>
    <x v="73"/>
    <x v="2"/>
    <x v="0"/>
    <x v="1"/>
    <x v="3"/>
    <x v="18"/>
    <x v="0"/>
    <x v="64"/>
    <n v="200"/>
    <x v="3"/>
    <x v="28"/>
    <x v="16"/>
    <n v="3.47"/>
    <n v="1.466"/>
    <n v="1.47"/>
    <x v="50"/>
    <x v="33"/>
    <n v="1.8140000000000001"/>
  </r>
  <r>
    <x v="62"/>
    <x v="74"/>
    <x v="14"/>
    <x v="0"/>
    <x v="1"/>
    <x v="3"/>
    <x v="18"/>
    <x v="1"/>
    <x v="65"/>
    <n v="864.31"/>
    <x v="0"/>
    <x v="30"/>
    <x v="0"/>
    <n v="4.3"/>
    <m/>
    <m/>
    <x v="30"/>
    <x v="6"/>
    <m/>
  </r>
  <r>
    <x v="62"/>
    <x v="75"/>
    <x v="5"/>
    <x v="0"/>
    <x v="0"/>
    <x v="0"/>
    <x v="4"/>
    <x v="1"/>
    <x v="66"/>
    <n v="864.31"/>
    <x v="0"/>
    <x v="0"/>
    <x v="0"/>
    <n v="17"/>
    <m/>
    <m/>
    <x v="30"/>
    <x v="6"/>
    <m/>
  </r>
  <r>
    <x v="63"/>
    <x v="76"/>
    <x v="15"/>
    <x v="0"/>
    <x v="1"/>
    <x v="3"/>
    <x v="18"/>
    <x v="0"/>
    <x v="67"/>
    <n v="1398.83"/>
    <x v="31"/>
    <x v="31"/>
    <x v="17"/>
    <n v="2.2599999999999998"/>
    <n v="1.3"/>
    <n v="1.36"/>
    <x v="51"/>
    <x v="47"/>
    <n v="0.255"/>
  </r>
  <r>
    <x v="64"/>
    <x v="77"/>
    <x v="19"/>
    <x v="0"/>
    <x v="1"/>
    <x v="3"/>
    <x v="18"/>
    <x v="0"/>
    <x v="68"/>
    <n v="592"/>
    <x v="32"/>
    <x v="32"/>
    <x v="18"/>
    <n v="3.7999999999999999E-2"/>
    <n v="0.435"/>
    <n v="0.249"/>
    <x v="32"/>
    <x v="48"/>
    <n v="1.0269999999999999"/>
  </r>
  <r>
    <x v="65"/>
    <x v="78"/>
    <x v="14"/>
    <x v="0"/>
    <x v="1"/>
    <x v="3"/>
    <x v="18"/>
    <x v="0"/>
    <x v="69"/>
    <n v="600"/>
    <x v="33"/>
    <x v="33"/>
    <x v="19"/>
    <n v="2.8"/>
    <n v="1.05"/>
    <n v="3"/>
    <x v="30"/>
    <x v="49"/>
    <n v="0.5"/>
  </r>
  <r>
    <x v="66"/>
    <x v="79"/>
    <x v="19"/>
    <x v="0"/>
    <x v="1"/>
    <x v="3"/>
    <x v="18"/>
    <x v="1"/>
    <x v="70"/>
    <n v="600"/>
    <x v="34"/>
    <x v="34"/>
    <x v="20"/>
    <n v="1.7999999999999999E-2"/>
    <n v="0.33"/>
    <n v="0.9"/>
    <x v="21"/>
    <x v="24"/>
    <m/>
  </r>
  <r>
    <x v="66"/>
    <x v="80"/>
    <x v="19"/>
    <x v="0"/>
    <x v="1"/>
    <x v="3"/>
    <x v="18"/>
    <x v="1"/>
    <x v="71"/>
    <n v="600"/>
    <x v="34"/>
    <x v="35"/>
    <x v="21"/>
    <n v="8.7999999999999995E-2"/>
    <n v="0.44"/>
    <n v="1.3"/>
    <x v="21"/>
    <x v="24"/>
    <m/>
  </r>
  <r>
    <x v="67"/>
    <x v="81"/>
    <x v="7"/>
    <x v="0"/>
    <x v="1"/>
    <x v="3"/>
    <x v="18"/>
    <x v="0"/>
    <x v="72"/>
    <n v="1000"/>
    <x v="35"/>
    <x v="36"/>
    <x v="22"/>
    <n v="0.27"/>
    <n v="1.08"/>
    <n v="0.15"/>
    <x v="25"/>
    <x v="43"/>
    <m/>
  </r>
  <r>
    <x v="68"/>
    <x v="82"/>
    <x v="7"/>
    <x v="0"/>
    <x v="1"/>
    <x v="3"/>
    <x v="18"/>
    <x v="0"/>
    <x v="73"/>
    <n v="1670"/>
    <x v="36"/>
    <x v="37"/>
    <x v="23"/>
    <n v="0.52"/>
    <n v="1.26"/>
    <n v="0.28000000000000003"/>
    <x v="25"/>
    <x v="50"/>
    <m/>
  </r>
  <r>
    <x v="69"/>
    <x v="83"/>
    <x v="19"/>
    <x v="0"/>
    <x v="1"/>
    <x v="3"/>
    <x v="18"/>
    <x v="0"/>
    <x v="74"/>
    <n v="1035.1500000000001"/>
    <x v="37"/>
    <x v="38"/>
    <x v="24"/>
    <n v="10.39"/>
    <n v="1.0069999999999999"/>
    <n v="12.6"/>
    <x v="52"/>
    <x v="29"/>
    <n v="1.24"/>
  </r>
  <r>
    <x v="70"/>
    <x v="84"/>
    <x v="8"/>
    <x v="0"/>
    <x v="1"/>
    <x v="3"/>
    <x v="18"/>
    <x v="0"/>
    <x v="75"/>
    <n v="560"/>
    <x v="38"/>
    <x v="39"/>
    <x v="25"/>
    <n v="0.48399999999999999"/>
    <n v="0.95499999999999996"/>
    <n v="0.69"/>
    <x v="53"/>
    <x v="51"/>
    <n v="0.27"/>
  </r>
  <r>
    <x v="71"/>
    <x v="85"/>
    <x v="8"/>
    <x v="0"/>
    <x v="1"/>
    <x v="3"/>
    <x v="18"/>
    <x v="0"/>
    <x v="76"/>
    <n v="765"/>
    <x v="35"/>
    <x v="40"/>
    <x v="26"/>
    <n v="0.85"/>
    <n v="0.9"/>
    <n v="1.45"/>
    <x v="54"/>
    <x v="52"/>
    <n v="1.825"/>
  </r>
  <r>
    <x v="72"/>
    <x v="86"/>
    <x v="2"/>
    <x v="0"/>
    <x v="1"/>
    <x v="3"/>
    <x v="18"/>
    <x v="0"/>
    <x v="77"/>
    <n v="680"/>
    <x v="39"/>
    <x v="41"/>
    <x v="27"/>
    <n v="21.66"/>
    <n v="1.01"/>
    <n v="26.4"/>
    <x v="55"/>
    <x v="53"/>
    <m/>
  </r>
  <r>
    <x v="73"/>
    <x v="87"/>
    <x v="2"/>
    <x v="0"/>
    <x v="1"/>
    <x v="3"/>
    <x v="18"/>
    <x v="0"/>
    <x v="78"/>
    <n v="741.6"/>
    <x v="40"/>
    <x v="42"/>
    <x v="28"/>
    <n v="0.72"/>
    <n v="1.19"/>
    <n v="0.52500000000000002"/>
    <x v="56"/>
    <x v="54"/>
    <m/>
  </r>
  <r>
    <x v="74"/>
    <x v="88"/>
    <x v="1"/>
    <x v="0"/>
    <x v="1"/>
    <x v="3"/>
    <x v="18"/>
    <x v="0"/>
    <x v="79"/>
    <n v="904.65"/>
    <x v="41"/>
    <x v="43"/>
    <x v="29"/>
    <n v="0.46700000000000003"/>
    <n v="1.3879999999999999"/>
    <n v="0.217"/>
    <x v="57"/>
    <x v="43"/>
    <m/>
  </r>
  <r>
    <x v="75"/>
    <x v="89"/>
    <x v="1"/>
    <x v="0"/>
    <x v="1"/>
    <x v="3"/>
    <x v="18"/>
    <x v="0"/>
    <x v="80"/>
    <n v="657.24"/>
    <x v="0"/>
    <x v="44"/>
    <x v="30"/>
    <n v="2.96"/>
    <n v="1.1659999999999999"/>
    <n v="2.3199999999999998"/>
    <x v="52"/>
    <x v="55"/>
    <m/>
  </r>
  <r>
    <x v="76"/>
    <x v="90"/>
    <x v="1"/>
    <x v="0"/>
    <x v="1"/>
    <x v="3"/>
    <x v="18"/>
    <x v="1"/>
    <x v="81"/>
    <n v="153.69999999999999"/>
    <x v="0"/>
    <x v="45"/>
    <x v="31"/>
    <n v="0.01"/>
    <n v="0.15"/>
    <m/>
    <x v="58"/>
    <x v="56"/>
    <n v="2"/>
  </r>
  <r>
    <x v="76"/>
    <x v="91"/>
    <x v="1"/>
    <x v="0"/>
    <x v="1"/>
    <x v="0"/>
    <x v="18"/>
    <x v="1"/>
    <x v="82"/>
    <n v="153.69999999999999"/>
    <x v="0"/>
    <x v="46"/>
    <x v="0"/>
    <n v="2.6429999999999999E-2"/>
    <m/>
    <m/>
    <x v="58"/>
    <x v="56"/>
    <n v="2"/>
  </r>
  <r>
    <x v="77"/>
    <x v="92"/>
    <x v="6"/>
    <x v="0"/>
    <x v="1"/>
    <x v="3"/>
    <x v="18"/>
    <x v="0"/>
    <x v="83"/>
    <n v="380"/>
    <x v="23"/>
    <x v="47"/>
    <x v="32"/>
    <n v="0.22"/>
    <n v="0.56999999999999995"/>
    <n v="1.6"/>
    <x v="59"/>
    <x v="57"/>
    <n v="2.7"/>
  </r>
  <r>
    <x v="78"/>
    <x v="93"/>
    <x v="1"/>
    <x v="0"/>
    <x v="1"/>
    <x v="3"/>
    <x v="18"/>
    <x v="0"/>
    <x v="84"/>
    <n v="460"/>
    <x v="42"/>
    <x v="48"/>
    <x v="33"/>
    <n v="0.84"/>
    <n v="1.0660000000000001"/>
    <n v="0.86"/>
    <x v="50"/>
    <x v="18"/>
    <n v="1.51"/>
  </r>
  <r>
    <x v="79"/>
    <x v="94"/>
    <x v="17"/>
    <x v="0"/>
    <x v="1"/>
    <x v="3"/>
    <x v="18"/>
    <x v="0"/>
    <x v="85"/>
    <n v="586.20000000000005"/>
    <x v="0"/>
    <x v="49"/>
    <x v="34"/>
    <n v="0.15"/>
    <n v="0.56999999999999995"/>
    <n v="1.1000000000000001"/>
    <x v="4"/>
    <x v="38"/>
    <m/>
  </r>
  <r>
    <x v="80"/>
    <x v="95"/>
    <x v="7"/>
    <x v="0"/>
    <x v="0"/>
    <x v="4"/>
    <x v="9"/>
    <x v="0"/>
    <x v="86"/>
    <n v="20.77"/>
    <x v="40"/>
    <x v="50"/>
    <x v="0"/>
    <n v="28.5"/>
    <m/>
    <m/>
    <x v="60"/>
    <x v="6"/>
    <m/>
  </r>
  <r>
    <x v="81"/>
    <x v="96"/>
    <x v="9"/>
    <x v="0"/>
    <x v="0"/>
    <x v="1"/>
    <x v="19"/>
    <x v="0"/>
    <x v="6"/>
    <n v="140"/>
    <x v="6"/>
    <x v="51"/>
    <x v="0"/>
    <n v="11"/>
    <m/>
    <m/>
    <x v="61"/>
    <x v="58"/>
    <m/>
  </r>
  <r>
    <x v="82"/>
    <x v="97"/>
    <x v="1"/>
    <x v="0"/>
    <x v="0"/>
    <x v="2"/>
    <x v="20"/>
    <x v="0"/>
    <x v="87"/>
    <n v="305.06"/>
    <x v="0"/>
    <x v="0"/>
    <x v="0"/>
    <n v="6.05"/>
    <m/>
    <m/>
    <x v="29"/>
    <x v="59"/>
    <m/>
  </r>
  <r>
    <x v="83"/>
    <x v="98"/>
    <x v="10"/>
    <x v="0"/>
    <x v="1"/>
    <x v="3"/>
    <x v="16"/>
    <x v="0"/>
    <x v="88"/>
    <n v="187.19"/>
    <x v="0"/>
    <x v="0"/>
    <x v="35"/>
    <m/>
    <n v="0.17699999999999999"/>
    <m/>
    <x v="62"/>
    <x v="60"/>
    <m/>
  </r>
  <r>
    <x v="84"/>
    <x v="99"/>
    <x v="5"/>
    <x v="0"/>
    <x v="1"/>
    <x v="3"/>
    <x v="16"/>
    <x v="0"/>
    <x v="89"/>
    <n v="182.69"/>
    <x v="0"/>
    <x v="0"/>
    <x v="36"/>
    <m/>
    <n v="0.51400000000000001"/>
    <m/>
    <x v="63"/>
    <x v="61"/>
    <n v="2.2530000000000001"/>
  </r>
  <r>
    <x v="85"/>
    <x v="100"/>
    <x v="10"/>
    <x v="0"/>
    <x v="1"/>
    <x v="3"/>
    <x v="16"/>
    <x v="1"/>
    <x v="90"/>
    <n v="246.1"/>
    <x v="0"/>
    <x v="0"/>
    <x v="37"/>
    <m/>
    <n v="0.16200000000000001"/>
    <m/>
    <x v="54"/>
    <x v="62"/>
    <m/>
  </r>
  <r>
    <x v="85"/>
    <x v="101"/>
    <x v="10"/>
    <x v="0"/>
    <x v="1"/>
    <x v="3"/>
    <x v="16"/>
    <x v="1"/>
    <x v="91"/>
    <n v="246.1"/>
    <x v="0"/>
    <x v="0"/>
    <x v="38"/>
    <m/>
    <n v="0.24399999999999999"/>
    <m/>
    <x v="54"/>
    <x v="62"/>
    <m/>
  </r>
  <r>
    <x v="86"/>
    <x v="102"/>
    <x v="5"/>
    <x v="0"/>
    <x v="1"/>
    <x v="3"/>
    <x v="16"/>
    <x v="0"/>
    <x v="92"/>
    <n v="336.7"/>
    <x v="43"/>
    <x v="52"/>
    <x v="39"/>
    <n v="3"/>
    <n v="1.0509999999999999"/>
    <n v="3.1"/>
    <x v="64"/>
    <x v="44"/>
    <n v="0.46500000000000002"/>
  </r>
  <r>
    <x v="87"/>
    <x v="103"/>
    <x v="2"/>
    <x v="0"/>
    <x v="1"/>
    <x v="1"/>
    <x v="21"/>
    <x v="0"/>
    <x v="6"/>
    <n v="140"/>
    <x v="6"/>
    <x v="53"/>
    <x v="0"/>
    <n v="16"/>
    <m/>
    <m/>
    <x v="65"/>
    <x v="6"/>
    <m/>
  </r>
  <r>
    <x v="88"/>
    <x v="104"/>
    <x v="2"/>
    <x v="0"/>
    <x v="1"/>
    <x v="1"/>
    <x v="8"/>
    <x v="0"/>
    <x v="93"/>
    <n v="7.7"/>
    <x v="0"/>
    <x v="0"/>
    <x v="0"/>
    <m/>
    <m/>
    <m/>
    <x v="66"/>
    <x v="6"/>
    <m/>
  </r>
  <r>
    <x v="89"/>
    <x v="105"/>
    <x v="8"/>
    <x v="0"/>
    <x v="0"/>
    <x v="3"/>
    <x v="7"/>
    <x v="1"/>
    <x v="94"/>
    <n v="12.04"/>
    <x v="0"/>
    <x v="54"/>
    <x v="0"/>
    <n v="5.2199999999999998E-3"/>
    <m/>
    <n v="6.3"/>
    <x v="67"/>
    <x v="63"/>
    <m/>
  </r>
  <r>
    <x v="89"/>
    <x v="106"/>
    <x v="5"/>
    <x v="0"/>
    <x v="0"/>
    <x v="3"/>
    <x v="17"/>
    <x v="1"/>
    <x v="95"/>
    <n v="12.04"/>
    <x v="0"/>
    <x v="0"/>
    <x v="0"/>
    <n v="8.3099999999999997E-3"/>
    <m/>
    <m/>
    <x v="67"/>
    <x v="63"/>
    <m/>
  </r>
  <r>
    <x v="90"/>
    <x v="107"/>
    <x v="6"/>
    <x v="0"/>
    <x v="0"/>
    <x v="0"/>
    <x v="3"/>
    <x v="1"/>
    <x v="96"/>
    <n v="11.02"/>
    <x v="0"/>
    <x v="0"/>
    <x v="0"/>
    <n v="0.30425000000000002"/>
    <m/>
    <m/>
    <x v="43"/>
    <x v="64"/>
    <m/>
  </r>
  <r>
    <x v="90"/>
    <x v="108"/>
    <x v="17"/>
    <x v="0"/>
    <x v="0"/>
    <x v="0"/>
    <x v="22"/>
    <x v="1"/>
    <x v="97"/>
    <n v="11.02"/>
    <x v="0"/>
    <x v="0"/>
    <x v="0"/>
    <n v="0.21414"/>
    <m/>
    <m/>
    <x v="43"/>
    <x v="64"/>
    <m/>
  </r>
  <r>
    <x v="91"/>
    <x v="109"/>
    <x v="1"/>
    <x v="0"/>
    <x v="0"/>
    <x v="3"/>
    <x v="23"/>
    <x v="0"/>
    <x v="98"/>
    <n v="12.95"/>
    <x v="0"/>
    <x v="55"/>
    <x v="40"/>
    <n v="1.9699999999999999E-2"/>
    <n v="0.254"/>
    <n v="1.49"/>
    <x v="68"/>
    <x v="65"/>
    <m/>
  </r>
  <r>
    <x v="92"/>
    <x v="110"/>
    <x v="5"/>
    <x v="0"/>
    <x v="0"/>
    <x v="0"/>
    <x v="22"/>
    <x v="0"/>
    <x v="99"/>
    <n v="10.26"/>
    <x v="0"/>
    <x v="0"/>
    <x v="0"/>
    <n v="2.3279999999999999E-2"/>
    <m/>
    <m/>
    <x v="67"/>
    <x v="66"/>
    <m/>
  </r>
  <r>
    <x v="93"/>
    <x v="111"/>
    <x v="20"/>
    <x v="0"/>
    <x v="1"/>
    <x v="3"/>
    <x v="24"/>
    <x v="1"/>
    <x v="100"/>
    <n v="16.329999999999998"/>
    <x v="44"/>
    <x v="56"/>
    <x v="41"/>
    <n v="7.1419999999999997E-2"/>
    <n v="0.23300000000000001"/>
    <n v="7"/>
    <x v="69"/>
    <x v="67"/>
    <n v="3.03"/>
  </r>
  <r>
    <x v="94"/>
    <x v="112"/>
    <x v="7"/>
    <x v="0"/>
    <x v="0"/>
    <x v="0"/>
    <x v="17"/>
    <x v="2"/>
    <x v="101"/>
    <n v="15.14"/>
    <x v="42"/>
    <x v="0"/>
    <x v="0"/>
    <n v="3.3349999999999998E-2"/>
    <m/>
    <m/>
    <x v="9"/>
    <x v="6"/>
    <m/>
  </r>
  <r>
    <x v="94"/>
    <x v="113"/>
    <x v="7"/>
    <x v="0"/>
    <x v="0"/>
    <x v="0"/>
    <x v="17"/>
    <x v="2"/>
    <x v="102"/>
    <n v="15.14"/>
    <x v="42"/>
    <x v="0"/>
    <x v="0"/>
    <n v="2.1399999999999999E-2"/>
    <m/>
    <m/>
    <x v="9"/>
    <x v="6"/>
    <m/>
  </r>
  <r>
    <x v="94"/>
    <x v="114"/>
    <x v="7"/>
    <x v="0"/>
    <x v="0"/>
    <x v="0"/>
    <x v="17"/>
    <x v="2"/>
    <x v="103"/>
    <n v="15.14"/>
    <x v="42"/>
    <x v="0"/>
    <x v="0"/>
    <n v="9.2499999999999999E-2"/>
    <m/>
    <m/>
    <x v="9"/>
    <x v="6"/>
    <m/>
  </r>
  <r>
    <x v="95"/>
    <x v="115"/>
    <x v="1"/>
    <x v="0"/>
    <x v="0"/>
    <x v="0"/>
    <x v="3"/>
    <x v="0"/>
    <x v="104"/>
    <n v="12.36"/>
    <x v="0"/>
    <x v="0"/>
    <x v="0"/>
    <n v="0.82"/>
    <m/>
    <m/>
    <x v="70"/>
    <x v="68"/>
    <m/>
  </r>
  <r>
    <x v="96"/>
    <x v="116"/>
    <x v="17"/>
    <x v="0"/>
    <x v="0"/>
    <x v="0"/>
    <x v="17"/>
    <x v="1"/>
    <x v="105"/>
    <n v="3.8"/>
    <x v="0"/>
    <x v="0"/>
    <x v="0"/>
    <n v="9.0900000000000009E-3"/>
    <m/>
    <m/>
    <x v="71"/>
    <x v="69"/>
    <m/>
  </r>
  <r>
    <x v="96"/>
    <x v="117"/>
    <x v="17"/>
    <x v="0"/>
    <x v="0"/>
    <x v="0"/>
    <x v="17"/>
    <x v="1"/>
    <x v="106"/>
    <n v="3.8"/>
    <x v="0"/>
    <x v="0"/>
    <x v="0"/>
    <n v="3.7100000000000002E-3"/>
    <m/>
    <m/>
    <x v="71"/>
    <x v="69"/>
    <m/>
  </r>
  <r>
    <x v="97"/>
    <x v="118"/>
    <x v="18"/>
    <x v="0"/>
    <x v="0"/>
    <x v="0"/>
    <x v="17"/>
    <x v="0"/>
    <x v="107"/>
    <n v="17.559999999999999"/>
    <x v="0"/>
    <x v="0"/>
    <x v="0"/>
    <n v="3.37"/>
    <m/>
    <m/>
    <x v="3"/>
    <x v="52"/>
    <m/>
  </r>
  <r>
    <x v="98"/>
    <x v="119"/>
    <x v="17"/>
    <x v="0"/>
    <x v="0"/>
    <x v="0"/>
    <x v="17"/>
    <x v="2"/>
    <x v="108"/>
    <n v="28.49"/>
    <x v="0"/>
    <x v="0"/>
    <x v="0"/>
    <n v="5.5999999999999999E-3"/>
    <m/>
    <m/>
    <x v="72"/>
    <x v="70"/>
    <m/>
  </r>
  <r>
    <x v="98"/>
    <x v="120"/>
    <x v="17"/>
    <x v="0"/>
    <x v="0"/>
    <x v="0"/>
    <x v="17"/>
    <x v="2"/>
    <x v="109"/>
    <n v="28.49"/>
    <x v="0"/>
    <x v="0"/>
    <x v="0"/>
    <n v="1.315E-2"/>
    <m/>
    <m/>
    <x v="72"/>
    <x v="70"/>
    <m/>
  </r>
  <r>
    <x v="98"/>
    <x v="121"/>
    <x v="17"/>
    <x v="0"/>
    <x v="0"/>
    <x v="0"/>
    <x v="17"/>
    <x v="2"/>
    <x v="110"/>
    <n v="28.49"/>
    <x v="0"/>
    <x v="0"/>
    <x v="0"/>
    <n v="3.304E-2"/>
    <m/>
    <m/>
    <x v="72"/>
    <x v="70"/>
    <m/>
  </r>
  <r>
    <x v="99"/>
    <x v="122"/>
    <x v="0"/>
    <x v="0"/>
    <x v="0"/>
    <x v="0"/>
    <x v="3"/>
    <x v="1"/>
    <x v="111"/>
    <n v="15.1"/>
    <x v="30"/>
    <x v="57"/>
    <x v="0"/>
    <n v="2.5"/>
    <m/>
    <m/>
    <x v="73"/>
    <x v="6"/>
    <m/>
  </r>
  <r>
    <x v="99"/>
    <x v="123"/>
    <x v="5"/>
    <x v="0"/>
    <x v="0"/>
    <x v="0"/>
    <x v="3"/>
    <x v="1"/>
    <x v="112"/>
    <n v="15.1"/>
    <x v="30"/>
    <x v="0"/>
    <x v="0"/>
    <n v="1.54"/>
    <m/>
    <m/>
    <x v="73"/>
    <x v="6"/>
    <m/>
  </r>
  <r>
    <x v="100"/>
    <x v="124"/>
    <x v="7"/>
    <x v="0"/>
    <x v="0"/>
    <x v="0"/>
    <x v="12"/>
    <x v="0"/>
    <x v="113"/>
    <n v="20.54"/>
    <x v="0"/>
    <x v="0"/>
    <x v="0"/>
    <n v="2.2999999999999998"/>
    <m/>
    <m/>
    <x v="74"/>
    <x v="6"/>
    <m/>
  </r>
  <r>
    <x v="101"/>
    <x v="125"/>
    <x v="8"/>
    <x v="0"/>
    <x v="0"/>
    <x v="0"/>
    <x v="17"/>
    <x v="4"/>
    <x v="114"/>
    <n v="20.2"/>
    <x v="0"/>
    <x v="0"/>
    <x v="0"/>
    <n v="7.4060000000000001E-2"/>
    <m/>
    <m/>
    <x v="73"/>
    <x v="64"/>
    <m/>
  </r>
  <r>
    <x v="101"/>
    <x v="126"/>
    <x v="8"/>
    <x v="0"/>
    <x v="0"/>
    <x v="0"/>
    <x v="17"/>
    <x v="4"/>
    <x v="115"/>
    <n v="20.2"/>
    <x v="0"/>
    <x v="0"/>
    <x v="0"/>
    <n v="6.6360000000000002E-2"/>
    <m/>
    <m/>
    <x v="73"/>
    <x v="64"/>
    <m/>
  </r>
  <r>
    <x v="101"/>
    <x v="127"/>
    <x v="17"/>
    <x v="0"/>
    <x v="0"/>
    <x v="0"/>
    <x v="17"/>
    <x v="4"/>
    <x v="116"/>
    <n v="20.2"/>
    <x v="0"/>
    <x v="0"/>
    <x v="0"/>
    <n v="2.3910000000000001E-2"/>
    <m/>
    <m/>
    <x v="73"/>
    <x v="64"/>
    <m/>
  </r>
  <r>
    <x v="101"/>
    <x v="128"/>
    <x v="17"/>
    <x v="0"/>
    <x v="0"/>
    <x v="0"/>
    <x v="17"/>
    <x v="4"/>
    <x v="117"/>
    <n v="20.2"/>
    <x v="0"/>
    <x v="0"/>
    <x v="0"/>
    <n v="1.0319999999999999E-2"/>
    <m/>
    <m/>
    <x v="73"/>
    <x v="64"/>
    <m/>
  </r>
  <r>
    <x v="102"/>
    <x v="129"/>
    <x v="17"/>
    <x v="0"/>
    <x v="0"/>
    <x v="0"/>
    <x v="17"/>
    <x v="1"/>
    <x v="118"/>
    <n v="5.32"/>
    <x v="0"/>
    <x v="0"/>
    <x v="0"/>
    <n v="6.3600000000000002E-3"/>
    <m/>
    <m/>
    <x v="75"/>
    <x v="10"/>
    <m/>
  </r>
  <r>
    <x v="102"/>
    <x v="130"/>
    <x v="17"/>
    <x v="0"/>
    <x v="0"/>
    <x v="0"/>
    <x v="17"/>
    <x v="1"/>
    <x v="119"/>
    <n v="5.32"/>
    <x v="0"/>
    <x v="0"/>
    <x v="0"/>
    <n v="7.2700000000000004E-3"/>
    <m/>
    <m/>
    <x v="75"/>
    <x v="10"/>
    <m/>
  </r>
  <r>
    <x v="103"/>
    <x v="131"/>
    <x v="8"/>
    <x v="0"/>
    <x v="0"/>
    <x v="0"/>
    <x v="17"/>
    <x v="0"/>
    <x v="120"/>
    <n v="23.16"/>
    <x v="0"/>
    <x v="0"/>
    <x v="0"/>
    <n v="2.0799999999999999E-2"/>
    <m/>
    <m/>
    <x v="76"/>
    <x v="71"/>
    <m/>
  </r>
  <r>
    <x v="104"/>
    <x v="132"/>
    <x v="15"/>
    <x v="0"/>
    <x v="0"/>
    <x v="0"/>
    <x v="17"/>
    <x v="0"/>
    <x v="121"/>
    <n v="25.2"/>
    <x v="0"/>
    <x v="58"/>
    <x v="42"/>
    <n v="4.3729999999999998E-2"/>
    <n v="0.40799999999999997"/>
    <n v="0.8"/>
    <x v="77"/>
    <x v="72"/>
    <n v="3.3"/>
  </r>
  <r>
    <x v="105"/>
    <x v="133"/>
    <x v="6"/>
    <x v="0"/>
    <x v="0"/>
    <x v="0"/>
    <x v="17"/>
    <x v="0"/>
    <x v="122"/>
    <n v="19.8"/>
    <x v="30"/>
    <x v="46"/>
    <x v="0"/>
    <n v="2.5999999999999999E-2"/>
    <m/>
    <m/>
    <x v="78"/>
    <x v="73"/>
    <m/>
  </r>
  <r>
    <x v="106"/>
    <x v="134"/>
    <x v="5"/>
    <x v="0"/>
    <x v="0"/>
    <x v="0"/>
    <x v="22"/>
    <x v="0"/>
    <x v="123"/>
    <n v="13.75"/>
    <x v="0"/>
    <x v="0"/>
    <x v="0"/>
    <n v="2.5170000000000001E-2"/>
    <m/>
    <m/>
    <x v="79"/>
    <x v="9"/>
    <m/>
  </r>
  <r>
    <x v="107"/>
    <x v="135"/>
    <x v="17"/>
    <x v="0"/>
    <x v="0"/>
    <x v="0"/>
    <x v="15"/>
    <x v="0"/>
    <x v="124"/>
    <n v="16.940000000000001"/>
    <x v="0"/>
    <x v="0"/>
    <x v="0"/>
    <n v="2.2460000000000001E-2"/>
    <m/>
    <m/>
    <x v="80"/>
    <x v="74"/>
    <m/>
  </r>
  <r>
    <x v="108"/>
    <x v="136"/>
    <x v="10"/>
    <x v="0"/>
    <x v="0"/>
    <x v="0"/>
    <x v="15"/>
    <x v="1"/>
    <x v="125"/>
    <n v="17.79"/>
    <x v="0"/>
    <x v="0"/>
    <x v="0"/>
    <n v="7.77E-3"/>
    <m/>
    <m/>
    <x v="38"/>
    <x v="75"/>
    <m/>
  </r>
  <r>
    <x v="108"/>
    <x v="137"/>
    <x v="10"/>
    <x v="0"/>
    <x v="0"/>
    <x v="0"/>
    <x v="15"/>
    <x v="1"/>
    <x v="126"/>
    <n v="17.79"/>
    <x v="0"/>
    <x v="0"/>
    <x v="0"/>
    <n v="1.9699999999999999E-2"/>
    <m/>
    <m/>
    <x v="38"/>
    <x v="75"/>
    <m/>
  </r>
  <r>
    <x v="109"/>
    <x v="138"/>
    <x v="20"/>
    <x v="0"/>
    <x v="0"/>
    <x v="0"/>
    <x v="11"/>
    <x v="0"/>
    <x v="127"/>
    <n v="2.5499999999999998"/>
    <x v="0"/>
    <x v="0"/>
    <x v="0"/>
    <n v="9.41E-3"/>
    <m/>
    <m/>
    <x v="81"/>
    <x v="76"/>
    <m/>
  </r>
  <r>
    <x v="110"/>
    <x v="139"/>
    <x v="20"/>
    <x v="0"/>
    <x v="0"/>
    <x v="0"/>
    <x v="22"/>
    <x v="0"/>
    <x v="128"/>
    <n v="21.35"/>
    <x v="41"/>
    <x v="0"/>
    <x v="0"/>
    <n v="5.2130000000000003E-2"/>
    <m/>
    <m/>
    <x v="82"/>
    <x v="77"/>
    <m/>
  </r>
  <r>
    <x v="111"/>
    <x v="140"/>
    <x v="14"/>
    <x v="0"/>
    <x v="0"/>
    <x v="0"/>
    <x v="17"/>
    <x v="0"/>
    <x v="129"/>
    <n v="9.07"/>
    <x v="0"/>
    <x v="0"/>
    <x v="0"/>
    <n v="0.02"/>
    <m/>
    <m/>
    <x v="83"/>
    <x v="70"/>
    <m/>
  </r>
  <r>
    <x v="112"/>
    <x v="141"/>
    <x v="9"/>
    <x v="0"/>
    <x v="0"/>
    <x v="0"/>
    <x v="3"/>
    <x v="0"/>
    <x v="130"/>
    <n v="9.76"/>
    <x v="0"/>
    <x v="59"/>
    <x v="43"/>
    <n v="7.0000000000000007E-2"/>
    <n v="0.372"/>
    <n v="1.8"/>
    <x v="76"/>
    <x v="78"/>
    <n v="7"/>
  </r>
  <r>
    <x v="113"/>
    <x v="142"/>
    <x v="7"/>
    <x v="0"/>
    <x v="0"/>
    <x v="1"/>
    <x v="19"/>
    <x v="0"/>
    <x v="6"/>
    <n v="17.54"/>
    <x v="45"/>
    <x v="60"/>
    <x v="0"/>
    <n v="4"/>
    <m/>
    <m/>
    <x v="84"/>
    <x v="6"/>
    <m/>
  </r>
  <r>
    <x v="114"/>
    <x v="143"/>
    <x v="10"/>
    <x v="0"/>
    <x v="0"/>
    <x v="0"/>
    <x v="17"/>
    <x v="0"/>
    <x v="131"/>
    <n v="10.029999999999999"/>
    <x v="0"/>
    <x v="0"/>
    <x v="0"/>
    <n v="1.686E-2"/>
    <m/>
    <m/>
    <x v="85"/>
    <x v="70"/>
    <m/>
  </r>
  <r>
    <x v="115"/>
    <x v="144"/>
    <x v="16"/>
    <x v="0"/>
    <x v="0"/>
    <x v="0"/>
    <x v="17"/>
    <x v="2"/>
    <x v="132"/>
    <n v="6.3"/>
    <x v="24"/>
    <x v="0"/>
    <x v="0"/>
    <n v="4.9700000000000001E-2"/>
    <m/>
    <m/>
    <x v="42"/>
    <x v="69"/>
    <m/>
  </r>
  <r>
    <x v="115"/>
    <x v="145"/>
    <x v="0"/>
    <x v="0"/>
    <x v="0"/>
    <x v="0"/>
    <x v="17"/>
    <x v="2"/>
    <x v="133"/>
    <n v="6.3"/>
    <x v="24"/>
    <x v="0"/>
    <x v="0"/>
    <n v="1.7299999999999999E-2"/>
    <m/>
    <m/>
    <x v="42"/>
    <x v="69"/>
    <m/>
  </r>
  <r>
    <x v="115"/>
    <x v="146"/>
    <x v="1"/>
    <x v="0"/>
    <x v="0"/>
    <x v="0"/>
    <x v="17"/>
    <x v="2"/>
    <x v="134"/>
    <n v="6.3"/>
    <x v="24"/>
    <x v="0"/>
    <x v="0"/>
    <n v="5.3E-3"/>
    <m/>
    <m/>
    <x v="42"/>
    <x v="69"/>
    <m/>
  </r>
  <r>
    <x v="116"/>
    <x v="147"/>
    <x v="17"/>
    <x v="0"/>
    <x v="0"/>
    <x v="0"/>
    <x v="4"/>
    <x v="0"/>
    <x v="135"/>
    <n v="6.49"/>
    <x v="0"/>
    <x v="0"/>
    <x v="0"/>
    <n v="8.8699999999999994E-3"/>
    <m/>
    <m/>
    <x v="86"/>
    <x v="79"/>
    <m/>
  </r>
  <r>
    <x v="117"/>
    <x v="148"/>
    <x v="1"/>
    <x v="0"/>
    <x v="0"/>
    <x v="0"/>
    <x v="3"/>
    <x v="0"/>
    <x v="136"/>
    <n v="10.38"/>
    <x v="0"/>
    <x v="0"/>
    <x v="0"/>
    <n v="0.32800000000000001"/>
    <m/>
    <m/>
    <x v="77"/>
    <x v="6"/>
    <m/>
  </r>
  <r>
    <x v="118"/>
    <x v="149"/>
    <x v="14"/>
    <x v="0"/>
    <x v="0"/>
    <x v="0"/>
    <x v="17"/>
    <x v="3"/>
    <x v="137"/>
    <n v="6.8"/>
    <x v="24"/>
    <x v="0"/>
    <x v="0"/>
    <n v="1.7999999999999999E-2"/>
    <m/>
    <m/>
    <x v="61"/>
    <x v="6"/>
    <m/>
  </r>
  <r>
    <x v="118"/>
    <x v="150"/>
    <x v="14"/>
    <x v="0"/>
    <x v="0"/>
    <x v="0"/>
    <x v="17"/>
    <x v="3"/>
    <x v="138"/>
    <n v="6.8"/>
    <x v="24"/>
    <x v="0"/>
    <x v="0"/>
    <n v="1.2E-2"/>
    <m/>
    <m/>
    <x v="61"/>
    <x v="6"/>
    <m/>
  </r>
  <r>
    <x v="118"/>
    <x v="151"/>
    <x v="7"/>
    <x v="0"/>
    <x v="0"/>
    <x v="0"/>
    <x v="17"/>
    <x v="3"/>
    <x v="139"/>
    <n v="6.8"/>
    <x v="24"/>
    <x v="0"/>
    <x v="0"/>
    <n v="8.0000000000000002E-3"/>
    <m/>
    <m/>
    <x v="61"/>
    <x v="6"/>
    <m/>
  </r>
  <r>
    <x v="118"/>
    <x v="152"/>
    <x v="7"/>
    <x v="0"/>
    <x v="0"/>
    <x v="0"/>
    <x v="17"/>
    <x v="3"/>
    <x v="140"/>
    <n v="6.8"/>
    <x v="24"/>
    <x v="0"/>
    <x v="0"/>
    <n v="8.0000000000000002E-3"/>
    <m/>
    <m/>
    <x v="61"/>
    <x v="6"/>
    <m/>
  </r>
  <r>
    <x v="118"/>
    <x v="153"/>
    <x v="7"/>
    <x v="0"/>
    <x v="0"/>
    <x v="0"/>
    <x v="17"/>
    <x v="3"/>
    <x v="141"/>
    <n v="6.8"/>
    <x v="24"/>
    <x v="0"/>
    <x v="0"/>
    <n v="1.4E-2"/>
    <m/>
    <m/>
    <x v="61"/>
    <x v="6"/>
    <m/>
  </r>
  <r>
    <x v="119"/>
    <x v="154"/>
    <x v="0"/>
    <x v="0"/>
    <x v="0"/>
    <x v="0"/>
    <x v="17"/>
    <x v="0"/>
    <x v="142"/>
    <n v="4.55"/>
    <x v="46"/>
    <x v="0"/>
    <x v="0"/>
    <n v="3.5000000000000003E-2"/>
    <m/>
    <m/>
    <x v="43"/>
    <x v="6"/>
    <m/>
  </r>
  <r>
    <x v="120"/>
    <x v="155"/>
    <x v="6"/>
    <x v="0"/>
    <x v="0"/>
    <x v="0"/>
    <x v="17"/>
    <x v="4"/>
    <x v="143"/>
    <n v="16.899999999999999"/>
    <x v="0"/>
    <x v="0"/>
    <x v="0"/>
    <n v="4.96"/>
    <m/>
    <m/>
    <x v="69"/>
    <x v="67"/>
    <m/>
  </r>
  <r>
    <x v="120"/>
    <x v="156"/>
    <x v="10"/>
    <x v="0"/>
    <x v="0"/>
    <x v="0"/>
    <x v="9"/>
    <x v="4"/>
    <x v="144"/>
    <n v="16.899999999999999"/>
    <x v="0"/>
    <x v="0"/>
    <x v="0"/>
    <n v="6.8"/>
    <m/>
    <m/>
    <x v="69"/>
    <x v="67"/>
    <m/>
  </r>
  <r>
    <x v="120"/>
    <x v="157"/>
    <x v="15"/>
    <x v="0"/>
    <x v="0"/>
    <x v="0"/>
    <x v="17"/>
    <x v="4"/>
    <x v="145"/>
    <n v="16.899999999999999"/>
    <x v="0"/>
    <x v="0"/>
    <x v="0"/>
    <n v="1.4E-2"/>
    <m/>
    <m/>
    <x v="69"/>
    <x v="67"/>
    <m/>
  </r>
  <r>
    <x v="120"/>
    <x v="158"/>
    <x v="15"/>
    <x v="0"/>
    <x v="0"/>
    <x v="0"/>
    <x v="17"/>
    <x v="4"/>
    <x v="146"/>
    <n v="16.899999999999999"/>
    <x v="0"/>
    <x v="0"/>
    <x v="0"/>
    <n v="2.5000000000000001E-2"/>
    <m/>
    <m/>
    <x v="69"/>
    <x v="67"/>
    <m/>
  </r>
  <r>
    <x v="121"/>
    <x v="159"/>
    <x v="20"/>
    <x v="0"/>
    <x v="0"/>
    <x v="0"/>
    <x v="25"/>
    <x v="0"/>
    <x v="147"/>
    <n v="14.32"/>
    <x v="0"/>
    <x v="0"/>
    <x v="0"/>
    <n v="2.8320000000000001E-2"/>
    <m/>
    <m/>
    <x v="87"/>
    <x v="80"/>
    <m/>
  </r>
  <r>
    <x v="122"/>
    <x v="160"/>
    <x v="19"/>
    <x v="0"/>
    <x v="0"/>
    <x v="0"/>
    <x v="6"/>
    <x v="0"/>
    <x v="148"/>
    <n v="4.55"/>
    <x v="0"/>
    <x v="0"/>
    <x v="0"/>
    <n v="0.06"/>
    <m/>
    <m/>
    <x v="78"/>
    <x v="73"/>
    <m/>
  </r>
  <r>
    <x v="123"/>
    <x v="161"/>
    <x v="2"/>
    <x v="0"/>
    <x v="0"/>
    <x v="0"/>
    <x v="13"/>
    <x v="1"/>
    <x v="149"/>
    <n v="4.97"/>
    <x v="0"/>
    <x v="0"/>
    <x v="0"/>
    <n v="0.68"/>
    <m/>
    <m/>
    <x v="78"/>
    <x v="6"/>
    <m/>
  </r>
  <r>
    <x v="123"/>
    <x v="162"/>
    <x v="19"/>
    <x v="0"/>
    <x v="0"/>
    <x v="0"/>
    <x v="4"/>
    <x v="1"/>
    <x v="150"/>
    <n v="4.97"/>
    <x v="0"/>
    <x v="0"/>
    <x v="0"/>
    <n v="1.7000000000000001E-2"/>
    <m/>
    <m/>
    <x v="78"/>
    <x v="6"/>
    <m/>
  </r>
  <r>
    <x v="124"/>
    <x v="163"/>
    <x v="11"/>
    <x v="0"/>
    <x v="0"/>
    <x v="0"/>
    <x v="3"/>
    <x v="0"/>
    <x v="151"/>
    <n v="8.8000000000000007"/>
    <x v="0"/>
    <x v="0"/>
    <x v="0"/>
    <n v="1"/>
    <m/>
    <m/>
    <x v="88"/>
    <x v="81"/>
    <m/>
  </r>
  <r>
    <x v="125"/>
    <x v="164"/>
    <x v="21"/>
    <x v="0"/>
    <x v="0"/>
    <x v="0"/>
    <x v="17"/>
    <x v="0"/>
    <x v="152"/>
    <n v="10.79"/>
    <x v="0"/>
    <x v="0"/>
    <x v="0"/>
    <n v="4.42"/>
    <m/>
    <m/>
    <x v="89"/>
    <x v="57"/>
    <m/>
  </r>
  <r>
    <x v="126"/>
    <x v="165"/>
    <x v="22"/>
    <x v="0"/>
    <x v="0"/>
    <x v="0"/>
    <x v="4"/>
    <x v="4"/>
    <x v="153"/>
    <n v="4.68"/>
    <x v="40"/>
    <x v="61"/>
    <x v="0"/>
    <n v="2.2755999999999998"/>
    <m/>
    <m/>
    <x v="90"/>
    <x v="82"/>
    <m/>
  </r>
  <r>
    <x v="126"/>
    <x v="166"/>
    <x v="18"/>
    <x v="0"/>
    <x v="0"/>
    <x v="0"/>
    <x v="4"/>
    <x v="4"/>
    <x v="154"/>
    <n v="4.68"/>
    <x v="40"/>
    <x v="62"/>
    <x v="0"/>
    <n v="0.71419999999999995"/>
    <m/>
    <m/>
    <x v="90"/>
    <x v="82"/>
    <m/>
  </r>
  <r>
    <x v="126"/>
    <x v="167"/>
    <x v="16"/>
    <x v="0"/>
    <x v="0"/>
    <x v="0"/>
    <x v="3"/>
    <x v="4"/>
    <x v="155"/>
    <n v="4.68"/>
    <x v="40"/>
    <x v="63"/>
    <x v="0"/>
    <n v="2.1000000000000001E-2"/>
    <m/>
    <m/>
    <x v="90"/>
    <x v="82"/>
    <m/>
  </r>
  <r>
    <x v="126"/>
    <x v="168"/>
    <x v="6"/>
    <x v="0"/>
    <x v="0"/>
    <x v="0"/>
    <x v="3"/>
    <x v="4"/>
    <x v="156"/>
    <n v="4.68"/>
    <x v="40"/>
    <x v="64"/>
    <x v="0"/>
    <n v="4.5999999999999999E-2"/>
    <m/>
    <m/>
    <x v="90"/>
    <x v="82"/>
    <m/>
  </r>
  <r>
    <x v="127"/>
    <x v="169"/>
    <x v="5"/>
    <x v="0"/>
    <x v="0"/>
    <x v="0"/>
    <x v="11"/>
    <x v="0"/>
    <x v="157"/>
    <n v="11.94"/>
    <x v="0"/>
    <x v="0"/>
    <x v="0"/>
    <n v="6.1859999999999998E-2"/>
    <m/>
    <m/>
    <x v="14"/>
    <x v="6"/>
    <m/>
  </r>
  <r>
    <x v="128"/>
    <x v="170"/>
    <x v="17"/>
    <x v="0"/>
    <x v="1"/>
    <x v="3"/>
    <x v="16"/>
    <x v="2"/>
    <x v="158"/>
    <n v="30.32"/>
    <x v="0"/>
    <x v="65"/>
    <x v="44"/>
    <n v="1.076E-2"/>
    <n v="0.14499999999999999"/>
    <n v="4.5"/>
    <x v="91"/>
    <x v="74"/>
    <n v="3.76"/>
  </r>
  <r>
    <x v="128"/>
    <x v="171"/>
    <x v="17"/>
    <x v="0"/>
    <x v="1"/>
    <x v="3"/>
    <x v="16"/>
    <x v="2"/>
    <x v="159"/>
    <n v="30.32"/>
    <x v="0"/>
    <x v="66"/>
    <x v="45"/>
    <n v="7.6099999999999996E-3"/>
    <n v="0.113"/>
    <n v="6.4"/>
    <x v="91"/>
    <x v="74"/>
    <n v="3.76"/>
  </r>
  <r>
    <x v="128"/>
    <x v="172"/>
    <x v="17"/>
    <x v="0"/>
    <x v="1"/>
    <x v="3"/>
    <x v="16"/>
    <x v="2"/>
    <x v="160"/>
    <n v="30.32"/>
    <x v="0"/>
    <x v="67"/>
    <x v="46"/>
    <n v="1.636E-2"/>
    <n v="0.185"/>
    <n v="3.23"/>
    <x v="91"/>
    <x v="74"/>
    <n v="3.76"/>
  </r>
  <r>
    <x v="129"/>
    <x v="173"/>
    <x v="9"/>
    <x v="0"/>
    <x v="0"/>
    <x v="1"/>
    <x v="9"/>
    <x v="0"/>
    <x v="6"/>
    <n v="139"/>
    <x v="6"/>
    <x v="68"/>
    <x v="47"/>
    <n v="20"/>
    <n v="3"/>
    <m/>
    <x v="37"/>
    <x v="6"/>
    <m/>
  </r>
  <r>
    <x v="130"/>
    <x v="174"/>
    <x v="6"/>
    <x v="0"/>
    <x v="0"/>
    <x v="1"/>
    <x v="26"/>
    <x v="0"/>
    <x v="6"/>
    <n v="145"/>
    <x v="1"/>
    <x v="69"/>
    <x v="0"/>
    <n v="16"/>
    <m/>
    <m/>
    <x v="3"/>
    <x v="6"/>
    <m/>
  </r>
  <r>
    <x v="131"/>
    <x v="175"/>
    <x v="19"/>
    <x v="0"/>
    <x v="0"/>
    <x v="1"/>
    <x v="5"/>
    <x v="0"/>
    <x v="6"/>
    <n v="48"/>
    <x v="47"/>
    <x v="70"/>
    <x v="48"/>
    <n v="11.3"/>
    <n v="1.2649999999999999"/>
    <m/>
    <x v="61"/>
    <x v="6"/>
    <m/>
  </r>
  <r>
    <x v="132"/>
    <x v="176"/>
    <x v="20"/>
    <x v="0"/>
    <x v="0"/>
    <x v="0"/>
    <x v="11"/>
    <x v="0"/>
    <x v="161"/>
    <n v="14.96"/>
    <x v="0"/>
    <x v="0"/>
    <x v="0"/>
    <n v="4.0969999999999999E-2"/>
    <m/>
    <m/>
    <x v="92"/>
    <x v="83"/>
    <m/>
  </r>
  <r>
    <x v="133"/>
    <x v="177"/>
    <x v="5"/>
    <x v="0"/>
    <x v="0"/>
    <x v="0"/>
    <x v="15"/>
    <x v="0"/>
    <x v="162"/>
    <n v="8.16"/>
    <x v="0"/>
    <x v="0"/>
    <x v="0"/>
    <n v="2.2339999999999999E-2"/>
    <m/>
    <m/>
    <x v="73"/>
    <x v="84"/>
    <m/>
  </r>
  <r>
    <x v="134"/>
    <x v="178"/>
    <x v="11"/>
    <x v="0"/>
    <x v="0"/>
    <x v="3"/>
    <x v="27"/>
    <x v="0"/>
    <x v="163"/>
    <n v="139"/>
    <x v="0"/>
    <x v="71"/>
    <x v="49"/>
    <n v="0.52500000000000002"/>
    <n v="1.319"/>
    <n v="0.28199999999999997"/>
    <x v="93"/>
    <x v="54"/>
    <n v="0.90800000000000003"/>
  </r>
  <r>
    <x v="135"/>
    <x v="179"/>
    <x v="2"/>
    <x v="1"/>
    <x v="0"/>
    <x v="3"/>
    <x v="27"/>
    <x v="1"/>
    <x v="164"/>
    <n v="37.81"/>
    <x v="48"/>
    <x v="0"/>
    <x v="50"/>
    <n v="7.3620000000000005E-2"/>
    <n v="0.38900000000000001"/>
    <m/>
    <x v="94"/>
    <x v="85"/>
    <m/>
  </r>
  <r>
    <x v="135"/>
    <x v="180"/>
    <x v="5"/>
    <x v="1"/>
    <x v="0"/>
    <x v="0"/>
    <x v="3"/>
    <x v="1"/>
    <x v="165"/>
    <n v="37.81"/>
    <x v="48"/>
    <x v="0"/>
    <x v="0"/>
    <n v="1.5951900000000001"/>
    <m/>
    <m/>
    <x v="94"/>
    <x v="85"/>
    <m/>
  </r>
  <r>
    <x v="136"/>
    <x v="181"/>
    <x v="1"/>
    <x v="0"/>
    <x v="0"/>
    <x v="3"/>
    <x v="27"/>
    <x v="0"/>
    <x v="166"/>
    <n v="142.5"/>
    <x v="49"/>
    <x v="72"/>
    <x v="51"/>
    <n v="0.21099999999999999"/>
    <n v="0.95899999999999996"/>
    <n v="0.31919999999999998"/>
    <x v="69"/>
    <x v="86"/>
    <m/>
  </r>
  <r>
    <x v="137"/>
    <x v="182"/>
    <x v="1"/>
    <x v="0"/>
    <x v="0"/>
    <x v="3"/>
    <x v="27"/>
    <x v="1"/>
    <x v="167"/>
    <n v="214"/>
    <x v="30"/>
    <x v="73"/>
    <x v="52"/>
    <n v="0.85099999999999998"/>
    <n v="1.272"/>
    <m/>
    <x v="84"/>
    <x v="53"/>
    <m/>
  </r>
  <r>
    <x v="137"/>
    <x v="183"/>
    <x v="1"/>
    <x v="0"/>
    <x v="0"/>
    <x v="0"/>
    <x v="3"/>
    <x v="1"/>
    <x v="168"/>
    <n v="214"/>
    <x v="30"/>
    <x v="0"/>
    <x v="0"/>
    <n v="14.28"/>
    <m/>
    <m/>
    <x v="84"/>
    <x v="53"/>
    <m/>
  </r>
  <r>
    <x v="138"/>
    <x v="184"/>
    <x v="6"/>
    <x v="0"/>
    <x v="0"/>
    <x v="3"/>
    <x v="27"/>
    <x v="0"/>
    <x v="169"/>
    <n v="205"/>
    <x v="0"/>
    <x v="74"/>
    <x v="53"/>
    <n v="3.44"/>
    <n v="1.42"/>
    <m/>
    <x v="95"/>
    <x v="87"/>
    <n v="0.62"/>
  </r>
  <r>
    <x v="139"/>
    <x v="185"/>
    <x v="6"/>
    <x v="0"/>
    <x v="0"/>
    <x v="3"/>
    <x v="27"/>
    <x v="0"/>
    <x v="170"/>
    <n v="190"/>
    <x v="0"/>
    <x v="75"/>
    <x v="54"/>
    <n v="1.94"/>
    <n v="1.06"/>
    <m/>
    <x v="57"/>
    <x v="88"/>
    <n v="1.1399999999999999"/>
  </r>
  <r>
    <x v="140"/>
    <x v="186"/>
    <x v="6"/>
    <x v="0"/>
    <x v="0"/>
    <x v="3"/>
    <x v="27"/>
    <x v="0"/>
    <x v="171"/>
    <n v="235"/>
    <x v="24"/>
    <x v="76"/>
    <x v="55"/>
    <n v="4.1929999999999996"/>
    <n v="1.2889999999999999"/>
    <n v="2.42"/>
    <x v="84"/>
    <x v="89"/>
    <m/>
  </r>
  <r>
    <x v="141"/>
    <x v="187"/>
    <x v="6"/>
    <x v="0"/>
    <x v="0"/>
    <x v="3"/>
    <x v="27"/>
    <x v="1"/>
    <x v="172"/>
    <n v="90"/>
    <x v="0"/>
    <x v="77"/>
    <x v="56"/>
    <n v="0.57999999999999996"/>
    <n v="1.05"/>
    <m/>
    <x v="7"/>
    <x v="90"/>
    <n v="2.08"/>
  </r>
  <r>
    <x v="141"/>
    <x v="188"/>
    <x v="6"/>
    <x v="0"/>
    <x v="0"/>
    <x v="0"/>
    <x v="3"/>
    <x v="1"/>
    <x v="173"/>
    <n v="90"/>
    <x v="0"/>
    <x v="0"/>
    <x v="0"/>
    <n v="3.4"/>
    <m/>
    <m/>
    <x v="7"/>
    <x v="90"/>
    <n v="2.08"/>
  </r>
  <r>
    <x v="142"/>
    <x v="189"/>
    <x v="6"/>
    <x v="0"/>
    <x v="0"/>
    <x v="3"/>
    <x v="27"/>
    <x v="0"/>
    <x v="174"/>
    <n v="166"/>
    <x v="50"/>
    <x v="78"/>
    <x v="57"/>
    <n v="0.19700000000000001"/>
    <n v="0.995"/>
    <n v="0.25"/>
    <x v="96"/>
    <x v="91"/>
    <m/>
  </r>
  <r>
    <x v="143"/>
    <x v="190"/>
    <x v="6"/>
    <x v="0"/>
    <x v="0"/>
    <x v="3"/>
    <x v="27"/>
    <x v="0"/>
    <x v="175"/>
    <n v="215"/>
    <x v="51"/>
    <x v="79"/>
    <x v="58"/>
    <n v="0.29199999999999998"/>
    <n v="1.1319999999999999"/>
    <n v="0.25"/>
    <x v="97"/>
    <x v="92"/>
    <m/>
  </r>
  <r>
    <x v="144"/>
    <x v="191"/>
    <x v="0"/>
    <x v="0"/>
    <x v="0"/>
    <x v="3"/>
    <x v="27"/>
    <x v="0"/>
    <x v="176"/>
    <n v="128.25"/>
    <x v="52"/>
    <x v="0"/>
    <x v="0"/>
    <n v="8.6199999999999992"/>
    <m/>
    <m/>
    <x v="98"/>
    <x v="61"/>
    <m/>
  </r>
  <r>
    <x v="145"/>
    <x v="192"/>
    <x v="6"/>
    <x v="0"/>
    <x v="0"/>
    <x v="3"/>
    <x v="27"/>
    <x v="0"/>
    <x v="177"/>
    <n v="70"/>
    <x v="53"/>
    <x v="80"/>
    <x v="59"/>
    <n v="7.2460000000000004"/>
    <n v="0.86699999999999999"/>
    <n v="13.78"/>
    <x v="99"/>
    <x v="67"/>
    <m/>
  </r>
  <r>
    <x v="146"/>
    <x v="193"/>
    <x v="6"/>
    <x v="0"/>
    <x v="0"/>
    <x v="3"/>
    <x v="27"/>
    <x v="0"/>
    <x v="178"/>
    <n v="254"/>
    <x v="0"/>
    <x v="81"/>
    <x v="60"/>
    <n v="4.87"/>
    <n v="1.1100000000000001"/>
    <m/>
    <x v="100"/>
    <x v="42"/>
    <n v="1"/>
  </r>
  <r>
    <x v="147"/>
    <x v="194"/>
    <x v="6"/>
    <x v="0"/>
    <x v="0"/>
    <x v="3"/>
    <x v="27"/>
    <x v="0"/>
    <x v="179"/>
    <n v="82"/>
    <x v="0"/>
    <x v="82"/>
    <x v="61"/>
    <n v="2.4700000000000002"/>
    <n v="1.1499999999999999"/>
    <m/>
    <x v="47"/>
    <x v="37"/>
    <n v="1.1599999999999999"/>
  </r>
  <r>
    <x v="148"/>
    <x v="195"/>
    <x v="6"/>
    <x v="0"/>
    <x v="0"/>
    <x v="3"/>
    <x v="27"/>
    <x v="0"/>
    <x v="180"/>
    <n v="393"/>
    <x v="0"/>
    <x v="83"/>
    <x v="62"/>
    <n v="1.34"/>
    <n v="1.0900000000000001"/>
    <m/>
    <x v="101"/>
    <x v="18"/>
    <n v="0.92"/>
  </r>
  <r>
    <x v="149"/>
    <x v="196"/>
    <x v="6"/>
    <x v="0"/>
    <x v="0"/>
    <x v="3"/>
    <x v="27"/>
    <x v="0"/>
    <x v="181"/>
    <n v="396"/>
    <x v="0"/>
    <x v="84"/>
    <x v="17"/>
    <n v="0.75"/>
    <n v="1.3"/>
    <m/>
    <x v="55"/>
    <x v="93"/>
    <n v="0.74"/>
  </r>
  <r>
    <x v="150"/>
    <x v="197"/>
    <x v="6"/>
    <x v="0"/>
    <x v="0"/>
    <x v="3"/>
    <x v="27"/>
    <x v="0"/>
    <x v="182"/>
    <n v="297"/>
    <x v="0"/>
    <x v="85"/>
    <x v="63"/>
    <n v="0.56899999999999995"/>
    <n v="1.135"/>
    <n v="0.48299999999999998"/>
    <x v="53"/>
    <x v="94"/>
    <n v="1.84"/>
  </r>
  <r>
    <x v="151"/>
    <x v="198"/>
    <x v="6"/>
    <x v="0"/>
    <x v="0"/>
    <x v="3"/>
    <x v="27"/>
    <x v="0"/>
    <x v="183"/>
    <n v="134"/>
    <x v="0"/>
    <x v="16"/>
    <x v="64"/>
    <n v="7.0000000000000007E-2"/>
    <n v="0.63"/>
    <m/>
    <x v="20"/>
    <x v="90"/>
    <n v="2.37"/>
  </r>
  <r>
    <x v="152"/>
    <x v="199"/>
    <x v="14"/>
    <x v="0"/>
    <x v="0"/>
    <x v="3"/>
    <x v="27"/>
    <x v="0"/>
    <x v="184"/>
    <n v="204"/>
    <x v="21"/>
    <x v="86"/>
    <x v="13"/>
    <n v="0.62"/>
    <n v="1.02"/>
    <m/>
    <x v="23"/>
    <x v="52"/>
    <m/>
  </r>
  <r>
    <x v="153"/>
    <x v="200"/>
    <x v="14"/>
    <x v="0"/>
    <x v="0"/>
    <x v="3"/>
    <x v="27"/>
    <x v="0"/>
    <x v="185"/>
    <n v="395"/>
    <x v="54"/>
    <x v="87"/>
    <x v="65"/>
    <n v="0.626"/>
    <n v="1.212"/>
    <n v="0.44"/>
    <x v="102"/>
    <x v="95"/>
    <m/>
  </r>
  <r>
    <x v="154"/>
    <x v="201"/>
    <x v="14"/>
    <x v="0"/>
    <x v="0"/>
    <x v="3"/>
    <x v="27"/>
    <x v="0"/>
    <x v="186"/>
    <n v="322"/>
    <x v="0"/>
    <x v="88"/>
    <x v="66"/>
    <n v="0.88"/>
    <n v="1.17"/>
    <m/>
    <x v="103"/>
    <x v="96"/>
    <n v="0.93"/>
  </r>
  <r>
    <x v="155"/>
    <x v="202"/>
    <x v="0"/>
    <x v="0"/>
    <x v="0"/>
    <x v="3"/>
    <x v="27"/>
    <x v="0"/>
    <x v="187"/>
    <n v="138"/>
    <x v="0"/>
    <x v="89"/>
    <x v="67"/>
    <n v="0.65"/>
    <n v="0.94"/>
    <m/>
    <x v="104"/>
    <x v="90"/>
    <n v="2.2799999999999998"/>
  </r>
  <r>
    <x v="156"/>
    <x v="203"/>
    <x v="14"/>
    <x v="0"/>
    <x v="0"/>
    <x v="3"/>
    <x v="27"/>
    <x v="0"/>
    <x v="188"/>
    <n v="193"/>
    <x v="0"/>
    <x v="90"/>
    <x v="1"/>
    <n v="0.83"/>
    <n v="1.44"/>
    <m/>
    <x v="105"/>
    <x v="97"/>
    <n v="0.98"/>
  </r>
  <r>
    <x v="157"/>
    <x v="204"/>
    <x v="14"/>
    <x v="0"/>
    <x v="0"/>
    <x v="3"/>
    <x v="27"/>
    <x v="0"/>
    <x v="189"/>
    <n v="354"/>
    <x v="0"/>
    <x v="91"/>
    <x v="62"/>
    <n v="2.27"/>
    <n v="1.0900000000000001"/>
    <m/>
    <x v="106"/>
    <x v="61"/>
    <n v="0.69"/>
  </r>
  <r>
    <x v="158"/>
    <x v="205"/>
    <x v="14"/>
    <x v="0"/>
    <x v="0"/>
    <x v="3"/>
    <x v="27"/>
    <x v="0"/>
    <x v="190"/>
    <n v="283"/>
    <x v="0"/>
    <x v="90"/>
    <x v="68"/>
    <n v="0.83"/>
    <n v="1.75"/>
    <m/>
    <x v="25"/>
    <x v="43"/>
    <n v="0.91"/>
  </r>
  <r>
    <x v="159"/>
    <x v="206"/>
    <x v="14"/>
    <x v="0"/>
    <x v="0"/>
    <x v="3"/>
    <x v="27"/>
    <x v="0"/>
    <x v="191"/>
    <n v="387"/>
    <x v="0"/>
    <x v="92"/>
    <x v="69"/>
    <n v="0.92"/>
    <n v="1.85"/>
    <m/>
    <x v="107"/>
    <x v="50"/>
    <n v="0.45"/>
  </r>
  <r>
    <x v="160"/>
    <x v="207"/>
    <x v="14"/>
    <x v="0"/>
    <x v="0"/>
    <x v="3"/>
    <x v="27"/>
    <x v="0"/>
    <x v="192"/>
    <n v="257"/>
    <x v="0"/>
    <x v="93"/>
    <x v="70"/>
    <n v="7.01"/>
    <n v="1.35"/>
    <m/>
    <x v="108"/>
    <x v="98"/>
    <n v="1.1499999999999999"/>
  </r>
  <r>
    <x v="161"/>
    <x v="208"/>
    <x v="14"/>
    <x v="0"/>
    <x v="0"/>
    <x v="3"/>
    <x v="27"/>
    <x v="0"/>
    <x v="193"/>
    <n v="535"/>
    <x v="0"/>
    <x v="94"/>
    <x v="71"/>
    <n v="7.52"/>
    <n v="3.55"/>
    <m/>
    <x v="109"/>
    <x v="99"/>
    <n v="0.59"/>
  </r>
  <r>
    <x v="162"/>
    <x v="209"/>
    <x v="14"/>
    <x v="0"/>
    <x v="0"/>
    <x v="3"/>
    <x v="27"/>
    <x v="0"/>
    <x v="194"/>
    <n v="317"/>
    <x v="0"/>
    <x v="95"/>
    <x v="61"/>
    <n v="1.53"/>
    <n v="1.1499999999999999"/>
    <m/>
    <x v="110"/>
    <x v="45"/>
    <n v="1.1000000000000001"/>
  </r>
  <r>
    <x v="163"/>
    <x v="210"/>
    <x v="14"/>
    <x v="0"/>
    <x v="0"/>
    <x v="3"/>
    <x v="27"/>
    <x v="0"/>
    <x v="195"/>
    <n v="411"/>
    <x v="0"/>
    <x v="96"/>
    <x v="72"/>
    <n v="1.169"/>
    <n v="1.1779999999999999"/>
    <n v="0.89"/>
    <x v="89"/>
    <x v="100"/>
    <m/>
  </r>
  <r>
    <x v="164"/>
    <x v="211"/>
    <x v="15"/>
    <x v="0"/>
    <x v="0"/>
    <x v="3"/>
    <x v="27"/>
    <x v="0"/>
    <x v="196"/>
    <n v="249"/>
    <x v="0"/>
    <x v="97"/>
    <x v="73"/>
    <n v="0.26700000000000002"/>
    <n v="0.82499999999999996"/>
    <n v="0.59"/>
    <x v="45"/>
    <x v="94"/>
    <m/>
  </r>
  <r>
    <x v="165"/>
    <x v="212"/>
    <x v="15"/>
    <x v="0"/>
    <x v="0"/>
    <x v="3"/>
    <x v="27"/>
    <x v="0"/>
    <x v="197"/>
    <n v="642"/>
    <x v="0"/>
    <x v="98"/>
    <x v="74"/>
    <n v="0.59899999999999998"/>
    <n v="1.571"/>
    <n v="0.19"/>
    <x v="28"/>
    <x v="101"/>
    <m/>
  </r>
  <r>
    <x v="166"/>
    <x v="213"/>
    <x v="0"/>
    <x v="0"/>
    <x v="0"/>
    <x v="3"/>
    <x v="27"/>
    <x v="0"/>
    <x v="198"/>
    <n v="314"/>
    <x v="0"/>
    <x v="99"/>
    <x v="75"/>
    <n v="0.67100000000000004"/>
    <n v="1.274"/>
    <n v="0.40300000000000002"/>
    <x v="29"/>
    <x v="6"/>
    <m/>
  </r>
  <r>
    <x v="167"/>
    <x v="214"/>
    <x v="15"/>
    <x v="0"/>
    <x v="0"/>
    <x v="3"/>
    <x v="27"/>
    <x v="0"/>
    <x v="199"/>
    <n v="501"/>
    <x v="0"/>
    <x v="100"/>
    <x v="76"/>
    <n v="0.48"/>
    <n v="1.52"/>
    <m/>
    <x v="18"/>
    <x v="102"/>
    <n v="0.2"/>
  </r>
  <r>
    <x v="168"/>
    <x v="215"/>
    <x v="15"/>
    <x v="0"/>
    <x v="0"/>
    <x v="3"/>
    <x v="27"/>
    <x v="0"/>
    <x v="200"/>
    <n v="344"/>
    <x v="0"/>
    <x v="101"/>
    <x v="77"/>
    <n v="1.19"/>
    <n v="2.0499999999999998"/>
    <m/>
    <x v="111"/>
    <x v="103"/>
    <n v="0.42"/>
  </r>
  <r>
    <x v="169"/>
    <x v="216"/>
    <x v="15"/>
    <x v="0"/>
    <x v="0"/>
    <x v="3"/>
    <x v="27"/>
    <x v="0"/>
    <x v="201"/>
    <n v="447"/>
    <x v="17"/>
    <x v="102"/>
    <x v="78"/>
    <n v="1.044"/>
    <n v="1.28"/>
    <n v="0.61"/>
    <x v="112"/>
    <x v="104"/>
    <m/>
  </r>
  <r>
    <x v="170"/>
    <x v="217"/>
    <x v="15"/>
    <x v="0"/>
    <x v="0"/>
    <x v="3"/>
    <x v="27"/>
    <x v="0"/>
    <x v="202"/>
    <n v="542"/>
    <x v="55"/>
    <x v="103"/>
    <x v="79"/>
    <n v="0.66200000000000003"/>
    <n v="1.2809999999999999"/>
    <n v="0.39"/>
    <x v="52"/>
    <x v="95"/>
    <m/>
  </r>
  <r>
    <x v="171"/>
    <x v="218"/>
    <x v="19"/>
    <x v="0"/>
    <x v="0"/>
    <x v="3"/>
    <x v="27"/>
    <x v="1"/>
    <x v="203"/>
    <n v="363"/>
    <x v="56"/>
    <x v="104"/>
    <x v="80"/>
    <n v="0.35199999999999998"/>
    <n v="1.242"/>
    <n v="0.23"/>
    <x v="23"/>
    <x v="105"/>
    <m/>
  </r>
  <r>
    <x v="171"/>
    <x v="219"/>
    <x v="19"/>
    <x v="0"/>
    <x v="0"/>
    <x v="0"/>
    <x v="3"/>
    <x v="1"/>
    <x v="204"/>
    <n v="363"/>
    <x v="56"/>
    <x v="0"/>
    <x v="0"/>
    <n v="4"/>
    <m/>
    <m/>
    <x v="23"/>
    <x v="105"/>
    <m/>
  </r>
  <r>
    <x v="172"/>
    <x v="220"/>
    <x v="19"/>
    <x v="0"/>
    <x v="0"/>
    <x v="3"/>
    <x v="27"/>
    <x v="0"/>
    <x v="205"/>
    <n v="305"/>
    <x v="24"/>
    <x v="105"/>
    <x v="81"/>
    <n v="0.89200000000000002"/>
    <n v="1.4259999999999999"/>
    <n v="0.38"/>
    <x v="113"/>
    <x v="106"/>
    <m/>
  </r>
  <r>
    <x v="173"/>
    <x v="221"/>
    <x v="19"/>
    <x v="0"/>
    <x v="0"/>
    <x v="3"/>
    <x v="27"/>
    <x v="0"/>
    <x v="206"/>
    <n v="296"/>
    <x v="49"/>
    <x v="106"/>
    <x v="82"/>
    <n v="0.49299999999999999"/>
    <n v="1.284"/>
    <n v="0.28000000000000003"/>
    <x v="114"/>
    <x v="107"/>
    <m/>
  </r>
  <r>
    <x v="174"/>
    <x v="222"/>
    <x v="19"/>
    <x v="0"/>
    <x v="0"/>
    <x v="3"/>
    <x v="27"/>
    <x v="0"/>
    <x v="207"/>
    <n v="322"/>
    <x v="0"/>
    <x v="107"/>
    <x v="83"/>
    <n v="2.2000000000000002"/>
    <n v="1.59"/>
    <m/>
    <x v="115"/>
    <x v="108"/>
    <n v="0.36"/>
  </r>
  <r>
    <x v="175"/>
    <x v="223"/>
    <x v="0"/>
    <x v="0"/>
    <x v="0"/>
    <x v="3"/>
    <x v="27"/>
    <x v="0"/>
    <x v="208"/>
    <n v="340"/>
    <x v="0"/>
    <x v="108"/>
    <x v="84"/>
    <n v="0.98"/>
    <n v="1.21"/>
    <m/>
    <x v="48"/>
    <x v="40"/>
    <n v="1.04"/>
  </r>
  <r>
    <x v="176"/>
    <x v="224"/>
    <x v="8"/>
    <x v="0"/>
    <x v="0"/>
    <x v="3"/>
    <x v="27"/>
    <x v="0"/>
    <x v="209"/>
    <n v="497"/>
    <x v="57"/>
    <x v="109"/>
    <x v="85"/>
    <n v="1.35"/>
    <n v="1.288"/>
    <n v="0.78"/>
    <x v="46"/>
    <x v="109"/>
    <n v="0.35699999999999998"/>
  </r>
  <r>
    <x v="177"/>
    <x v="225"/>
    <x v="8"/>
    <x v="0"/>
    <x v="0"/>
    <x v="3"/>
    <x v="27"/>
    <x v="0"/>
    <x v="210"/>
    <n v="470"/>
    <x v="58"/>
    <x v="110"/>
    <x v="86"/>
    <n v="0.309"/>
    <n v="1.2929999999999999"/>
    <n v="0.17799999999999999"/>
    <x v="17"/>
    <x v="110"/>
    <n v="1.2230000000000001"/>
  </r>
  <r>
    <x v="178"/>
    <x v="226"/>
    <x v="8"/>
    <x v="0"/>
    <x v="0"/>
    <x v="3"/>
    <x v="27"/>
    <x v="0"/>
    <x v="211"/>
    <n v="385"/>
    <x v="59"/>
    <x v="111"/>
    <x v="87"/>
    <n v="0.81799999999999995"/>
    <n v="1.0089999999999999"/>
    <n v="0.98"/>
    <x v="45"/>
    <x v="111"/>
    <n v="1.75"/>
  </r>
  <r>
    <x v="179"/>
    <x v="227"/>
    <x v="8"/>
    <x v="0"/>
    <x v="0"/>
    <x v="3"/>
    <x v="27"/>
    <x v="0"/>
    <x v="212"/>
    <n v="719"/>
    <x v="60"/>
    <x v="112"/>
    <x v="88"/>
    <n v="1.484"/>
    <n v="1.3180000000000001"/>
    <n v="0.8"/>
    <x v="25"/>
    <x v="42"/>
    <n v="0.87"/>
  </r>
  <r>
    <x v="180"/>
    <x v="228"/>
    <x v="8"/>
    <x v="0"/>
    <x v="0"/>
    <x v="3"/>
    <x v="27"/>
    <x v="0"/>
    <x v="213"/>
    <n v="144.25"/>
    <x v="61"/>
    <x v="113"/>
    <x v="89"/>
    <n v="0.76"/>
    <n v="0.94399999999999995"/>
    <n v="1.1180000000000001"/>
    <x v="88"/>
    <x v="112"/>
    <m/>
  </r>
  <r>
    <x v="181"/>
    <x v="229"/>
    <x v="8"/>
    <x v="0"/>
    <x v="0"/>
    <x v="3"/>
    <x v="27"/>
    <x v="0"/>
    <x v="214"/>
    <n v="480"/>
    <x v="27"/>
    <x v="114"/>
    <x v="90"/>
    <n v="0.58199999999999996"/>
    <n v="1.1819999999999999"/>
    <n v="0.435"/>
    <x v="53"/>
    <x v="41"/>
    <m/>
  </r>
  <r>
    <x v="182"/>
    <x v="230"/>
    <x v="8"/>
    <x v="0"/>
    <x v="0"/>
    <x v="3"/>
    <x v="27"/>
    <x v="0"/>
    <x v="215"/>
    <n v="310.5"/>
    <x v="0"/>
    <x v="115"/>
    <x v="91"/>
    <n v="2.31"/>
    <n v="1.51"/>
    <m/>
    <x v="116"/>
    <x v="113"/>
    <n v="0.63"/>
  </r>
  <r>
    <x v="183"/>
    <x v="231"/>
    <x v="8"/>
    <x v="0"/>
    <x v="0"/>
    <x v="3"/>
    <x v="27"/>
    <x v="0"/>
    <x v="216"/>
    <n v="303"/>
    <x v="0"/>
    <x v="116"/>
    <x v="92"/>
    <n v="1.41"/>
    <n v="1.74"/>
    <m/>
    <x v="117"/>
    <x v="114"/>
    <n v="0.62"/>
  </r>
  <r>
    <x v="184"/>
    <x v="232"/>
    <x v="0"/>
    <x v="0"/>
    <x v="0"/>
    <x v="3"/>
    <x v="27"/>
    <x v="0"/>
    <x v="217"/>
    <n v="261"/>
    <x v="0"/>
    <x v="117"/>
    <x v="93"/>
    <n v="1.32"/>
    <n v="1.48"/>
    <m/>
    <x v="118"/>
    <x v="101"/>
    <n v="0.59"/>
  </r>
  <r>
    <x v="185"/>
    <x v="233"/>
    <x v="10"/>
    <x v="0"/>
    <x v="0"/>
    <x v="3"/>
    <x v="27"/>
    <x v="0"/>
    <x v="218"/>
    <n v="841"/>
    <x v="62"/>
    <x v="118"/>
    <x v="94"/>
    <n v="0.52700000000000002"/>
    <n v="1.89"/>
    <n v="9.6000000000000002E-2"/>
    <x v="49"/>
    <x v="115"/>
    <n v="0.26600000000000001"/>
  </r>
  <r>
    <x v="186"/>
    <x v="234"/>
    <x v="10"/>
    <x v="0"/>
    <x v="0"/>
    <x v="3"/>
    <x v="27"/>
    <x v="0"/>
    <x v="219"/>
    <n v="927"/>
    <x v="63"/>
    <x v="119"/>
    <x v="83"/>
    <n v="0.78300000000000003"/>
    <n v="1.59"/>
    <n v="0.24199999999999999"/>
    <x v="119"/>
    <x v="116"/>
    <n v="0.26900000000000002"/>
  </r>
  <r>
    <x v="187"/>
    <x v="235"/>
    <x v="17"/>
    <x v="0"/>
    <x v="0"/>
    <x v="3"/>
    <x v="27"/>
    <x v="0"/>
    <x v="220"/>
    <n v="320"/>
    <x v="64"/>
    <x v="120"/>
    <x v="95"/>
    <n v="0.34"/>
    <n v="2.085"/>
    <n v="5.1999999999999998E-2"/>
    <x v="120"/>
    <x v="117"/>
    <m/>
  </r>
  <r>
    <x v="188"/>
    <x v="236"/>
    <x v="2"/>
    <x v="1"/>
    <x v="0"/>
    <x v="3"/>
    <x v="27"/>
    <x v="0"/>
    <x v="221"/>
    <n v="320"/>
    <x v="0"/>
    <x v="121"/>
    <x v="91"/>
    <n v="1.84"/>
    <n v="1.51"/>
    <m/>
    <x v="121"/>
    <x v="118"/>
    <n v="0.27"/>
  </r>
  <r>
    <x v="189"/>
    <x v="237"/>
    <x v="2"/>
    <x v="0"/>
    <x v="0"/>
    <x v="3"/>
    <x v="27"/>
    <x v="0"/>
    <x v="222"/>
    <n v="230"/>
    <x v="0"/>
    <x v="122"/>
    <x v="96"/>
    <n v="1.28"/>
    <n v="1.4"/>
    <m/>
    <x v="46"/>
    <x v="119"/>
    <n v="0.46"/>
  </r>
  <r>
    <x v="190"/>
    <x v="238"/>
    <x v="2"/>
    <x v="0"/>
    <x v="0"/>
    <x v="3"/>
    <x v="27"/>
    <x v="0"/>
    <x v="223"/>
    <n v="480"/>
    <x v="0"/>
    <x v="123"/>
    <x v="97"/>
    <n v="0.78"/>
    <n v="1.4"/>
    <n v="0.35"/>
    <x v="114"/>
    <x v="106"/>
    <m/>
  </r>
  <r>
    <x v="191"/>
    <x v="239"/>
    <x v="15"/>
    <x v="0"/>
    <x v="0"/>
    <x v="3"/>
    <x v="28"/>
    <x v="0"/>
    <x v="224"/>
    <n v="303"/>
    <x v="0"/>
    <x v="124"/>
    <x v="98"/>
    <n v="1.855"/>
    <n v="1.302"/>
    <n v="1.03"/>
    <x v="7"/>
    <x v="110"/>
    <m/>
  </r>
  <r>
    <x v="192"/>
    <x v="240"/>
    <x v="8"/>
    <x v="0"/>
    <x v="0"/>
    <x v="3"/>
    <x v="28"/>
    <x v="0"/>
    <x v="225"/>
    <n v="496"/>
    <x v="32"/>
    <x v="125"/>
    <x v="99"/>
    <n v="0.52600000000000002"/>
    <n v="0.96899999999999997"/>
    <n v="0.7"/>
    <x v="32"/>
    <x v="95"/>
    <n v="1.1499999999999999"/>
  </r>
  <r>
    <x v="193"/>
    <x v="241"/>
    <x v="10"/>
    <x v="0"/>
    <x v="0"/>
    <x v="3"/>
    <x v="28"/>
    <x v="0"/>
    <x v="226"/>
    <n v="967.34"/>
    <x v="0"/>
    <x v="0"/>
    <x v="100"/>
    <m/>
    <n v="1.609"/>
    <m/>
    <x v="98"/>
    <x v="120"/>
    <n v="0.47899999999999998"/>
  </r>
  <r>
    <x v="194"/>
    <x v="242"/>
    <x v="10"/>
    <x v="0"/>
    <x v="0"/>
    <x v="3"/>
    <x v="28"/>
    <x v="0"/>
    <x v="227"/>
    <n v="512.41"/>
    <x v="0"/>
    <x v="0"/>
    <x v="101"/>
    <m/>
    <n v="0.69199999999999995"/>
    <m/>
    <x v="56"/>
    <x v="54"/>
    <n v="0.26900000000000002"/>
  </r>
  <r>
    <x v="195"/>
    <x v="243"/>
    <x v="8"/>
    <x v="0"/>
    <x v="0"/>
    <x v="3"/>
    <x v="28"/>
    <x v="0"/>
    <x v="228"/>
    <n v="476"/>
    <x v="49"/>
    <x v="126"/>
    <x v="65"/>
    <n v="0.54300000000000004"/>
    <n v="1.212"/>
    <n v="0.377"/>
    <x v="50"/>
    <x v="111"/>
    <n v="1.93"/>
  </r>
  <r>
    <x v="196"/>
    <x v="244"/>
    <x v="8"/>
    <x v="0"/>
    <x v="0"/>
    <x v="3"/>
    <x v="28"/>
    <x v="0"/>
    <x v="229"/>
    <n v="513"/>
    <x v="65"/>
    <x v="127"/>
    <x v="102"/>
    <n v="1.071"/>
    <n v="1.0389999999999999"/>
    <n v="1.1910000000000001"/>
    <x v="54"/>
    <x v="3"/>
    <n v="1.6819999999999999"/>
  </r>
  <r>
    <x v="197"/>
    <x v="245"/>
    <x v="10"/>
    <x v="0"/>
    <x v="0"/>
    <x v="3"/>
    <x v="28"/>
    <x v="0"/>
    <x v="230"/>
    <n v="689"/>
    <x v="34"/>
    <x v="128"/>
    <x v="103"/>
    <n v="2.17"/>
    <n v="1.105"/>
    <n v="1.97"/>
    <x v="122"/>
    <x v="94"/>
    <n v="1.57"/>
  </r>
  <r>
    <x v="198"/>
    <x v="246"/>
    <x v="10"/>
    <x v="0"/>
    <x v="0"/>
    <x v="3"/>
    <x v="28"/>
    <x v="0"/>
    <x v="231"/>
    <n v="774"/>
    <x v="66"/>
    <x v="129"/>
    <x v="17"/>
    <n v="3.27"/>
    <n v="1.3"/>
    <n v="1.86"/>
    <x v="54"/>
    <x v="89"/>
    <n v="0.72"/>
  </r>
  <r>
    <x v="199"/>
    <x v="247"/>
    <x v="10"/>
    <x v="0"/>
    <x v="0"/>
    <x v="3"/>
    <x v="28"/>
    <x v="0"/>
    <x v="232"/>
    <n v="339"/>
    <x v="67"/>
    <x v="130"/>
    <x v="104"/>
    <n v="1.3380000000000001"/>
    <n v="0.77700000000000002"/>
    <n v="3.5"/>
    <x v="47"/>
    <x v="121"/>
    <n v="1.22"/>
  </r>
  <r>
    <x v="200"/>
    <x v="248"/>
    <x v="10"/>
    <x v="0"/>
    <x v="0"/>
    <x v="3"/>
    <x v="4"/>
    <x v="0"/>
    <x v="233"/>
    <n v="645"/>
    <x v="27"/>
    <x v="131"/>
    <x v="105"/>
    <n v="1.98"/>
    <n v="1.337"/>
    <n v="1.02"/>
    <x v="48"/>
    <x v="55"/>
    <n v="1.37"/>
  </r>
  <r>
    <x v="201"/>
    <x v="249"/>
    <x v="7"/>
    <x v="0"/>
    <x v="0"/>
    <x v="3"/>
    <x v="28"/>
    <x v="0"/>
    <x v="234"/>
    <n v="360"/>
    <x v="68"/>
    <x v="132"/>
    <x v="106"/>
    <n v="1.345"/>
    <n v="1.1679999999999999"/>
    <n v="1.05"/>
    <x v="59"/>
    <x v="52"/>
    <m/>
  </r>
  <r>
    <x v="202"/>
    <x v="250"/>
    <x v="17"/>
    <x v="0"/>
    <x v="0"/>
    <x v="3"/>
    <x v="28"/>
    <x v="0"/>
    <x v="235"/>
    <n v="207.9"/>
    <x v="0"/>
    <x v="133"/>
    <x v="107"/>
    <n v="2.74"/>
    <n v="0.95299999999999996"/>
    <n v="3.89"/>
    <x v="99"/>
    <x v="67"/>
    <n v="3.28"/>
  </r>
  <r>
    <x v="203"/>
    <x v="251"/>
    <x v="17"/>
    <x v="0"/>
    <x v="0"/>
    <x v="3"/>
    <x v="28"/>
    <x v="0"/>
    <x v="236"/>
    <n v="747"/>
    <x v="27"/>
    <x v="134"/>
    <x v="108"/>
    <n v="1.47"/>
    <n v="1.86"/>
    <n v="0.28999999999999998"/>
    <x v="20"/>
    <x v="15"/>
    <n v="0.91"/>
  </r>
  <r>
    <x v="204"/>
    <x v="252"/>
    <x v="17"/>
    <x v="0"/>
    <x v="0"/>
    <x v="3"/>
    <x v="28"/>
    <x v="0"/>
    <x v="237"/>
    <n v="510"/>
    <x v="69"/>
    <x v="135"/>
    <x v="109"/>
    <n v="2.44"/>
    <n v="1.4870000000000001"/>
    <n v="0.92"/>
    <x v="49"/>
    <x v="54"/>
    <n v="1.0589999999999999"/>
  </r>
  <r>
    <x v="205"/>
    <x v="253"/>
    <x v="10"/>
    <x v="0"/>
    <x v="0"/>
    <x v="3"/>
    <x v="28"/>
    <x v="0"/>
    <x v="238"/>
    <n v="466"/>
    <x v="56"/>
    <x v="136"/>
    <x v="110"/>
    <n v="0.61299999999999999"/>
    <n v="1.26"/>
    <n v="0.38"/>
    <x v="7"/>
    <x v="37"/>
    <n v="1.03"/>
  </r>
  <r>
    <x v="206"/>
    <x v="254"/>
    <x v="10"/>
    <x v="0"/>
    <x v="0"/>
    <x v="3"/>
    <x v="28"/>
    <x v="0"/>
    <x v="239"/>
    <n v="907"/>
    <x v="70"/>
    <x v="89"/>
    <x v="68"/>
    <n v="0.65"/>
    <n v="1.75"/>
    <n v="0.153"/>
    <x v="123"/>
    <x v="122"/>
    <n v="0.218"/>
  </r>
  <r>
    <x v="207"/>
    <x v="255"/>
    <x v="10"/>
    <x v="0"/>
    <x v="0"/>
    <x v="3"/>
    <x v="28"/>
    <x v="0"/>
    <x v="240"/>
    <n v="840"/>
    <x v="71"/>
    <x v="137"/>
    <x v="111"/>
    <n v="0.53"/>
    <n v="1.5"/>
    <n v="0.18"/>
    <x v="116"/>
    <x v="123"/>
    <n v="0.379"/>
  </r>
  <r>
    <x v="208"/>
    <x v="256"/>
    <x v="10"/>
    <x v="0"/>
    <x v="0"/>
    <x v="3"/>
    <x v="28"/>
    <x v="0"/>
    <x v="241"/>
    <n v="521"/>
    <x v="72"/>
    <x v="138"/>
    <x v="112"/>
    <n v="0.67200000000000004"/>
    <n v="1.194"/>
    <n v="0.48"/>
    <x v="89"/>
    <x v="94"/>
    <n v="1.67"/>
  </r>
  <r>
    <x v="209"/>
    <x v="257"/>
    <x v="10"/>
    <x v="0"/>
    <x v="0"/>
    <x v="3"/>
    <x v="28"/>
    <x v="0"/>
    <x v="242"/>
    <n v="351"/>
    <x v="73"/>
    <x v="139"/>
    <x v="113"/>
    <n v="0.65300000000000002"/>
    <n v="1.2509999999999999"/>
    <n v="0.41099999999999998"/>
    <x v="18"/>
    <x v="88"/>
    <n v="1.17"/>
  </r>
  <r>
    <x v="210"/>
    <x v="258"/>
    <x v="7"/>
    <x v="0"/>
    <x v="0"/>
    <x v="3"/>
    <x v="28"/>
    <x v="0"/>
    <x v="243"/>
    <n v="453"/>
    <x v="74"/>
    <x v="140"/>
    <x v="114"/>
    <n v="1.071"/>
    <n v="1.381"/>
    <n v="0.51"/>
    <x v="49"/>
    <x v="107"/>
    <m/>
  </r>
  <r>
    <x v="211"/>
    <x v="259"/>
    <x v="10"/>
    <x v="0"/>
    <x v="0"/>
    <x v="3"/>
    <x v="28"/>
    <x v="0"/>
    <x v="244"/>
    <n v="339"/>
    <x v="71"/>
    <x v="141"/>
    <x v="115"/>
    <n v="0.70599999999999996"/>
    <n v="1.175"/>
    <n v="0.54300000000000004"/>
    <x v="25"/>
    <x v="124"/>
    <n v="1.29"/>
  </r>
  <r>
    <x v="212"/>
    <x v="260"/>
    <x v="10"/>
    <x v="0"/>
    <x v="0"/>
    <x v="3"/>
    <x v="28"/>
    <x v="0"/>
    <x v="245"/>
    <n v="872"/>
    <x v="75"/>
    <x v="88"/>
    <x v="116"/>
    <n v="0.88"/>
    <n v="1.64"/>
    <n v="0.24299999999999999"/>
    <x v="46"/>
    <x v="125"/>
    <n v="0.27500000000000002"/>
  </r>
  <r>
    <x v="213"/>
    <x v="261"/>
    <x v="10"/>
    <x v="0"/>
    <x v="0"/>
    <x v="3"/>
    <x v="28"/>
    <x v="0"/>
    <x v="246"/>
    <n v="839"/>
    <x v="76"/>
    <x v="92"/>
    <x v="117"/>
    <n v="0.92"/>
    <n v="1.2490000000000001"/>
    <n v="0.57999999999999996"/>
    <x v="32"/>
    <x v="95"/>
    <n v="1.17"/>
  </r>
  <r>
    <x v="214"/>
    <x v="262"/>
    <x v="10"/>
    <x v="0"/>
    <x v="0"/>
    <x v="3"/>
    <x v="28"/>
    <x v="0"/>
    <x v="247"/>
    <n v="255"/>
    <x v="23"/>
    <x v="142"/>
    <x v="118"/>
    <n v="1.1919999999999999"/>
    <n v="1.23"/>
    <n v="0.79"/>
    <x v="104"/>
    <x v="55"/>
    <n v="1.4"/>
  </r>
  <r>
    <x v="215"/>
    <x v="263"/>
    <x v="10"/>
    <x v="0"/>
    <x v="0"/>
    <x v="3"/>
    <x v="28"/>
    <x v="0"/>
    <x v="248"/>
    <n v="532"/>
    <x v="77"/>
    <x v="143"/>
    <x v="119"/>
    <n v="0.94099999999999995"/>
    <n v="1.43"/>
    <n v="0.4"/>
    <x v="44"/>
    <x v="62"/>
    <n v="1.44"/>
  </r>
  <r>
    <x v="216"/>
    <x v="264"/>
    <x v="10"/>
    <x v="0"/>
    <x v="0"/>
    <x v="3"/>
    <x v="28"/>
    <x v="0"/>
    <x v="249"/>
    <n v="557"/>
    <x v="78"/>
    <x v="144"/>
    <x v="120"/>
    <n v="1.222"/>
    <n v="1.464"/>
    <n v="0.48399999999999999"/>
    <x v="64"/>
    <x v="126"/>
    <n v="0.628"/>
  </r>
  <r>
    <x v="217"/>
    <x v="265"/>
    <x v="5"/>
    <x v="0"/>
    <x v="0"/>
    <x v="3"/>
    <x v="28"/>
    <x v="0"/>
    <x v="250"/>
    <n v="878.65"/>
    <x v="0"/>
    <x v="0"/>
    <x v="121"/>
    <m/>
    <n v="1.153"/>
    <m/>
    <x v="32"/>
    <x v="95"/>
    <n v="1.19"/>
  </r>
  <r>
    <x v="218"/>
    <x v="266"/>
    <x v="5"/>
    <x v="0"/>
    <x v="0"/>
    <x v="3"/>
    <x v="28"/>
    <x v="0"/>
    <x v="251"/>
    <n v="773"/>
    <x v="79"/>
    <x v="145"/>
    <x v="122"/>
    <n v="0.63"/>
    <n v="1.57"/>
    <n v="0.20200000000000001"/>
    <x v="124"/>
    <x v="101"/>
    <n v="0.45700000000000002"/>
  </r>
  <r>
    <x v="219"/>
    <x v="267"/>
    <x v="19"/>
    <x v="0"/>
    <x v="0"/>
    <x v="3"/>
    <x v="28"/>
    <x v="0"/>
    <x v="252"/>
    <n v="420"/>
    <x v="67"/>
    <x v="146"/>
    <x v="123"/>
    <n v="1.323"/>
    <n v="1.02"/>
    <n v="1.55"/>
    <x v="57"/>
    <x v="3"/>
    <m/>
  </r>
  <r>
    <x v="220"/>
    <x v="268"/>
    <x v="5"/>
    <x v="0"/>
    <x v="0"/>
    <x v="3"/>
    <x v="28"/>
    <x v="0"/>
    <x v="253"/>
    <n v="1431"/>
    <x v="80"/>
    <x v="147"/>
    <x v="124"/>
    <n v="1.59"/>
    <n v="1.58"/>
    <n v="0.49"/>
    <x v="121"/>
    <x v="127"/>
    <n v="0.189"/>
  </r>
  <r>
    <x v="221"/>
    <x v="269"/>
    <x v="5"/>
    <x v="0"/>
    <x v="0"/>
    <x v="3"/>
    <x v="28"/>
    <x v="0"/>
    <x v="254"/>
    <n v="800"/>
    <x v="81"/>
    <x v="148"/>
    <x v="125"/>
    <n v="9.6999999999999993"/>
    <n v="1.33"/>
    <n v="5.0999999999999996"/>
    <x v="125"/>
    <x v="128"/>
    <n v="0.42"/>
  </r>
  <r>
    <x v="222"/>
    <x v="270"/>
    <x v="5"/>
    <x v="0"/>
    <x v="0"/>
    <x v="3"/>
    <x v="28"/>
    <x v="0"/>
    <x v="255"/>
    <n v="942"/>
    <x v="82"/>
    <x v="149"/>
    <x v="96"/>
    <n v="1.88"/>
    <n v="1.4"/>
    <n v="0.83"/>
    <x v="46"/>
    <x v="129"/>
    <n v="0.55000000000000004"/>
  </r>
  <r>
    <x v="223"/>
    <x v="271"/>
    <x v="5"/>
    <x v="0"/>
    <x v="0"/>
    <x v="3"/>
    <x v="28"/>
    <x v="0"/>
    <x v="256"/>
    <n v="341"/>
    <x v="36"/>
    <x v="150"/>
    <x v="126"/>
    <n v="0.26100000000000001"/>
    <n v="1.18"/>
    <n v="0.191"/>
    <x v="97"/>
    <x v="130"/>
    <n v="2.1800000000000002"/>
  </r>
  <r>
    <x v="224"/>
    <x v="272"/>
    <x v="5"/>
    <x v="0"/>
    <x v="0"/>
    <x v="3"/>
    <x v="28"/>
    <x v="0"/>
    <x v="257"/>
    <n v="463"/>
    <x v="68"/>
    <x v="151"/>
    <x v="127"/>
    <n v="0.56000000000000005"/>
    <n v="1.0669999999999999"/>
    <n v="0.56000000000000005"/>
    <x v="126"/>
    <x v="131"/>
    <n v="1.98"/>
  </r>
  <r>
    <x v="225"/>
    <x v="273"/>
    <x v="5"/>
    <x v="0"/>
    <x v="0"/>
    <x v="3"/>
    <x v="28"/>
    <x v="0"/>
    <x v="258"/>
    <n v="818"/>
    <x v="83"/>
    <x v="152"/>
    <x v="128"/>
    <n v="0.7"/>
    <n v="1.286"/>
    <n v="0.41"/>
    <x v="46"/>
    <x v="97"/>
    <n v="0.79"/>
  </r>
  <r>
    <x v="226"/>
    <x v="274"/>
    <x v="5"/>
    <x v="0"/>
    <x v="0"/>
    <x v="3"/>
    <x v="28"/>
    <x v="0"/>
    <x v="259"/>
    <n v="448"/>
    <x v="23"/>
    <x v="153"/>
    <x v="129"/>
    <n v="0.17299999999999999"/>
    <n v="0.90300000000000002"/>
    <n v="0.28000000000000003"/>
    <x v="127"/>
    <x v="131"/>
    <n v="2.1"/>
  </r>
  <r>
    <x v="227"/>
    <x v="275"/>
    <x v="19"/>
    <x v="0"/>
    <x v="0"/>
    <x v="3"/>
    <x v="28"/>
    <x v="0"/>
    <x v="260"/>
    <n v="257"/>
    <x v="84"/>
    <x v="154"/>
    <x v="130"/>
    <n v="0.23699999999999999"/>
    <n v="0.91200000000000003"/>
    <n v="0.39"/>
    <x v="23"/>
    <x v="90"/>
    <m/>
  </r>
  <r>
    <x v="228"/>
    <x v="276"/>
    <x v="17"/>
    <x v="0"/>
    <x v="0"/>
    <x v="3"/>
    <x v="28"/>
    <x v="0"/>
    <x v="261"/>
    <n v="717"/>
    <x v="85"/>
    <x v="155"/>
    <x v="131"/>
    <n v="0.39"/>
    <n v="1.1299999999999999"/>
    <n v="0.33"/>
    <x v="63"/>
    <x v="40"/>
    <n v="1.19"/>
  </r>
  <r>
    <x v="229"/>
    <x v="277"/>
    <x v="17"/>
    <x v="0"/>
    <x v="0"/>
    <x v="3"/>
    <x v="28"/>
    <x v="0"/>
    <x v="262"/>
    <n v="478"/>
    <x v="86"/>
    <x v="156"/>
    <x v="132"/>
    <n v="0.76800000000000002"/>
    <n v="1.41"/>
    <n v="0.34"/>
    <x v="128"/>
    <x v="132"/>
    <n v="0.56000000000000005"/>
  </r>
  <r>
    <x v="230"/>
    <x v="278"/>
    <x v="17"/>
    <x v="0"/>
    <x v="0"/>
    <x v="3"/>
    <x v="28"/>
    <x v="0"/>
    <x v="263"/>
    <n v="631"/>
    <x v="85"/>
    <x v="157"/>
    <x v="133"/>
    <n v="2.2400000000000002"/>
    <n v="1.3819999999999999"/>
    <n v="1.06"/>
    <x v="129"/>
    <x v="133"/>
    <n v="1.37"/>
  </r>
  <r>
    <x v="231"/>
    <x v="279"/>
    <x v="17"/>
    <x v="0"/>
    <x v="0"/>
    <x v="3"/>
    <x v="28"/>
    <x v="0"/>
    <x v="264"/>
    <n v="613"/>
    <x v="87"/>
    <x v="158"/>
    <x v="134"/>
    <n v="0.59499999999999997"/>
    <n v="1.34"/>
    <n v="0.30299999999999999"/>
    <x v="50"/>
    <x v="95"/>
    <n v="1.0269999999999999"/>
  </r>
  <r>
    <x v="232"/>
    <x v="280"/>
    <x v="5"/>
    <x v="0"/>
    <x v="0"/>
    <x v="3"/>
    <x v="28"/>
    <x v="1"/>
    <x v="265"/>
    <n v="654.88"/>
    <x v="75"/>
    <x v="159"/>
    <x v="135"/>
    <n v="0.80600000000000005"/>
    <n v="1.1259999999999999"/>
    <n v="0.7"/>
    <x v="48"/>
    <x v="110"/>
    <n v="1.31"/>
  </r>
  <r>
    <x v="232"/>
    <x v="281"/>
    <x v="5"/>
    <x v="0"/>
    <x v="0"/>
    <x v="0"/>
    <x v="28"/>
    <x v="1"/>
    <x v="266"/>
    <n v="654.88"/>
    <x v="75"/>
    <x v="0"/>
    <x v="0"/>
    <n v="12.7"/>
    <m/>
    <m/>
    <x v="48"/>
    <x v="110"/>
    <n v="1.31"/>
  </r>
  <r>
    <x v="233"/>
    <x v="282"/>
    <x v="8"/>
    <x v="0"/>
    <x v="0"/>
    <x v="3"/>
    <x v="28"/>
    <x v="0"/>
    <x v="267"/>
    <n v="148.4"/>
    <x v="88"/>
    <x v="160"/>
    <x v="136"/>
    <n v="0.31900000000000001"/>
    <n v="0.998"/>
    <n v="0.39900000000000002"/>
    <x v="40"/>
    <x v="60"/>
    <n v="4.3600000000000003"/>
  </r>
  <r>
    <x v="234"/>
    <x v="283"/>
    <x v="5"/>
    <x v="0"/>
    <x v="0"/>
    <x v="3"/>
    <x v="28"/>
    <x v="0"/>
    <x v="268"/>
    <n v="494.3"/>
    <x v="89"/>
    <x v="161"/>
    <x v="137"/>
    <n v="0.66200000000000003"/>
    <n v="1.153"/>
    <n v="0.53700000000000003"/>
    <x v="32"/>
    <x v="134"/>
    <n v="0.496"/>
  </r>
  <r>
    <x v="235"/>
    <x v="284"/>
    <x v="5"/>
    <x v="0"/>
    <x v="0"/>
    <x v="3"/>
    <x v="28"/>
    <x v="0"/>
    <x v="269"/>
    <n v="694"/>
    <x v="90"/>
    <x v="162"/>
    <x v="138"/>
    <n v="3.4"/>
    <n v="1.1950000000000001"/>
    <n v="2.4700000000000002"/>
    <x v="4"/>
    <x v="135"/>
    <n v="0.33"/>
  </r>
  <r>
    <x v="236"/>
    <x v="285"/>
    <x v="5"/>
    <x v="0"/>
    <x v="0"/>
    <x v="3"/>
    <x v="28"/>
    <x v="0"/>
    <x v="270"/>
    <n v="516.79999999999995"/>
    <x v="91"/>
    <x v="163"/>
    <x v="139"/>
    <n v="0.17899999999999999"/>
    <n v="1.0549999999999999"/>
    <n v="7.5999999999999998E-2"/>
    <x v="3"/>
    <x v="3"/>
    <n v="1.556"/>
  </r>
  <r>
    <x v="237"/>
    <x v="286"/>
    <x v="5"/>
    <x v="0"/>
    <x v="0"/>
    <x v="3"/>
    <x v="28"/>
    <x v="0"/>
    <x v="271"/>
    <n v="634.79999999999995"/>
    <x v="92"/>
    <x v="164"/>
    <x v="140"/>
    <n v="0.96"/>
    <n v="1.2070000000000001"/>
    <n v="0.67"/>
    <x v="89"/>
    <x v="88"/>
    <n v="1.071"/>
  </r>
  <r>
    <x v="238"/>
    <x v="287"/>
    <x v="5"/>
    <x v="0"/>
    <x v="0"/>
    <x v="3"/>
    <x v="28"/>
    <x v="0"/>
    <x v="272"/>
    <n v="1083"/>
    <x v="93"/>
    <x v="164"/>
    <x v="141"/>
    <n v="0.96"/>
    <n v="1.679"/>
    <n v="0.245"/>
    <x v="121"/>
    <x v="136"/>
    <n v="0.23400000000000001"/>
  </r>
  <r>
    <x v="239"/>
    <x v="288"/>
    <x v="5"/>
    <x v="0"/>
    <x v="0"/>
    <x v="3"/>
    <x v="28"/>
    <x v="0"/>
    <x v="273"/>
    <n v="495"/>
    <x v="94"/>
    <x v="165"/>
    <x v="142"/>
    <n v="0.82099999999999995"/>
    <n v="1.5009999999999999"/>
    <n v="0.3"/>
    <x v="113"/>
    <x v="97"/>
    <n v="0.78800000000000003"/>
  </r>
  <r>
    <x v="240"/>
    <x v="289"/>
    <x v="5"/>
    <x v="0"/>
    <x v="0"/>
    <x v="3"/>
    <x v="28"/>
    <x v="0"/>
    <x v="274"/>
    <n v="1538"/>
    <x v="95"/>
    <x v="166"/>
    <x v="143"/>
    <n v="5.33"/>
    <n v="1.411"/>
    <n v="2.34"/>
    <x v="130"/>
    <x v="137"/>
    <n v="0.318"/>
  </r>
  <r>
    <x v="241"/>
    <x v="290"/>
    <x v="5"/>
    <x v="0"/>
    <x v="0"/>
    <x v="3"/>
    <x v="28"/>
    <x v="0"/>
    <x v="275"/>
    <n v="982"/>
    <x v="96"/>
    <x v="167"/>
    <x v="144"/>
    <n v="1.45"/>
    <n v="1.6850000000000001"/>
    <n v="0.374"/>
    <x v="22"/>
    <x v="132"/>
    <n v="0.67700000000000005"/>
  </r>
  <r>
    <x v="242"/>
    <x v="291"/>
    <x v="5"/>
    <x v="0"/>
    <x v="0"/>
    <x v="3"/>
    <x v="28"/>
    <x v="0"/>
    <x v="276"/>
    <n v="618.20000000000005"/>
    <x v="43"/>
    <x v="168"/>
    <x v="145"/>
    <n v="1.29"/>
    <n v="1.232"/>
    <n v="0.85599999999999998"/>
    <x v="131"/>
    <x v="138"/>
    <n v="0.35599999999999998"/>
  </r>
  <r>
    <x v="243"/>
    <x v="292"/>
    <x v="5"/>
    <x v="0"/>
    <x v="0"/>
    <x v="3"/>
    <x v="28"/>
    <x v="0"/>
    <x v="277"/>
    <n v="420.3"/>
    <x v="97"/>
    <x v="169"/>
    <x v="146"/>
    <n v="0.57699999999999996"/>
    <n v="0.94499999999999995"/>
    <n v="0.46"/>
    <x v="45"/>
    <x v="100"/>
    <n v="1.8540000000000001"/>
  </r>
  <r>
    <x v="244"/>
    <x v="293"/>
    <x v="8"/>
    <x v="0"/>
    <x v="0"/>
    <x v="3"/>
    <x v="28"/>
    <x v="0"/>
    <x v="278"/>
    <n v="257"/>
    <x v="98"/>
    <x v="170"/>
    <x v="147"/>
    <n v="0.12"/>
    <n v="0.56299999999999994"/>
    <n v="0.83"/>
    <x v="6"/>
    <x v="130"/>
    <n v="2.2200000000000002"/>
  </r>
  <r>
    <x v="245"/>
    <x v="294"/>
    <x v="20"/>
    <x v="0"/>
    <x v="0"/>
    <x v="3"/>
    <x v="28"/>
    <x v="0"/>
    <x v="279"/>
    <n v="1307"/>
    <x v="99"/>
    <x v="171"/>
    <x v="148"/>
    <n v="12.9"/>
    <n v="1.3839999999999999"/>
    <n v="6.64"/>
    <x v="132"/>
    <x v="116"/>
    <m/>
  </r>
  <r>
    <x v="246"/>
    <x v="295"/>
    <x v="8"/>
    <x v="0"/>
    <x v="0"/>
    <x v="3"/>
    <x v="28"/>
    <x v="0"/>
    <x v="280"/>
    <n v="829"/>
    <x v="100"/>
    <x v="172"/>
    <x v="149"/>
    <n v="0.13800000000000001"/>
    <n v="0.873"/>
    <n v="0.25900000000000001"/>
    <x v="104"/>
    <x v="121"/>
    <n v="1.1499999999999999"/>
  </r>
  <r>
    <x v="247"/>
    <x v="296"/>
    <x v="8"/>
    <x v="0"/>
    <x v="0"/>
    <x v="3"/>
    <x v="28"/>
    <x v="0"/>
    <x v="281"/>
    <n v="654.36"/>
    <x v="0"/>
    <x v="0"/>
    <x v="150"/>
    <m/>
    <n v="1.236"/>
    <m/>
    <x v="32"/>
    <x v="53"/>
    <n v="0.45100000000000001"/>
  </r>
  <r>
    <x v="248"/>
    <x v="297"/>
    <x v="19"/>
    <x v="0"/>
    <x v="0"/>
    <x v="1"/>
    <x v="9"/>
    <x v="0"/>
    <x v="6"/>
    <n v="97"/>
    <x v="1"/>
    <x v="0"/>
    <x v="151"/>
    <m/>
    <n v="6.9"/>
    <m/>
    <x v="27"/>
    <x v="6"/>
    <m/>
  </r>
  <r>
    <x v="249"/>
    <x v="298"/>
    <x v="14"/>
    <x v="0"/>
    <x v="0"/>
    <x v="0"/>
    <x v="14"/>
    <x v="0"/>
    <x v="282"/>
    <n v="137.72"/>
    <x v="0"/>
    <x v="0"/>
    <x v="0"/>
    <n v="1.61"/>
    <m/>
    <m/>
    <x v="133"/>
    <x v="139"/>
    <m/>
  </r>
  <r>
    <x v="250"/>
    <x v="299"/>
    <x v="0"/>
    <x v="0"/>
    <x v="0"/>
    <x v="0"/>
    <x v="17"/>
    <x v="0"/>
    <x v="283"/>
    <n v="49.6"/>
    <x v="0"/>
    <x v="0"/>
    <x v="0"/>
    <n v="1.03"/>
    <m/>
    <m/>
    <x v="134"/>
    <x v="110"/>
    <m/>
  </r>
  <r>
    <x v="251"/>
    <x v="300"/>
    <x v="6"/>
    <x v="0"/>
    <x v="0"/>
    <x v="0"/>
    <x v="17"/>
    <x v="5"/>
    <x v="284"/>
    <n v="39.020000000000003"/>
    <x v="0"/>
    <x v="0"/>
    <x v="0"/>
    <n v="4.1599999999999998E-2"/>
    <m/>
    <m/>
    <x v="104"/>
    <x v="37"/>
    <m/>
  </r>
  <r>
    <x v="251"/>
    <x v="301"/>
    <x v="6"/>
    <x v="0"/>
    <x v="0"/>
    <x v="0"/>
    <x v="17"/>
    <x v="5"/>
    <x v="285"/>
    <n v="39.020000000000003"/>
    <x v="0"/>
    <x v="0"/>
    <x v="0"/>
    <n v="3.78E-2"/>
    <m/>
    <m/>
    <x v="104"/>
    <x v="37"/>
    <m/>
  </r>
  <r>
    <x v="251"/>
    <x v="302"/>
    <x v="6"/>
    <x v="0"/>
    <x v="0"/>
    <x v="0"/>
    <x v="17"/>
    <x v="5"/>
    <x v="286"/>
    <n v="39.020000000000003"/>
    <x v="0"/>
    <x v="0"/>
    <x v="0"/>
    <n v="8.0500000000000002E-2"/>
    <m/>
    <m/>
    <x v="104"/>
    <x v="37"/>
    <m/>
  </r>
  <r>
    <x v="251"/>
    <x v="303"/>
    <x v="6"/>
    <x v="0"/>
    <x v="0"/>
    <x v="0"/>
    <x v="17"/>
    <x v="5"/>
    <x v="287"/>
    <n v="39.020000000000003"/>
    <x v="0"/>
    <x v="0"/>
    <x v="0"/>
    <n v="7.22E-2"/>
    <m/>
    <m/>
    <x v="104"/>
    <x v="37"/>
    <m/>
  </r>
  <r>
    <x v="251"/>
    <x v="304"/>
    <x v="6"/>
    <x v="0"/>
    <x v="0"/>
    <x v="0"/>
    <x v="17"/>
    <x v="5"/>
    <x v="288"/>
    <n v="39.020000000000003"/>
    <x v="0"/>
    <x v="0"/>
    <x v="0"/>
    <n v="7.3200000000000001E-2"/>
    <m/>
    <m/>
    <x v="104"/>
    <x v="37"/>
    <m/>
  </r>
  <r>
    <x v="251"/>
    <x v="305"/>
    <x v="6"/>
    <x v="0"/>
    <x v="0"/>
    <x v="0"/>
    <x v="17"/>
    <x v="5"/>
    <x v="289"/>
    <n v="39.020000000000003"/>
    <x v="0"/>
    <x v="0"/>
    <x v="0"/>
    <n v="0.20660000000000001"/>
    <m/>
    <m/>
    <x v="104"/>
    <x v="37"/>
    <m/>
  </r>
  <r>
    <x v="252"/>
    <x v="306"/>
    <x v="16"/>
    <x v="0"/>
    <x v="0"/>
    <x v="0"/>
    <x v="17"/>
    <x v="0"/>
    <x v="290"/>
    <n v="30.05"/>
    <x v="0"/>
    <x v="0"/>
    <x v="0"/>
    <n v="0.25"/>
    <m/>
    <m/>
    <x v="40"/>
    <x v="24"/>
    <m/>
  </r>
  <r>
    <x v="253"/>
    <x v="307"/>
    <x v="16"/>
    <x v="0"/>
    <x v="0"/>
    <x v="0"/>
    <x v="17"/>
    <x v="0"/>
    <x v="291"/>
    <n v="39.619999999999997"/>
    <x v="0"/>
    <x v="0"/>
    <x v="0"/>
    <n v="0.17"/>
    <m/>
    <m/>
    <x v="104"/>
    <x v="14"/>
    <m/>
  </r>
  <r>
    <x v="254"/>
    <x v="308"/>
    <x v="11"/>
    <x v="0"/>
    <x v="0"/>
    <x v="0"/>
    <x v="29"/>
    <x v="0"/>
    <x v="292"/>
    <n v="29.36"/>
    <x v="0"/>
    <x v="0"/>
    <x v="0"/>
    <n v="0.41"/>
    <m/>
    <m/>
    <x v="99"/>
    <x v="92"/>
    <m/>
  </r>
  <r>
    <x v="255"/>
    <x v="309"/>
    <x v="2"/>
    <x v="0"/>
    <x v="0"/>
    <x v="0"/>
    <x v="12"/>
    <x v="0"/>
    <x v="293"/>
    <n v="350.01"/>
    <x v="0"/>
    <x v="0"/>
    <x v="0"/>
    <n v="4.9400000000000004"/>
    <m/>
    <m/>
    <x v="103"/>
    <x v="22"/>
    <m/>
  </r>
  <r>
    <x v="256"/>
    <x v="310"/>
    <x v="14"/>
    <x v="0"/>
    <x v="0"/>
    <x v="0"/>
    <x v="3"/>
    <x v="1"/>
    <x v="294"/>
    <n v="218.42"/>
    <x v="0"/>
    <x v="0"/>
    <x v="0"/>
    <n v="8.16"/>
    <m/>
    <m/>
    <x v="135"/>
    <x v="140"/>
    <m/>
  </r>
  <r>
    <x v="256"/>
    <x v="311"/>
    <x v="5"/>
    <x v="0"/>
    <x v="0"/>
    <x v="0"/>
    <x v="3"/>
    <x v="1"/>
    <x v="295"/>
    <n v="218.42"/>
    <x v="0"/>
    <x v="0"/>
    <x v="0"/>
    <n v="1.52"/>
    <m/>
    <m/>
    <x v="135"/>
    <x v="140"/>
    <m/>
  </r>
  <r>
    <x v="257"/>
    <x v="312"/>
    <x v="6"/>
    <x v="0"/>
    <x v="0"/>
    <x v="0"/>
    <x v="13"/>
    <x v="0"/>
    <x v="296"/>
    <n v="9.2899999999999991"/>
    <x v="87"/>
    <x v="0"/>
    <x v="0"/>
    <n v="0.05"/>
    <m/>
    <m/>
    <x v="6"/>
    <x v="6"/>
    <m/>
  </r>
  <r>
    <x v="258"/>
    <x v="313"/>
    <x v="20"/>
    <x v="0"/>
    <x v="0"/>
    <x v="0"/>
    <x v="30"/>
    <x v="0"/>
    <x v="297"/>
    <n v="62.87"/>
    <x v="0"/>
    <x v="0"/>
    <x v="0"/>
    <n v="0.35837000000000002"/>
    <m/>
    <m/>
    <x v="44"/>
    <x v="6"/>
    <m/>
  </r>
  <r>
    <x v="259"/>
    <x v="314"/>
    <x v="6"/>
    <x v="0"/>
    <x v="0"/>
    <x v="0"/>
    <x v="3"/>
    <x v="0"/>
    <x v="298"/>
    <n v="122.32"/>
    <x v="0"/>
    <x v="0"/>
    <x v="0"/>
    <n v="0.96"/>
    <m/>
    <m/>
    <x v="136"/>
    <x v="141"/>
    <m/>
  </r>
  <r>
    <x v="260"/>
    <x v="315"/>
    <x v="1"/>
    <x v="0"/>
    <x v="0"/>
    <x v="0"/>
    <x v="17"/>
    <x v="0"/>
    <x v="299"/>
    <n v="57.24"/>
    <x v="0"/>
    <x v="0"/>
    <x v="0"/>
    <n v="0.09"/>
    <m/>
    <m/>
    <x v="34"/>
    <x v="100"/>
    <m/>
  </r>
  <r>
    <x v="261"/>
    <x v="316"/>
    <x v="19"/>
    <x v="0"/>
    <x v="0"/>
    <x v="0"/>
    <x v="17"/>
    <x v="0"/>
    <x v="300"/>
    <n v="41.6"/>
    <x v="44"/>
    <x v="0"/>
    <x v="0"/>
    <n v="0.62"/>
    <m/>
    <m/>
    <x v="137"/>
    <x v="142"/>
    <m/>
  </r>
  <r>
    <x v="262"/>
    <x v="317"/>
    <x v="7"/>
    <x v="0"/>
    <x v="0"/>
    <x v="0"/>
    <x v="17"/>
    <x v="0"/>
    <x v="301"/>
    <n v="56.5"/>
    <x v="101"/>
    <x v="0"/>
    <x v="0"/>
    <n v="0.36699999999999999"/>
    <m/>
    <m/>
    <x v="98"/>
    <x v="6"/>
    <m/>
  </r>
  <r>
    <x v="263"/>
    <x v="318"/>
    <x v="20"/>
    <x v="0"/>
    <x v="0"/>
    <x v="0"/>
    <x v="30"/>
    <x v="0"/>
    <x v="302"/>
    <n v="26.52"/>
    <x v="0"/>
    <x v="0"/>
    <x v="0"/>
    <n v="3.524E-2"/>
    <m/>
    <m/>
    <x v="96"/>
    <x v="6"/>
    <m/>
  </r>
  <r>
    <x v="264"/>
    <x v="319"/>
    <x v="1"/>
    <x v="0"/>
    <x v="0"/>
    <x v="0"/>
    <x v="17"/>
    <x v="0"/>
    <x v="303"/>
    <n v="20.38"/>
    <x v="0"/>
    <x v="0"/>
    <x v="0"/>
    <n v="0.16"/>
    <m/>
    <m/>
    <x v="138"/>
    <x v="36"/>
    <m/>
  </r>
  <r>
    <x v="265"/>
    <x v="320"/>
    <x v="19"/>
    <x v="0"/>
    <x v="0"/>
    <x v="0"/>
    <x v="3"/>
    <x v="0"/>
    <x v="304"/>
    <n v="135.88999999999999"/>
    <x v="0"/>
    <x v="0"/>
    <x v="0"/>
    <n v="1.4870000000000001"/>
    <m/>
    <m/>
    <x v="53"/>
    <x v="143"/>
    <m/>
  </r>
  <r>
    <x v="266"/>
    <x v="321"/>
    <x v="23"/>
    <x v="0"/>
    <x v="0"/>
    <x v="0"/>
    <x v="2"/>
    <x v="0"/>
    <x v="305"/>
    <n v="100.86"/>
    <x v="0"/>
    <x v="0"/>
    <x v="0"/>
    <n v="8.3000000000000007"/>
    <m/>
    <m/>
    <x v="5"/>
    <x v="2"/>
    <m/>
  </r>
  <r>
    <x v="267"/>
    <x v="322"/>
    <x v="3"/>
    <x v="0"/>
    <x v="0"/>
    <x v="0"/>
    <x v="6"/>
    <x v="0"/>
    <x v="306"/>
    <n v="37.4"/>
    <x v="0"/>
    <x v="0"/>
    <x v="0"/>
    <n v="6.93"/>
    <m/>
    <m/>
    <x v="53"/>
    <x v="95"/>
    <m/>
  </r>
  <r>
    <x v="268"/>
    <x v="323"/>
    <x v="14"/>
    <x v="0"/>
    <x v="0"/>
    <x v="0"/>
    <x v="3"/>
    <x v="0"/>
    <x v="307"/>
    <n v="94.06"/>
    <x v="0"/>
    <x v="0"/>
    <x v="0"/>
    <n v="10.130000000000001"/>
    <m/>
    <m/>
    <x v="139"/>
    <x v="144"/>
    <m/>
  </r>
  <r>
    <x v="269"/>
    <x v="324"/>
    <x v="17"/>
    <x v="0"/>
    <x v="1"/>
    <x v="3"/>
    <x v="16"/>
    <x v="1"/>
    <x v="308"/>
    <n v="109.7"/>
    <x v="0"/>
    <x v="0"/>
    <x v="152"/>
    <m/>
    <n v="0.20699999999999999"/>
    <m/>
    <x v="4"/>
    <x v="145"/>
    <m/>
  </r>
  <r>
    <x v="269"/>
    <x v="325"/>
    <x v="17"/>
    <x v="0"/>
    <x v="1"/>
    <x v="3"/>
    <x v="16"/>
    <x v="1"/>
    <x v="309"/>
    <n v="109.7"/>
    <x v="0"/>
    <x v="0"/>
    <x v="153"/>
    <m/>
    <n v="0.38500000000000001"/>
    <m/>
    <x v="4"/>
    <x v="145"/>
    <m/>
  </r>
  <r>
    <x v="270"/>
    <x v="326"/>
    <x v="11"/>
    <x v="0"/>
    <x v="0"/>
    <x v="0"/>
    <x v="3"/>
    <x v="0"/>
    <x v="310"/>
    <n v="17.34"/>
    <x v="102"/>
    <x v="0"/>
    <x v="0"/>
    <n v="0.94"/>
    <m/>
    <m/>
    <x v="129"/>
    <x v="95"/>
    <m/>
  </r>
  <r>
    <x v="271"/>
    <x v="327"/>
    <x v="15"/>
    <x v="0"/>
    <x v="0"/>
    <x v="0"/>
    <x v="17"/>
    <x v="0"/>
    <x v="311"/>
    <n v="34.119999999999997"/>
    <x v="103"/>
    <x v="0"/>
    <x v="0"/>
    <n v="9.61"/>
    <m/>
    <m/>
    <x v="54"/>
    <x v="101"/>
    <m/>
  </r>
  <r>
    <x v="272"/>
    <x v="328"/>
    <x v="7"/>
    <x v="0"/>
    <x v="0"/>
    <x v="1"/>
    <x v="30"/>
    <x v="0"/>
    <x v="6"/>
    <n v="103.33"/>
    <x v="104"/>
    <x v="51"/>
    <x v="0"/>
    <n v="11"/>
    <m/>
    <m/>
    <x v="125"/>
    <x v="6"/>
    <m/>
  </r>
  <r>
    <x v="273"/>
    <x v="329"/>
    <x v="21"/>
    <x v="0"/>
    <x v="0"/>
    <x v="0"/>
    <x v="3"/>
    <x v="0"/>
    <x v="312"/>
    <n v="32.6"/>
    <x v="0"/>
    <x v="0"/>
    <x v="0"/>
    <n v="6.383"/>
    <m/>
    <m/>
    <x v="47"/>
    <x v="50"/>
    <m/>
  </r>
  <r>
    <x v="274"/>
    <x v="330"/>
    <x v="16"/>
    <x v="0"/>
    <x v="0"/>
    <x v="0"/>
    <x v="3"/>
    <x v="0"/>
    <x v="313"/>
    <n v="49.49"/>
    <x v="0"/>
    <x v="0"/>
    <x v="0"/>
    <n v="0.21"/>
    <m/>
    <m/>
    <x v="20"/>
    <x v="6"/>
    <m/>
  </r>
  <r>
    <x v="275"/>
    <x v="331"/>
    <x v="3"/>
    <x v="0"/>
    <x v="0"/>
    <x v="0"/>
    <x v="17"/>
    <x v="0"/>
    <x v="314"/>
    <n v="38.96"/>
    <x v="0"/>
    <x v="0"/>
    <x v="0"/>
    <n v="0.26100000000000001"/>
    <m/>
    <m/>
    <x v="46"/>
    <x v="6"/>
    <m/>
  </r>
  <r>
    <x v="276"/>
    <x v="332"/>
    <x v="19"/>
    <x v="0"/>
    <x v="0"/>
    <x v="0"/>
    <x v="17"/>
    <x v="0"/>
    <x v="315"/>
    <n v="49.4"/>
    <x v="65"/>
    <x v="0"/>
    <x v="0"/>
    <n v="3.5"/>
    <m/>
    <m/>
    <x v="97"/>
    <x v="38"/>
    <m/>
  </r>
  <r>
    <x v="277"/>
    <x v="333"/>
    <x v="14"/>
    <x v="0"/>
    <x v="0"/>
    <x v="0"/>
    <x v="3"/>
    <x v="0"/>
    <x v="316"/>
    <n v="165.52"/>
    <x v="0"/>
    <x v="0"/>
    <x v="0"/>
    <n v="2.4140000000000001"/>
    <m/>
    <m/>
    <x v="140"/>
    <x v="146"/>
    <m/>
  </r>
  <r>
    <x v="278"/>
    <x v="334"/>
    <x v="3"/>
    <x v="0"/>
    <x v="0"/>
    <x v="0"/>
    <x v="3"/>
    <x v="1"/>
    <x v="317"/>
    <n v="68.5"/>
    <x v="0"/>
    <x v="0"/>
    <x v="0"/>
    <n v="1.42"/>
    <m/>
    <m/>
    <x v="32"/>
    <x v="133"/>
    <m/>
  </r>
  <r>
    <x v="278"/>
    <x v="335"/>
    <x v="16"/>
    <x v="0"/>
    <x v="0"/>
    <x v="0"/>
    <x v="3"/>
    <x v="1"/>
    <x v="318"/>
    <n v="68.5"/>
    <x v="0"/>
    <x v="0"/>
    <x v="0"/>
    <n v="0.99"/>
    <m/>
    <m/>
    <x v="32"/>
    <x v="133"/>
    <m/>
  </r>
  <r>
    <x v="279"/>
    <x v="336"/>
    <x v="6"/>
    <x v="0"/>
    <x v="0"/>
    <x v="0"/>
    <x v="11"/>
    <x v="0"/>
    <x v="319"/>
    <n v="65.599999999999994"/>
    <x v="0"/>
    <x v="0"/>
    <x v="0"/>
    <n v="0.86"/>
    <m/>
    <m/>
    <x v="141"/>
    <x v="88"/>
    <m/>
  </r>
  <r>
    <x v="280"/>
    <x v="337"/>
    <x v="7"/>
    <x v="0"/>
    <x v="0"/>
    <x v="0"/>
    <x v="17"/>
    <x v="1"/>
    <x v="320"/>
    <n v="55.96"/>
    <x v="10"/>
    <x v="0"/>
    <x v="0"/>
    <n v="5.3999999999999999E-2"/>
    <m/>
    <m/>
    <x v="52"/>
    <x v="6"/>
    <m/>
  </r>
  <r>
    <x v="280"/>
    <x v="338"/>
    <x v="7"/>
    <x v="0"/>
    <x v="0"/>
    <x v="0"/>
    <x v="17"/>
    <x v="1"/>
    <x v="321"/>
    <n v="55.96"/>
    <x v="10"/>
    <x v="0"/>
    <x v="0"/>
    <n v="7.5999999999999998E-2"/>
    <m/>
    <m/>
    <x v="52"/>
    <x v="6"/>
    <m/>
  </r>
  <r>
    <x v="281"/>
    <x v="339"/>
    <x v="16"/>
    <x v="0"/>
    <x v="0"/>
    <x v="0"/>
    <x v="3"/>
    <x v="0"/>
    <x v="322"/>
    <n v="63.2"/>
    <x v="32"/>
    <x v="0"/>
    <x v="0"/>
    <n v="0.27"/>
    <m/>
    <m/>
    <x v="47"/>
    <x v="147"/>
    <m/>
  </r>
  <r>
    <x v="282"/>
    <x v="340"/>
    <x v="1"/>
    <x v="0"/>
    <x v="0"/>
    <x v="0"/>
    <x v="17"/>
    <x v="0"/>
    <x v="323"/>
    <n v="90"/>
    <x v="105"/>
    <x v="0"/>
    <x v="0"/>
    <n v="11.09"/>
    <m/>
    <m/>
    <x v="142"/>
    <x v="148"/>
    <m/>
  </r>
  <r>
    <x v="283"/>
    <x v="341"/>
    <x v="23"/>
    <x v="0"/>
    <x v="0"/>
    <x v="0"/>
    <x v="17"/>
    <x v="0"/>
    <x v="324"/>
    <n v="28.98"/>
    <x v="0"/>
    <x v="0"/>
    <x v="0"/>
    <n v="7.14"/>
    <m/>
    <m/>
    <x v="97"/>
    <x v="52"/>
    <m/>
  </r>
  <r>
    <x v="284"/>
    <x v="342"/>
    <x v="17"/>
    <x v="0"/>
    <x v="0"/>
    <x v="0"/>
    <x v="4"/>
    <x v="0"/>
    <x v="325"/>
    <n v="114.54"/>
    <x v="106"/>
    <x v="0"/>
    <x v="0"/>
    <n v="4.4000000000000004"/>
    <m/>
    <m/>
    <x v="143"/>
    <x v="149"/>
    <m/>
  </r>
  <r>
    <x v="285"/>
    <x v="343"/>
    <x v="10"/>
    <x v="0"/>
    <x v="0"/>
    <x v="0"/>
    <x v="17"/>
    <x v="0"/>
    <x v="326"/>
    <n v="32.729999999999997"/>
    <x v="107"/>
    <x v="0"/>
    <x v="0"/>
    <n v="4.51"/>
    <m/>
    <m/>
    <x v="112"/>
    <x v="150"/>
    <m/>
  </r>
  <r>
    <x v="286"/>
    <x v="344"/>
    <x v="7"/>
    <x v="0"/>
    <x v="0"/>
    <x v="0"/>
    <x v="11"/>
    <x v="0"/>
    <x v="327"/>
    <n v="36.22"/>
    <x v="108"/>
    <x v="0"/>
    <x v="0"/>
    <n v="2.83"/>
    <m/>
    <m/>
    <x v="28"/>
    <x v="151"/>
    <m/>
  </r>
  <r>
    <x v="287"/>
    <x v="345"/>
    <x v="6"/>
    <x v="0"/>
    <x v="0"/>
    <x v="0"/>
    <x v="17"/>
    <x v="1"/>
    <x v="328"/>
    <n v="15.9"/>
    <x v="75"/>
    <x v="0"/>
    <x v="0"/>
    <n v="0.36"/>
    <m/>
    <m/>
    <x v="101"/>
    <x v="81"/>
    <m/>
  </r>
  <r>
    <x v="287"/>
    <x v="346"/>
    <x v="6"/>
    <x v="0"/>
    <x v="0"/>
    <x v="0"/>
    <x v="17"/>
    <x v="1"/>
    <x v="329"/>
    <n v="15.9"/>
    <x v="75"/>
    <x v="0"/>
    <x v="0"/>
    <n v="0.93"/>
    <m/>
    <m/>
    <x v="101"/>
    <x v="81"/>
    <m/>
  </r>
  <r>
    <x v="288"/>
    <x v="347"/>
    <x v="17"/>
    <x v="0"/>
    <x v="0"/>
    <x v="0"/>
    <x v="14"/>
    <x v="0"/>
    <x v="330"/>
    <n v="101.63"/>
    <x v="109"/>
    <x v="0"/>
    <x v="0"/>
    <n v="6.3"/>
    <m/>
    <m/>
    <x v="144"/>
    <x v="152"/>
    <m/>
  </r>
  <r>
    <x v="289"/>
    <x v="348"/>
    <x v="23"/>
    <x v="0"/>
    <x v="0"/>
    <x v="0"/>
    <x v="17"/>
    <x v="0"/>
    <x v="331"/>
    <n v="27.95"/>
    <x v="0"/>
    <x v="0"/>
    <x v="0"/>
    <n v="1.1399999999999999"/>
    <m/>
    <m/>
    <x v="14"/>
    <x v="153"/>
    <m/>
  </r>
  <r>
    <x v="290"/>
    <x v="349"/>
    <x v="19"/>
    <x v="0"/>
    <x v="0"/>
    <x v="0"/>
    <x v="13"/>
    <x v="0"/>
    <x v="332"/>
    <n v="20.29"/>
    <x v="0"/>
    <x v="0"/>
    <x v="0"/>
    <n v="0.35699999999999998"/>
    <m/>
    <m/>
    <x v="46"/>
    <x v="154"/>
    <m/>
  </r>
  <r>
    <x v="291"/>
    <x v="350"/>
    <x v="3"/>
    <x v="0"/>
    <x v="0"/>
    <x v="0"/>
    <x v="3"/>
    <x v="0"/>
    <x v="333"/>
    <n v="37.85"/>
    <x v="0"/>
    <x v="0"/>
    <x v="0"/>
    <n v="1.0900000000000001"/>
    <m/>
    <m/>
    <x v="100"/>
    <x v="155"/>
    <m/>
  </r>
  <r>
    <x v="292"/>
    <x v="351"/>
    <x v="24"/>
    <x v="0"/>
    <x v="0"/>
    <x v="0"/>
    <x v="31"/>
    <x v="0"/>
    <x v="334"/>
    <n v="40.229999999999997"/>
    <x v="0"/>
    <x v="0"/>
    <x v="0"/>
    <n v="10.69"/>
    <m/>
    <m/>
    <x v="34"/>
    <x v="15"/>
    <m/>
  </r>
  <r>
    <x v="293"/>
    <x v="352"/>
    <x v="12"/>
    <x v="0"/>
    <x v="0"/>
    <x v="0"/>
    <x v="3"/>
    <x v="1"/>
    <x v="335"/>
    <n v="20.399999999999999"/>
    <x v="0"/>
    <x v="0"/>
    <x v="0"/>
    <n v="1.1000000000000001"/>
    <m/>
    <m/>
    <x v="6"/>
    <x v="6"/>
    <m/>
  </r>
  <r>
    <x v="293"/>
    <x v="353"/>
    <x v="5"/>
    <x v="0"/>
    <x v="0"/>
    <x v="0"/>
    <x v="3"/>
    <x v="1"/>
    <x v="336"/>
    <n v="20.399999999999999"/>
    <x v="0"/>
    <x v="0"/>
    <x v="0"/>
    <n v="0.61099999999999999"/>
    <m/>
    <m/>
    <x v="6"/>
    <x v="6"/>
    <m/>
  </r>
  <r>
    <x v="294"/>
    <x v="354"/>
    <x v="0"/>
    <x v="0"/>
    <x v="0"/>
    <x v="0"/>
    <x v="3"/>
    <x v="1"/>
    <x v="337"/>
    <n v="51.7"/>
    <x v="71"/>
    <x v="0"/>
    <x v="0"/>
    <n v="4.83"/>
    <m/>
    <m/>
    <x v="100"/>
    <x v="156"/>
    <m/>
  </r>
  <r>
    <x v="294"/>
    <x v="355"/>
    <x v="2"/>
    <x v="0"/>
    <x v="0"/>
    <x v="0"/>
    <x v="3"/>
    <x v="1"/>
    <x v="338"/>
    <n v="51.7"/>
    <x v="71"/>
    <x v="0"/>
    <x v="0"/>
    <n v="0.40799999999999997"/>
    <m/>
    <m/>
    <x v="100"/>
    <x v="156"/>
    <m/>
  </r>
  <r>
    <x v="295"/>
    <x v="356"/>
    <x v="14"/>
    <x v="0"/>
    <x v="0"/>
    <x v="0"/>
    <x v="3"/>
    <x v="1"/>
    <x v="339"/>
    <n v="123.68"/>
    <x v="0"/>
    <x v="0"/>
    <x v="0"/>
    <n v="1.4"/>
    <m/>
    <m/>
    <x v="134"/>
    <x v="157"/>
    <m/>
  </r>
  <r>
    <x v="295"/>
    <x v="357"/>
    <x v="5"/>
    <x v="0"/>
    <x v="0"/>
    <x v="0"/>
    <x v="3"/>
    <x v="1"/>
    <x v="340"/>
    <n v="123.68"/>
    <x v="0"/>
    <x v="0"/>
    <x v="0"/>
    <n v="1.27"/>
    <m/>
    <m/>
    <x v="134"/>
    <x v="157"/>
    <m/>
  </r>
  <r>
    <x v="296"/>
    <x v="358"/>
    <x v="9"/>
    <x v="0"/>
    <x v="0"/>
    <x v="0"/>
    <x v="3"/>
    <x v="0"/>
    <x v="341"/>
    <n v="32.380000000000003"/>
    <x v="0"/>
    <x v="0"/>
    <x v="0"/>
    <n v="1.73"/>
    <m/>
    <m/>
    <x v="50"/>
    <x v="37"/>
    <m/>
  </r>
  <r>
    <x v="297"/>
    <x v="359"/>
    <x v="8"/>
    <x v="0"/>
    <x v="0"/>
    <x v="0"/>
    <x v="14"/>
    <x v="0"/>
    <x v="342"/>
    <n v="231.5"/>
    <x v="0"/>
    <x v="0"/>
    <x v="0"/>
    <n v="5.63"/>
    <m/>
    <m/>
    <x v="145"/>
    <x v="158"/>
    <m/>
  </r>
  <r>
    <x v="298"/>
    <x v="360"/>
    <x v="9"/>
    <x v="0"/>
    <x v="0"/>
    <x v="0"/>
    <x v="13"/>
    <x v="0"/>
    <x v="343"/>
    <n v="37.82"/>
    <x v="0"/>
    <x v="0"/>
    <x v="0"/>
    <n v="0.17399999999999999"/>
    <m/>
    <m/>
    <x v="4"/>
    <x v="6"/>
    <m/>
  </r>
  <r>
    <x v="299"/>
    <x v="361"/>
    <x v="16"/>
    <x v="0"/>
    <x v="0"/>
    <x v="0"/>
    <x v="11"/>
    <x v="0"/>
    <x v="344"/>
    <n v="92.51"/>
    <x v="0"/>
    <x v="0"/>
    <x v="0"/>
    <n v="2.79"/>
    <m/>
    <m/>
    <x v="146"/>
    <x v="108"/>
    <m/>
  </r>
  <r>
    <x v="300"/>
    <x v="362"/>
    <x v="20"/>
    <x v="0"/>
    <x v="1"/>
    <x v="3"/>
    <x v="10"/>
    <x v="0"/>
    <x v="345"/>
    <n v="114.29"/>
    <x v="110"/>
    <x v="173"/>
    <x v="154"/>
    <n v="7.7090000000000006E-2"/>
    <n v="0.23499999999999999"/>
    <n v="7.4"/>
    <x v="57"/>
    <x v="121"/>
    <n v="1.1399999999999999"/>
  </r>
  <r>
    <x v="301"/>
    <x v="363"/>
    <x v="16"/>
    <x v="0"/>
    <x v="0"/>
    <x v="0"/>
    <x v="3"/>
    <x v="1"/>
    <x v="346"/>
    <n v="33.57"/>
    <x v="0"/>
    <x v="0"/>
    <x v="0"/>
    <n v="0.622"/>
    <m/>
    <m/>
    <x v="20"/>
    <x v="6"/>
    <m/>
  </r>
  <r>
    <x v="301"/>
    <x v="364"/>
    <x v="2"/>
    <x v="0"/>
    <x v="0"/>
    <x v="0"/>
    <x v="3"/>
    <x v="1"/>
    <x v="347"/>
    <n v="33.57"/>
    <x v="0"/>
    <x v="0"/>
    <x v="0"/>
    <n v="7.8799999999999995E-2"/>
    <m/>
    <m/>
    <x v="20"/>
    <x v="6"/>
    <m/>
  </r>
  <r>
    <x v="302"/>
    <x v="365"/>
    <x v="16"/>
    <x v="0"/>
    <x v="0"/>
    <x v="0"/>
    <x v="17"/>
    <x v="0"/>
    <x v="348"/>
    <n v="68.05"/>
    <x v="85"/>
    <x v="0"/>
    <x v="0"/>
    <n v="6.54"/>
    <m/>
    <m/>
    <x v="147"/>
    <x v="159"/>
    <m/>
  </r>
  <r>
    <x v="303"/>
    <x v="366"/>
    <x v="7"/>
    <x v="0"/>
    <x v="0"/>
    <x v="0"/>
    <x v="2"/>
    <x v="0"/>
    <x v="349"/>
    <n v="103.35"/>
    <x v="0"/>
    <x v="0"/>
    <x v="0"/>
    <n v="4.5"/>
    <m/>
    <m/>
    <x v="148"/>
    <x v="160"/>
    <m/>
  </r>
  <r>
    <x v="304"/>
    <x v="367"/>
    <x v="23"/>
    <x v="0"/>
    <x v="0"/>
    <x v="0"/>
    <x v="17"/>
    <x v="0"/>
    <x v="350"/>
    <n v="41.71"/>
    <x v="0"/>
    <x v="0"/>
    <x v="0"/>
    <n v="1.51"/>
    <m/>
    <m/>
    <x v="149"/>
    <x v="88"/>
    <m/>
  </r>
  <r>
    <x v="305"/>
    <x v="368"/>
    <x v="10"/>
    <x v="0"/>
    <x v="0"/>
    <x v="0"/>
    <x v="11"/>
    <x v="0"/>
    <x v="351"/>
    <n v="51.1"/>
    <x v="0"/>
    <x v="0"/>
    <x v="0"/>
    <n v="2.98"/>
    <m/>
    <m/>
    <x v="53"/>
    <x v="6"/>
    <m/>
  </r>
  <r>
    <x v="306"/>
    <x v="369"/>
    <x v="1"/>
    <x v="0"/>
    <x v="0"/>
    <x v="0"/>
    <x v="17"/>
    <x v="0"/>
    <x v="352"/>
    <n v="28.22"/>
    <x v="0"/>
    <x v="0"/>
    <x v="0"/>
    <n v="0.02"/>
    <m/>
    <m/>
    <x v="71"/>
    <x v="36"/>
    <m/>
  </r>
  <r>
    <x v="307"/>
    <x v="370"/>
    <x v="0"/>
    <x v="0"/>
    <x v="0"/>
    <x v="0"/>
    <x v="3"/>
    <x v="2"/>
    <x v="353"/>
    <n v="57.72"/>
    <x v="111"/>
    <x v="0"/>
    <x v="0"/>
    <n v="3.1"/>
    <m/>
    <m/>
    <x v="129"/>
    <x v="133"/>
    <m/>
  </r>
  <r>
    <x v="307"/>
    <x v="371"/>
    <x v="1"/>
    <x v="0"/>
    <x v="0"/>
    <x v="0"/>
    <x v="17"/>
    <x v="2"/>
    <x v="354"/>
    <n v="57.72"/>
    <x v="111"/>
    <x v="0"/>
    <x v="0"/>
    <n v="5.5E-2"/>
    <m/>
    <m/>
    <x v="129"/>
    <x v="133"/>
    <m/>
  </r>
  <r>
    <x v="307"/>
    <x v="372"/>
    <x v="1"/>
    <x v="0"/>
    <x v="0"/>
    <x v="0"/>
    <x v="17"/>
    <x v="2"/>
    <x v="355"/>
    <n v="57.72"/>
    <x v="111"/>
    <x v="0"/>
    <x v="0"/>
    <n v="7.28"/>
    <m/>
    <m/>
    <x v="129"/>
    <x v="133"/>
    <m/>
  </r>
  <r>
    <x v="308"/>
    <x v="373"/>
    <x v="8"/>
    <x v="0"/>
    <x v="0"/>
    <x v="0"/>
    <x v="14"/>
    <x v="0"/>
    <x v="356"/>
    <n v="158.4"/>
    <x v="0"/>
    <x v="0"/>
    <x v="0"/>
    <n v="1.96"/>
    <m/>
    <m/>
    <x v="150"/>
    <x v="161"/>
    <m/>
  </r>
  <r>
    <x v="309"/>
    <x v="374"/>
    <x v="18"/>
    <x v="0"/>
    <x v="0"/>
    <x v="0"/>
    <x v="4"/>
    <x v="1"/>
    <x v="357"/>
    <n v="37.89"/>
    <x v="0"/>
    <x v="0"/>
    <x v="0"/>
    <n v="2.4300000000000002"/>
    <m/>
    <m/>
    <x v="141"/>
    <x v="15"/>
    <m/>
  </r>
  <r>
    <x v="309"/>
    <x v="375"/>
    <x v="3"/>
    <x v="0"/>
    <x v="0"/>
    <x v="0"/>
    <x v="4"/>
    <x v="1"/>
    <x v="358"/>
    <n v="37.89"/>
    <x v="0"/>
    <x v="0"/>
    <x v="0"/>
    <n v="1.8120000000000001"/>
    <m/>
    <m/>
    <x v="141"/>
    <x v="15"/>
    <m/>
  </r>
  <r>
    <x v="310"/>
    <x v="376"/>
    <x v="1"/>
    <x v="0"/>
    <x v="0"/>
    <x v="0"/>
    <x v="3"/>
    <x v="0"/>
    <x v="359"/>
    <n v="73.25"/>
    <x v="0"/>
    <x v="0"/>
    <x v="0"/>
    <n v="0.41"/>
    <m/>
    <m/>
    <x v="113"/>
    <x v="106"/>
    <m/>
  </r>
  <r>
    <x v="311"/>
    <x v="377"/>
    <x v="3"/>
    <x v="0"/>
    <x v="0"/>
    <x v="0"/>
    <x v="3"/>
    <x v="1"/>
    <x v="360"/>
    <n v="16.52"/>
    <x v="112"/>
    <x v="0"/>
    <x v="0"/>
    <n v="1.7689999999999999"/>
    <m/>
    <m/>
    <x v="134"/>
    <x v="153"/>
    <m/>
  </r>
  <r>
    <x v="311"/>
    <x v="378"/>
    <x v="16"/>
    <x v="0"/>
    <x v="0"/>
    <x v="0"/>
    <x v="3"/>
    <x v="1"/>
    <x v="361"/>
    <n v="16.52"/>
    <x v="112"/>
    <x v="174"/>
    <x v="0"/>
    <n v="3.7890000000000001"/>
    <m/>
    <m/>
    <x v="134"/>
    <x v="153"/>
    <m/>
  </r>
  <r>
    <x v="312"/>
    <x v="379"/>
    <x v="10"/>
    <x v="0"/>
    <x v="0"/>
    <x v="0"/>
    <x v="4"/>
    <x v="0"/>
    <x v="362"/>
    <n v="26.03"/>
    <x v="113"/>
    <x v="0"/>
    <x v="0"/>
    <n v="0.89"/>
    <m/>
    <m/>
    <x v="88"/>
    <x v="131"/>
    <m/>
  </r>
  <r>
    <x v="313"/>
    <x v="380"/>
    <x v="1"/>
    <x v="0"/>
    <x v="0"/>
    <x v="0"/>
    <x v="30"/>
    <x v="0"/>
    <x v="363"/>
    <n v="67.569999999999993"/>
    <x v="0"/>
    <x v="0"/>
    <x v="0"/>
    <n v="1.6"/>
    <m/>
    <m/>
    <x v="7"/>
    <x v="6"/>
    <m/>
  </r>
  <r>
    <x v="314"/>
    <x v="381"/>
    <x v="21"/>
    <x v="0"/>
    <x v="0"/>
    <x v="0"/>
    <x v="17"/>
    <x v="0"/>
    <x v="364"/>
    <n v="31.91"/>
    <x v="0"/>
    <x v="0"/>
    <x v="0"/>
    <n v="1.1499999999999999"/>
    <m/>
    <m/>
    <x v="127"/>
    <x v="131"/>
    <m/>
  </r>
  <r>
    <x v="315"/>
    <x v="382"/>
    <x v="14"/>
    <x v="0"/>
    <x v="0"/>
    <x v="0"/>
    <x v="3"/>
    <x v="0"/>
    <x v="365"/>
    <n v="132.34"/>
    <x v="0"/>
    <x v="0"/>
    <x v="0"/>
    <n v="1.8"/>
    <m/>
    <m/>
    <x v="151"/>
    <x v="162"/>
    <m/>
  </r>
  <r>
    <x v="316"/>
    <x v="383"/>
    <x v="2"/>
    <x v="0"/>
    <x v="0"/>
    <x v="0"/>
    <x v="17"/>
    <x v="0"/>
    <x v="366"/>
    <n v="52.89"/>
    <x v="0"/>
    <x v="0"/>
    <x v="0"/>
    <n v="19.12"/>
    <m/>
    <m/>
    <x v="128"/>
    <x v="29"/>
    <m/>
  </r>
  <r>
    <x v="317"/>
    <x v="384"/>
    <x v="5"/>
    <x v="0"/>
    <x v="0"/>
    <x v="0"/>
    <x v="3"/>
    <x v="0"/>
    <x v="367"/>
    <n v="149.57"/>
    <x v="0"/>
    <x v="0"/>
    <x v="0"/>
    <n v="3.31"/>
    <m/>
    <m/>
    <x v="131"/>
    <x v="163"/>
    <m/>
  </r>
  <r>
    <x v="318"/>
    <x v="385"/>
    <x v="16"/>
    <x v="0"/>
    <x v="0"/>
    <x v="0"/>
    <x v="1"/>
    <x v="0"/>
    <x v="368"/>
    <n v="504.71"/>
    <x v="0"/>
    <x v="0"/>
    <x v="0"/>
    <n v="10.95"/>
    <m/>
    <m/>
    <x v="152"/>
    <x v="164"/>
    <m/>
  </r>
  <r>
    <x v="319"/>
    <x v="386"/>
    <x v="0"/>
    <x v="0"/>
    <x v="0"/>
    <x v="0"/>
    <x v="11"/>
    <x v="0"/>
    <x v="369"/>
    <n v="70.930000000000007"/>
    <x v="0"/>
    <x v="0"/>
    <x v="0"/>
    <n v="5.38"/>
    <m/>
    <m/>
    <x v="18"/>
    <x v="156"/>
    <m/>
  </r>
  <r>
    <x v="320"/>
    <x v="387"/>
    <x v="14"/>
    <x v="0"/>
    <x v="0"/>
    <x v="0"/>
    <x v="15"/>
    <x v="0"/>
    <x v="370"/>
    <n v="105.47"/>
    <x v="114"/>
    <x v="0"/>
    <x v="0"/>
    <n v="1.49"/>
    <m/>
    <m/>
    <x v="4"/>
    <x v="121"/>
    <m/>
  </r>
  <r>
    <x v="321"/>
    <x v="388"/>
    <x v="10"/>
    <x v="0"/>
    <x v="0"/>
    <x v="0"/>
    <x v="30"/>
    <x v="1"/>
    <x v="371"/>
    <n v="47"/>
    <x v="68"/>
    <x v="0"/>
    <x v="0"/>
    <n v="1.42"/>
    <m/>
    <m/>
    <x v="44"/>
    <x v="6"/>
    <m/>
  </r>
  <r>
    <x v="321"/>
    <x v="389"/>
    <x v="10"/>
    <x v="0"/>
    <x v="0"/>
    <x v="0"/>
    <x v="30"/>
    <x v="1"/>
    <x v="372"/>
    <n v="47"/>
    <x v="68"/>
    <x v="0"/>
    <x v="0"/>
    <n v="0.42"/>
    <m/>
    <m/>
    <x v="44"/>
    <x v="6"/>
    <m/>
  </r>
  <r>
    <x v="322"/>
    <x v="390"/>
    <x v="10"/>
    <x v="0"/>
    <x v="0"/>
    <x v="0"/>
    <x v="30"/>
    <x v="0"/>
    <x v="373"/>
    <n v="47"/>
    <x v="68"/>
    <x v="0"/>
    <x v="0"/>
    <n v="2.5"/>
    <m/>
    <m/>
    <x v="89"/>
    <x v="6"/>
    <m/>
  </r>
  <r>
    <x v="323"/>
    <x v="391"/>
    <x v="20"/>
    <x v="0"/>
    <x v="0"/>
    <x v="0"/>
    <x v="17"/>
    <x v="1"/>
    <x v="374"/>
    <n v="24.2"/>
    <x v="0"/>
    <x v="0"/>
    <x v="0"/>
    <n v="3.1800000000000002E-2"/>
    <m/>
    <m/>
    <x v="25"/>
    <x v="6"/>
    <m/>
  </r>
  <r>
    <x v="323"/>
    <x v="392"/>
    <x v="20"/>
    <x v="0"/>
    <x v="0"/>
    <x v="0"/>
    <x v="17"/>
    <x v="1"/>
    <x v="375"/>
    <n v="24.2"/>
    <x v="0"/>
    <x v="0"/>
    <x v="0"/>
    <n v="9.2200000000000004E-2"/>
    <m/>
    <m/>
    <x v="25"/>
    <x v="6"/>
    <m/>
  </r>
  <r>
    <x v="324"/>
    <x v="393"/>
    <x v="21"/>
    <x v="0"/>
    <x v="0"/>
    <x v="0"/>
    <x v="3"/>
    <x v="1"/>
    <x v="376"/>
    <n v="22.2"/>
    <x v="0"/>
    <x v="0"/>
    <x v="0"/>
    <n v="1.61"/>
    <m/>
    <m/>
    <x v="32"/>
    <x v="147"/>
    <m/>
  </r>
  <r>
    <x v="324"/>
    <x v="394"/>
    <x v="1"/>
    <x v="0"/>
    <x v="0"/>
    <x v="0"/>
    <x v="4"/>
    <x v="1"/>
    <x v="377"/>
    <n v="22.2"/>
    <x v="0"/>
    <x v="0"/>
    <x v="0"/>
    <n v="0.82"/>
    <m/>
    <m/>
    <x v="32"/>
    <x v="147"/>
    <m/>
  </r>
  <r>
    <x v="325"/>
    <x v="395"/>
    <x v="20"/>
    <x v="0"/>
    <x v="0"/>
    <x v="0"/>
    <x v="17"/>
    <x v="2"/>
    <x v="378"/>
    <n v="14.81"/>
    <x v="0"/>
    <x v="0"/>
    <x v="0"/>
    <n v="1.5100000000000001E-2"/>
    <m/>
    <m/>
    <x v="94"/>
    <x v="6"/>
    <m/>
  </r>
  <r>
    <x v="325"/>
    <x v="396"/>
    <x v="20"/>
    <x v="0"/>
    <x v="0"/>
    <x v="0"/>
    <x v="17"/>
    <x v="2"/>
    <x v="379"/>
    <n v="14.81"/>
    <x v="0"/>
    <x v="0"/>
    <x v="0"/>
    <n v="3.4000000000000002E-2"/>
    <m/>
    <m/>
    <x v="94"/>
    <x v="6"/>
    <m/>
  </r>
  <r>
    <x v="325"/>
    <x v="397"/>
    <x v="20"/>
    <x v="0"/>
    <x v="0"/>
    <x v="0"/>
    <x v="17"/>
    <x v="2"/>
    <x v="380"/>
    <n v="14.81"/>
    <x v="0"/>
    <x v="0"/>
    <x v="0"/>
    <n v="2.7E-2"/>
    <m/>
    <m/>
    <x v="94"/>
    <x v="6"/>
    <m/>
  </r>
  <r>
    <x v="326"/>
    <x v="398"/>
    <x v="1"/>
    <x v="0"/>
    <x v="0"/>
    <x v="0"/>
    <x v="3"/>
    <x v="0"/>
    <x v="381"/>
    <n v="105.49"/>
    <x v="0"/>
    <x v="0"/>
    <x v="0"/>
    <n v="2.14"/>
    <m/>
    <m/>
    <x v="153"/>
    <x v="165"/>
    <m/>
  </r>
  <r>
    <x v="327"/>
    <x v="399"/>
    <x v="20"/>
    <x v="0"/>
    <x v="0"/>
    <x v="0"/>
    <x v="17"/>
    <x v="0"/>
    <x v="382"/>
    <n v="43.52"/>
    <x v="115"/>
    <x v="0"/>
    <x v="0"/>
    <n v="26.77"/>
    <m/>
    <m/>
    <x v="30"/>
    <x v="88"/>
    <m/>
  </r>
  <r>
    <x v="328"/>
    <x v="400"/>
    <x v="14"/>
    <x v="0"/>
    <x v="0"/>
    <x v="0"/>
    <x v="17"/>
    <x v="0"/>
    <x v="383"/>
    <n v="40.53"/>
    <x v="0"/>
    <x v="0"/>
    <x v="0"/>
    <n v="0.2"/>
    <m/>
    <m/>
    <x v="72"/>
    <x v="100"/>
    <m/>
  </r>
  <r>
    <x v="329"/>
    <x v="401"/>
    <x v="7"/>
    <x v="0"/>
    <x v="0"/>
    <x v="0"/>
    <x v="11"/>
    <x v="1"/>
    <x v="384"/>
    <n v="79.73"/>
    <x v="116"/>
    <x v="0"/>
    <x v="0"/>
    <n v="0.86499999999999999"/>
    <m/>
    <m/>
    <x v="51"/>
    <x v="166"/>
    <m/>
  </r>
  <r>
    <x v="329"/>
    <x v="402"/>
    <x v="7"/>
    <x v="0"/>
    <x v="0"/>
    <x v="0"/>
    <x v="11"/>
    <x v="1"/>
    <x v="385"/>
    <n v="79.73"/>
    <x v="116"/>
    <x v="0"/>
    <x v="0"/>
    <n v="5.13"/>
    <m/>
    <m/>
    <x v="51"/>
    <x v="166"/>
    <m/>
  </r>
  <r>
    <x v="330"/>
    <x v="403"/>
    <x v="1"/>
    <x v="0"/>
    <x v="0"/>
    <x v="0"/>
    <x v="3"/>
    <x v="0"/>
    <x v="386"/>
    <n v="47.46"/>
    <x v="0"/>
    <x v="0"/>
    <x v="0"/>
    <n v="2.2000000000000002"/>
    <m/>
    <m/>
    <x v="123"/>
    <x v="167"/>
    <m/>
  </r>
  <r>
    <x v="331"/>
    <x v="404"/>
    <x v="2"/>
    <x v="0"/>
    <x v="0"/>
    <x v="0"/>
    <x v="1"/>
    <x v="0"/>
    <x v="387"/>
    <n v="112.45"/>
    <x v="117"/>
    <x v="0"/>
    <x v="0"/>
    <n v="9.76"/>
    <m/>
    <m/>
    <x v="131"/>
    <x v="168"/>
    <m/>
  </r>
  <r>
    <x v="332"/>
    <x v="405"/>
    <x v="5"/>
    <x v="0"/>
    <x v="1"/>
    <x v="3"/>
    <x v="24"/>
    <x v="0"/>
    <x v="388"/>
    <n v="79.75"/>
    <x v="118"/>
    <x v="175"/>
    <x v="155"/>
    <n v="0.41499999999999998"/>
    <n v="1.026"/>
    <n v="0.47699999999999998"/>
    <x v="64"/>
    <x v="169"/>
    <n v="0.14699999999999999"/>
  </r>
  <r>
    <x v="333"/>
    <x v="406"/>
    <x v="19"/>
    <x v="0"/>
    <x v="0"/>
    <x v="0"/>
    <x v="2"/>
    <x v="0"/>
    <x v="389"/>
    <n v="163.4"/>
    <x v="119"/>
    <x v="0"/>
    <x v="0"/>
    <n v="7.8"/>
    <m/>
    <m/>
    <x v="27"/>
    <x v="170"/>
    <m/>
  </r>
  <r>
    <x v="334"/>
    <x v="407"/>
    <x v="19"/>
    <x v="0"/>
    <x v="0"/>
    <x v="0"/>
    <x v="4"/>
    <x v="4"/>
    <x v="390"/>
    <n v="36.200000000000003"/>
    <x v="0"/>
    <x v="0"/>
    <x v="0"/>
    <n v="0.45100000000000001"/>
    <m/>
    <m/>
    <x v="154"/>
    <x v="6"/>
    <m/>
  </r>
  <r>
    <x v="334"/>
    <x v="408"/>
    <x v="19"/>
    <x v="0"/>
    <x v="0"/>
    <x v="0"/>
    <x v="4"/>
    <x v="4"/>
    <x v="391"/>
    <n v="36.200000000000003"/>
    <x v="0"/>
    <x v="0"/>
    <x v="0"/>
    <n v="1.33"/>
    <m/>
    <m/>
    <x v="154"/>
    <x v="6"/>
    <m/>
  </r>
  <r>
    <x v="334"/>
    <x v="409"/>
    <x v="19"/>
    <x v="0"/>
    <x v="0"/>
    <x v="0"/>
    <x v="4"/>
    <x v="4"/>
    <x v="392"/>
    <n v="36.200000000000003"/>
    <x v="0"/>
    <x v="0"/>
    <x v="0"/>
    <n v="1.18"/>
    <m/>
    <m/>
    <x v="154"/>
    <x v="6"/>
    <m/>
  </r>
  <r>
    <x v="334"/>
    <x v="410"/>
    <x v="19"/>
    <x v="0"/>
    <x v="0"/>
    <x v="0"/>
    <x v="4"/>
    <x v="4"/>
    <x v="377"/>
    <n v="36.200000000000003"/>
    <x v="0"/>
    <x v="0"/>
    <x v="0"/>
    <n v="0.66"/>
    <m/>
    <m/>
    <x v="154"/>
    <x v="6"/>
    <m/>
  </r>
  <r>
    <x v="335"/>
    <x v="411"/>
    <x v="3"/>
    <x v="0"/>
    <x v="0"/>
    <x v="0"/>
    <x v="17"/>
    <x v="0"/>
    <x v="393"/>
    <n v="33.39"/>
    <x v="0"/>
    <x v="0"/>
    <x v="0"/>
    <n v="9.69"/>
    <m/>
    <m/>
    <x v="25"/>
    <x v="171"/>
    <m/>
  </r>
  <r>
    <x v="336"/>
    <x v="412"/>
    <x v="12"/>
    <x v="0"/>
    <x v="0"/>
    <x v="0"/>
    <x v="13"/>
    <x v="1"/>
    <x v="394"/>
    <n v="26.21"/>
    <x v="0"/>
    <x v="0"/>
    <x v="0"/>
    <n v="1.25"/>
    <m/>
    <m/>
    <x v="16"/>
    <x v="113"/>
    <m/>
  </r>
  <r>
    <x v="336"/>
    <x v="413"/>
    <x v="15"/>
    <x v="0"/>
    <x v="0"/>
    <x v="0"/>
    <x v="13"/>
    <x v="1"/>
    <x v="395"/>
    <n v="26.21"/>
    <x v="0"/>
    <x v="0"/>
    <x v="0"/>
    <n v="5.3"/>
    <m/>
    <m/>
    <x v="16"/>
    <x v="113"/>
    <m/>
  </r>
  <r>
    <x v="337"/>
    <x v="414"/>
    <x v="16"/>
    <x v="0"/>
    <x v="0"/>
    <x v="0"/>
    <x v="17"/>
    <x v="0"/>
    <x v="396"/>
    <n v="34.31"/>
    <x v="0"/>
    <x v="0"/>
    <x v="0"/>
    <n v="4.4400000000000004"/>
    <m/>
    <m/>
    <x v="3"/>
    <x v="110"/>
    <m/>
  </r>
  <r>
    <x v="338"/>
    <x v="415"/>
    <x v="14"/>
    <x v="0"/>
    <x v="0"/>
    <x v="0"/>
    <x v="3"/>
    <x v="0"/>
    <x v="397"/>
    <n v="97.5"/>
    <x v="0"/>
    <x v="0"/>
    <x v="0"/>
    <n v="3.07"/>
    <m/>
    <m/>
    <x v="155"/>
    <x v="172"/>
    <m/>
  </r>
  <r>
    <x v="339"/>
    <x v="416"/>
    <x v="23"/>
    <x v="0"/>
    <x v="0"/>
    <x v="0"/>
    <x v="17"/>
    <x v="0"/>
    <x v="398"/>
    <n v="35.57"/>
    <x v="0"/>
    <x v="0"/>
    <x v="0"/>
    <n v="1.67"/>
    <m/>
    <m/>
    <x v="154"/>
    <x v="110"/>
    <m/>
  </r>
  <r>
    <x v="340"/>
    <x v="417"/>
    <x v="10"/>
    <x v="0"/>
    <x v="0"/>
    <x v="0"/>
    <x v="11"/>
    <x v="0"/>
    <x v="399"/>
    <n v="48.7"/>
    <x v="0"/>
    <x v="0"/>
    <x v="0"/>
    <n v="1.21"/>
    <m/>
    <m/>
    <x v="156"/>
    <x v="6"/>
    <m/>
  </r>
  <r>
    <x v="341"/>
    <x v="418"/>
    <x v="2"/>
    <x v="0"/>
    <x v="0"/>
    <x v="0"/>
    <x v="30"/>
    <x v="0"/>
    <x v="400"/>
    <n v="65.66"/>
    <x v="30"/>
    <x v="0"/>
    <x v="0"/>
    <n v="3.48"/>
    <m/>
    <m/>
    <x v="44"/>
    <x v="173"/>
    <m/>
  </r>
  <r>
    <x v="342"/>
    <x v="419"/>
    <x v="2"/>
    <x v="0"/>
    <x v="0"/>
    <x v="0"/>
    <x v="17"/>
    <x v="0"/>
    <x v="401"/>
    <n v="53.57"/>
    <x v="0"/>
    <x v="0"/>
    <x v="0"/>
    <n v="6.02"/>
    <m/>
    <m/>
    <x v="141"/>
    <x v="133"/>
    <m/>
  </r>
  <r>
    <x v="343"/>
    <x v="420"/>
    <x v="6"/>
    <x v="0"/>
    <x v="0"/>
    <x v="0"/>
    <x v="19"/>
    <x v="0"/>
    <x v="402"/>
    <n v="135.82"/>
    <x v="0"/>
    <x v="0"/>
    <x v="0"/>
    <n v="2.23"/>
    <m/>
    <m/>
    <x v="16"/>
    <x v="174"/>
    <m/>
  </r>
  <r>
    <x v="344"/>
    <x v="421"/>
    <x v="8"/>
    <x v="0"/>
    <x v="0"/>
    <x v="0"/>
    <x v="3"/>
    <x v="0"/>
    <x v="403"/>
    <n v="229.35"/>
    <x v="0"/>
    <x v="0"/>
    <x v="0"/>
    <n v="2.2799999999999998"/>
    <m/>
    <m/>
    <x v="19"/>
    <x v="175"/>
    <m/>
  </r>
  <r>
    <x v="345"/>
    <x v="422"/>
    <x v="6"/>
    <x v="0"/>
    <x v="0"/>
    <x v="0"/>
    <x v="3"/>
    <x v="1"/>
    <x v="404"/>
    <n v="23.47"/>
    <x v="0"/>
    <x v="0"/>
    <x v="0"/>
    <n v="2.026E-2"/>
    <m/>
    <m/>
    <x v="102"/>
    <x v="6"/>
    <m/>
  </r>
  <r>
    <x v="345"/>
    <x v="423"/>
    <x v="8"/>
    <x v="0"/>
    <x v="0"/>
    <x v="0"/>
    <x v="17"/>
    <x v="1"/>
    <x v="405"/>
    <n v="23.47"/>
    <x v="0"/>
    <x v="0"/>
    <x v="0"/>
    <n v="1.7590000000000001E-2"/>
    <m/>
    <m/>
    <x v="102"/>
    <x v="6"/>
    <m/>
  </r>
  <r>
    <x v="346"/>
    <x v="424"/>
    <x v="1"/>
    <x v="0"/>
    <x v="0"/>
    <x v="0"/>
    <x v="17"/>
    <x v="1"/>
    <x v="406"/>
    <n v="42.96"/>
    <x v="120"/>
    <x v="0"/>
    <x v="0"/>
    <n v="2.12"/>
    <m/>
    <m/>
    <x v="89"/>
    <x v="6"/>
    <m/>
  </r>
  <r>
    <x v="346"/>
    <x v="425"/>
    <x v="1"/>
    <x v="0"/>
    <x v="0"/>
    <x v="0"/>
    <x v="17"/>
    <x v="1"/>
    <x v="407"/>
    <n v="42.96"/>
    <x v="120"/>
    <x v="0"/>
    <x v="0"/>
    <n v="6.56"/>
    <m/>
    <m/>
    <x v="89"/>
    <x v="6"/>
    <m/>
  </r>
  <r>
    <x v="347"/>
    <x v="426"/>
    <x v="17"/>
    <x v="0"/>
    <x v="0"/>
    <x v="0"/>
    <x v="22"/>
    <x v="0"/>
    <x v="408"/>
    <n v="10.77"/>
    <x v="0"/>
    <x v="0"/>
    <x v="0"/>
    <n v="8.9829999999999993E-2"/>
    <m/>
    <m/>
    <x v="14"/>
    <x v="6"/>
    <m/>
  </r>
  <r>
    <x v="348"/>
    <x v="427"/>
    <x v="23"/>
    <x v="0"/>
    <x v="0"/>
    <x v="0"/>
    <x v="17"/>
    <x v="0"/>
    <x v="409"/>
    <n v="12.91"/>
    <x v="121"/>
    <x v="0"/>
    <x v="0"/>
    <n v="1.21"/>
    <m/>
    <m/>
    <x v="129"/>
    <x v="6"/>
    <m/>
  </r>
  <r>
    <x v="349"/>
    <x v="428"/>
    <x v="5"/>
    <x v="0"/>
    <x v="0"/>
    <x v="0"/>
    <x v="3"/>
    <x v="0"/>
    <x v="410"/>
    <n v="119.54"/>
    <x v="0"/>
    <x v="0"/>
    <x v="0"/>
    <n v="1.121"/>
    <m/>
    <m/>
    <x v="157"/>
    <x v="176"/>
    <m/>
  </r>
  <r>
    <x v="350"/>
    <x v="429"/>
    <x v="10"/>
    <x v="0"/>
    <x v="0"/>
    <x v="0"/>
    <x v="4"/>
    <x v="1"/>
    <x v="411"/>
    <n v="104.93"/>
    <x v="12"/>
    <x v="0"/>
    <x v="0"/>
    <n v="5.14"/>
    <m/>
    <m/>
    <x v="124"/>
    <x v="177"/>
    <m/>
  </r>
  <r>
    <x v="350"/>
    <x v="430"/>
    <x v="10"/>
    <x v="0"/>
    <x v="0"/>
    <x v="0"/>
    <x v="4"/>
    <x v="1"/>
    <x v="412"/>
    <n v="104.93"/>
    <x v="12"/>
    <x v="0"/>
    <x v="0"/>
    <n v="2.2999999999999998"/>
    <m/>
    <m/>
    <x v="124"/>
    <x v="177"/>
    <m/>
  </r>
  <r>
    <x v="351"/>
    <x v="431"/>
    <x v="1"/>
    <x v="0"/>
    <x v="0"/>
    <x v="0"/>
    <x v="17"/>
    <x v="0"/>
    <x v="413"/>
    <n v="57.22"/>
    <x v="0"/>
    <x v="0"/>
    <x v="0"/>
    <n v="0.85"/>
    <m/>
    <m/>
    <x v="84"/>
    <x v="42"/>
    <m/>
  </r>
  <r>
    <x v="352"/>
    <x v="432"/>
    <x v="5"/>
    <x v="0"/>
    <x v="0"/>
    <x v="0"/>
    <x v="3"/>
    <x v="1"/>
    <x v="414"/>
    <n v="77.37"/>
    <x v="122"/>
    <x v="0"/>
    <x v="0"/>
    <n v="1.23"/>
    <m/>
    <m/>
    <x v="49"/>
    <x v="156"/>
    <m/>
  </r>
  <r>
    <x v="352"/>
    <x v="433"/>
    <x v="5"/>
    <x v="0"/>
    <x v="0"/>
    <x v="0"/>
    <x v="3"/>
    <x v="1"/>
    <x v="415"/>
    <n v="77.37"/>
    <x v="122"/>
    <x v="0"/>
    <x v="0"/>
    <n v="5.16"/>
    <m/>
    <m/>
    <x v="49"/>
    <x v="156"/>
    <m/>
  </r>
  <r>
    <x v="353"/>
    <x v="434"/>
    <x v="5"/>
    <x v="0"/>
    <x v="0"/>
    <x v="0"/>
    <x v="3"/>
    <x v="0"/>
    <x v="416"/>
    <n v="121.61"/>
    <x v="123"/>
    <x v="0"/>
    <x v="0"/>
    <n v="33.700000000000003"/>
    <m/>
    <m/>
    <x v="154"/>
    <x v="129"/>
    <m/>
  </r>
  <r>
    <x v="354"/>
    <x v="435"/>
    <x v="1"/>
    <x v="0"/>
    <x v="0"/>
    <x v="0"/>
    <x v="6"/>
    <x v="0"/>
    <x v="417"/>
    <n v="71.5"/>
    <x v="0"/>
    <x v="0"/>
    <x v="0"/>
    <n v="1.3"/>
    <m/>
    <m/>
    <x v="120"/>
    <x v="178"/>
    <m/>
  </r>
  <r>
    <x v="355"/>
    <x v="436"/>
    <x v="16"/>
    <x v="0"/>
    <x v="0"/>
    <x v="0"/>
    <x v="19"/>
    <x v="0"/>
    <x v="418"/>
    <n v="76.03"/>
    <x v="0"/>
    <x v="176"/>
    <x v="156"/>
    <n v="0.38"/>
    <n v="0.74"/>
    <m/>
    <x v="116"/>
    <x v="11"/>
    <n v="0.72"/>
  </r>
  <r>
    <x v="356"/>
    <x v="437"/>
    <x v="16"/>
    <x v="0"/>
    <x v="0"/>
    <x v="0"/>
    <x v="11"/>
    <x v="0"/>
    <x v="419"/>
    <n v="73.430000000000007"/>
    <x v="124"/>
    <x v="0"/>
    <x v="0"/>
    <n v="1.33"/>
    <m/>
    <m/>
    <x v="141"/>
    <x v="132"/>
    <m/>
  </r>
  <r>
    <x v="357"/>
    <x v="438"/>
    <x v="14"/>
    <x v="0"/>
    <x v="0"/>
    <x v="0"/>
    <x v="3"/>
    <x v="0"/>
    <x v="420"/>
    <n v="191.96"/>
    <x v="0"/>
    <x v="0"/>
    <x v="0"/>
    <n v="2.75"/>
    <m/>
    <m/>
    <x v="158"/>
    <x v="179"/>
    <m/>
  </r>
  <r>
    <x v="358"/>
    <x v="439"/>
    <x v="15"/>
    <x v="0"/>
    <x v="0"/>
    <x v="0"/>
    <x v="11"/>
    <x v="0"/>
    <x v="421"/>
    <n v="28.29"/>
    <x v="23"/>
    <x v="0"/>
    <x v="0"/>
    <n v="2.71"/>
    <m/>
    <m/>
    <x v="63"/>
    <x v="18"/>
    <m/>
  </r>
  <r>
    <x v="359"/>
    <x v="440"/>
    <x v="1"/>
    <x v="0"/>
    <x v="0"/>
    <x v="0"/>
    <x v="30"/>
    <x v="0"/>
    <x v="422"/>
    <n v="83.33"/>
    <x v="23"/>
    <x v="0"/>
    <x v="0"/>
    <n v="2.1800000000000002"/>
    <m/>
    <m/>
    <x v="32"/>
    <x v="180"/>
    <m/>
  </r>
  <r>
    <x v="360"/>
    <x v="441"/>
    <x v="14"/>
    <x v="0"/>
    <x v="0"/>
    <x v="0"/>
    <x v="3"/>
    <x v="0"/>
    <x v="423"/>
    <n v="166.54"/>
    <x v="0"/>
    <x v="0"/>
    <x v="0"/>
    <n v="1.869"/>
    <m/>
    <m/>
    <x v="123"/>
    <x v="181"/>
    <m/>
  </r>
  <r>
    <x v="361"/>
    <x v="442"/>
    <x v="20"/>
    <x v="0"/>
    <x v="1"/>
    <x v="3"/>
    <x v="24"/>
    <x v="1"/>
    <x v="424"/>
    <n v="44.87"/>
    <x v="100"/>
    <x v="177"/>
    <x v="157"/>
    <n v="2.3630000000000002E-2"/>
    <n v="0.14599999999999999"/>
    <n v="9.3000000000000007"/>
    <x v="3"/>
    <x v="24"/>
    <m/>
  </r>
  <r>
    <x v="361"/>
    <x v="443"/>
    <x v="20"/>
    <x v="0"/>
    <x v="1"/>
    <x v="3"/>
    <x v="24"/>
    <x v="1"/>
    <x v="425"/>
    <n v="44.87"/>
    <x v="100"/>
    <x v="178"/>
    <x v="158"/>
    <n v="2.5520000000000001E-2"/>
    <n v="0.21299999999999999"/>
    <n v="3.23"/>
    <x v="3"/>
    <x v="24"/>
    <m/>
  </r>
  <r>
    <x v="362"/>
    <x v="444"/>
    <x v="2"/>
    <x v="0"/>
    <x v="0"/>
    <x v="0"/>
    <x v="17"/>
    <x v="0"/>
    <x v="426"/>
    <n v="48.52"/>
    <x v="0"/>
    <x v="0"/>
    <x v="0"/>
    <n v="2.95"/>
    <m/>
    <m/>
    <x v="119"/>
    <x v="182"/>
    <m/>
  </r>
  <r>
    <x v="363"/>
    <x v="445"/>
    <x v="11"/>
    <x v="0"/>
    <x v="0"/>
    <x v="0"/>
    <x v="3"/>
    <x v="0"/>
    <x v="427"/>
    <n v="18.29"/>
    <x v="0"/>
    <x v="0"/>
    <x v="0"/>
    <n v="0.82"/>
    <m/>
    <m/>
    <x v="159"/>
    <x v="131"/>
    <m/>
  </r>
  <r>
    <x v="364"/>
    <x v="446"/>
    <x v="2"/>
    <x v="0"/>
    <x v="0"/>
    <x v="0"/>
    <x v="30"/>
    <x v="0"/>
    <x v="428"/>
    <n v="64.77"/>
    <x v="0"/>
    <x v="0"/>
    <x v="0"/>
    <n v="5.37"/>
    <m/>
    <m/>
    <x v="112"/>
    <x v="106"/>
    <m/>
  </r>
  <r>
    <x v="365"/>
    <x v="447"/>
    <x v="9"/>
    <x v="0"/>
    <x v="0"/>
    <x v="0"/>
    <x v="13"/>
    <x v="1"/>
    <x v="429"/>
    <n v="63.56"/>
    <x v="0"/>
    <x v="0"/>
    <x v="0"/>
    <n v="2.4500000000000002"/>
    <m/>
    <m/>
    <x v="160"/>
    <x v="19"/>
    <m/>
  </r>
  <r>
    <x v="365"/>
    <x v="448"/>
    <x v="19"/>
    <x v="0"/>
    <x v="0"/>
    <x v="0"/>
    <x v="13"/>
    <x v="1"/>
    <x v="430"/>
    <n v="63.56"/>
    <x v="0"/>
    <x v="0"/>
    <x v="0"/>
    <n v="2.58"/>
    <m/>
    <m/>
    <x v="160"/>
    <x v="19"/>
    <m/>
  </r>
  <r>
    <x v="366"/>
    <x v="449"/>
    <x v="8"/>
    <x v="0"/>
    <x v="0"/>
    <x v="0"/>
    <x v="13"/>
    <x v="0"/>
    <x v="431"/>
    <n v="75.13"/>
    <x v="0"/>
    <x v="0"/>
    <x v="0"/>
    <n v="2.6"/>
    <m/>
    <m/>
    <x v="161"/>
    <x v="183"/>
    <m/>
  </r>
  <r>
    <x v="367"/>
    <x v="450"/>
    <x v="0"/>
    <x v="0"/>
    <x v="0"/>
    <x v="0"/>
    <x v="12"/>
    <x v="1"/>
    <x v="432"/>
    <n v="43"/>
    <x v="0"/>
    <x v="0"/>
    <x v="0"/>
    <n v="0.99"/>
    <m/>
    <m/>
    <x v="93"/>
    <x v="93"/>
    <m/>
  </r>
  <r>
    <x v="367"/>
    <x v="451"/>
    <x v="0"/>
    <x v="0"/>
    <x v="0"/>
    <x v="0"/>
    <x v="12"/>
    <x v="1"/>
    <x v="433"/>
    <n v="43"/>
    <x v="0"/>
    <x v="0"/>
    <x v="0"/>
    <n v="0.82"/>
    <m/>
    <m/>
    <x v="93"/>
    <x v="93"/>
    <m/>
  </r>
  <r>
    <x v="368"/>
    <x v="452"/>
    <x v="14"/>
    <x v="0"/>
    <x v="0"/>
    <x v="0"/>
    <x v="11"/>
    <x v="1"/>
    <x v="434"/>
    <n v="36.229999999999997"/>
    <x v="0"/>
    <x v="0"/>
    <x v="0"/>
    <n v="9.8800000000000008"/>
    <m/>
    <m/>
    <x v="44"/>
    <x v="105"/>
    <m/>
  </r>
  <r>
    <x v="368"/>
    <x v="453"/>
    <x v="5"/>
    <x v="0"/>
    <x v="0"/>
    <x v="0"/>
    <x v="3"/>
    <x v="1"/>
    <x v="435"/>
    <n v="36.229999999999997"/>
    <x v="0"/>
    <x v="0"/>
    <x v="0"/>
    <n v="8.6"/>
    <m/>
    <m/>
    <x v="44"/>
    <x v="105"/>
    <m/>
  </r>
  <r>
    <x v="369"/>
    <x v="454"/>
    <x v="1"/>
    <x v="0"/>
    <x v="0"/>
    <x v="0"/>
    <x v="17"/>
    <x v="0"/>
    <x v="436"/>
    <n v="56.96"/>
    <x v="0"/>
    <x v="0"/>
    <x v="0"/>
    <n v="0.74"/>
    <m/>
    <m/>
    <x v="119"/>
    <x v="184"/>
    <m/>
  </r>
  <r>
    <x v="370"/>
    <x v="455"/>
    <x v="6"/>
    <x v="0"/>
    <x v="0"/>
    <x v="0"/>
    <x v="3"/>
    <x v="0"/>
    <x v="437"/>
    <n v="24.35"/>
    <x v="36"/>
    <x v="0"/>
    <x v="0"/>
    <n v="1.2999999999999999E-2"/>
    <m/>
    <m/>
    <x v="96"/>
    <x v="185"/>
    <m/>
  </r>
  <r>
    <x v="371"/>
    <x v="456"/>
    <x v="0"/>
    <x v="0"/>
    <x v="0"/>
    <x v="0"/>
    <x v="17"/>
    <x v="0"/>
    <x v="438"/>
    <n v="47.8"/>
    <x v="0"/>
    <x v="0"/>
    <x v="0"/>
    <n v="10.67"/>
    <m/>
    <m/>
    <x v="124"/>
    <x v="186"/>
    <m/>
  </r>
  <r>
    <x v="372"/>
    <x v="457"/>
    <x v="14"/>
    <x v="0"/>
    <x v="0"/>
    <x v="0"/>
    <x v="3"/>
    <x v="0"/>
    <x v="439"/>
    <n v="95.12"/>
    <x v="0"/>
    <x v="0"/>
    <x v="0"/>
    <n v="1.53"/>
    <m/>
    <m/>
    <x v="123"/>
    <x v="187"/>
    <m/>
  </r>
  <r>
    <x v="373"/>
    <x v="458"/>
    <x v="5"/>
    <x v="0"/>
    <x v="0"/>
    <x v="0"/>
    <x v="14"/>
    <x v="0"/>
    <x v="440"/>
    <n v="294.10000000000002"/>
    <x v="125"/>
    <x v="0"/>
    <x v="0"/>
    <n v="14"/>
    <m/>
    <m/>
    <x v="162"/>
    <x v="188"/>
    <m/>
  </r>
  <r>
    <x v="374"/>
    <x v="459"/>
    <x v="7"/>
    <x v="0"/>
    <x v="0"/>
    <x v="0"/>
    <x v="11"/>
    <x v="1"/>
    <x v="441"/>
    <n v="73.459999999999994"/>
    <x v="126"/>
    <x v="0"/>
    <x v="0"/>
    <n v="1.1299999999999999"/>
    <m/>
    <m/>
    <x v="20"/>
    <x v="40"/>
    <m/>
  </r>
  <r>
    <x v="374"/>
    <x v="460"/>
    <x v="7"/>
    <x v="0"/>
    <x v="0"/>
    <x v="0"/>
    <x v="11"/>
    <x v="1"/>
    <x v="442"/>
    <n v="73.459999999999994"/>
    <x v="126"/>
    <x v="0"/>
    <x v="0"/>
    <n v="1.9"/>
    <m/>
    <m/>
    <x v="20"/>
    <x v="40"/>
    <m/>
  </r>
  <r>
    <x v="375"/>
    <x v="461"/>
    <x v="11"/>
    <x v="0"/>
    <x v="0"/>
    <x v="0"/>
    <x v="13"/>
    <x v="1"/>
    <x v="443"/>
    <n v="55.94"/>
    <x v="0"/>
    <x v="0"/>
    <x v="0"/>
    <n v="2.218"/>
    <m/>
    <m/>
    <x v="128"/>
    <x v="189"/>
    <m/>
  </r>
  <r>
    <x v="375"/>
    <x v="462"/>
    <x v="15"/>
    <x v="0"/>
    <x v="0"/>
    <x v="0"/>
    <x v="13"/>
    <x v="1"/>
    <x v="444"/>
    <n v="55.94"/>
    <x v="0"/>
    <x v="0"/>
    <x v="0"/>
    <n v="0.76800000000000002"/>
    <m/>
    <m/>
    <x v="128"/>
    <x v="189"/>
    <m/>
  </r>
  <r>
    <x v="376"/>
    <x v="463"/>
    <x v="8"/>
    <x v="0"/>
    <x v="0"/>
    <x v="0"/>
    <x v="4"/>
    <x v="1"/>
    <x v="445"/>
    <n v="89.03"/>
    <x v="127"/>
    <x v="0"/>
    <x v="0"/>
    <n v="0.93400000000000005"/>
    <m/>
    <m/>
    <x v="98"/>
    <x v="190"/>
    <m/>
  </r>
  <r>
    <x v="376"/>
    <x v="464"/>
    <x v="8"/>
    <x v="0"/>
    <x v="0"/>
    <x v="0"/>
    <x v="4"/>
    <x v="1"/>
    <x v="446"/>
    <n v="89.03"/>
    <x v="127"/>
    <x v="0"/>
    <x v="0"/>
    <n v="3.62"/>
    <m/>
    <m/>
    <x v="98"/>
    <x v="190"/>
    <m/>
  </r>
  <r>
    <x v="377"/>
    <x v="465"/>
    <x v="18"/>
    <x v="0"/>
    <x v="0"/>
    <x v="0"/>
    <x v="13"/>
    <x v="4"/>
    <x v="447"/>
    <n v="15.61"/>
    <x v="128"/>
    <x v="0"/>
    <x v="0"/>
    <n v="1.6759999999999999"/>
    <m/>
    <m/>
    <x v="4"/>
    <x v="6"/>
    <m/>
  </r>
  <r>
    <x v="377"/>
    <x v="466"/>
    <x v="9"/>
    <x v="0"/>
    <x v="0"/>
    <x v="0"/>
    <x v="13"/>
    <x v="4"/>
    <x v="448"/>
    <n v="15.61"/>
    <x v="128"/>
    <x v="0"/>
    <x v="0"/>
    <n v="1.8140000000000001"/>
    <m/>
    <m/>
    <x v="4"/>
    <x v="6"/>
    <m/>
  </r>
  <r>
    <x v="377"/>
    <x v="467"/>
    <x v="9"/>
    <x v="0"/>
    <x v="0"/>
    <x v="0"/>
    <x v="17"/>
    <x v="4"/>
    <x v="449"/>
    <n v="15.61"/>
    <x v="128"/>
    <x v="0"/>
    <x v="0"/>
    <n v="3.3210000000000003E-2"/>
    <m/>
    <m/>
    <x v="4"/>
    <x v="6"/>
    <m/>
  </r>
  <r>
    <x v="377"/>
    <x v="468"/>
    <x v="11"/>
    <x v="0"/>
    <x v="0"/>
    <x v="0"/>
    <x v="17"/>
    <x v="4"/>
    <x v="450"/>
    <n v="15.61"/>
    <x v="128"/>
    <x v="0"/>
    <x v="0"/>
    <n v="0.52190000000000003"/>
    <m/>
    <m/>
    <x v="4"/>
    <x v="6"/>
    <m/>
  </r>
  <r>
    <x v="378"/>
    <x v="469"/>
    <x v="18"/>
    <x v="0"/>
    <x v="0"/>
    <x v="0"/>
    <x v="3"/>
    <x v="0"/>
    <x v="451"/>
    <n v="37.83"/>
    <x v="0"/>
    <x v="0"/>
    <x v="0"/>
    <n v="0.26"/>
    <m/>
    <m/>
    <x v="129"/>
    <x v="129"/>
    <m/>
  </r>
  <r>
    <x v="379"/>
    <x v="470"/>
    <x v="1"/>
    <x v="0"/>
    <x v="0"/>
    <x v="0"/>
    <x v="6"/>
    <x v="0"/>
    <x v="452"/>
    <n v="59.96"/>
    <x v="0"/>
    <x v="0"/>
    <x v="0"/>
    <n v="5.0999999999999996"/>
    <m/>
    <m/>
    <x v="163"/>
    <x v="191"/>
    <m/>
  </r>
  <r>
    <x v="380"/>
    <x v="471"/>
    <x v="3"/>
    <x v="0"/>
    <x v="0"/>
    <x v="0"/>
    <x v="17"/>
    <x v="0"/>
    <x v="453"/>
    <n v="30.85"/>
    <x v="0"/>
    <x v="0"/>
    <x v="0"/>
    <n v="9.84"/>
    <m/>
    <m/>
    <x v="73"/>
    <x v="91"/>
    <m/>
  </r>
  <r>
    <x v="381"/>
    <x v="472"/>
    <x v="6"/>
    <x v="0"/>
    <x v="0"/>
    <x v="0"/>
    <x v="3"/>
    <x v="1"/>
    <x v="454"/>
    <n v="67.92"/>
    <x v="0"/>
    <x v="0"/>
    <x v="0"/>
    <n v="0.78359999999999996"/>
    <m/>
    <m/>
    <x v="20"/>
    <x v="192"/>
    <m/>
  </r>
  <r>
    <x v="381"/>
    <x v="473"/>
    <x v="6"/>
    <x v="0"/>
    <x v="0"/>
    <x v="0"/>
    <x v="3"/>
    <x v="1"/>
    <x v="455"/>
    <n v="67.92"/>
    <x v="0"/>
    <x v="0"/>
    <x v="0"/>
    <n v="2.2010000000000001"/>
    <m/>
    <m/>
    <x v="20"/>
    <x v="192"/>
    <m/>
  </r>
  <r>
    <x v="382"/>
    <x v="474"/>
    <x v="2"/>
    <x v="0"/>
    <x v="0"/>
    <x v="0"/>
    <x v="13"/>
    <x v="0"/>
    <x v="456"/>
    <n v="25.41"/>
    <x v="0"/>
    <x v="0"/>
    <x v="0"/>
    <n v="6.9599999999999995E-2"/>
    <m/>
    <m/>
    <x v="141"/>
    <x v="6"/>
    <m/>
  </r>
  <r>
    <x v="383"/>
    <x v="475"/>
    <x v="6"/>
    <x v="0"/>
    <x v="0"/>
    <x v="0"/>
    <x v="3"/>
    <x v="0"/>
    <x v="457"/>
    <n v="53.19"/>
    <x v="129"/>
    <x v="0"/>
    <x v="0"/>
    <n v="0.443"/>
    <m/>
    <m/>
    <x v="20"/>
    <x v="37"/>
    <m/>
  </r>
  <r>
    <x v="384"/>
    <x v="476"/>
    <x v="8"/>
    <x v="0"/>
    <x v="0"/>
    <x v="0"/>
    <x v="11"/>
    <x v="0"/>
    <x v="458"/>
    <n v="28.28"/>
    <x v="0"/>
    <x v="0"/>
    <x v="0"/>
    <n v="5.0779999999999999E-2"/>
    <m/>
    <m/>
    <x v="7"/>
    <x v="6"/>
    <m/>
  </r>
  <r>
    <x v="385"/>
    <x v="477"/>
    <x v="1"/>
    <x v="0"/>
    <x v="0"/>
    <x v="0"/>
    <x v="30"/>
    <x v="0"/>
    <x v="459"/>
    <n v="39.409999999999997"/>
    <x v="0"/>
    <x v="0"/>
    <x v="0"/>
    <n v="1.9979199999999999"/>
    <m/>
    <m/>
    <x v="96"/>
    <x v="6"/>
    <m/>
  </r>
  <r>
    <x v="386"/>
    <x v="478"/>
    <x v="16"/>
    <x v="0"/>
    <x v="0"/>
    <x v="0"/>
    <x v="3"/>
    <x v="1"/>
    <x v="460"/>
    <n v="22.13"/>
    <x v="0"/>
    <x v="0"/>
    <x v="0"/>
    <n v="0.31"/>
    <m/>
    <m/>
    <x v="99"/>
    <x v="193"/>
    <m/>
  </r>
  <r>
    <x v="386"/>
    <x v="479"/>
    <x v="10"/>
    <x v="0"/>
    <x v="0"/>
    <x v="0"/>
    <x v="4"/>
    <x v="1"/>
    <x v="461"/>
    <n v="22.13"/>
    <x v="0"/>
    <x v="0"/>
    <x v="0"/>
    <n v="4.0590000000000001E-2"/>
    <m/>
    <m/>
    <x v="99"/>
    <x v="193"/>
    <m/>
  </r>
  <r>
    <x v="387"/>
    <x v="480"/>
    <x v="10"/>
    <x v="0"/>
    <x v="0"/>
    <x v="0"/>
    <x v="4"/>
    <x v="0"/>
    <x v="462"/>
    <n v="64.98"/>
    <x v="34"/>
    <x v="0"/>
    <x v="0"/>
    <n v="2.89"/>
    <m/>
    <m/>
    <x v="102"/>
    <x v="105"/>
    <m/>
  </r>
  <r>
    <x v="388"/>
    <x v="481"/>
    <x v="8"/>
    <x v="0"/>
    <x v="0"/>
    <x v="0"/>
    <x v="4"/>
    <x v="0"/>
    <x v="463"/>
    <n v="118.31"/>
    <x v="130"/>
    <x v="0"/>
    <x v="0"/>
    <n v="6.43"/>
    <m/>
    <m/>
    <x v="125"/>
    <x v="194"/>
    <m/>
  </r>
  <r>
    <x v="389"/>
    <x v="482"/>
    <x v="15"/>
    <x v="0"/>
    <x v="0"/>
    <x v="0"/>
    <x v="17"/>
    <x v="0"/>
    <x v="464"/>
    <n v="45.19"/>
    <x v="12"/>
    <x v="0"/>
    <x v="0"/>
    <n v="3.53"/>
    <m/>
    <m/>
    <x v="94"/>
    <x v="6"/>
    <m/>
  </r>
  <r>
    <x v="390"/>
    <x v="483"/>
    <x v="0"/>
    <x v="0"/>
    <x v="0"/>
    <x v="0"/>
    <x v="6"/>
    <x v="0"/>
    <x v="465"/>
    <n v="49.73"/>
    <x v="0"/>
    <x v="0"/>
    <x v="0"/>
    <n v="1.7"/>
    <m/>
    <m/>
    <x v="125"/>
    <x v="187"/>
    <m/>
  </r>
  <r>
    <x v="391"/>
    <x v="484"/>
    <x v="22"/>
    <x v="0"/>
    <x v="0"/>
    <x v="0"/>
    <x v="3"/>
    <x v="1"/>
    <x v="466"/>
    <n v="39.67"/>
    <x v="0"/>
    <x v="0"/>
    <x v="0"/>
    <n v="7.6589999999999998"/>
    <m/>
    <m/>
    <x v="7"/>
    <x v="195"/>
    <m/>
  </r>
  <r>
    <x v="391"/>
    <x v="485"/>
    <x v="18"/>
    <x v="0"/>
    <x v="0"/>
    <x v="0"/>
    <x v="3"/>
    <x v="1"/>
    <x v="467"/>
    <n v="39.67"/>
    <x v="0"/>
    <x v="0"/>
    <x v="0"/>
    <n v="17.193000000000001"/>
    <m/>
    <m/>
    <x v="7"/>
    <x v="195"/>
    <m/>
  </r>
  <r>
    <x v="392"/>
    <x v="486"/>
    <x v="3"/>
    <x v="0"/>
    <x v="0"/>
    <x v="0"/>
    <x v="17"/>
    <x v="0"/>
    <x v="468"/>
    <n v="41.62"/>
    <x v="0"/>
    <x v="0"/>
    <x v="0"/>
    <n v="0.27"/>
    <m/>
    <m/>
    <x v="154"/>
    <x v="121"/>
    <m/>
  </r>
  <r>
    <x v="393"/>
    <x v="487"/>
    <x v="6"/>
    <x v="0"/>
    <x v="0"/>
    <x v="0"/>
    <x v="17"/>
    <x v="0"/>
    <x v="469"/>
    <n v="769.37"/>
    <x v="0"/>
    <x v="0"/>
    <x v="0"/>
    <n v="8.7899999999999991"/>
    <m/>
    <m/>
    <x v="164"/>
    <x v="196"/>
    <m/>
  </r>
  <r>
    <x v="394"/>
    <x v="488"/>
    <x v="18"/>
    <x v="0"/>
    <x v="0"/>
    <x v="0"/>
    <x v="17"/>
    <x v="1"/>
    <x v="470"/>
    <n v="37.64"/>
    <x v="131"/>
    <x v="0"/>
    <x v="0"/>
    <n v="2.88"/>
    <m/>
    <m/>
    <x v="28"/>
    <x v="6"/>
    <m/>
  </r>
  <r>
    <x v="394"/>
    <x v="489"/>
    <x v="23"/>
    <x v="0"/>
    <x v="0"/>
    <x v="0"/>
    <x v="17"/>
    <x v="1"/>
    <x v="471"/>
    <n v="37.64"/>
    <x v="131"/>
    <x v="0"/>
    <x v="0"/>
    <n v="4.04"/>
    <m/>
    <m/>
    <x v="28"/>
    <x v="6"/>
    <m/>
  </r>
  <r>
    <x v="395"/>
    <x v="490"/>
    <x v="0"/>
    <x v="0"/>
    <x v="0"/>
    <x v="0"/>
    <x v="3"/>
    <x v="0"/>
    <x v="472"/>
    <n v="60.28"/>
    <x v="0"/>
    <x v="0"/>
    <x v="0"/>
    <n v="0.66"/>
    <m/>
    <m/>
    <x v="32"/>
    <x v="89"/>
    <m/>
  </r>
  <r>
    <x v="396"/>
    <x v="491"/>
    <x v="0"/>
    <x v="0"/>
    <x v="0"/>
    <x v="0"/>
    <x v="12"/>
    <x v="0"/>
    <x v="473"/>
    <n v="229.89"/>
    <x v="0"/>
    <x v="0"/>
    <x v="0"/>
    <n v="10.130000000000001"/>
    <m/>
    <m/>
    <x v="165"/>
    <x v="197"/>
    <m/>
  </r>
  <r>
    <x v="397"/>
    <x v="492"/>
    <x v="0"/>
    <x v="0"/>
    <x v="0"/>
    <x v="0"/>
    <x v="17"/>
    <x v="0"/>
    <x v="474"/>
    <n v="90"/>
    <x v="0"/>
    <x v="0"/>
    <x v="0"/>
    <n v="2.62"/>
    <m/>
    <m/>
    <x v="166"/>
    <x v="198"/>
    <m/>
  </r>
  <r>
    <x v="398"/>
    <x v="493"/>
    <x v="1"/>
    <x v="0"/>
    <x v="0"/>
    <x v="0"/>
    <x v="17"/>
    <x v="0"/>
    <x v="475"/>
    <n v="44.87"/>
    <x v="132"/>
    <x v="0"/>
    <x v="0"/>
    <n v="2.72"/>
    <m/>
    <m/>
    <x v="50"/>
    <x v="41"/>
    <m/>
  </r>
  <r>
    <x v="399"/>
    <x v="494"/>
    <x v="0"/>
    <x v="0"/>
    <x v="0"/>
    <x v="0"/>
    <x v="19"/>
    <x v="0"/>
    <x v="476"/>
    <n v="75"/>
    <x v="0"/>
    <x v="179"/>
    <x v="159"/>
    <n v="3.51"/>
    <n v="1.1000000000000001"/>
    <m/>
    <x v="130"/>
    <x v="155"/>
    <n v="0.53"/>
  </r>
  <r>
    <x v="400"/>
    <x v="495"/>
    <x v="2"/>
    <x v="0"/>
    <x v="0"/>
    <x v="0"/>
    <x v="0"/>
    <x v="0"/>
    <x v="477"/>
    <n v="132.68"/>
    <x v="0"/>
    <x v="0"/>
    <x v="0"/>
    <n v="2.7"/>
    <m/>
    <m/>
    <x v="167"/>
    <x v="199"/>
    <m/>
  </r>
  <r>
    <x v="401"/>
    <x v="496"/>
    <x v="1"/>
    <x v="0"/>
    <x v="0"/>
    <x v="0"/>
    <x v="30"/>
    <x v="0"/>
    <x v="478"/>
    <n v="71.23"/>
    <x v="0"/>
    <x v="0"/>
    <x v="0"/>
    <n v="8.9700000000000006"/>
    <m/>
    <m/>
    <x v="55"/>
    <x v="138"/>
    <m/>
  </r>
  <r>
    <x v="402"/>
    <x v="497"/>
    <x v="0"/>
    <x v="0"/>
    <x v="0"/>
    <x v="0"/>
    <x v="3"/>
    <x v="0"/>
    <x v="479"/>
    <n v="130.08000000000001"/>
    <x v="0"/>
    <x v="0"/>
    <x v="0"/>
    <n v="0.59799999999999998"/>
    <m/>
    <m/>
    <x v="139"/>
    <x v="200"/>
    <m/>
  </r>
  <r>
    <x v="403"/>
    <x v="498"/>
    <x v="8"/>
    <x v="0"/>
    <x v="0"/>
    <x v="0"/>
    <x v="17"/>
    <x v="0"/>
    <x v="480"/>
    <n v="45.27"/>
    <x v="133"/>
    <x v="0"/>
    <x v="0"/>
    <n v="2.8250000000000001E-2"/>
    <m/>
    <m/>
    <x v="159"/>
    <x v="86"/>
    <m/>
  </r>
  <r>
    <x v="404"/>
    <x v="499"/>
    <x v="17"/>
    <x v="0"/>
    <x v="0"/>
    <x v="0"/>
    <x v="11"/>
    <x v="0"/>
    <x v="481"/>
    <n v="44.48"/>
    <x v="134"/>
    <x v="0"/>
    <x v="0"/>
    <n v="0.87"/>
    <m/>
    <m/>
    <x v="17"/>
    <x v="201"/>
    <m/>
  </r>
  <r>
    <x v="405"/>
    <x v="500"/>
    <x v="17"/>
    <x v="0"/>
    <x v="0"/>
    <x v="0"/>
    <x v="4"/>
    <x v="1"/>
    <x v="482"/>
    <n v="27.81"/>
    <x v="75"/>
    <x v="0"/>
    <x v="0"/>
    <n v="1.806E-2"/>
    <m/>
    <m/>
    <x v="137"/>
    <x v="202"/>
    <m/>
  </r>
  <r>
    <x v="405"/>
    <x v="501"/>
    <x v="17"/>
    <x v="0"/>
    <x v="0"/>
    <x v="0"/>
    <x v="4"/>
    <x v="1"/>
    <x v="483"/>
    <n v="27.81"/>
    <x v="75"/>
    <x v="0"/>
    <x v="0"/>
    <n v="2.8879999999999999E-2"/>
    <m/>
    <m/>
    <x v="137"/>
    <x v="202"/>
    <m/>
  </r>
  <r>
    <x v="406"/>
    <x v="502"/>
    <x v="17"/>
    <x v="0"/>
    <x v="0"/>
    <x v="0"/>
    <x v="17"/>
    <x v="0"/>
    <x v="484"/>
    <n v="16.93"/>
    <x v="0"/>
    <x v="0"/>
    <x v="0"/>
    <n v="4.7509999999999997E-2"/>
    <m/>
    <m/>
    <x v="57"/>
    <x v="6"/>
    <m/>
  </r>
  <r>
    <x v="407"/>
    <x v="503"/>
    <x v="21"/>
    <x v="0"/>
    <x v="0"/>
    <x v="0"/>
    <x v="3"/>
    <x v="1"/>
    <x v="485"/>
    <n v="62.88"/>
    <x v="0"/>
    <x v="0"/>
    <x v="0"/>
    <n v="1.69"/>
    <m/>
    <m/>
    <x v="168"/>
    <x v="203"/>
    <m/>
  </r>
  <r>
    <x v="407"/>
    <x v="504"/>
    <x v="6"/>
    <x v="0"/>
    <x v="0"/>
    <x v="0"/>
    <x v="3"/>
    <x v="1"/>
    <x v="486"/>
    <n v="62.88"/>
    <x v="0"/>
    <x v="0"/>
    <x v="0"/>
    <n v="0.15"/>
    <m/>
    <m/>
    <x v="168"/>
    <x v="203"/>
    <m/>
  </r>
  <r>
    <x v="408"/>
    <x v="505"/>
    <x v="12"/>
    <x v="0"/>
    <x v="0"/>
    <x v="0"/>
    <x v="3"/>
    <x v="0"/>
    <x v="487"/>
    <n v="47"/>
    <x v="0"/>
    <x v="0"/>
    <x v="0"/>
    <n v="8.0299999999999994"/>
    <m/>
    <m/>
    <x v="100"/>
    <x v="29"/>
    <m/>
  </r>
  <r>
    <x v="409"/>
    <x v="506"/>
    <x v="2"/>
    <x v="0"/>
    <x v="0"/>
    <x v="0"/>
    <x v="3"/>
    <x v="0"/>
    <x v="488"/>
    <n v="69.849999999999994"/>
    <x v="135"/>
    <x v="0"/>
    <x v="0"/>
    <n v="8.1000000000000003E-2"/>
    <m/>
    <m/>
    <x v="30"/>
    <x v="204"/>
    <m/>
  </r>
  <r>
    <x v="410"/>
    <x v="507"/>
    <x v="18"/>
    <x v="0"/>
    <x v="0"/>
    <x v="0"/>
    <x v="13"/>
    <x v="0"/>
    <x v="489"/>
    <n v="27.48"/>
    <x v="0"/>
    <x v="0"/>
    <x v="0"/>
    <n v="0.91600000000000004"/>
    <m/>
    <m/>
    <x v="49"/>
    <x v="6"/>
    <m/>
  </r>
  <r>
    <x v="411"/>
    <x v="508"/>
    <x v="5"/>
    <x v="0"/>
    <x v="0"/>
    <x v="0"/>
    <x v="3"/>
    <x v="0"/>
    <x v="490"/>
    <n v="137.59"/>
    <x v="0"/>
    <x v="0"/>
    <x v="0"/>
    <n v="2.194"/>
    <m/>
    <m/>
    <x v="19"/>
    <x v="205"/>
    <m/>
  </r>
  <r>
    <x v="412"/>
    <x v="509"/>
    <x v="5"/>
    <x v="0"/>
    <x v="0"/>
    <x v="0"/>
    <x v="3"/>
    <x v="0"/>
    <x v="491"/>
    <n v="124.24"/>
    <x v="0"/>
    <x v="0"/>
    <x v="0"/>
    <n v="3.18"/>
    <m/>
    <m/>
    <x v="144"/>
    <x v="206"/>
    <m/>
  </r>
  <r>
    <x v="413"/>
    <x v="510"/>
    <x v="6"/>
    <x v="0"/>
    <x v="0"/>
    <x v="0"/>
    <x v="19"/>
    <x v="0"/>
    <x v="492"/>
    <n v="122.79"/>
    <x v="0"/>
    <x v="0"/>
    <x v="0"/>
    <n v="20.13"/>
    <m/>
    <m/>
    <x v="2"/>
    <x v="207"/>
    <m/>
  </r>
  <r>
    <x v="414"/>
    <x v="511"/>
    <x v="1"/>
    <x v="0"/>
    <x v="0"/>
    <x v="0"/>
    <x v="3"/>
    <x v="0"/>
    <x v="493"/>
    <n v="104.89"/>
    <x v="0"/>
    <x v="0"/>
    <x v="0"/>
    <n v="1.6850000000000001"/>
    <m/>
    <m/>
    <x v="130"/>
    <x v="208"/>
    <m/>
  </r>
  <r>
    <x v="415"/>
    <x v="512"/>
    <x v="20"/>
    <x v="0"/>
    <x v="0"/>
    <x v="0"/>
    <x v="17"/>
    <x v="0"/>
    <x v="494"/>
    <n v="47.81"/>
    <x v="136"/>
    <x v="0"/>
    <x v="0"/>
    <n v="8.3699999999999992"/>
    <m/>
    <m/>
    <x v="53"/>
    <x v="133"/>
    <m/>
  </r>
  <r>
    <x v="416"/>
    <x v="513"/>
    <x v="1"/>
    <x v="0"/>
    <x v="0"/>
    <x v="0"/>
    <x v="3"/>
    <x v="0"/>
    <x v="495"/>
    <n v="110.62"/>
    <x v="0"/>
    <x v="0"/>
    <x v="0"/>
    <n v="2.54"/>
    <m/>
    <m/>
    <x v="161"/>
    <x v="209"/>
    <m/>
  </r>
  <r>
    <x v="417"/>
    <x v="514"/>
    <x v="2"/>
    <x v="0"/>
    <x v="0"/>
    <x v="0"/>
    <x v="17"/>
    <x v="2"/>
    <x v="496"/>
    <n v="26.9"/>
    <x v="0"/>
    <x v="0"/>
    <x v="0"/>
    <n v="0.02"/>
    <m/>
    <m/>
    <x v="80"/>
    <x v="38"/>
    <m/>
  </r>
  <r>
    <x v="417"/>
    <x v="515"/>
    <x v="2"/>
    <x v="0"/>
    <x v="0"/>
    <x v="0"/>
    <x v="17"/>
    <x v="2"/>
    <x v="497"/>
    <n v="26.9"/>
    <x v="0"/>
    <x v="0"/>
    <x v="0"/>
    <n v="0.64"/>
    <m/>
    <m/>
    <x v="80"/>
    <x v="38"/>
    <m/>
  </r>
  <r>
    <x v="417"/>
    <x v="516"/>
    <x v="2"/>
    <x v="0"/>
    <x v="0"/>
    <x v="0"/>
    <x v="17"/>
    <x v="2"/>
    <x v="498"/>
    <n v="26.9"/>
    <x v="0"/>
    <x v="0"/>
    <x v="0"/>
    <n v="0.54"/>
    <m/>
    <m/>
    <x v="80"/>
    <x v="38"/>
    <m/>
  </r>
  <r>
    <x v="418"/>
    <x v="517"/>
    <x v="1"/>
    <x v="0"/>
    <x v="0"/>
    <x v="0"/>
    <x v="17"/>
    <x v="0"/>
    <x v="499"/>
    <n v="60.31"/>
    <x v="0"/>
    <x v="0"/>
    <x v="0"/>
    <n v="0.4"/>
    <m/>
    <m/>
    <x v="18"/>
    <x v="151"/>
    <m/>
  </r>
  <r>
    <x v="419"/>
    <x v="518"/>
    <x v="9"/>
    <x v="0"/>
    <x v="0"/>
    <x v="0"/>
    <x v="3"/>
    <x v="1"/>
    <x v="500"/>
    <n v="54.28"/>
    <x v="0"/>
    <x v="0"/>
    <x v="0"/>
    <n v="3.95"/>
    <m/>
    <m/>
    <x v="106"/>
    <x v="14"/>
    <m/>
  </r>
  <r>
    <x v="419"/>
    <x v="519"/>
    <x v="2"/>
    <x v="0"/>
    <x v="0"/>
    <x v="0"/>
    <x v="3"/>
    <x v="1"/>
    <x v="501"/>
    <n v="54.28"/>
    <x v="0"/>
    <x v="0"/>
    <x v="0"/>
    <n v="3.57"/>
    <m/>
    <m/>
    <x v="106"/>
    <x v="14"/>
    <m/>
  </r>
  <r>
    <x v="420"/>
    <x v="520"/>
    <x v="11"/>
    <x v="0"/>
    <x v="0"/>
    <x v="0"/>
    <x v="6"/>
    <x v="0"/>
    <x v="502"/>
    <n v="52.07"/>
    <x v="0"/>
    <x v="0"/>
    <x v="0"/>
    <n v="1.01"/>
    <m/>
    <m/>
    <x v="123"/>
    <x v="118"/>
    <m/>
  </r>
  <r>
    <x v="421"/>
    <x v="521"/>
    <x v="11"/>
    <x v="0"/>
    <x v="0"/>
    <x v="0"/>
    <x v="13"/>
    <x v="0"/>
    <x v="503"/>
    <n v="45.96"/>
    <x v="32"/>
    <x v="0"/>
    <x v="0"/>
    <n v="0.75"/>
    <m/>
    <m/>
    <x v="84"/>
    <x v="6"/>
    <m/>
  </r>
  <r>
    <x v="422"/>
    <x v="522"/>
    <x v="22"/>
    <x v="0"/>
    <x v="0"/>
    <x v="0"/>
    <x v="3"/>
    <x v="1"/>
    <x v="504"/>
    <n v="46.02"/>
    <x v="0"/>
    <x v="0"/>
    <x v="0"/>
    <n v="0.52300000000000002"/>
    <m/>
    <m/>
    <x v="57"/>
    <x v="6"/>
    <m/>
  </r>
  <r>
    <x v="422"/>
    <x v="523"/>
    <x v="2"/>
    <x v="0"/>
    <x v="0"/>
    <x v="0"/>
    <x v="3"/>
    <x v="1"/>
    <x v="505"/>
    <n v="46.02"/>
    <x v="0"/>
    <x v="0"/>
    <x v="0"/>
    <n v="1.99"/>
    <m/>
    <m/>
    <x v="57"/>
    <x v="6"/>
    <m/>
  </r>
  <r>
    <x v="423"/>
    <x v="524"/>
    <x v="14"/>
    <x v="0"/>
    <x v="0"/>
    <x v="0"/>
    <x v="3"/>
    <x v="0"/>
    <x v="506"/>
    <n v="163.37"/>
    <x v="0"/>
    <x v="0"/>
    <x v="0"/>
    <n v="3.4"/>
    <m/>
    <m/>
    <x v="169"/>
    <x v="210"/>
    <m/>
  </r>
  <r>
    <x v="424"/>
    <x v="525"/>
    <x v="9"/>
    <x v="0"/>
    <x v="0"/>
    <x v="0"/>
    <x v="3"/>
    <x v="0"/>
    <x v="507"/>
    <n v="50.74"/>
    <x v="0"/>
    <x v="0"/>
    <x v="0"/>
    <n v="1.5"/>
    <m/>
    <m/>
    <x v="25"/>
    <x v="6"/>
    <m/>
  </r>
  <r>
    <x v="425"/>
    <x v="526"/>
    <x v="16"/>
    <x v="0"/>
    <x v="0"/>
    <x v="0"/>
    <x v="11"/>
    <x v="0"/>
    <x v="508"/>
    <n v="19.78"/>
    <x v="0"/>
    <x v="180"/>
    <x v="131"/>
    <n v="1.1299999999999999"/>
    <n v="1.1299999999999999"/>
    <m/>
    <x v="137"/>
    <x v="91"/>
    <n v="2.65"/>
  </r>
  <r>
    <x v="426"/>
    <x v="527"/>
    <x v="23"/>
    <x v="0"/>
    <x v="0"/>
    <x v="0"/>
    <x v="11"/>
    <x v="1"/>
    <x v="509"/>
    <n v="16.010000000000002"/>
    <x v="0"/>
    <x v="0"/>
    <x v="0"/>
    <n v="1.54"/>
    <m/>
    <m/>
    <x v="7"/>
    <x v="48"/>
    <m/>
  </r>
  <r>
    <x v="426"/>
    <x v="528"/>
    <x v="16"/>
    <x v="0"/>
    <x v="0"/>
    <x v="0"/>
    <x v="3"/>
    <x v="1"/>
    <x v="510"/>
    <n v="16.010000000000002"/>
    <x v="0"/>
    <x v="0"/>
    <x v="0"/>
    <n v="0.06"/>
    <m/>
    <m/>
    <x v="7"/>
    <x v="48"/>
    <m/>
  </r>
  <r>
    <x v="427"/>
    <x v="529"/>
    <x v="0"/>
    <x v="0"/>
    <x v="0"/>
    <x v="0"/>
    <x v="17"/>
    <x v="0"/>
    <x v="511"/>
    <n v="54.56"/>
    <x v="0"/>
    <x v="0"/>
    <x v="0"/>
    <n v="1.94"/>
    <m/>
    <m/>
    <x v="30"/>
    <x v="150"/>
    <m/>
  </r>
  <r>
    <x v="428"/>
    <x v="530"/>
    <x v="1"/>
    <x v="0"/>
    <x v="0"/>
    <x v="0"/>
    <x v="17"/>
    <x v="0"/>
    <x v="512"/>
    <n v="148.81"/>
    <x v="0"/>
    <x v="0"/>
    <x v="0"/>
    <n v="3.1"/>
    <m/>
    <m/>
    <x v="21"/>
    <x v="104"/>
    <m/>
  </r>
  <r>
    <x v="429"/>
    <x v="531"/>
    <x v="10"/>
    <x v="0"/>
    <x v="0"/>
    <x v="0"/>
    <x v="11"/>
    <x v="0"/>
    <x v="513"/>
    <n v="65.790000000000006"/>
    <x v="116"/>
    <x v="0"/>
    <x v="0"/>
    <n v="8.52"/>
    <m/>
    <m/>
    <x v="30"/>
    <x v="6"/>
    <m/>
  </r>
  <r>
    <x v="430"/>
    <x v="532"/>
    <x v="21"/>
    <x v="0"/>
    <x v="0"/>
    <x v="0"/>
    <x v="17"/>
    <x v="0"/>
    <x v="514"/>
    <n v="19.649999999999999"/>
    <x v="0"/>
    <x v="0"/>
    <x v="0"/>
    <n v="0.56000000000000005"/>
    <m/>
    <m/>
    <x v="62"/>
    <x v="36"/>
    <m/>
  </r>
  <r>
    <x v="431"/>
    <x v="533"/>
    <x v="14"/>
    <x v="0"/>
    <x v="0"/>
    <x v="0"/>
    <x v="17"/>
    <x v="1"/>
    <x v="515"/>
    <n v="8.8000000000000007"/>
    <x v="137"/>
    <x v="0"/>
    <x v="0"/>
    <n v="5.3199999999999997E-2"/>
    <m/>
    <m/>
    <x v="34"/>
    <x v="6"/>
    <m/>
  </r>
  <r>
    <x v="431"/>
    <x v="534"/>
    <x v="14"/>
    <x v="0"/>
    <x v="0"/>
    <x v="0"/>
    <x v="17"/>
    <x v="1"/>
    <x v="516"/>
    <n v="8.8000000000000007"/>
    <x v="137"/>
    <x v="0"/>
    <x v="0"/>
    <n v="7.5999999999999998E-2"/>
    <m/>
    <m/>
    <x v="34"/>
    <x v="6"/>
    <m/>
  </r>
  <r>
    <x v="432"/>
    <x v="535"/>
    <x v="0"/>
    <x v="0"/>
    <x v="0"/>
    <x v="0"/>
    <x v="6"/>
    <x v="0"/>
    <x v="517"/>
    <n v="72.010000000000005"/>
    <x v="0"/>
    <x v="0"/>
    <x v="0"/>
    <n v="2.0960000000000001"/>
    <m/>
    <m/>
    <x v="124"/>
    <x v="211"/>
    <m/>
  </r>
  <r>
    <x v="433"/>
    <x v="536"/>
    <x v="22"/>
    <x v="0"/>
    <x v="0"/>
    <x v="0"/>
    <x v="6"/>
    <x v="0"/>
    <x v="518"/>
    <n v="37.71"/>
    <x v="0"/>
    <x v="0"/>
    <x v="0"/>
    <n v="3.98"/>
    <m/>
    <m/>
    <x v="49"/>
    <x v="129"/>
    <m/>
  </r>
  <r>
    <x v="434"/>
    <x v="537"/>
    <x v="3"/>
    <x v="0"/>
    <x v="0"/>
    <x v="0"/>
    <x v="13"/>
    <x v="0"/>
    <x v="519"/>
    <n v="50.75"/>
    <x v="0"/>
    <x v="0"/>
    <x v="0"/>
    <n v="3.18"/>
    <m/>
    <m/>
    <x v="106"/>
    <x v="212"/>
    <m/>
  </r>
  <r>
    <x v="435"/>
    <x v="538"/>
    <x v="15"/>
    <x v="0"/>
    <x v="0"/>
    <x v="0"/>
    <x v="17"/>
    <x v="0"/>
    <x v="520"/>
    <n v="39.979999999999997"/>
    <x v="32"/>
    <x v="0"/>
    <x v="0"/>
    <n v="6.9"/>
    <m/>
    <m/>
    <x v="51"/>
    <x v="98"/>
    <m/>
  </r>
  <r>
    <x v="436"/>
    <x v="539"/>
    <x v="0"/>
    <x v="0"/>
    <x v="0"/>
    <x v="0"/>
    <x v="11"/>
    <x v="0"/>
    <x v="521"/>
    <n v="34.200000000000003"/>
    <x v="138"/>
    <x v="0"/>
    <x v="0"/>
    <n v="2.58"/>
    <m/>
    <m/>
    <x v="114"/>
    <x v="97"/>
    <m/>
  </r>
  <r>
    <x v="437"/>
    <x v="540"/>
    <x v="15"/>
    <x v="0"/>
    <x v="0"/>
    <x v="0"/>
    <x v="12"/>
    <x v="0"/>
    <x v="522"/>
    <n v="33"/>
    <x v="107"/>
    <x v="0"/>
    <x v="0"/>
    <n v="0.79"/>
    <m/>
    <m/>
    <x v="129"/>
    <x v="6"/>
    <m/>
  </r>
  <r>
    <x v="438"/>
    <x v="541"/>
    <x v="23"/>
    <x v="0"/>
    <x v="0"/>
    <x v="0"/>
    <x v="17"/>
    <x v="0"/>
    <x v="523"/>
    <n v="22.54"/>
    <x v="0"/>
    <x v="0"/>
    <x v="0"/>
    <n v="1.37"/>
    <m/>
    <m/>
    <x v="169"/>
    <x v="6"/>
    <m/>
  </r>
  <r>
    <x v="439"/>
    <x v="542"/>
    <x v="20"/>
    <x v="0"/>
    <x v="0"/>
    <x v="0"/>
    <x v="17"/>
    <x v="1"/>
    <x v="524"/>
    <n v="43.8"/>
    <x v="0"/>
    <x v="0"/>
    <x v="0"/>
    <n v="3.6700000000000003E-2"/>
    <m/>
    <m/>
    <x v="59"/>
    <x v="6"/>
    <m/>
  </r>
  <r>
    <x v="439"/>
    <x v="543"/>
    <x v="20"/>
    <x v="0"/>
    <x v="0"/>
    <x v="0"/>
    <x v="17"/>
    <x v="1"/>
    <x v="525"/>
    <n v="43.8"/>
    <x v="0"/>
    <x v="0"/>
    <x v="0"/>
    <n v="4.5400000000000003E-2"/>
    <m/>
    <m/>
    <x v="59"/>
    <x v="6"/>
    <m/>
  </r>
  <r>
    <x v="440"/>
    <x v="544"/>
    <x v="6"/>
    <x v="0"/>
    <x v="0"/>
    <x v="0"/>
    <x v="6"/>
    <x v="1"/>
    <x v="526"/>
    <n v="72.739999999999995"/>
    <x v="0"/>
    <x v="0"/>
    <x v="0"/>
    <n v="1.599"/>
    <m/>
    <m/>
    <x v="139"/>
    <x v="213"/>
    <m/>
  </r>
  <r>
    <x v="440"/>
    <x v="545"/>
    <x v="6"/>
    <x v="0"/>
    <x v="0"/>
    <x v="0"/>
    <x v="6"/>
    <x v="1"/>
    <x v="527"/>
    <n v="72.739999999999995"/>
    <x v="0"/>
    <x v="0"/>
    <x v="0"/>
    <n v="1.214"/>
    <m/>
    <m/>
    <x v="139"/>
    <x v="213"/>
    <m/>
  </r>
  <r>
    <x v="441"/>
    <x v="546"/>
    <x v="9"/>
    <x v="0"/>
    <x v="0"/>
    <x v="0"/>
    <x v="17"/>
    <x v="0"/>
    <x v="528"/>
    <n v="45.5"/>
    <x v="0"/>
    <x v="181"/>
    <x v="0"/>
    <n v="17.899999999999999"/>
    <m/>
    <m/>
    <x v="46"/>
    <x v="171"/>
    <m/>
  </r>
  <r>
    <x v="442"/>
    <x v="547"/>
    <x v="20"/>
    <x v="0"/>
    <x v="0"/>
    <x v="0"/>
    <x v="3"/>
    <x v="1"/>
    <x v="529"/>
    <n v="189.56"/>
    <x v="139"/>
    <x v="182"/>
    <x v="0"/>
    <n v="1.996"/>
    <m/>
    <m/>
    <x v="147"/>
    <x v="214"/>
    <m/>
  </r>
  <r>
    <x v="442"/>
    <x v="548"/>
    <x v="20"/>
    <x v="0"/>
    <x v="0"/>
    <x v="0"/>
    <x v="3"/>
    <x v="1"/>
    <x v="530"/>
    <n v="189.56"/>
    <x v="139"/>
    <x v="183"/>
    <x v="0"/>
    <n v="1.8640000000000001"/>
    <m/>
    <m/>
    <x v="147"/>
    <x v="214"/>
    <m/>
  </r>
  <r>
    <x v="443"/>
    <x v="549"/>
    <x v="20"/>
    <x v="0"/>
    <x v="1"/>
    <x v="3"/>
    <x v="24"/>
    <x v="0"/>
    <x v="531"/>
    <n v="147.19999999999999"/>
    <x v="140"/>
    <x v="184"/>
    <x v="160"/>
    <n v="1.0169999999999999"/>
    <n v="1.5449999999999999"/>
    <n v="0.34300000000000003"/>
    <x v="170"/>
    <x v="215"/>
    <n v="0.14000000000000001"/>
  </r>
  <r>
    <x v="444"/>
    <x v="550"/>
    <x v="11"/>
    <x v="0"/>
    <x v="0"/>
    <x v="1"/>
    <x v="26"/>
    <x v="0"/>
    <x v="6"/>
    <n v="39.29"/>
    <x v="141"/>
    <x v="185"/>
    <x v="0"/>
    <n v="24.09"/>
    <m/>
    <m/>
    <x v="29"/>
    <x v="6"/>
    <m/>
  </r>
  <r>
    <x v="445"/>
    <x v="551"/>
    <x v="5"/>
    <x v="0"/>
    <x v="0"/>
    <x v="0"/>
    <x v="3"/>
    <x v="0"/>
    <x v="532"/>
    <n v="72.790000000000006"/>
    <x v="142"/>
    <x v="0"/>
    <x v="0"/>
    <n v="7.8"/>
    <m/>
    <m/>
    <x v="20"/>
    <x v="216"/>
    <m/>
  </r>
  <r>
    <x v="446"/>
    <x v="552"/>
    <x v="3"/>
    <x v="0"/>
    <x v="0"/>
    <x v="0"/>
    <x v="13"/>
    <x v="0"/>
    <x v="533"/>
    <n v="85.9"/>
    <x v="0"/>
    <x v="0"/>
    <x v="0"/>
    <n v="6.29"/>
    <m/>
    <m/>
    <x v="16"/>
    <x v="43"/>
    <m/>
  </r>
  <r>
    <x v="447"/>
    <x v="553"/>
    <x v="6"/>
    <x v="0"/>
    <x v="0"/>
    <x v="0"/>
    <x v="17"/>
    <x v="1"/>
    <x v="534"/>
    <n v="47.86"/>
    <x v="0"/>
    <x v="0"/>
    <x v="0"/>
    <n v="3.46"/>
    <m/>
    <m/>
    <x v="18"/>
    <x v="95"/>
    <m/>
  </r>
  <r>
    <x v="447"/>
    <x v="554"/>
    <x v="8"/>
    <x v="0"/>
    <x v="0"/>
    <x v="0"/>
    <x v="17"/>
    <x v="1"/>
    <x v="535"/>
    <n v="47.86"/>
    <x v="0"/>
    <x v="0"/>
    <x v="0"/>
    <n v="5.5300000000000002E-2"/>
    <m/>
    <m/>
    <x v="18"/>
    <x v="95"/>
    <m/>
  </r>
  <r>
    <x v="448"/>
    <x v="555"/>
    <x v="14"/>
    <x v="0"/>
    <x v="0"/>
    <x v="0"/>
    <x v="17"/>
    <x v="0"/>
    <x v="536"/>
    <n v="28.74"/>
    <x v="0"/>
    <x v="0"/>
    <x v="0"/>
    <n v="0.23"/>
    <m/>
    <m/>
    <x v="101"/>
    <x v="202"/>
    <m/>
  </r>
  <r>
    <x v="449"/>
    <x v="556"/>
    <x v="2"/>
    <x v="0"/>
    <x v="0"/>
    <x v="0"/>
    <x v="30"/>
    <x v="0"/>
    <x v="537"/>
    <n v="92.74"/>
    <x v="143"/>
    <x v="0"/>
    <x v="0"/>
    <n v="1.37"/>
    <m/>
    <m/>
    <x v="84"/>
    <x v="216"/>
    <m/>
  </r>
  <r>
    <x v="450"/>
    <x v="557"/>
    <x v="20"/>
    <x v="0"/>
    <x v="0"/>
    <x v="0"/>
    <x v="30"/>
    <x v="0"/>
    <x v="538"/>
    <n v="75.400000000000006"/>
    <x v="0"/>
    <x v="0"/>
    <x v="0"/>
    <n v="0.1076"/>
    <m/>
    <m/>
    <x v="116"/>
    <x v="6"/>
    <m/>
  </r>
  <r>
    <x v="451"/>
    <x v="558"/>
    <x v="1"/>
    <x v="0"/>
    <x v="0"/>
    <x v="0"/>
    <x v="3"/>
    <x v="0"/>
    <x v="539"/>
    <n v="147.78"/>
    <x v="0"/>
    <x v="0"/>
    <x v="0"/>
    <n v="2.036"/>
    <m/>
    <m/>
    <x v="105"/>
    <x v="217"/>
    <m/>
  </r>
  <r>
    <x v="452"/>
    <x v="559"/>
    <x v="20"/>
    <x v="0"/>
    <x v="0"/>
    <x v="0"/>
    <x v="17"/>
    <x v="4"/>
    <x v="540"/>
    <n v="35.369999999999997"/>
    <x v="0"/>
    <x v="0"/>
    <x v="0"/>
    <n v="6.1000000000000004E-3"/>
    <m/>
    <m/>
    <x v="37"/>
    <x v="6"/>
    <m/>
  </r>
  <r>
    <x v="452"/>
    <x v="560"/>
    <x v="20"/>
    <x v="0"/>
    <x v="0"/>
    <x v="0"/>
    <x v="17"/>
    <x v="4"/>
    <x v="541"/>
    <n v="35.369999999999997"/>
    <x v="0"/>
    <x v="0"/>
    <x v="0"/>
    <n v="1.6799999999999999E-2"/>
    <m/>
    <m/>
    <x v="37"/>
    <x v="6"/>
    <m/>
  </r>
  <r>
    <x v="452"/>
    <x v="561"/>
    <x v="20"/>
    <x v="0"/>
    <x v="0"/>
    <x v="0"/>
    <x v="17"/>
    <x v="4"/>
    <x v="542"/>
    <n v="35.369999999999997"/>
    <x v="0"/>
    <x v="0"/>
    <x v="0"/>
    <n v="3.3399999999999999E-2"/>
    <m/>
    <m/>
    <x v="37"/>
    <x v="6"/>
    <m/>
  </r>
  <r>
    <x v="452"/>
    <x v="562"/>
    <x v="20"/>
    <x v="0"/>
    <x v="0"/>
    <x v="0"/>
    <x v="17"/>
    <x v="4"/>
    <x v="543"/>
    <n v="35.369999999999997"/>
    <x v="0"/>
    <x v="0"/>
    <x v="0"/>
    <n v="4.4200000000000003E-2"/>
    <m/>
    <m/>
    <x v="37"/>
    <x v="6"/>
    <m/>
  </r>
  <r>
    <x v="453"/>
    <x v="563"/>
    <x v="11"/>
    <x v="0"/>
    <x v="0"/>
    <x v="0"/>
    <x v="13"/>
    <x v="0"/>
    <x v="544"/>
    <n v="35.5"/>
    <x v="0"/>
    <x v="0"/>
    <x v="0"/>
    <n v="1.4878"/>
    <m/>
    <m/>
    <x v="154"/>
    <x v="37"/>
    <m/>
  </r>
  <r>
    <x v="454"/>
    <x v="564"/>
    <x v="15"/>
    <x v="0"/>
    <x v="0"/>
    <x v="0"/>
    <x v="3"/>
    <x v="1"/>
    <x v="545"/>
    <n v="59.03"/>
    <x v="144"/>
    <x v="0"/>
    <x v="0"/>
    <n v="0.56000000000000005"/>
    <m/>
    <m/>
    <x v="52"/>
    <x v="111"/>
    <m/>
  </r>
  <r>
    <x v="454"/>
    <x v="565"/>
    <x v="15"/>
    <x v="0"/>
    <x v="0"/>
    <x v="0"/>
    <x v="3"/>
    <x v="1"/>
    <x v="546"/>
    <n v="59.03"/>
    <x v="144"/>
    <x v="0"/>
    <x v="0"/>
    <n v="0.73"/>
    <m/>
    <m/>
    <x v="52"/>
    <x v="111"/>
    <m/>
  </r>
  <r>
    <x v="455"/>
    <x v="566"/>
    <x v="14"/>
    <x v="0"/>
    <x v="0"/>
    <x v="0"/>
    <x v="17"/>
    <x v="4"/>
    <x v="547"/>
    <n v="6"/>
    <x v="145"/>
    <x v="0"/>
    <x v="0"/>
    <n v="8.5000000000000006E-3"/>
    <m/>
    <m/>
    <x v="37"/>
    <x v="6"/>
    <m/>
  </r>
  <r>
    <x v="455"/>
    <x v="567"/>
    <x v="14"/>
    <x v="0"/>
    <x v="0"/>
    <x v="0"/>
    <x v="17"/>
    <x v="4"/>
    <x v="548"/>
    <n v="6"/>
    <x v="145"/>
    <x v="0"/>
    <x v="0"/>
    <n v="7.6E-3"/>
    <m/>
    <m/>
    <x v="37"/>
    <x v="6"/>
    <m/>
  </r>
  <r>
    <x v="455"/>
    <x v="568"/>
    <x v="14"/>
    <x v="0"/>
    <x v="0"/>
    <x v="0"/>
    <x v="17"/>
    <x v="4"/>
    <x v="549"/>
    <n v="6"/>
    <x v="145"/>
    <x v="0"/>
    <x v="0"/>
    <n v="1.4999999999999999E-2"/>
    <m/>
    <m/>
    <x v="37"/>
    <x v="6"/>
    <m/>
  </r>
  <r>
    <x v="455"/>
    <x v="569"/>
    <x v="17"/>
    <x v="0"/>
    <x v="0"/>
    <x v="0"/>
    <x v="17"/>
    <x v="4"/>
    <x v="550"/>
    <n v="6"/>
    <x v="145"/>
    <x v="0"/>
    <x v="0"/>
    <n v="1.5010000000000001E-2"/>
    <m/>
    <m/>
    <x v="37"/>
    <x v="6"/>
    <m/>
  </r>
  <r>
    <x v="456"/>
    <x v="570"/>
    <x v="9"/>
    <x v="0"/>
    <x v="0"/>
    <x v="0"/>
    <x v="13"/>
    <x v="0"/>
    <x v="551"/>
    <n v="44"/>
    <x v="0"/>
    <x v="0"/>
    <x v="0"/>
    <n v="0.52"/>
    <m/>
    <m/>
    <x v="47"/>
    <x v="6"/>
    <m/>
  </r>
  <r>
    <x v="457"/>
    <x v="571"/>
    <x v="15"/>
    <x v="0"/>
    <x v="0"/>
    <x v="0"/>
    <x v="14"/>
    <x v="0"/>
    <x v="552"/>
    <n v="314.48"/>
    <x v="24"/>
    <x v="0"/>
    <x v="0"/>
    <n v="9.9"/>
    <m/>
    <m/>
    <x v="171"/>
    <x v="218"/>
    <m/>
  </r>
  <r>
    <x v="458"/>
    <x v="572"/>
    <x v="2"/>
    <x v="0"/>
    <x v="0"/>
    <x v="0"/>
    <x v="17"/>
    <x v="0"/>
    <x v="553"/>
    <n v="48.9"/>
    <x v="0"/>
    <x v="0"/>
    <x v="0"/>
    <n v="1.25"/>
    <m/>
    <m/>
    <x v="81"/>
    <x v="153"/>
    <m/>
  </r>
  <r>
    <x v="459"/>
    <x v="573"/>
    <x v="17"/>
    <x v="0"/>
    <x v="0"/>
    <x v="0"/>
    <x v="4"/>
    <x v="0"/>
    <x v="554"/>
    <n v="64.680000000000007"/>
    <x v="0"/>
    <x v="0"/>
    <x v="0"/>
    <n v="1.4"/>
    <m/>
    <m/>
    <x v="119"/>
    <x v="219"/>
    <m/>
  </r>
  <r>
    <x v="460"/>
    <x v="574"/>
    <x v="21"/>
    <x v="0"/>
    <x v="0"/>
    <x v="0"/>
    <x v="3"/>
    <x v="0"/>
    <x v="555"/>
    <n v="48.37"/>
    <x v="0"/>
    <x v="186"/>
    <x v="161"/>
    <n v="0.73"/>
    <n v="1.39"/>
    <m/>
    <x v="16"/>
    <x v="43"/>
    <n v="1.04"/>
  </r>
  <r>
    <x v="461"/>
    <x v="575"/>
    <x v="20"/>
    <x v="0"/>
    <x v="0"/>
    <x v="0"/>
    <x v="30"/>
    <x v="0"/>
    <x v="556"/>
    <n v="42.25"/>
    <x v="0"/>
    <x v="0"/>
    <x v="0"/>
    <n v="0.48170000000000002"/>
    <m/>
    <m/>
    <x v="48"/>
    <x v="6"/>
    <m/>
  </r>
  <r>
    <x v="462"/>
    <x v="576"/>
    <x v="22"/>
    <x v="0"/>
    <x v="0"/>
    <x v="0"/>
    <x v="3"/>
    <x v="0"/>
    <x v="557"/>
    <n v="21.31"/>
    <x v="0"/>
    <x v="0"/>
    <x v="0"/>
    <n v="1.29"/>
    <m/>
    <m/>
    <x v="53"/>
    <x v="88"/>
    <m/>
  </r>
  <r>
    <x v="463"/>
    <x v="577"/>
    <x v="0"/>
    <x v="0"/>
    <x v="0"/>
    <x v="0"/>
    <x v="6"/>
    <x v="0"/>
    <x v="558"/>
    <n v="54.28"/>
    <x v="0"/>
    <x v="0"/>
    <x v="0"/>
    <n v="1.8080000000000001"/>
    <m/>
    <m/>
    <x v="172"/>
    <x v="213"/>
    <m/>
  </r>
  <r>
    <x v="464"/>
    <x v="578"/>
    <x v="5"/>
    <x v="0"/>
    <x v="0"/>
    <x v="0"/>
    <x v="3"/>
    <x v="0"/>
    <x v="559"/>
    <n v="64.760000000000005"/>
    <x v="0"/>
    <x v="0"/>
    <x v="0"/>
    <n v="0.67"/>
    <m/>
    <m/>
    <x v="18"/>
    <x v="4"/>
    <m/>
  </r>
  <r>
    <x v="465"/>
    <x v="579"/>
    <x v="20"/>
    <x v="0"/>
    <x v="0"/>
    <x v="0"/>
    <x v="30"/>
    <x v="0"/>
    <x v="560"/>
    <n v="13"/>
    <x v="0"/>
    <x v="0"/>
    <x v="0"/>
    <n v="4.0899999999999999E-2"/>
    <m/>
    <m/>
    <x v="91"/>
    <x v="6"/>
    <m/>
  </r>
  <r>
    <x v="466"/>
    <x v="580"/>
    <x v="16"/>
    <x v="0"/>
    <x v="0"/>
    <x v="0"/>
    <x v="17"/>
    <x v="0"/>
    <x v="561"/>
    <n v="54.32"/>
    <x v="0"/>
    <x v="0"/>
    <x v="0"/>
    <n v="0.51"/>
    <m/>
    <m/>
    <x v="105"/>
    <x v="220"/>
    <m/>
  </r>
  <r>
    <x v="467"/>
    <x v="581"/>
    <x v="1"/>
    <x v="0"/>
    <x v="0"/>
    <x v="0"/>
    <x v="3"/>
    <x v="0"/>
    <x v="562"/>
    <n v="111.51"/>
    <x v="0"/>
    <x v="0"/>
    <x v="0"/>
    <n v="2.39"/>
    <m/>
    <m/>
    <x v="121"/>
    <x v="221"/>
    <m/>
  </r>
  <r>
    <x v="468"/>
    <x v="582"/>
    <x v="12"/>
    <x v="0"/>
    <x v="0"/>
    <x v="0"/>
    <x v="17"/>
    <x v="0"/>
    <x v="563"/>
    <n v="40.92"/>
    <x v="0"/>
    <x v="0"/>
    <x v="0"/>
    <n v="5.58"/>
    <m/>
    <m/>
    <x v="173"/>
    <x v="195"/>
    <m/>
  </r>
  <r>
    <x v="469"/>
    <x v="583"/>
    <x v="20"/>
    <x v="0"/>
    <x v="0"/>
    <x v="0"/>
    <x v="30"/>
    <x v="0"/>
    <x v="564"/>
    <n v="29.16"/>
    <x v="0"/>
    <x v="0"/>
    <x v="0"/>
    <n v="0.20734"/>
    <m/>
    <m/>
    <x v="45"/>
    <x v="6"/>
    <m/>
  </r>
  <r>
    <x v="470"/>
    <x v="584"/>
    <x v="10"/>
    <x v="0"/>
    <x v="0"/>
    <x v="0"/>
    <x v="11"/>
    <x v="0"/>
    <x v="565"/>
    <n v="101.66"/>
    <x v="146"/>
    <x v="0"/>
    <x v="0"/>
    <n v="20.3"/>
    <m/>
    <m/>
    <x v="106"/>
    <x v="122"/>
    <m/>
  </r>
  <r>
    <x v="471"/>
    <x v="585"/>
    <x v="5"/>
    <x v="0"/>
    <x v="0"/>
    <x v="0"/>
    <x v="17"/>
    <x v="4"/>
    <x v="566"/>
    <n v="21.61"/>
    <x v="0"/>
    <x v="0"/>
    <x v="0"/>
    <n v="5.7200000000000003E-3"/>
    <m/>
    <m/>
    <x v="96"/>
    <x v="142"/>
    <m/>
  </r>
  <r>
    <x v="471"/>
    <x v="586"/>
    <x v="5"/>
    <x v="0"/>
    <x v="0"/>
    <x v="0"/>
    <x v="17"/>
    <x v="4"/>
    <x v="567"/>
    <n v="21.61"/>
    <x v="0"/>
    <x v="0"/>
    <x v="0"/>
    <n v="5.4099999999999999E-3"/>
    <m/>
    <m/>
    <x v="96"/>
    <x v="142"/>
    <m/>
  </r>
  <r>
    <x v="471"/>
    <x v="587"/>
    <x v="5"/>
    <x v="0"/>
    <x v="0"/>
    <x v="0"/>
    <x v="17"/>
    <x v="4"/>
    <x v="568"/>
    <n v="21.61"/>
    <x v="0"/>
    <x v="0"/>
    <x v="0"/>
    <n v="8.8100000000000001E-3"/>
    <m/>
    <m/>
    <x v="96"/>
    <x v="142"/>
    <m/>
  </r>
  <r>
    <x v="471"/>
    <x v="588"/>
    <x v="5"/>
    <x v="0"/>
    <x v="0"/>
    <x v="0"/>
    <x v="17"/>
    <x v="4"/>
    <x v="569"/>
    <n v="21.61"/>
    <x v="0"/>
    <x v="0"/>
    <x v="0"/>
    <n v="9.0500000000000008E-3"/>
    <m/>
    <m/>
    <x v="96"/>
    <x v="142"/>
    <m/>
  </r>
  <r>
    <x v="472"/>
    <x v="589"/>
    <x v="1"/>
    <x v="0"/>
    <x v="0"/>
    <x v="0"/>
    <x v="17"/>
    <x v="1"/>
    <x v="570"/>
    <n v="40.590000000000003"/>
    <x v="0"/>
    <x v="0"/>
    <x v="0"/>
    <n v="0.02"/>
    <m/>
    <m/>
    <x v="150"/>
    <x v="131"/>
    <m/>
  </r>
  <r>
    <x v="472"/>
    <x v="590"/>
    <x v="1"/>
    <x v="0"/>
    <x v="0"/>
    <x v="0"/>
    <x v="17"/>
    <x v="1"/>
    <x v="571"/>
    <n v="40.590000000000003"/>
    <x v="0"/>
    <x v="0"/>
    <x v="0"/>
    <n v="0.33"/>
    <m/>
    <m/>
    <x v="150"/>
    <x v="131"/>
    <m/>
  </r>
  <r>
    <x v="473"/>
    <x v="591"/>
    <x v="3"/>
    <x v="0"/>
    <x v="0"/>
    <x v="0"/>
    <x v="13"/>
    <x v="0"/>
    <x v="572"/>
    <n v="33.01"/>
    <x v="23"/>
    <x v="0"/>
    <x v="0"/>
    <n v="1.26"/>
    <m/>
    <m/>
    <x v="123"/>
    <x v="6"/>
    <m/>
  </r>
  <r>
    <x v="474"/>
    <x v="592"/>
    <x v="3"/>
    <x v="0"/>
    <x v="0"/>
    <x v="0"/>
    <x v="13"/>
    <x v="0"/>
    <x v="573"/>
    <n v="26.71"/>
    <x v="147"/>
    <x v="0"/>
    <x v="0"/>
    <n v="1.82"/>
    <m/>
    <m/>
    <x v="104"/>
    <x v="6"/>
    <m/>
  </r>
  <r>
    <x v="475"/>
    <x v="593"/>
    <x v="8"/>
    <x v="0"/>
    <x v="0"/>
    <x v="0"/>
    <x v="12"/>
    <x v="0"/>
    <x v="574"/>
    <n v="380.33"/>
    <x v="0"/>
    <x v="0"/>
    <x v="0"/>
    <n v="1.05"/>
    <m/>
    <m/>
    <x v="94"/>
    <x v="222"/>
    <m/>
  </r>
  <r>
    <x v="476"/>
    <x v="594"/>
    <x v="23"/>
    <x v="0"/>
    <x v="0"/>
    <x v="0"/>
    <x v="17"/>
    <x v="0"/>
    <x v="575"/>
    <n v="36.700000000000003"/>
    <x v="0"/>
    <x v="0"/>
    <x v="0"/>
    <n v="0.56999999999999995"/>
    <m/>
    <m/>
    <x v="36"/>
    <x v="3"/>
    <m/>
  </r>
  <r>
    <x v="477"/>
    <x v="595"/>
    <x v="20"/>
    <x v="0"/>
    <x v="0"/>
    <x v="0"/>
    <x v="17"/>
    <x v="1"/>
    <x v="576"/>
    <n v="32.380000000000003"/>
    <x v="0"/>
    <x v="0"/>
    <x v="0"/>
    <n v="2.5899999999999999E-2"/>
    <m/>
    <m/>
    <x v="34"/>
    <x v="6"/>
    <m/>
  </r>
  <r>
    <x v="477"/>
    <x v="596"/>
    <x v="20"/>
    <x v="0"/>
    <x v="0"/>
    <x v="0"/>
    <x v="17"/>
    <x v="1"/>
    <x v="577"/>
    <n v="32.380000000000003"/>
    <x v="0"/>
    <x v="0"/>
    <x v="0"/>
    <n v="5.4699999999999999E-2"/>
    <m/>
    <m/>
    <x v="34"/>
    <x v="6"/>
    <m/>
  </r>
  <r>
    <x v="478"/>
    <x v="597"/>
    <x v="22"/>
    <x v="0"/>
    <x v="0"/>
    <x v="0"/>
    <x v="6"/>
    <x v="1"/>
    <x v="578"/>
    <n v="20.07"/>
    <x v="0"/>
    <x v="0"/>
    <x v="0"/>
    <n v="1.3"/>
    <m/>
    <m/>
    <x v="57"/>
    <x v="37"/>
    <m/>
  </r>
  <r>
    <x v="478"/>
    <x v="598"/>
    <x v="16"/>
    <x v="0"/>
    <x v="0"/>
    <x v="0"/>
    <x v="6"/>
    <x v="1"/>
    <x v="579"/>
    <n v="20.07"/>
    <x v="0"/>
    <x v="0"/>
    <x v="0"/>
    <n v="2.6"/>
    <m/>
    <m/>
    <x v="57"/>
    <x v="37"/>
    <m/>
  </r>
  <r>
    <x v="93"/>
    <x v="599"/>
    <x v="20"/>
    <x v="0"/>
    <x v="1"/>
    <x v="3"/>
    <x v="24"/>
    <x v="1"/>
    <x v="580"/>
    <n v="16.329999999999998"/>
    <x v="44"/>
    <x v="187"/>
    <x v="162"/>
    <n v="1.1639999999999999E-2"/>
    <n v="0.08"/>
    <n v="31.93"/>
    <x v="69"/>
    <x v="67"/>
    <n v="3.03"/>
  </r>
  <r>
    <x v="479"/>
    <x v="600"/>
    <x v="14"/>
    <x v="0"/>
    <x v="0"/>
    <x v="0"/>
    <x v="17"/>
    <x v="0"/>
    <x v="581"/>
    <n v="54.8"/>
    <x v="148"/>
    <x v="0"/>
    <x v="0"/>
    <n v="13"/>
    <m/>
    <m/>
    <x v="102"/>
    <x v="223"/>
    <m/>
  </r>
  <r>
    <x v="480"/>
    <x v="601"/>
    <x v="5"/>
    <x v="0"/>
    <x v="0"/>
    <x v="0"/>
    <x v="3"/>
    <x v="0"/>
    <x v="582"/>
    <n v="65.900000000000006"/>
    <x v="149"/>
    <x v="0"/>
    <x v="0"/>
    <n v="21.6"/>
    <m/>
    <m/>
    <x v="18"/>
    <x v="42"/>
    <m/>
  </r>
  <r>
    <x v="481"/>
    <x v="602"/>
    <x v="6"/>
    <x v="0"/>
    <x v="0"/>
    <x v="0"/>
    <x v="3"/>
    <x v="0"/>
    <x v="583"/>
    <n v="28.85"/>
    <x v="0"/>
    <x v="0"/>
    <x v="0"/>
    <n v="0.2"/>
    <m/>
    <m/>
    <x v="99"/>
    <x v="131"/>
    <m/>
  </r>
  <r>
    <x v="482"/>
    <x v="603"/>
    <x v="15"/>
    <x v="0"/>
    <x v="0"/>
    <x v="0"/>
    <x v="17"/>
    <x v="0"/>
    <x v="584"/>
    <n v="29.2"/>
    <x v="90"/>
    <x v="0"/>
    <x v="0"/>
    <n v="10.39"/>
    <m/>
    <m/>
    <x v="52"/>
    <x v="224"/>
    <m/>
  </r>
  <r>
    <x v="483"/>
    <x v="604"/>
    <x v="8"/>
    <x v="0"/>
    <x v="0"/>
    <x v="0"/>
    <x v="15"/>
    <x v="5"/>
    <x v="585"/>
    <n v="6.55"/>
    <x v="34"/>
    <x v="188"/>
    <x v="163"/>
    <n v="1.491E-2"/>
    <n v="0.14299999999999999"/>
    <n v="6.34"/>
    <x v="94"/>
    <x v="202"/>
    <n v="2.4380000000000002"/>
  </r>
  <r>
    <x v="483"/>
    <x v="605"/>
    <x v="8"/>
    <x v="0"/>
    <x v="0"/>
    <x v="0"/>
    <x v="15"/>
    <x v="5"/>
    <x v="586"/>
    <n v="6.55"/>
    <x v="34"/>
    <x v="189"/>
    <x v="164"/>
    <n v="1.372E-2"/>
    <n v="0.13500000000000001"/>
    <n v="6.95"/>
    <x v="94"/>
    <x v="202"/>
    <n v="2.4380000000000002"/>
  </r>
  <r>
    <x v="483"/>
    <x v="606"/>
    <x v="8"/>
    <x v="0"/>
    <x v="0"/>
    <x v="0"/>
    <x v="15"/>
    <x v="5"/>
    <x v="587"/>
    <n v="6.55"/>
    <x v="34"/>
    <x v="190"/>
    <x v="165"/>
    <n v="5.0880000000000002E-2"/>
    <n v="0.14399999999999999"/>
    <m/>
    <x v="94"/>
    <x v="202"/>
    <n v="2.4380000000000002"/>
  </r>
  <r>
    <x v="483"/>
    <x v="607"/>
    <x v="8"/>
    <x v="0"/>
    <x v="0"/>
    <x v="0"/>
    <x v="4"/>
    <x v="5"/>
    <x v="588"/>
    <n v="6.55"/>
    <x v="34"/>
    <x v="191"/>
    <x v="166"/>
    <n v="2.2970000000000001E-2"/>
    <n v="0.11700000000000001"/>
    <m/>
    <x v="94"/>
    <x v="202"/>
    <n v="2.4380000000000002"/>
  </r>
  <r>
    <x v="483"/>
    <x v="608"/>
    <x v="8"/>
    <x v="0"/>
    <x v="0"/>
    <x v="0"/>
    <x v="4"/>
    <x v="5"/>
    <x v="589"/>
    <n v="6.55"/>
    <x v="34"/>
    <x v="0"/>
    <x v="0"/>
    <n v="3.4000000000000002E-2"/>
    <m/>
    <m/>
    <x v="94"/>
    <x v="202"/>
    <n v="2.4380000000000002"/>
  </r>
  <r>
    <x v="483"/>
    <x v="609"/>
    <x v="8"/>
    <x v="0"/>
    <x v="0"/>
    <x v="0"/>
    <x v="15"/>
    <x v="5"/>
    <x v="590"/>
    <n v="6.55"/>
    <x v="34"/>
    <x v="0"/>
    <x v="0"/>
    <n v="0.34"/>
    <m/>
    <m/>
    <x v="94"/>
    <x v="202"/>
    <n v="2.4380000000000002"/>
  </r>
  <r>
    <x v="484"/>
    <x v="610"/>
    <x v="15"/>
    <x v="0"/>
    <x v="0"/>
    <x v="0"/>
    <x v="12"/>
    <x v="0"/>
    <x v="591"/>
    <n v="169.78"/>
    <x v="0"/>
    <x v="0"/>
    <x v="0"/>
    <n v="1"/>
    <m/>
    <m/>
    <x v="57"/>
    <x v="225"/>
    <m/>
  </r>
  <r>
    <x v="485"/>
    <x v="611"/>
    <x v="5"/>
    <x v="0"/>
    <x v="1"/>
    <x v="3"/>
    <x v="24"/>
    <x v="0"/>
    <x v="592"/>
    <n v="94.43"/>
    <x v="113"/>
    <x v="192"/>
    <x v="167"/>
    <n v="5.2229999999999999E-2"/>
    <n v="0.42"/>
    <n v="0.87"/>
    <x v="127"/>
    <x v="171"/>
    <m/>
  </r>
  <r>
    <x v="486"/>
    <x v="612"/>
    <x v="0"/>
    <x v="0"/>
    <x v="0"/>
    <x v="0"/>
    <x v="17"/>
    <x v="1"/>
    <x v="593"/>
    <n v="77.900000000000006"/>
    <x v="150"/>
    <x v="0"/>
    <x v="0"/>
    <n v="6.6000000000000003E-2"/>
    <m/>
    <m/>
    <x v="112"/>
    <x v="49"/>
    <m/>
  </r>
  <r>
    <x v="486"/>
    <x v="613"/>
    <x v="10"/>
    <x v="0"/>
    <x v="0"/>
    <x v="0"/>
    <x v="32"/>
    <x v="1"/>
    <x v="594"/>
    <n v="77.900000000000006"/>
    <x v="150"/>
    <x v="0"/>
    <x v="0"/>
    <n v="14.6"/>
    <m/>
    <m/>
    <x v="112"/>
    <x v="49"/>
    <m/>
  </r>
  <r>
    <x v="487"/>
    <x v="614"/>
    <x v="15"/>
    <x v="0"/>
    <x v="0"/>
    <x v="0"/>
    <x v="14"/>
    <x v="0"/>
    <x v="595"/>
    <n v="327.41000000000003"/>
    <x v="0"/>
    <x v="0"/>
    <x v="0"/>
    <n v="16.64"/>
    <m/>
    <m/>
    <x v="2"/>
    <x v="226"/>
    <m/>
  </r>
  <r>
    <x v="488"/>
    <x v="615"/>
    <x v="15"/>
    <x v="0"/>
    <x v="0"/>
    <x v="0"/>
    <x v="17"/>
    <x v="0"/>
    <x v="596"/>
    <n v="46.94"/>
    <x v="76"/>
    <x v="0"/>
    <x v="0"/>
    <n v="1.06"/>
    <m/>
    <m/>
    <x v="48"/>
    <x v="88"/>
    <m/>
  </r>
  <r>
    <x v="489"/>
    <x v="616"/>
    <x v="14"/>
    <x v="0"/>
    <x v="0"/>
    <x v="0"/>
    <x v="12"/>
    <x v="0"/>
    <x v="597"/>
    <n v="49"/>
    <x v="21"/>
    <x v="0"/>
    <x v="0"/>
    <n v="1.45"/>
    <m/>
    <m/>
    <x v="56"/>
    <x v="6"/>
    <m/>
  </r>
  <r>
    <x v="490"/>
    <x v="617"/>
    <x v="10"/>
    <x v="0"/>
    <x v="0"/>
    <x v="0"/>
    <x v="11"/>
    <x v="0"/>
    <x v="598"/>
    <n v="62.5"/>
    <x v="0"/>
    <x v="0"/>
    <x v="0"/>
    <n v="3.18"/>
    <m/>
    <m/>
    <x v="47"/>
    <x v="6"/>
    <m/>
  </r>
  <r>
    <x v="491"/>
    <x v="618"/>
    <x v="0"/>
    <x v="0"/>
    <x v="0"/>
    <x v="0"/>
    <x v="17"/>
    <x v="0"/>
    <x v="599"/>
    <n v="56.01"/>
    <x v="151"/>
    <x v="0"/>
    <x v="0"/>
    <n v="3.09"/>
    <m/>
    <m/>
    <x v="119"/>
    <x v="6"/>
    <m/>
  </r>
  <r>
    <x v="492"/>
    <x v="619"/>
    <x v="20"/>
    <x v="0"/>
    <x v="1"/>
    <x v="3"/>
    <x v="24"/>
    <x v="0"/>
    <x v="600"/>
    <n v="95.08"/>
    <x v="65"/>
    <x v="193"/>
    <x v="168"/>
    <n v="0.19"/>
    <n v="0.83599999999999997"/>
    <n v="0.43099999999999999"/>
    <x v="49"/>
    <x v="227"/>
    <n v="6.7000000000000004E-2"/>
  </r>
  <r>
    <x v="493"/>
    <x v="620"/>
    <x v="20"/>
    <x v="0"/>
    <x v="0"/>
    <x v="0"/>
    <x v="13"/>
    <x v="0"/>
    <x v="601"/>
    <n v="31.17"/>
    <x v="0"/>
    <x v="0"/>
    <x v="0"/>
    <n v="9.6999999999999993"/>
    <m/>
    <m/>
    <x v="35"/>
    <x v="6"/>
    <m/>
  </r>
  <r>
    <x v="494"/>
    <x v="621"/>
    <x v="10"/>
    <x v="0"/>
    <x v="0"/>
    <x v="0"/>
    <x v="11"/>
    <x v="0"/>
    <x v="602"/>
    <n v="55.94"/>
    <x v="72"/>
    <x v="0"/>
    <x v="0"/>
    <n v="1.61"/>
    <m/>
    <m/>
    <x v="128"/>
    <x v="6"/>
    <m/>
  </r>
  <r>
    <x v="495"/>
    <x v="622"/>
    <x v="10"/>
    <x v="0"/>
    <x v="0"/>
    <x v="0"/>
    <x v="4"/>
    <x v="0"/>
    <x v="603"/>
    <n v="83.5"/>
    <x v="0"/>
    <x v="0"/>
    <x v="0"/>
    <n v="1.56"/>
    <m/>
    <m/>
    <x v="154"/>
    <x v="228"/>
    <m/>
  </r>
  <r>
    <x v="496"/>
    <x v="623"/>
    <x v="14"/>
    <x v="0"/>
    <x v="0"/>
    <x v="0"/>
    <x v="11"/>
    <x v="0"/>
    <x v="604"/>
    <n v="50.68"/>
    <x v="0"/>
    <x v="0"/>
    <x v="0"/>
    <n v="2.12"/>
    <m/>
    <m/>
    <x v="49"/>
    <x v="114"/>
    <m/>
  </r>
  <r>
    <x v="497"/>
    <x v="624"/>
    <x v="21"/>
    <x v="0"/>
    <x v="0"/>
    <x v="0"/>
    <x v="3"/>
    <x v="0"/>
    <x v="605"/>
    <n v="42.21"/>
    <x v="0"/>
    <x v="0"/>
    <x v="0"/>
    <n v="8.3699999999999992"/>
    <m/>
    <m/>
    <x v="20"/>
    <x v="4"/>
    <m/>
  </r>
  <r>
    <x v="498"/>
    <x v="625"/>
    <x v="10"/>
    <x v="0"/>
    <x v="0"/>
    <x v="0"/>
    <x v="4"/>
    <x v="0"/>
    <x v="606"/>
    <n v="77.760000000000005"/>
    <x v="24"/>
    <x v="0"/>
    <x v="0"/>
    <n v="5.97"/>
    <m/>
    <m/>
    <x v="151"/>
    <x v="120"/>
    <m/>
  </r>
  <r>
    <x v="499"/>
    <x v="626"/>
    <x v="11"/>
    <x v="0"/>
    <x v="0"/>
    <x v="0"/>
    <x v="3"/>
    <x v="0"/>
    <x v="607"/>
    <n v="93.75"/>
    <x v="152"/>
    <x v="0"/>
    <x v="0"/>
    <n v="0.7"/>
    <m/>
    <m/>
    <x v="106"/>
    <x v="194"/>
    <m/>
  </r>
  <r>
    <x v="500"/>
    <x v="627"/>
    <x v="14"/>
    <x v="0"/>
    <x v="0"/>
    <x v="0"/>
    <x v="11"/>
    <x v="0"/>
    <x v="608"/>
    <n v="32.630000000000003"/>
    <x v="153"/>
    <x v="0"/>
    <x v="0"/>
    <n v="13.65"/>
    <m/>
    <m/>
    <x v="174"/>
    <x v="6"/>
    <m/>
  </r>
  <r>
    <x v="501"/>
    <x v="628"/>
    <x v="12"/>
    <x v="0"/>
    <x v="0"/>
    <x v="0"/>
    <x v="13"/>
    <x v="0"/>
    <x v="609"/>
    <n v="33.49"/>
    <x v="0"/>
    <x v="0"/>
    <x v="0"/>
    <n v="2.61"/>
    <m/>
    <m/>
    <x v="20"/>
    <x v="88"/>
    <m/>
  </r>
  <r>
    <x v="502"/>
    <x v="629"/>
    <x v="11"/>
    <x v="0"/>
    <x v="0"/>
    <x v="0"/>
    <x v="13"/>
    <x v="0"/>
    <x v="610"/>
    <n v="94.11"/>
    <x v="0"/>
    <x v="0"/>
    <x v="0"/>
    <n v="1.64"/>
    <m/>
    <m/>
    <x v="116"/>
    <x v="229"/>
    <m/>
  </r>
  <r>
    <x v="503"/>
    <x v="630"/>
    <x v="0"/>
    <x v="0"/>
    <x v="0"/>
    <x v="0"/>
    <x v="3"/>
    <x v="0"/>
    <x v="611"/>
    <n v="109.22"/>
    <x v="154"/>
    <x v="0"/>
    <x v="0"/>
    <n v="1.1299999999999999"/>
    <m/>
    <m/>
    <x v="49"/>
    <x v="104"/>
    <m/>
  </r>
  <r>
    <x v="504"/>
    <x v="631"/>
    <x v="7"/>
    <x v="0"/>
    <x v="0"/>
    <x v="0"/>
    <x v="12"/>
    <x v="0"/>
    <x v="612"/>
    <n v="868.63"/>
    <x v="155"/>
    <x v="0"/>
    <x v="0"/>
    <n v="6.5750000000000002"/>
    <m/>
    <m/>
    <x v="125"/>
    <x v="230"/>
    <m/>
  </r>
  <r>
    <x v="505"/>
    <x v="632"/>
    <x v="20"/>
    <x v="0"/>
    <x v="1"/>
    <x v="3"/>
    <x v="24"/>
    <x v="1"/>
    <x v="613"/>
    <n v="39.08"/>
    <x v="0"/>
    <x v="194"/>
    <x v="0"/>
    <n v="5.638E-2"/>
    <m/>
    <m/>
    <x v="174"/>
    <x v="142"/>
    <m/>
  </r>
  <r>
    <x v="505"/>
    <x v="633"/>
    <x v="20"/>
    <x v="0"/>
    <x v="1"/>
    <x v="3"/>
    <x v="24"/>
    <x v="1"/>
    <x v="614"/>
    <n v="39.08"/>
    <x v="0"/>
    <x v="195"/>
    <x v="0"/>
    <n v="5.4050000000000001E-2"/>
    <m/>
    <m/>
    <x v="174"/>
    <x v="142"/>
    <m/>
  </r>
  <r>
    <x v="506"/>
    <x v="634"/>
    <x v="23"/>
    <x v="0"/>
    <x v="0"/>
    <x v="0"/>
    <x v="11"/>
    <x v="0"/>
    <x v="615"/>
    <n v="52"/>
    <x v="0"/>
    <x v="0"/>
    <x v="0"/>
    <n v="9.0299999999999994"/>
    <m/>
    <m/>
    <x v="39"/>
    <x v="104"/>
    <m/>
  </r>
  <r>
    <x v="507"/>
    <x v="635"/>
    <x v="5"/>
    <x v="0"/>
    <x v="0"/>
    <x v="0"/>
    <x v="4"/>
    <x v="0"/>
    <x v="113"/>
    <n v="527.24"/>
    <x v="0"/>
    <x v="0"/>
    <x v="0"/>
    <n v="6"/>
    <m/>
    <m/>
    <x v="39"/>
    <x v="231"/>
    <m/>
  </r>
  <r>
    <x v="508"/>
    <x v="636"/>
    <x v="1"/>
    <x v="0"/>
    <x v="0"/>
    <x v="0"/>
    <x v="12"/>
    <x v="0"/>
    <x v="616"/>
    <n v="142.86000000000001"/>
    <x v="0"/>
    <x v="0"/>
    <x v="0"/>
    <n v="5.21"/>
    <m/>
    <m/>
    <x v="58"/>
    <x v="6"/>
    <m/>
  </r>
  <r>
    <x v="509"/>
    <x v="637"/>
    <x v="14"/>
    <x v="0"/>
    <x v="0"/>
    <x v="0"/>
    <x v="12"/>
    <x v="0"/>
    <x v="617"/>
    <n v="958.16"/>
    <x v="0"/>
    <x v="0"/>
    <x v="0"/>
    <n v="15.89"/>
    <m/>
    <m/>
    <x v="175"/>
    <x v="232"/>
    <m/>
  </r>
  <r>
    <x v="510"/>
    <x v="638"/>
    <x v="11"/>
    <x v="0"/>
    <x v="0"/>
    <x v="0"/>
    <x v="3"/>
    <x v="0"/>
    <x v="618"/>
    <n v="46.68"/>
    <x v="0"/>
    <x v="0"/>
    <x v="0"/>
    <n v="3.86"/>
    <m/>
    <m/>
    <x v="129"/>
    <x v="96"/>
    <m/>
  </r>
  <r>
    <x v="511"/>
    <x v="639"/>
    <x v="8"/>
    <x v="0"/>
    <x v="0"/>
    <x v="0"/>
    <x v="14"/>
    <x v="0"/>
    <x v="619"/>
    <n v="264.39999999999998"/>
    <x v="0"/>
    <x v="0"/>
    <x v="0"/>
    <n v="12.89"/>
    <m/>
    <m/>
    <x v="172"/>
    <x v="233"/>
    <m/>
  </r>
  <r>
    <x v="512"/>
    <x v="640"/>
    <x v="20"/>
    <x v="0"/>
    <x v="0"/>
    <x v="0"/>
    <x v="30"/>
    <x v="0"/>
    <x v="620"/>
    <n v="54.99"/>
    <x v="0"/>
    <x v="0"/>
    <x v="0"/>
    <n v="3.7130000000000003E-2"/>
    <m/>
    <m/>
    <x v="84"/>
    <x v="6"/>
    <m/>
  </r>
  <r>
    <x v="513"/>
    <x v="641"/>
    <x v="20"/>
    <x v="0"/>
    <x v="0"/>
    <x v="0"/>
    <x v="17"/>
    <x v="0"/>
    <x v="621"/>
    <n v="37.47"/>
    <x v="12"/>
    <x v="0"/>
    <x v="0"/>
    <n v="4.4800000000000004"/>
    <m/>
    <m/>
    <x v="126"/>
    <x v="56"/>
    <m/>
  </r>
  <r>
    <x v="514"/>
    <x v="642"/>
    <x v="6"/>
    <x v="0"/>
    <x v="0"/>
    <x v="0"/>
    <x v="17"/>
    <x v="0"/>
    <x v="622"/>
    <n v="55.7"/>
    <x v="12"/>
    <x v="0"/>
    <x v="0"/>
    <n v="0.95"/>
    <m/>
    <m/>
    <x v="25"/>
    <x v="201"/>
    <m/>
  </r>
  <r>
    <x v="515"/>
    <x v="643"/>
    <x v="16"/>
    <x v="0"/>
    <x v="0"/>
    <x v="0"/>
    <x v="17"/>
    <x v="0"/>
    <x v="623"/>
    <n v="55.05"/>
    <x v="0"/>
    <x v="0"/>
    <x v="0"/>
    <n v="0.42"/>
    <m/>
    <m/>
    <x v="96"/>
    <x v="16"/>
    <m/>
  </r>
  <r>
    <x v="516"/>
    <x v="644"/>
    <x v="5"/>
    <x v="0"/>
    <x v="0"/>
    <x v="0"/>
    <x v="4"/>
    <x v="0"/>
    <x v="624"/>
    <n v="5.04"/>
    <x v="41"/>
    <x v="0"/>
    <x v="0"/>
    <n v="2.665E-2"/>
    <m/>
    <m/>
    <x v="110"/>
    <x v="90"/>
    <m/>
  </r>
  <r>
    <x v="517"/>
    <x v="645"/>
    <x v="18"/>
    <x v="0"/>
    <x v="0"/>
    <x v="0"/>
    <x v="13"/>
    <x v="0"/>
    <x v="625"/>
    <n v="18.28"/>
    <x v="0"/>
    <x v="0"/>
    <x v="0"/>
    <n v="1.56"/>
    <m/>
    <m/>
    <x v="16"/>
    <x v="6"/>
    <m/>
  </r>
  <r>
    <x v="518"/>
    <x v="646"/>
    <x v="15"/>
    <x v="0"/>
    <x v="0"/>
    <x v="0"/>
    <x v="17"/>
    <x v="0"/>
    <x v="626"/>
    <n v="50.36"/>
    <x v="21"/>
    <x v="0"/>
    <x v="0"/>
    <n v="1.45"/>
    <m/>
    <m/>
    <x v="23"/>
    <x v="45"/>
    <m/>
  </r>
  <r>
    <x v="519"/>
    <x v="647"/>
    <x v="16"/>
    <x v="0"/>
    <x v="0"/>
    <x v="0"/>
    <x v="17"/>
    <x v="2"/>
    <x v="627"/>
    <n v="43.88"/>
    <x v="0"/>
    <x v="0"/>
    <x v="0"/>
    <n v="0.66500000000000004"/>
    <m/>
    <m/>
    <x v="34"/>
    <x v="6"/>
    <m/>
  </r>
  <r>
    <x v="519"/>
    <x v="648"/>
    <x v="17"/>
    <x v="0"/>
    <x v="0"/>
    <x v="0"/>
    <x v="17"/>
    <x v="2"/>
    <x v="628"/>
    <n v="43.88"/>
    <x v="0"/>
    <x v="0"/>
    <x v="0"/>
    <n v="0.16200000000000001"/>
    <m/>
    <m/>
    <x v="34"/>
    <x v="6"/>
    <m/>
  </r>
  <r>
    <x v="519"/>
    <x v="649"/>
    <x v="17"/>
    <x v="0"/>
    <x v="0"/>
    <x v="0"/>
    <x v="17"/>
    <x v="2"/>
    <x v="629"/>
    <n v="43.88"/>
    <x v="0"/>
    <x v="0"/>
    <x v="0"/>
    <n v="5.415"/>
    <m/>
    <m/>
    <x v="34"/>
    <x v="6"/>
    <m/>
  </r>
  <r>
    <x v="520"/>
    <x v="650"/>
    <x v="12"/>
    <x v="0"/>
    <x v="0"/>
    <x v="0"/>
    <x v="17"/>
    <x v="0"/>
    <x v="630"/>
    <n v="39.6"/>
    <x v="0"/>
    <x v="0"/>
    <x v="0"/>
    <n v="5.9"/>
    <m/>
    <m/>
    <x v="102"/>
    <x v="171"/>
    <m/>
  </r>
  <r>
    <x v="521"/>
    <x v="651"/>
    <x v="6"/>
    <x v="0"/>
    <x v="0"/>
    <x v="0"/>
    <x v="17"/>
    <x v="0"/>
    <x v="631"/>
    <n v="54.7"/>
    <x v="0"/>
    <x v="0"/>
    <x v="0"/>
    <n v="1.1599999999999999"/>
    <m/>
    <m/>
    <x v="104"/>
    <x v="129"/>
    <m/>
  </r>
  <r>
    <x v="522"/>
    <x v="652"/>
    <x v="7"/>
    <x v="0"/>
    <x v="0"/>
    <x v="0"/>
    <x v="33"/>
    <x v="0"/>
    <x v="632"/>
    <n v="45.09"/>
    <x v="0"/>
    <x v="0"/>
    <x v="0"/>
    <n v="0.98"/>
    <m/>
    <m/>
    <x v="58"/>
    <x v="67"/>
    <m/>
  </r>
  <r>
    <x v="523"/>
    <x v="653"/>
    <x v="2"/>
    <x v="0"/>
    <x v="0"/>
    <x v="0"/>
    <x v="17"/>
    <x v="0"/>
    <x v="633"/>
    <n v="9.4700000000000006"/>
    <x v="0"/>
    <x v="0"/>
    <x v="0"/>
    <n v="2.5999999999999999E-2"/>
    <m/>
    <m/>
    <x v="78"/>
    <x v="234"/>
    <m/>
  </r>
  <r>
    <x v="524"/>
    <x v="654"/>
    <x v="14"/>
    <x v="0"/>
    <x v="0"/>
    <x v="0"/>
    <x v="3"/>
    <x v="0"/>
    <x v="634"/>
    <n v="190.92"/>
    <x v="0"/>
    <x v="0"/>
    <x v="0"/>
    <n v="1.542"/>
    <m/>
    <m/>
    <x v="166"/>
    <x v="235"/>
    <m/>
  </r>
  <r>
    <x v="525"/>
    <x v="655"/>
    <x v="17"/>
    <x v="0"/>
    <x v="0"/>
    <x v="0"/>
    <x v="11"/>
    <x v="0"/>
    <x v="635"/>
    <n v="31.02"/>
    <x v="156"/>
    <x v="0"/>
    <x v="0"/>
    <n v="2.4"/>
    <m/>
    <m/>
    <x v="6"/>
    <x v="131"/>
    <m/>
  </r>
  <r>
    <x v="526"/>
    <x v="656"/>
    <x v="1"/>
    <x v="0"/>
    <x v="0"/>
    <x v="0"/>
    <x v="17"/>
    <x v="0"/>
    <x v="636"/>
    <n v="56.7"/>
    <x v="0"/>
    <x v="0"/>
    <x v="0"/>
    <n v="2.4300000000000002"/>
    <m/>
    <m/>
    <x v="97"/>
    <x v="105"/>
    <m/>
  </r>
  <r>
    <x v="527"/>
    <x v="657"/>
    <x v="7"/>
    <x v="0"/>
    <x v="0"/>
    <x v="0"/>
    <x v="2"/>
    <x v="0"/>
    <x v="637"/>
    <n v="110.45"/>
    <x v="0"/>
    <x v="0"/>
    <x v="0"/>
    <n v="1.37"/>
    <m/>
    <m/>
    <x v="176"/>
    <x v="236"/>
    <m/>
  </r>
  <r>
    <x v="528"/>
    <x v="658"/>
    <x v="3"/>
    <x v="0"/>
    <x v="0"/>
    <x v="0"/>
    <x v="13"/>
    <x v="1"/>
    <x v="638"/>
    <n v="55.68"/>
    <x v="0"/>
    <x v="0"/>
    <x v="0"/>
    <n v="9.4600000000000009"/>
    <m/>
    <m/>
    <x v="89"/>
    <x v="4"/>
    <m/>
  </r>
  <r>
    <x v="528"/>
    <x v="659"/>
    <x v="10"/>
    <x v="0"/>
    <x v="0"/>
    <x v="0"/>
    <x v="4"/>
    <x v="1"/>
    <x v="639"/>
    <n v="55.68"/>
    <x v="0"/>
    <x v="0"/>
    <x v="0"/>
    <n v="7.6"/>
    <m/>
    <m/>
    <x v="89"/>
    <x v="4"/>
    <m/>
  </r>
  <r>
    <x v="529"/>
    <x v="660"/>
    <x v="1"/>
    <x v="0"/>
    <x v="0"/>
    <x v="0"/>
    <x v="6"/>
    <x v="0"/>
    <x v="640"/>
    <n v="26.18"/>
    <x v="0"/>
    <x v="0"/>
    <x v="0"/>
    <n v="1.22"/>
    <m/>
    <m/>
    <x v="20"/>
    <x v="49"/>
    <m/>
  </r>
  <r>
    <x v="530"/>
    <x v="661"/>
    <x v="19"/>
    <x v="0"/>
    <x v="0"/>
    <x v="0"/>
    <x v="17"/>
    <x v="0"/>
    <x v="641"/>
    <n v="57.1"/>
    <x v="153"/>
    <x v="0"/>
    <x v="0"/>
    <n v="0.47"/>
    <m/>
    <m/>
    <x v="127"/>
    <x v="33"/>
    <m/>
  </r>
  <r>
    <x v="531"/>
    <x v="662"/>
    <x v="14"/>
    <x v="0"/>
    <x v="0"/>
    <x v="0"/>
    <x v="3"/>
    <x v="0"/>
    <x v="642"/>
    <n v="131.69999999999999"/>
    <x v="0"/>
    <x v="0"/>
    <x v="0"/>
    <n v="1.5469999999999999"/>
    <m/>
    <m/>
    <x v="63"/>
    <x v="237"/>
    <m/>
  </r>
  <r>
    <x v="532"/>
    <x v="663"/>
    <x v="6"/>
    <x v="0"/>
    <x v="0"/>
    <x v="0"/>
    <x v="3"/>
    <x v="0"/>
    <x v="643"/>
    <n v="58.24"/>
    <x v="0"/>
    <x v="0"/>
    <x v="0"/>
    <n v="0.62"/>
    <m/>
    <m/>
    <x v="168"/>
    <x v="138"/>
    <m/>
  </r>
  <r>
    <x v="533"/>
    <x v="664"/>
    <x v="20"/>
    <x v="0"/>
    <x v="0"/>
    <x v="0"/>
    <x v="17"/>
    <x v="2"/>
    <x v="644"/>
    <n v="38.57"/>
    <x v="0"/>
    <x v="0"/>
    <x v="0"/>
    <n v="3.2899999999999999E-2"/>
    <m/>
    <m/>
    <x v="50"/>
    <x v="6"/>
    <m/>
  </r>
  <r>
    <x v="533"/>
    <x v="665"/>
    <x v="20"/>
    <x v="0"/>
    <x v="0"/>
    <x v="0"/>
    <x v="17"/>
    <x v="2"/>
    <x v="645"/>
    <n v="38.57"/>
    <x v="0"/>
    <x v="0"/>
    <x v="0"/>
    <n v="4.4499999999999998E-2"/>
    <m/>
    <m/>
    <x v="50"/>
    <x v="6"/>
    <m/>
  </r>
  <r>
    <x v="533"/>
    <x v="666"/>
    <x v="20"/>
    <x v="0"/>
    <x v="0"/>
    <x v="0"/>
    <x v="17"/>
    <x v="2"/>
    <x v="646"/>
    <n v="38.57"/>
    <x v="0"/>
    <x v="0"/>
    <x v="0"/>
    <n v="3.7199999999999997E-2"/>
    <m/>
    <m/>
    <x v="50"/>
    <x v="6"/>
    <m/>
  </r>
  <r>
    <x v="534"/>
    <x v="667"/>
    <x v="10"/>
    <x v="0"/>
    <x v="1"/>
    <x v="3"/>
    <x v="16"/>
    <x v="2"/>
    <x v="647"/>
    <n v="47.36"/>
    <x v="0"/>
    <x v="0"/>
    <x v="169"/>
    <m/>
    <n v="0.152"/>
    <m/>
    <x v="23"/>
    <x v="90"/>
    <m/>
  </r>
  <r>
    <x v="534"/>
    <x v="668"/>
    <x v="10"/>
    <x v="0"/>
    <x v="1"/>
    <x v="3"/>
    <x v="16"/>
    <x v="2"/>
    <x v="648"/>
    <n v="47.36"/>
    <x v="0"/>
    <x v="0"/>
    <x v="170"/>
    <m/>
    <n v="0.255"/>
    <m/>
    <x v="23"/>
    <x v="90"/>
    <m/>
  </r>
  <r>
    <x v="534"/>
    <x v="669"/>
    <x v="17"/>
    <x v="0"/>
    <x v="0"/>
    <x v="0"/>
    <x v="3"/>
    <x v="2"/>
    <x v="649"/>
    <n v="47.36"/>
    <x v="0"/>
    <x v="0"/>
    <x v="0"/>
    <n v="2.171E-2"/>
    <m/>
    <m/>
    <x v="23"/>
    <x v="90"/>
    <m/>
  </r>
  <r>
    <x v="535"/>
    <x v="670"/>
    <x v="1"/>
    <x v="0"/>
    <x v="0"/>
    <x v="0"/>
    <x v="1"/>
    <x v="0"/>
    <x v="650"/>
    <n v="122.55"/>
    <x v="157"/>
    <x v="0"/>
    <x v="0"/>
    <n v="3.04"/>
    <m/>
    <m/>
    <x v="47"/>
    <x v="238"/>
    <m/>
  </r>
  <r>
    <x v="536"/>
    <x v="671"/>
    <x v="8"/>
    <x v="0"/>
    <x v="0"/>
    <x v="0"/>
    <x v="3"/>
    <x v="0"/>
    <x v="651"/>
    <n v="38.119999999999997"/>
    <x v="158"/>
    <x v="0"/>
    <x v="0"/>
    <n v="0.7"/>
    <m/>
    <m/>
    <x v="23"/>
    <x v="6"/>
    <m/>
  </r>
  <r>
    <x v="537"/>
    <x v="672"/>
    <x v="9"/>
    <x v="0"/>
    <x v="0"/>
    <x v="0"/>
    <x v="17"/>
    <x v="0"/>
    <x v="652"/>
    <n v="45.36"/>
    <x v="0"/>
    <x v="0"/>
    <x v="0"/>
    <n v="0.48"/>
    <m/>
    <m/>
    <x v="76"/>
    <x v="239"/>
    <m/>
  </r>
  <r>
    <x v="538"/>
    <x v="673"/>
    <x v="14"/>
    <x v="0"/>
    <x v="0"/>
    <x v="0"/>
    <x v="3"/>
    <x v="1"/>
    <x v="653"/>
    <n v="121.8"/>
    <x v="0"/>
    <x v="0"/>
    <x v="0"/>
    <n v="1.385"/>
    <m/>
    <m/>
    <x v="130"/>
    <x v="240"/>
    <m/>
  </r>
  <r>
    <x v="538"/>
    <x v="674"/>
    <x v="5"/>
    <x v="0"/>
    <x v="0"/>
    <x v="0"/>
    <x v="3"/>
    <x v="1"/>
    <x v="654"/>
    <n v="121.8"/>
    <x v="0"/>
    <x v="0"/>
    <x v="0"/>
    <n v="5.97"/>
    <m/>
    <m/>
    <x v="130"/>
    <x v="240"/>
    <m/>
  </r>
  <r>
    <x v="539"/>
    <x v="675"/>
    <x v="11"/>
    <x v="0"/>
    <x v="0"/>
    <x v="0"/>
    <x v="3"/>
    <x v="0"/>
    <x v="655"/>
    <n v="90.1"/>
    <x v="159"/>
    <x v="0"/>
    <x v="0"/>
    <n v="0.32900000000000001"/>
    <m/>
    <m/>
    <x v="124"/>
    <x v="143"/>
    <m/>
  </r>
  <r>
    <x v="540"/>
    <x v="676"/>
    <x v="16"/>
    <x v="0"/>
    <x v="0"/>
    <x v="0"/>
    <x v="11"/>
    <x v="0"/>
    <x v="656"/>
    <n v="20.97"/>
    <x v="23"/>
    <x v="0"/>
    <x v="0"/>
    <n v="9.1"/>
    <m/>
    <m/>
    <x v="119"/>
    <x v="6"/>
    <m/>
  </r>
  <r>
    <x v="541"/>
    <x v="677"/>
    <x v="8"/>
    <x v="0"/>
    <x v="0"/>
    <x v="0"/>
    <x v="13"/>
    <x v="1"/>
    <x v="657"/>
    <n v="100.9"/>
    <x v="0"/>
    <x v="0"/>
    <x v="0"/>
    <n v="2.0099999999999998"/>
    <m/>
    <m/>
    <x v="146"/>
    <x v="241"/>
    <m/>
  </r>
  <r>
    <x v="541"/>
    <x v="678"/>
    <x v="8"/>
    <x v="0"/>
    <x v="0"/>
    <x v="0"/>
    <x v="13"/>
    <x v="1"/>
    <x v="658"/>
    <n v="100.9"/>
    <x v="0"/>
    <x v="0"/>
    <x v="0"/>
    <n v="1.75"/>
    <m/>
    <m/>
    <x v="146"/>
    <x v="241"/>
    <m/>
  </r>
  <r>
    <x v="542"/>
    <x v="679"/>
    <x v="1"/>
    <x v="0"/>
    <x v="0"/>
    <x v="0"/>
    <x v="3"/>
    <x v="5"/>
    <x v="659"/>
    <n v="46.15"/>
    <x v="0"/>
    <x v="0"/>
    <x v="0"/>
    <n v="0.82"/>
    <m/>
    <m/>
    <x v="30"/>
    <x v="93"/>
    <m/>
  </r>
  <r>
    <x v="542"/>
    <x v="680"/>
    <x v="17"/>
    <x v="0"/>
    <x v="0"/>
    <x v="0"/>
    <x v="4"/>
    <x v="5"/>
    <x v="660"/>
    <n v="46.15"/>
    <x v="0"/>
    <x v="0"/>
    <x v="0"/>
    <n v="0.16800000000000001"/>
    <m/>
    <m/>
    <x v="30"/>
    <x v="93"/>
    <m/>
  </r>
  <r>
    <x v="542"/>
    <x v="681"/>
    <x v="17"/>
    <x v="0"/>
    <x v="0"/>
    <x v="0"/>
    <x v="4"/>
    <x v="5"/>
    <x v="661"/>
    <n v="46.15"/>
    <x v="0"/>
    <x v="0"/>
    <x v="0"/>
    <n v="9.7000000000000003E-2"/>
    <m/>
    <m/>
    <x v="30"/>
    <x v="93"/>
    <m/>
  </r>
  <r>
    <x v="542"/>
    <x v="682"/>
    <x v="17"/>
    <x v="0"/>
    <x v="0"/>
    <x v="0"/>
    <x v="4"/>
    <x v="5"/>
    <x v="662"/>
    <n v="46.15"/>
    <x v="0"/>
    <x v="0"/>
    <x v="0"/>
    <n v="5.2900000000000003E-2"/>
    <m/>
    <m/>
    <x v="30"/>
    <x v="93"/>
    <m/>
  </r>
  <r>
    <x v="542"/>
    <x v="683"/>
    <x v="17"/>
    <x v="0"/>
    <x v="0"/>
    <x v="0"/>
    <x v="4"/>
    <x v="5"/>
    <x v="663"/>
    <n v="46.15"/>
    <x v="0"/>
    <x v="0"/>
    <x v="0"/>
    <n v="0.11899999999999999"/>
    <m/>
    <m/>
    <x v="30"/>
    <x v="93"/>
    <m/>
  </r>
  <r>
    <x v="542"/>
    <x v="684"/>
    <x v="17"/>
    <x v="0"/>
    <x v="0"/>
    <x v="0"/>
    <x v="4"/>
    <x v="5"/>
    <x v="664"/>
    <n v="46.15"/>
    <x v="0"/>
    <x v="0"/>
    <x v="0"/>
    <n v="0.38"/>
    <m/>
    <m/>
    <x v="30"/>
    <x v="93"/>
    <m/>
  </r>
  <r>
    <x v="543"/>
    <x v="685"/>
    <x v="10"/>
    <x v="0"/>
    <x v="0"/>
    <x v="0"/>
    <x v="11"/>
    <x v="0"/>
    <x v="665"/>
    <n v="72.5"/>
    <x v="0"/>
    <x v="0"/>
    <x v="0"/>
    <n v="3.76"/>
    <m/>
    <m/>
    <x v="93"/>
    <x v="6"/>
    <m/>
  </r>
  <r>
    <x v="544"/>
    <x v="686"/>
    <x v="23"/>
    <x v="0"/>
    <x v="0"/>
    <x v="0"/>
    <x v="4"/>
    <x v="0"/>
    <x v="666"/>
    <n v="11.1"/>
    <x v="0"/>
    <x v="0"/>
    <x v="0"/>
    <n v="0.22800000000000001"/>
    <m/>
    <m/>
    <x v="34"/>
    <x v="6"/>
    <m/>
  </r>
  <r>
    <x v="545"/>
    <x v="687"/>
    <x v="3"/>
    <x v="0"/>
    <x v="0"/>
    <x v="0"/>
    <x v="3"/>
    <x v="2"/>
    <x v="667"/>
    <n v="31.69"/>
    <x v="0"/>
    <x v="0"/>
    <x v="0"/>
    <n v="0.67500000000000004"/>
    <m/>
    <m/>
    <x v="6"/>
    <x v="6"/>
    <m/>
  </r>
  <r>
    <x v="545"/>
    <x v="688"/>
    <x v="3"/>
    <x v="0"/>
    <x v="0"/>
    <x v="0"/>
    <x v="3"/>
    <x v="2"/>
    <x v="668"/>
    <n v="31.69"/>
    <x v="0"/>
    <x v="0"/>
    <x v="0"/>
    <n v="0.65200000000000002"/>
    <m/>
    <m/>
    <x v="6"/>
    <x v="6"/>
    <m/>
  </r>
  <r>
    <x v="545"/>
    <x v="689"/>
    <x v="16"/>
    <x v="0"/>
    <x v="0"/>
    <x v="0"/>
    <x v="3"/>
    <x v="2"/>
    <x v="669"/>
    <n v="31.69"/>
    <x v="0"/>
    <x v="0"/>
    <x v="0"/>
    <n v="0.69599999999999995"/>
    <m/>
    <m/>
    <x v="6"/>
    <x v="6"/>
    <m/>
  </r>
  <r>
    <x v="546"/>
    <x v="690"/>
    <x v="9"/>
    <x v="0"/>
    <x v="0"/>
    <x v="0"/>
    <x v="12"/>
    <x v="1"/>
    <x v="670"/>
    <n v="46.85"/>
    <x v="160"/>
    <x v="0"/>
    <x v="0"/>
    <n v="2.69"/>
    <m/>
    <m/>
    <x v="23"/>
    <x v="33"/>
    <m/>
  </r>
  <r>
    <x v="546"/>
    <x v="691"/>
    <x v="15"/>
    <x v="0"/>
    <x v="0"/>
    <x v="0"/>
    <x v="4"/>
    <x v="1"/>
    <x v="671"/>
    <n v="46.85"/>
    <x v="160"/>
    <x v="0"/>
    <x v="0"/>
    <n v="3.19"/>
    <m/>
    <m/>
    <x v="23"/>
    <x v="33"/>
    <m/>
  </r>
  <r>
    <x v="547"/>
    <x v="692"/>
    <x v="6"/>
    <x v="0"/>
    <x v="0"/>
    <x v="0"/>
    <x v="13"/>
    <x v="0"/>
    <x v="672"/>
    <n v="38.1"/>
    <x v="0"/>
    <x v="0"/>
    <x v="0"/>
    <n v="0.4"/>
    <m/>
    <m/>
    <x v="55"/>
    <x v="242"/>
    <m/>
  </r>
  <r>
    <x v="548"/>
    <x v="693"/>
    <x v="18"/>
    <x v="0"/>
    <x v="0"/>
    <x v="0"/>
    <x v="4"/>
    <x v="1"/>
    <x v="673"/>
    <n v="42.4"/>
    <x v="0"/>
    <x v="0"/>
    <x v="0"/>
    <n v="0.79700000000000004"/>
    <m/>
    <m/>
    <x v="130"/>
    <x v="243"/>
    <m/>
  </r>
  <r>
    <x v="548"/>
    <x v="694"/>
    <x v="18"/>
    <x v="0"/>
    <x v="0"/>
    <x v="0"/>
    <x v="4"/>
    <x v="1"/>
    <x v="674"/>
    <n v="42.4"/>
    <x v="0"/>
    <x v="0"/>
    <x v="0"/>
    <n v="12.99"/>
    <m/>
    <m/>
    <x v="130"/>
    <x v="243"/>
    <m/>
  </r>
  <r>
    <x v="549"/>
    <x v="695"/>
    <x v="1"/>
    <x v="0"/>
    <x v="0"/>
    <x v="0"/>
    <x v="19"/>
    <x v="0"/>
    <x v="675"/>
    <n v="91.68"/>
    <x v="0"/>
    <x v="0"/>
    <x v="0"/>
    <n v="10.130000000000001"/>
    <m/>
    <m/>
    <x v="51"/>
    <x v="244"/>
    <m/>
  </r>
  <r>
    <x v="550"/>
    <x v="696"/>
    <x v="12"/>
    <x v="0"/>
    <x v="0"/>
    <x v="0"/>
    <x v="13"/>
    <x v="1"/>
    <x v="676"/>
    <n v="18.28"/>
    <x v="161"/>
    <x v="0"/>
    <x v="0"/>
    <n v="10.02"/>
    <m/>
    <m/>
    <x v="25"/>
    <x v="95"/>
    <n v="1.1479999999999999"/>
  </r>
  <r>
    <x v="551"/>
    <x v="697"/>
    <x v="20"/>
    <x v="0"/>
    <x v="0"/>
    <x v="0"/>
    <x v="30"/>
    <x v="0"/>
    <x v="677"/>
    <n v="23.28"/>
    <x v="0"/>
    <x v="0"/>
    <x v="0"/>
    <n v="2.674E-2"/>
    <m/>
    <m/>
    <x v="122"/>
    <x v="6"/>
    <m/>
  </r>
  <r>
    <x v="552"/>
    <x v="698"/>
    <x v="1"/>
    <x v="0"/>
    <x v="0"/>
    <x v="0"/>
    <x v="17"/>
    <x v="3"/>
    <x v="678"/>
    <n v="12.94"/>
    <x v="35"/>
    <x v="0"/>
    <x v="0"/>
    <n v="1.26E-2"/>
    <m/>
    <m/>
    <x v="96"/>
    <x v="6"/>
    <m/>
  </r>
  <r>
    <x v="552"/>
    <x v="699"/>
    <x v="1"/>
    <x v="0"/>
    <x v="0"/>
    <x v="0"/>
    <x v="17"/>
    <x v="3"/>
    <x v="679"/>
    <n v="12.94"/>
    <x v="35"/>
    <x v="0"/>
    <x v="0"/>
    <n v="2.0799999999999999E-2"/>
    <m/>
    <m/>
    <x v="96"/>
    <x v="6"/>
    <m/>
  </r>
  <r>
    <x v="552"/>
    <x v="700"/>
    <x v="1"/>
    <x v="0"/>
    <x v="0"/>
    <x v="0"/>
    <x v="17"/>
    <x v="3"/>
    <x v="680"/>
    <n v="12.94"/>
    <x v="35"/>
    <x v="0"/>
    <x v="0"/>
    <n v="2.9899999999999999E-2"/>
    <m/>
    <m/>
    <x v="96"/>
    <x v="6"/>
    <m/>
  </r>
  <r>
    <x v="552"/>
    <x v="701"/>
    <x v="7"/>
    <x v="0"/>
    <x v="0"/>
    <x v="0"/>
    <x v="17"/>
    <x v="3"/>
    <x v="681"/>
    <n v="12.94"/>
    <x v="35"/>
    <x v="0"/>
    <x v="0"/>
    <n v="1.6400000000000001E-2"/>
    <m/>
    <m/>
    <x v="96"/>
    <x v="6"/>
    <m/>
  </r>
  <r>
    <x v="552"/>
    <x v="702"/>
    <x v="7"/>
    <x v="0"/>
    <x v="0"/>
    <x v="0"/>
    <x v="17"/>
    <x v="3"/>
    <x v="682"/>
    <n v="12.94"/>
    <x v="35"/>
    <x v="0"/>
    <x v="0"/>
    <n v="2.23E-2"/>
    <m/>
    <m/>
    <x v="96"/>
    <x v="6"/>
    <m/>
  </r>
  <r>
    <x v="553"/>
    <x v="703"/>
    <x v="17"/>
    <x v="0"/>
    <x v="0"/>
    <x v="0"/>
    <x v="4"/>
    <x v="0"/>
    <x v="683"/>
    <n v="118.48"/>
    <x v="162"/>
    <x v="0"/>
    <x v="0"/>
    <n v="2.7"/>
    <m/>
    <m/>
    <x v="167"/>
    <x v="245"/>
    <m/>
  </r>
  <r>
    <x v="554"/>
    <x v="704"/>
    <x v="3"/>
    <x v="0"/>
    <x v="0"/>
    <x v="0"/>
    <x v="4"/>
    <x v="0"/>
    <x v="684"/>
    <n v="33.299999999999997"/>
    <x v="0"/>
    <x v="0"/>
    <x v="0"/>
    <n v="4.67"/>
    <m/>
    <m/>
    <x v="103"/>
    <x v="42"/>
    <m/>
  </r>
  <r>
    <x v="555"/>
    <x v="705"/>
    <x v="9"/>
    <x v="0"/>
    <x v="0"/>
    <x v="0"/>
    <x v="17"/>
    <x v="0"/>
    <x v="685"/>
    <n v="43.03"/>
    <x v="125"/>
    <x v="0"/>
    <x v="0"/>
    <n v="2.54"/>
    <m/>
    <m/>
    <x v="37"/>
    <x v="6"/>
    <m/>
  </r>
  <r>
    <x v="556"/>
    <x v="706"/>
    <x v="23"/>
    <x v="0"/>
    <x v="0"/>
    <x v="0"/>
    <x v="17"/>
    <x v="0"/>
    <x v="686"/>
    <n v="43.03"/>
    <x v="0"/>
    <x v="0"/>
    <x v="0"/>
    <n v="18.37"/>
    <m/>
    <m/>
    <x v="9"/>
    <x v="6"/>
    <m/>
  </r>
  <r>
    <x v="557"/>
    <x v="707"/>
    <x v="0"/>
    <x v="0"/>
    <x v="0"/>
    <x v="0"/>
    <x v="17"/>
    <x v="0"/>
    <x v="687"/>
    <n v="41.92"/>
    <x v="128"/>
    <x v="0"/>
    <x v="0"/>
    <n v="1.56"/>
    <m/>
    <m/>
    <x v="7"/>
    <x v="6"/>
    <m/>
  </r>
  <r>
    <x v="558"/>
    <x v="708"/>
    <x v="17"/>
    <x v="0"/>
    <x v="0"/>
    <x v="0"/>
    <x v="11"/>
    <x v="0"/>
    <x v="688"/>
    <n v="37.1"/>
    <x v="31"/>
    <x v="0"/>
    <x v="0"/>
    <n v="1.6"/>
    <m/>
    <m/>
    <x v="134"/>
    <x v="92"/>
    <m/>
  </r>
  <r>
    <x v="559"/>
    <x v="709"/>
    <x v="12"/>
    <x v="0"/>
    <x v="0"/>
    <x v="0"/>
    <x v="3"/>
    <x v="1"/>
    <x v="689"/>
    <n v="81.569999999999993"/>
    <x v="0"/>
    <x v="0"/>
    <x v="0"/>
    <n v="2.23"/>
    <m/>
    <m/>
    <x v="119"/>
    <x v="212"/>
    <m/>
  </r>
  <r>
    <x v="559"/>
    <x v="710"/>
    <x v="19"/>
    <x v="0"/>
    <x v="0"/>
    <x v="0"/>
    <x v="5"/>
    <x v="1"/>
    <x v="690"/>
    <n v="81.569999999999993"/>
    <x v="0"/>
    <x v="0"/>
    <x v="0"/>
    <n v="2.17"/>
    <m/>
    <m/>
    <x v="119"/>
    <x v="212"/>
    <m/>
  </r>
  <r>
    <x v="560"/>
    <x v="711"/>
    <x v="12"/>
    <x v="0"/>
    <x v="0"/>
    <x v="0"/>
    <x v="3"/>
    <x v="0"/>
    <x v="691"/>
    <n v="34.229999999999997"/>
    <x v="0"/>
    <x v="0"/>
    <x v="0"/>
    <n v="0.82"/>
    <m/>
    <m/>
    <x v="3"/>
    <x v="94"/>
    <m/>
  </r>
  <r>
    <x v="561"/>
    <x v="712"/>
    <x v="10"/>
    <x v="0"/>
    <x v="0"/>
    <x v="0"/>
    <x v="4"/>
    <x v="0"/>
    <x v="692"/>
    <n v="23.5"/>
    <x v="0"/>
    <x v="0"/>
    <x v="0"/>
    <n v="4.5310000000000003E-2"/>
    <m/>
    <m/>
    <x v="53"/>
    <x v="45"/>
    <m/>
  </r>
  <r>
    <x v="562"/>
    <x v="713"/>
    <x v="16"/>
    <x v="0"/>
    <x v="0"/>
    <x v="0"/>
    <x v="17"/>
    <x v="0"/>
    <x v="693"/>
    <n v="22.03"/>
    <x v="0"/>
    <x v="0"/>
    <x v="0"/>
    <n v="0.05"/>
    <m/>
    <m/>
    <x v="89"/>
    <x v="55"/>
    <m/>
  </r>
  <r>
    <x v="563"/>
    <x v="714"/>
    <x v="1"/>
    <x v="0"/>
    <x v="0"/>
    <x v="0"/>
    <x v="3"/>
    <x v="0"/>
    <x v="694"/>
    <n v="136.82"/>
    <x v="0"/>
    <x v="0"/>
    <x v="0"/>
    <n v="1.927"/>
    <m/>
    <m/>
    <x v="163"/>
    <x v="181"/>
    <m/>
  </r>
  <r>
    <x v="564"/>
    <x v="715"/>
    <x v="6"/>
    <x v="0"/>
    <x v="0"/>
    <x v="0"/>
    <x v="17"/>
    <x v="0"/>
    <x v="695"/>
    <n v="56.3"/>
    <x v="0"/>
    <x v="0"/>
    <x v="0"/>
    <n v="0.6"/>
    <m/>
    <m/>
    <x v="50"/>
    <x v="45"/>
    <m/>
  </r>
  <r>
    <x v="565"/>
    <x v="716"/>
    <x v="0"/>
    <x v="0"/>
    <x v="0"/>
    <x v="0"/>
    <x v="11"/>
    <x v="0"/>
    <x v="696"/>
    <n v="85.81"/>
    <x v="163"/>
    <x v="0"/>
    <x v="0"/>
    <n v="2.5499999999999998"/>
    <m/>
    <m/>
    <x v="64"/>
    <x v="246"/>
    <m/>
  </r>
  <r>
    <x v="566"/>
    <x v="717"/>
    <x v="6"/>
    <x v="0"/>
    <x v="0"/>
    <x v="0"/>
    <x v="17"/>
    <x v="0"/>
    <x v="697"/>
    <n v="50.4"/>
    <x v="0"/>
    <x v="0"/>
    <x v="0"/>
    <n v="0.57999999999999996"/>
    <m/>
    <m/>
    <x v="57"/>
    <x v="106"/>
    <m/>
  </r>
  <r>
    <x v="567"/>
    <x v="718"/>
    <x v="20"/>
    <x v="0"/>
    <x v="0"/>
    <x v="0"/>
    <x v="17"/>
    <x v="1"/>
    <x v="698"/>
    <n v="21.88"/>
    <x v="0"/>
    <x v="0"/>
    <x v="0"/>
    <n v="3.8399999999999997E-2"/>
    <m/>
    <m/>
    <x v="18"/>
    <x v="6"/>
    <m/>
  </r>
  <r>
    <x v="567"/>
    <x v="719"/>
    <x v="20"/>
    <x v="0"/>
    <x v="0"/>
    <x v="0"/>
    <x v="17"/>
    <x v="1"/>
    <x v="699"/>
    <n v="21.88"/>
    <x v="0"/>
    <x v="0"/>
    <x v="0"/>
    <n v="2.7699999999999999E-2"/>
    <m/>
    <m/>
    <x v="18"/>
    <x v="6"/>
    <m/>
  </r>
  <r>
    <x v="568"/>
    <x v="720"/>
    <x v="9"/>
    <x v="0"/>
    <x v="0"/>
    <x v="0"/>
    <x v="3"/>
    <x v="0"/>
    <x v="700"/>
    <n v="46.94"/>
    <x v="97"/>
    <x v="0"/>
    <x v="0"/>
    <n v="1.79"/>
    <m/>
    <m/>
    <x v="102"/>
    <x v="6"/>
    <m/>
  </r>
  <r>
    <x v="569"/>
    <x v="721"/>
    <x v="2"/>
    <x v="0"/>
    <x v="0"/>
    <x v="0"/>
    <x v="17"/>
    <x v="1"/>
    <x v="701"/>
    <n v="34.39"/>
    <x v="0"/>
    <x v="0"/>
    <x v="0"/>
    <n v="0.18720000000000001"/>
    <m/>
    <m/>
    <x v="58"/>
    <x v="6"/>
    <m/>
  </r>
  <r>
    <x v="569"/>
    <x v="722"/>
    <x v="2"/>
    <x v="0"/>
    <x v="0"/>
    <x v="0"/>
    <x v="17"/>
    <x v="1"/>
    <x v="702"/>
    <n v="34.39"/>
    <x v="0"/>
    <x v="0"/>
    <x v="0"/>
    <n v="0.65790000000000004"/>
    <m/>
    <m/>
    <x v="58"/>
    <x v="6"/>
    <m/>
  </r>
  <r>
    <x v="570"/>
    <x v="723"/>
    <x v="2"/>
    <x v="0"/>
    <x v="0"/>
    <x v="0"/>
    <x v="11"/>
    <x v="0"/>
    <x v="703"/>
    <n v="34.89"/>
    <x v="134"/>
    <x v="0"/>
    <x v="0"/>
    <n v="0.433"/>
    <m/>
    <m/>
    <x v="127"/>
    <x v="16"/>
    <m/>
  </r>
  <r>
    <x v="571"/>
    <x v="724"/>
    <x v="18"/>
    <x v="0"/>
    <x v="0"/>
    <x v="0"/>
    <x v="3"/>
    <x v="0"/>
    <x v="704"/>
    <n v="29.58"/>
    <x v="0"/>
    <x v="0"/>
    <x v="0"/>
    <n v="0.22600000000000001"/>
    <m/>
    <m/>
    <x v="127"/>
    <x v="6"/>
    <m/>
  </r>
  <r>
    <x v="572"/>
    <x v="725"/>
    <x v="2"/>
    <x v="0"/>
    <x v="0"/>
    <x v="0"/>
    <x v="17"/>
    <x v="1"/>
    <x v="705"/>
    <n v="37.5"/>
    <x v="0"/>
    <x v="0"/>
    <x v="0"/>
    <n v="7.0000000000000007E-2"/>
    <m/>
    <m/>
    <x v="50"/>
    <x v="29"/>
    <m/>
  </r>
  <r>
    <x v="572"/>
    <x v="726"/>
    <x v="2"/>
    <x v="0"/>
    <x v="0"/>
    <x v="0"/>
    <x v="17"/>
    <x v="1"/>
    <x v="706"/>
    <n v="37.5"/>
    <x v="0"/>
    <x v="0"/>
    <x v="0"/>
    <n v="0.35060999999999998"/>
    <m/>
    <m/>
    <x v="50"/>
    <x v="29"/>
    <m/>
  </r>
  <r>
    <x v="573"/>
    <x v="727"/>
    <x v="15"/>
    <x v="0"/>
    <x v="0"/>
    <x v="0"/>
    <x v="4"/>
    <x v="1"/>
    <x v="707"/>
    <n v="54.87"/>
    <x v="0"/>
    <x v="0"/>
    <x v="0"/>
    <n v="2.37"/>
    <m/>
    <m/>
    <x v="177"/>
    <x v="247"/>
    <m/>
  </r>
  <r>
    <x v="573"/>
    <x v="728"/>
    <x v="15"/>
    <x v="0"/>
    <x v="0"/>
    <x v="0"/>
    <x v="4"/>
    <x v="1"/>
    <x v="708"/>
    <n v="54.87"/>
    <x v="0"/>
    <x v="0"/>
    <x v="0"/>
    <n v="2.37"/>
    <m/>
    <m/>
    <x v="177"/>
    <x v="247"/>
    <m/>
  </r>
  <r>
    <x v="574"/>
    <x v="729"/>
    <x v="10"/>
    <x v="0"/>
    <x v="0"/>
    <x v="0"/>
    <x v="2"/>
    <x v="1"/>
    <x v="709"/>
    <n v="80"/>
    <x v="164"/>
    <x v="0"/>
    <x v="0"/>
    <n v="1.75"/>
    <m/>
    <m/>
    <x v="178"/>
    <x v="248"/>
    <m/>
  </r>
  <r>
    <x v="574"/>
    <x v="730"/>
    <x v="10"/>
    <x v="0"/>
    <x v="0"/>
    <x v="0"/>
    <x v="2"/>
    <x v="1"/>
    <x v="710"/>
    <n v="80"/>
    <x v="164"/>
    <x v="0"/>
    <x v="0"/>
    <n v="1.86"/>
    <m/>
    <m/>
    <x v="178"/>
    <x v="248"/>
    <m/>
  </r>
  <r>
    <x v="575"/>
    <x v="731"/>
    <x v="3"/>
    <x v="0"/>
    <x v="0"/>
    <x v="0"/>
    <x v="17"/>
    <x v="0"/>
    <x v="711"/>
    <n v="122.95"/>
    <x v="165"/>
    <x v="0"/>
    <x v="0"/>
    <n v="7.32"/>
    <m/>
    <m/>
    <x v="21"/>
    <x v="249"/>
    <m/>
  </r>
  <r>
    <x v="576"/>
    <x v="732"/>
    <x v="2"/>
    <x v="0"/>
    <x v="0"/>
    <x v="0"/>
    <x v="30"/>
    <x v="0"/>
    <x v="712"/>
    <n v="85.4"/>
    <x v="30"/>
    <x v="0"/>
    <x v="0"/>
    <n v="1.47"/>
    <m/>
    <m/>
    <x v="114"/>
    <x v="103"/>
    <m/>
  </r>
  <r>
    <x v="577"/>
    <x v="733"/>
    <x v="5"/>
    <x v="0"/>
    <x v="0"/>
    <x v="0"/>
    <x v="3"/>
    <x v="0"/>
    <x v="713"/>
    <n v="205.45"/>
    <x v="0"/>
    <x v="0"/>
    <x v="0"/>
    <n v="1.615"/>
    <m/>
    <m/>
    <x v="64"/>
    <x v="176"/>
    <m/>
  </r>
  <r>
    <x v="578"/>
    <x v="734"/>
    <x v="3"/>
    <x v="0"/>
    <x v="0"/>
    <x v="0"/>
    <x v="3"/>
    <x v="0"/>
    <x v="714"/>
    <n v="43.09"/>
    <x v="0"/>
    <x v="0"/>
    <x v="0"/>
    <n v="0.1"/>
    <m/>
    <m/>
    <x v="18"/>
    <x v="55"/>
    <m/>
  </r>
  <r>
    <x v="579"/>
    <x v="735"/>
    <x v="16"/>
    <x v="0"/>
    <x v="0"/>
    <x v="0"/>
    <x v="3"/>
    <x v="1"/>
    <x v="715"/>
    <n v="46.35"/>
    <x v="155"/>
    <x v="0"/>
    <x v="0"/>
    <n v="1.45"/>
    <m/>
    <m/>
    <x v="106"/>
    <x v="212"/>
    <m/>
  </r>
  <r>
    <x v="579"/>
    <x v="736"/>
    <x v="20"/>
    <x v="0"/>
    <x v="0"/>
    <x v="0"/>
    <x v="17"/>
    <x v="1"/>
    <x v="716"/>
    <n v="46.35"/>
    <x v="155"/>
    <x v="0"/>
    <x v="0"/>
    <n v="2.93"/>
    <m/>
    <m/>
    <x v="106"/>
    <x v="212"/>
    <m/>
  </r>
  <r>
    <x v="580"/>
    <x v="737"/>
    <x v="3"/>
    <x v="0"/>
    <x v="0"/>
    <x v="0"/>
    <x v="6"/>
    <x v="0"/>
    <x v="717"/>
    <n v="31.19"/>
    <x v="166"/>
    <x v="0"/>
    <x v="0"/>
    <n v="4.9539999999999997"/>
    <m/>
    <m/>
    <x v="48"/>
    <x v="55"/>
    <m/>
  </r>
  <r>
    <x v="581"/>
    <x v="738"/>
    <x v="20"/>
    <x v="0"/>
    <x v="0"/>
    <x v="0"/>
    <x v="17"/>
    <x v="1"/>
    <x v="718"/>
    <n v="34.83"/>
    <x v="0"/>
    <x v="0"/>
    <x v="0"/>
    <n v="4.02E-2"/>
    <m/>
    <m/>
    <x v="34"/>
    <x v="6"/>
    <m/>
  </r>
  <r>
    <x v="581"/>
    <x v="739"/>
    <x v="20"/>
    <x v="0"/>
    <x v="0"/>
    <x v="0"/>
    <x v="17"/>
    <x v="1"/>
    <x v="719"/>
    <n v="34.83"/>
    <x v="0"/>
    <x v="0"/>
    <x v="0"/>
    <n v="4.4999999999999998E-2"/>
    <m/>
    <m/>
    <x v="34"/>
    <x v="6"/>
    <m/>
  </r>
  <r>
    <x v="582"/>
    <x v="740"/>
    <x v="18"/>
    <x v="0"/>
    <x v="0"/>
    <x v="0"/>
    <x v="3"/>
    <x v="0"/>
    <x v="720"/>
    <n v="30.01"/>
    <x v="0"/>
    <x v="0"/>
    <x v="0"/>
    <n v="1.21"/>
    <m/>
    <m/>
    <x v="141"/>
    <x v="6"/>
    <m/>
  </r>
  <r>
    <x v="583"/>
    <x v="741"/>
    <x v="0"/>
    <x v="0"/>
    <x v="0"/>
    <x v="0"/>
    <x v="3"/>
    <x v="1"/>
    <x v="721"/>
    <n v="114"/>
    <x v="0"/>
    <x v="0"/>
    <x v="0"/>
    <n v="1.556"/>
    <m/>
    <m/>
    <x v="46"/>
    <x v="205"/>
    <m/>
  </r>
  <r>
    <x v="583"/>
    <x v="742"/>
    <x v="19"/>
    <x v="0"/>
    <x v="0"/>
    <x v="0"/>
    <x v="3"/>
    <x v="1"/>
    <x v="204"/>
    <n v="114"/>
    <x v="0"/>
    <x v="0"/>
    <x v="0"/>
    <n v="1.0529999999999999"/>
    <m/>
    <m/>
    <x v="46"/>
    <x v="205"/>
    <m/>
  </r>
  <r>
    <x v="584"/>
    <x v="743"/>
    <x v="5"/>
    <x v="0"/>
    <x v="0"/>
    <x v="0"/>
    <x v="3"/>
    <x v="0"/>
    <x v="722"/>
    <n v="78.150000000000006"/>
    <x v="167"/>
    <x v="0"/>
    <x v="0"/>
    <n v="3.87"/>
    <m/>
    <m/>
    <x v="51"/>
    <x v="250"/>
    <m/>
  </r>
  <r>
    <x v="585"/>
    <x v="744"/>
    <x v="10"/>
    <x v="0"/>
    <x v="0"/>
    <x v="0"/>
    <x v="15"/>
    <x v="0"/>
    <x v="723"/>
    <n v="221"/>
    <x v="18"/>
    <x v="0"/>
    <x v="0"/>
    <n v="5.78"/>
    <m/>
    <m/>
    <x v="53"/>
    <x v="251"/>
    <m/>
  </r>
  <r>
    <x v="586"/>
    <x v="745"/>
    <x v="15"/>
    <x v="0"/>
    <x v="0"/>
    <x v="0"/>
    <x v="2"/>
    <x v="0"/>
    <x v="724"/>
    <n v="58.21"/>
    <x v="0"/>
    <x v="0"/>
    <x v="0"/>
    <n v="1.681"/>
    <m/>
    <m/>
    <x v="166"/>
    <x v="181"/>
    <m/>
  </r>
  <r>
    <x v="587"/>
    <x v="746"/>
    <x v="19"/>
    <x v="0"/>
    <x v="0"/>
    <x v="0"/>
    <x v="17"/>
    <x v="0"/>
    <x v="725"/>
    <n v="53.6"/>
    <x v="73"/>
    <x v="0"/>
    <x v="0"/>
    <n v="0.33"/>
    <m/>
    <m/>
    <x v="50"/>
    <x v="41"/>
    <m/>
  </r>
  <r>
    <x v="588"/>
    <x v="747"/>
    <x v="14"/>
    <x v="0"/>
    <x v="0"/>
    <x v="0"/>
    <x v="3"/>
    <x v="0"/>
    <x v="726"/>
    <n v="285.75"/>
    <x v="0"/>
    <x v="0"/>
    <x v="0"/>
    <n v="7.63"/>
    <m/>
    <m/>
    <x v="15"/>
    <x v="7"/>
    <m/>
  </r>
  <r>
    <x v="589"/>
    <x v="748"/>
    <x v="10"/>
    <x v="0"/>
    <x v="0"/>
    <x v="0"/>
    <x v="6"/>
    <x v="0"/>
    <x v="727"/>
    <n v="96.8"/>
    <x v="168"/>
    <x v="0"/>
    <x v="0"/>
    <n v="6.92"/>
    <m/>
    <m/>
    <x v="179"/>
    <x v="252"/>
    <m/>
  </r>
  <r>
    <x v="590"/>
    <x v="749"/>
    <x v="2"/>
    <x v="0"/>
    <x v="0"/>
    <x v="0"/>
    <x v="17"/>
    <x v="1"/>
    <x v="728"/>
    <n v="25.3"/>
    <x v="131"/>
    <x v="0"/>
    <x v="0"/>
    <n v="1.06"/>
    <m/>
    <m/>
    <x v="125"/>
    <x v="253"/>
    <m/>
  </r>
  <r>
    <x v="590"/>
    <x v="750"/>
    <x v="2"/>
    <x v="0"/>
    <x v="0"/>
    <x v="0"/>
    <x v="17"/>
    <x v="1"/>
    <x v="729"/>
    <n v="25.3"/>
    <x v="131"/>
    <x v="0"/>
    <x v="0"/>
    <n v="2.5099999999999998"/>
    <m/>
    <m/>
    <x v="125"/>
    <x v="253"/>
    <m/>
  </r>
  <r>
    <x v="591"/>
    <x v="751"/>
    <x v="11"/>
    <x v="0"/>
    <x v="0"/>
    <x v="0"/>
    <x v="4"/>
    <x v="0"/>
    <x v="730"/>
    <n v="10.34"/>
    <x v="169"/>
    <x v="0"/>
    <x v="0"/>
    <n v="2.2999999999999998"/>
    <m/>
    <m/>
    <x v="180"/>
    <x v="254"/>
    <m/>
  </r>
  <r>
    <x v="592"/>
    <x v="752"/>
    <x v="16"/>
    <x v="0"/>
    <x v="0"/>
    <x v="0"/>
    <x v="17"/>
    <x v="0"/>
    <x v="731"/>
    <n v="37.729999999999997"/>
    <x v="0"/>
    <x v="0"/>
    <x v="0"/>
    <n v="0.25"/>
    <m/>
    <m/>
    <x v="73"/>
    <x v="57"/>
    <m/>
  </r>
  <r>
    <x v="593"/>
    <x v="753"/>
    <x v="1"/>
    <x v="0"/>
    <x v="0"/>
    <x v="0"/>
    <x v="17"/>
    <x v="0"/>
    <x v="732"/>
    <n v="32.57"/>
    <x v="0"/>
    <x v="0"/>
    <x v="0"/>
    <n v="0.53"/>
    <m/>
    <m/>
    <x v="88"/>
    <x v="56"/>
    <m/>
  </r>
  <r>
    <x v="594"/>
    <x v="754"/>
    <x v="20"/>
    <x v="0"/>
    <x v="0"/>
    <x v="0"/>
    <x v="30"/>
    <x v="0"/>
    <x v="733"/>
    <n v="31.55"/>
    <x v="0"/>
    <x v="0"/>
    <x v="0"/>
    <n v="5.6000000000000001E-2"/>
    <m/>
    <m/>
    <x v="44"/>
    <x v="6"/>
    <m/>
  </r>
  <r>
    <x v="595"/>
    <x v="755"/>
    <x v="23"/>
    <x v="0"/>
    <x v="0"/>
    <x v="0"/>
    <x v="17"/>
    <x v="0"/>
    <x v="734"/>
    <n v="42.41"/>
    <x v="0"/>
    <x v="0"/>
    <x v="0"/>
    <n v="0.49"/>
    <m/>
    <m/>
    <x v="32"/>
    <x v="40"/>
    <m/>
  </r>
  <r>
    <x v="596"/>
    <x v="756"/>
    <x v="23"/>
    <x v="0"/>
    <x v="0"/>
    <x v="0"/>
    <x v="17"/>
    <x v="1"/>
    <x v="735"/>
    <n v="35.159999999999997"/>
    <x v="0"/>
    <x v="0"/>
    <x v="0"/>
    <n v="1.2949999999999999"/>
    <m/>
    <m/>
    <x v="122"/>
    <x v="6"/>
    <m/>
  </r>
  <r>
    <x v="596"/>
    <x v="757"/>
    <x v="7"/>
    <x v="0"/>
    <x v="0"/>
    <x v="0"/>
    <x v="17"/>
    <x v="1"/>
    <x v="736"/>
    <n v="35.159999999999997"/>
    <x v="0"/>
    <x v="0"/>
    <x v="0"/>
    <n v="2.0299999999999998"/>
    <m/>
    <m/>
    <x v="122"/>
    <x v="6"/>
    <m/>
  </r>
  <r>
    <x v="597"/>
    <x v="758"/>
    <x v="15"/>
    <x v="0"/>
    <x v="0"/>
    <x v="0"/>
    <x v="14"/>
    <x v="0"/>
    <x v="737"/>
    <n v="68.16"/>
    <x v="170"/>
    <x v="0"/>
    <x v="0"/>
    <n v="6"/>
    <m/>
    <m/>
    <x v="32"/>
    <x v="255"/>
    <m/>
  </r>
  <r>
    <x v="598"/>
    <x v="759"/>
    <x v="16"/>
    <x v="0"/>
    <x v="0"/>
    <x v="0"/>
    <x v="3"/>
    <x v="0"/>
    <x v="738"/>
    <n v="53.36"/>
    <x v="0"/>
    <x v="0"/>
    <x v="0"/>
    <n v="2.64"/>
    <m/>
    <m/>
    <x v="57"/>
    <x v="4"/>
    <m/>
  </r>
  <r>
    <x v="599"/>
    <x v="760"/>
    <x v="8"/>
    <x v="0"/>
    <x v="0"/>
    <x v="0"/>
    <x v="4"/>
    <x v="1"/>
    <x v="739"/>
    <n v="76.69"/>
    <x v="171"/>
    <x v="0"/>
    <x v="0"/>
    <n v="3.06"/>
    <m/>
    <m/>
    <x v="169"/>
    <x v="155"/>
    <m/>
  </r>
  <r>
    <x v="599"/>
    <x v="761"/>
    <x v="8"/>
    <x v="0"/>
    <x v="0"/>
    <x v="0"/>
    <x v="4"/>
    <x v="1"/>
    <x v="740"/>
    <n v="76.69"/>
    <x v="171"/>
    <x v="0"/>
    <x v="0"/>
    <n v="4.8499999999999996"/>
    <m/>
    <m/>
    <x v="169"/>
    <x v="155"/>
    <m/>
  </r>
  <r>
    <x v="600"/>
    <x v="762"/>
    <x v="1"/>
    <x v="0"/>
    <x v="0"/>
    <x v="0"/>
    <x v="17"/>
    <x v="0"/>
    <x v="741"/>
    <n v="54.9"/>
    <x v="0"/>
    <x v="0"/>
    <x v="0"/>
    <n v="1.68"/>
    <m/>
    <m/>
    <x v="4"/>
    <x v="105"/>
    <m/>
  </r>
  <r>
    <x v="601"/>
    <x v="763"/>
    <x v="10"/>
    <x v="0"/>
    <x v="0"/>
    <x v="0"/>
    <x v="4"/>
    <x v="0"/>
    <x v="742"/>
    <n v="78"/>
    <x v="24"/>
    <x v="0"/>
    <x v="0"/>
    <n v="3.07"/>
    <m/>
    <m/>
    <x v="20"/>
    <x v="55"/>
    <m/>
  </r>
  <r>
    <x v="602"/>
    <x v="764"/>
    <x v="12"/>
    <x v="0"/>
    <x v="0"/>
    <x v="0"/>
    <x v="4"/>
    <x v="0"/>
    <x v="743"/>
    <n v="60.95"/>
    <x v="0"/>
    <x v="0"/>
    <x v="0"/>
    <n v="1.97"/>
    <m/>
    <m/>
    <x v="114"/>
    <x v="43"/>
    <m/>
  </r>
  <r>
    <x v="603"/>
    <x v="765"/>
    <x v="11"/>
    <x v="0"/>
    <x v="0"/>
    <x v="0"/>
    <x v="17"/>
    <x v="2"/>
    <x v="744"/>
    <n v="12.56"/>
    <x v="172"/>
    <x v="0"/>
    <x v="0"/>
    <n v="3.2099999999999997E-2"/>
    <m/>
    <m/>
    <x v="126"/>
    <x v="6"/>
    <m/>
  </r>
  <r>
    <x v="603"/>
    <x v="766"/>
    <x v="11"/>
    <x v="0"/>
    <x v="0"/>
    <x v="0"/>
    <x v="17"/>
    <x v="2"/>
    <x v="745"/>
    <n v="12.56"/>
    <x v="172"/>
    <x v="0"/>
    <x v="0"/>
    <n v="3.7100000000000001E-2"/>
    <m/>
    <m/>
    <x v="126"/>
    <x v="6"/>
    <m/>
  </r>
  <r>
    <x v="603"/>
    <x v="767"/>
    <x v="11"/>
    <x v="0"/>
    <x v="0"/>
    <x v="0"/>
    <x v="17"/>
    <x v="2"/>
    <x v="746"/>
    <n v="12.56"/>
    <x v="172"/>
    <x v="0"/>
    <x v="0"/>
    <n v="5.7000000000000002E-2"/>
    <m/>
    <m/>
    <x v="126"/>
    <x v="6"/>
    <m/>
  </r>
  <r>
    <x v="604"/>
    <x v="768"/>
    <x v="0"/>
    <x v="0"/>
    <x v="0"/>
    <x v="0"/>
    <x v="17"/>
    <x v="0"/>
    <x v="747"/>
    <n v="45.7"/>
    <x v="173"/>
    <x v="0"/>
    <x v="0"/>
    <n v="6.1"/>
    <m/>
    <m/>
    <x v="57"/>
    <x v="6"/>
    <m/>
  </r>
  <r>
    <x v="605"/>
    <x v="769"/>
    <x v="23"/>
    <x v="0"/>
    <x v="0"/>
    <x v="0"/>
    <x v="13"/>
    <x v="0"/>
    <x v="748"/>
    <n v="29.3"/>
    <x v="0"/>
    <x v="0"/>
    <x v="0"/>
    <n v="1.85"/>
    <m/>
    <m/>
    <x v="50"/>
    <x v="55"/>
    <m/>
  </r>
  <r>
    <x v="606"/>
    <x v="770"/>
    <x v="14"/>
    <x v="0"/>
    <x v="0"/>
    <x v="0"/>
    <x v="17"/>
    <x v="0"/>
    <x v="749"/>
    <n v="36.19"/>
    <x v="0"/>
    <x v="0"/>
    <x v="0"/>
    <n v="0.27"/>
    <m/>
    <m/>
    <x v="96"/>
    <x v="193"/>
    <m/>
  </r>
  <r>
    <x v="607"/>
    <x v="771"/>
    <x v="5"/>
    <x v="0"/>
    <x v="0"/>
    <x v="0"/>
    <x v="3"/>
    <x v="0"/>
    <x v="750"/>
    <n v="126.79"/>
    <x v="0"/>
    <x v="0"/>
    <x v="0"/>
    <n v="1.768"/>
    <m/>
    <m/>
    <x v="49"/>
    <x v="256"/>
    <m/>
  </r>
  <r>
    <x v="608"/>
    <x v="772"/>
    <x v="3"/>
    <x v="0"/>
    <x v="0"/>
    <x v="0"/>
    <x v="3"/>
    <x v="0"/>
    <x v="751"/>
    <n v="51.4"/>
    <x v="0"/>
    <x v="0"/>
    <x v="0"/>
    <n v="3.85"/>
    <m/>
    <m/>
    <x v="157"/>
    <x v="134"/>
    <m/>
  </r>
  <r>
    <x v="609"/>
    <x v="773"/>
    <x v="10"/>
    <x v="0"/>
    <x v="0"/>
    <x v="0"/>
    <x v="4"/>
    <x v="0"/>
    <x v="752"/>
    <n v="72.78"/>
    <x v="97"/>
    <x v="0"/>
    <x v="0"/>
    <n v="5.45"/>
    <m/>
    <m/>
    <x v="102"/>
    <x v="147"/>
    <m/>
  </r>
  <r>
    <x v="610"/>
    <x v="774"/>
    <x v="2"/>
    <x v="0"/>
    <x v="0"/>
    <x v="0"/>
    <x v="17"/>
    <x v="0"/>
    <x v="528"/>
    <n v="54.91"/>
    <x v="156"/>
    <x v="0"/>
    <x v="0"/>
    <n v="3.06"/>
    <m/>
    <m/>
    <x v="45"/>
    <x v="110"/>
    <m/>
  </r>
  <r>
    <x v="611"/>
    <x v="775"/>
    <x v="3"/>
    <x v="0"/>
    <x v="0"/>
    <x v="0"/>
    <x v="13"/>
    <x v="1"/>
    <x v="753"/>
    <n v="97.51"/>
    <x v="0"/>
    <x v="0"/>
    <x v="0"/>
    <n v="3.08"/>
    <m/>
    <m/>
    <x v="30"/>
    <x v="104"/>
    <m/>
  </r>
  <r>
    <x v="611"/>
    <x v="776"/>
    <x v="16"/>
    <x v="0"/>
    <x v="0"/>
    <x v="0"/>
    <x v="13"/>
    <x v="1"/>
    <x v="754"/>
    <n v="97.51"/>
    <x v="0"/>
    <x v="0"/>
    <x v="0"/>
    <n v="2.25"/>
    <m/>
    <m/>
    <x v="30"/>
    <x v="104"/>
    <m/>
  </r>
  <r>
    <x v="612"/>
    <x v="777"/>
    <x v="2"/>
    <x v="0"/>
    <x v="0"/>
    <x v="0"/>
    <x v="3"/>
    <x v="0"/>
    <x v="755"/>
    <n v="81"/>
    <x v="0"/>
    <x v="0"/>
    <x v="0"/>
    <n v="1.1120000000000001"/>
    <m/>
    <m/>
    <x v="56"/>
    <x v="257"/>
    <m/>
  </r>
  <r>
    <x v="613"/>
    <x v="778"/>
    <x v="23"/>
    <x v="0"/>
    <x v="0"/>
    <x v="0"/>
    <x v="11"/>
    <x v="1"/>
    <x v="756"/>
    <n v="64.599999999999994"/>
    <x v="0"/>
    <x v="0"/>
    <x v="0"/>
    <n v="1.8"/>
    <m/>
    <m/>
    <x v="100"/>
    <x v="6"/>
    <m/>
  </r>
  <r>
    <x v="613"/>
    <x v="779"/>
    <x v="23"/>
    <x v="0"/>
    <x v="0"/>
    <x v="0"/>
    <x v="11"/>
    <x v="1"/>
    <x v="757"/>
    <n v="64.599999999999994"/>
    <x v="0"/>
    <x v="0"/>
    <x v="0"/>
    <n v="8.06"/>
    <m/>
    <m/>
    <x v="100"/>
    <x v="6"/>
    <m/>
  </r>
  <r>
    <x v="614"/>
    <x v="780"/>
    <x v="14"/>
    <x v="0"/>
    <x v="0"/>
    <x v="0"/>
    <x v="17"/>
    <x v="0"/>
    <x v="758"/>
    <n v="38.71"/>
    <x v="0"/>
    <x v="0"/>
    <x v="0"/>
    <n v="0.50800000000000001"/>
    <m/>
    <m/>
    <x v="52"/>
    <x v="6"/>
    <m/>
  </r>
  <r>
    <x v="615"/>
    <x v="781"/>
    <x v="21"/>
    <x v="0"/>
    <x v="0"/>
    <x v="0"/>
    <x v="17"/>
    <x v="0"/>
    <x v="759"/>
    <n v="29.14"/>
    <x v="0"/>
    <x v="0"/>
    <x v="0"/>
    <n v="0.49"/>
    <m/>
    <m/>
    <x v="51"/>
    <x v="14"/>
    <m/>
  </r>
  <r>
    <x v="616"/>
    <x v="782"/>
    <x v="19"/>
    <x v="0"/>
    <x v="0"/>
    <x v="0"/>
    <x v="3"/>
    <x v="1"/>
    <x v="760"/>
    <n v="68.7"/>
    <x v="0"/>
    <x v="0"/>
    <x v="0"/>
    <n v="1"/>
    <m/>
    <m/>
    <x v="113"/>
    <x v="258"/>
    <m/>
  </r>
  <r>
    <x v="616"/>
    <x v="783"/>
    <x v="5"/>
    <x v="0"/>
    <x v="0"/>
    <x v="0"/>
    <x v="3"/>
    <x v="1"/>
    <x v="761"/>
    <n v="68.7"/>
    <x v="0"/>
    <x v="0"/>
    <x v="0"/>
    <n v="5.64"/>
    <m/>
    <m/>
    <x v="113"/>
    <x v="258"/>
    <m/>
  </r>
  <r>
    <x v="617"/>
    <x v="784"/>
    <x v="0"/>
    <x v="0"/>
    <x v="0"/>
    <x v="0"/>
    <x v="3"/>
    <x v="0"/>
    <x v="762"/>
    <n v="78.23"/>
    <x v="15"/>
    <x v="0"/>
    <x v="0"/>
    <n v="2.71"/>
    <m/>
    <m/>
    <x v="113"/>
    <x v="259"/>
    <m/>
  </r>
  <r>
    <x v="618"/>
    <x v="785"/>
    <x v="3"/>
    <x v="0"/>
    <x v="0"/>
    <x v="0"/>
    <x v="13"/>
    <x v="0"/>
    <x v="763"/>
    <n v="60.99"/>
    <x v="0"/>
    <x v="0"/>
    <x v="0"/>
    <n v="0.21"/>
    <m/>
    <m/>
    <x v="7"/>
    <x v="39"/>
    <m/>
  </r>
  <r>
    <x v="619"/>
    <x v="786"/>
    <x v="17"/>
    <x v="0"/>
    <x v="0"/>
    <x v="0"/>
    <x v="4"/>
    <x v="0"/>
    <x v="764"/>
    <n v="184.8"/>
    <x v="19"/>
    <x v="0"/>
    <x v="0"/>
    <n v="3.93"/>
    <m/>
    <m/>
    <x v="63"/>
    <x v="260"/>
    <m/>
  </r>
  <r>
    <x v="620"/>
    <x v="787"/>
    <x v="15"/>
    <x v="0"/>
    <x v="0"/>
    <x v="0"/>
    <x v="17"/>
    <x v="0"/>
    <x v="765"/>
    <n v="46"/>
    <x v="0"/>
    <x v="0"/>
    <x v="0"/>
    <n v="0.06"/>
    <m/>
    <m/>
    <x v="55"/>
    <x v="193"/>
    <m/>
  </r>
  <r>
    <x v="621"/>
    <x v="788"/>
    <x v="2"/>
    <x v="0"/>
    <x v="0"/>
    <x v="0"/>
    <x v="3"/>
    <x v="2"/>
    <x v="766"/>
    <n v="16.82"/>
    <x v="0"/>
    <x v="0"/>
    <x v="0"/>
    <n v="0.02"/>
    <m/>
    <m/>
    <x v="88"/>
    <x v="202"/>
    <m/>
  </r>
  <r>
    <x v="621"/>
    <x v="789"/>
    <x v="8"/>
    <x v="0"/>
    <x v="0"/>
    <x v="0"/>
    <x v="3"/>
    <x v="2"/>
    <x v="767"/>
    <n v="16.82"/>
    <x v="0"/>
    <x v="0"/>
    <x v="0"/>
    <n v="2.4729999999999999E-2"/>
    <m/>
    <m/>
    <x v="88"/>
    <x v="202"/>
    <m/>
  </r>
  <r>
    <x v="621"/>
    <x v="790"/>
    <x v="8"/>
    <x v="0"/>
    <x v="0"/>
    <x v="0"/>
    <x v="3"/>
    <x v="2"/>
    <x v="768"/>
    <n v="16.82"/>
    <x v="0"/>
    <x v="0"/>
    <x v="0"/>
    <n v="2.026E-2"/>
    <m/>
    <m/>
    <x v="88"/>
    <x v="202"/>
    <m/>
  </r>
  <r>
    <x v="622"/>
    <x v="791"/>
    <x v="14"/>
    <x v="0"/>
    <x v="0"/>
    <x v="0"/>
    <x v="12"/>
    <x v="0"/>
    <x v="769"/>
    <n v="49"/>
    <x v="174"/>
    <x v="0"/>
    <x v="0"/>
    <n v="1.34"/>
    <m/>
    <m/>
    <x v="4"/>
    <x v="133"/>
    <m/>
  </r>
  <r>
    <x v="623"/>
    <x v="792"/>
    <x v="12"/>
    <x v="0"/>
    <x v="0"/>
    <x v="0"/>
    <x v="4"/>
    <x v="0"/>
    <x v="770"/>
    <n v="66.599999999999994"/>
    <x v="0"/>
    <x v="196"/>
    <x v="171"/>
    <n v="4.38"/>
    <n v="1.07"/>
    <m/>
    <x v="93"/>
    <x v="110"/>
    <n v="1.45"/>
  </r>
  <r>
    <x v="624"/>
    <x v="793"/>
    <x v="16"/>
    <x v="0"/>
    <x v="0"/>
    <x v="0"/>
    <x v="4"/>
    <x v="0"/>
    <x v="771"/>
    <n v="34.47"/>
    <x v="0"/>
    <x v="0"/>
    <x v="0"/>
    <n v="7.27"/>
    <m/>
    <m/>
    <x v="52"/>
    <x v="33"/>
    <m/>
  </r>
  <r>
    <x v="625"/>
    <x v="794"/>
    <x v="0"/>
    <x v="0"/>
    <x v="0"/>
    <x v="0"/>
    <x v="2"/>
    <x v="0"/>
    <x v="772"/>
    <n v="85.92"/>
    <x v="0"/>
    <x v="0"/>
    <x v="0"/>
    <n v="2.7"/>
    <m/>
    <m/>
    <x v="180"/>
    <x v="261"/>
    <m/>
  </r>
  <r>
    <x v="626"/>
    <x v="795"/>
    <x v="14"/>
    <x v="0"/>
    <x v="0"/>
    <x v="0"/>
    <x v="3"/>
    <x v="0"/>
    <x v="773"/>
    <n v="127.52"/>
    <x v="0"/>
    <x v="0"/>
    <x v="0"/>
    <n v="2.33"/>
    <m/>
    <m/>
    <x v="181"/>
    <x v="262"/>
    <m/>
  </r>
  <r>
    <x v="627"/>
    <x v="796"/>
    <x v="23"/>
    <x v="0"/>
    <x v="0"/>
    <x v="0"/>
    <x v="17"/>
    <x v="1"/>
    <x v="774"/>
    <n v="27.61"/>
    <x v="0"/>
    <x v="197"/>
    <x v="0"/>
    <n v="1.681"/>
    <m/>
    <m/>
    <x v="141"/>
    <x v="6"/>
    <m/>
  </r>
  <r>
    <x v="627"/>
    <x v="797"/>
    <x v="23"/>
    <x v="0"/>
    <x v="0"/>
    <x v="0"/>
    <x v="17"/>
    <x v="1"/>
    <x v="775"/>
    <n v="27.61"/>
    <x v="0"/>
    <x v="198"/>
    <x v="0"/>
    <n v="1.9590000000000001"/>
    <m/>
    <m/>
    <x v="141"/>
    <x v="6"/>
    <m/>
  </r>
  <r>
    <x v="628"/>
    <x v="798"/>
    <x v="20"/>
    <x v="0"/>
    <x v="0"/>
    <x v="0"/>
    <x v="30"/>
    <x v="0"/>
    <x v="776"/>
    <n v="30.71"/>
    <x v="0"/>
    <x v="0"/>
    <x v="0"/>
    <n v="0.20954999999999999"/>
    <m/>
    <m/>
    <x v="34"/>
    <x v="6"/>
    <m/>
  </r>
  <r>
    <x v="629"/>
    <x v="799"/>
    <x v="3"/>
    <x v="0"/>
    <x v="0"/>
    <x v="0"/>
    <x v="4"/>
    <x v="0"/>
    <x v="777"/>
    <n v="40.950000000000003"/>
    <x v="0"/>
    <x v="0"/>
    <x v="0"/>
    <n v="0.34"/>
    <m/>
    <m/>
    <x v="137"/>
    <x v="16"/>
    <m/>
  </r>
  <r>
    <x v="630"/>
    <x v="800"/>
    <x v="6"/>
    <x v="0"/>
    <x v="0"/>
    <x v="0"/>
    <x v="17"/>
    <x v="0"/>
    <x v="778"/>
    <n v="52.5"/>
    <x v="0"/>
    <x v="0"/>
    <x v="0"/>
    <n v="0.68"/>
    <m/>
    <m/>
    <x v="47"/>
    <x v="43"/>
    <m/>
  </r>
  <r>
    <x v="631"/>
    <x v="801"/>
    <x v="1"/>
    <x v="0"/>
    <x v="0"/>
    <x v="0"/>
    <x v="17"/>
    <x v="0"/>
    <x v="779"/>
    <n v="33.56"/>
    <x v="0"/>
    <x v="0"/>
    <x v="0"/>
    <n v="9.9000000000000005E-2"/>
    <m/>
    <m/>
    <x v="99"/>
    <x v="6"/>
    <m/>
  </r>
  <r>
    <x v="632"/>
    <x v="802"/>
    <x v="14"/>
    <x v="0"/>
    <x v="0"/>
    <x v="0"/>
    <x v="17"/>
    <x v="0"/>
    <x v="780"/>
    <n v="11.28"/>
    <x v="0"/>
    <x v="0"/>
    <x v="0"/>
    <n v="0.01"/>
    <m/>
    <m/>
    <x v="182"/>
    <x v="32"/>
    <m/>
  </r>
  <r>
    <x v="633"/>
    <x v="803"/>
    <x v="3"/>
    <x v="0"/>
    <x v="0"/>
    <x v="0"/>
    <x v="11"/>
    <x v="0"/>
    <x v="781"/>
    <n v="44.2"/>
    <x v="0"/>
    <x v="0"/>
    <x v="0"/>
    <n v="2.0299999999999998"/>
    <m/>
    <m/>
    <x v="151"/>
    <x v="93"/>
    <m/>
  </r>
  <r>
    <x v="634"/>
    <x v="804"/>
    <x v="11"/>
    <x v="0"/>
    <x v="0"/>
    <x v="0"/>
    <x v="3"/>
    <x v="0"/>
    <x v="782"/>
    <n v="104.24"/>
    <x v="175"/>
    <x v="0"/>
    <x v="0"/>
    <n v="1.48"/>
    <m/>
    <m/>
    <x v="49"/>
    <x v="134"/>
    <m/>
  </r>
  <r>
    <x v="635"/>
    <x v="805"/>
    <x v="1"/>
    <x v="0"/>
    <x v="0"/>
    <x v="0"/>
    <x v="30"/>
    <x v="0"/>
    <x v="783"/>
    <n v="45.74"/>
    <x v="176"/>
    <x v="0"/>
    <x v="0"/>
    <n v="0.92"/>
    <m/>
    <m/>
    <x v="104"/>
    <x v="55"/>
    <m/>
  </r>
  <r>
    <x v="636"/>
    <x v="806"/>
    <x v="1"/>
    <x v="0"/>
    <x v="0"/>
    <x v="0"/>
    <x v="6"/>
    <x v="0"/>
    <x v="784"/>
    <n v="67.94"/>
    <x v="177"/>
    <x v="0"/>
    <x v="0"/>
    <n v="7"/>
    <m/>
    <m/>
    <x v="116"/>
    <x v="116"/>
    <m/>
  </r>
  <r>
    <x v="637"/>
    <x v="807"/>
    <x v="1"/>
    <x v="0"/>
    <x v="0"/>
    <x v="0"/>
    <x v="1"/>
    <x v="0"/>
    <x v="785"/>
    <n v="37.9"/>
    <x v="0"/>
    <x v="0"/>
    <x v="0"/>
    <n v="14.2"/>
    <m/>
    <m/>
    <x v="131"/>
    <x v="61"/>
    <m/>
  </r>
  <r>
    <x v="638"/>
    <x v="808"/>
    <x v="10"/>
    <x v="0"/>
    <x v="0"/>
    <x v="0"/>
    <x v="4"/>
    <x v="0"/>
    <x v="786"/>
    <n v="169"/>
    <x v="0"/>
    <x v="0"/>
    <x v="0"/>
    <n v="3.6"/>
    <m/>
    <m/>
    <x v="136"/>
    <x v="263"/>
    <m/>
  </r>
  <r>
    <x v="639"/>
    <x v="809"/>
    <x v="10"/>
    <x v="0"/>
    <x v="0"/>
    <x v="0"/>
    <x v="34"/>
    <x v="0"/>
    <x v="787"/>
    <n v="135.16999999999999"/>
    <x v="0"/>
    <x v="0"/>
    <x v="0"/>
    <n v="12.4"/>
    <m/>
    <m/>
    <x v="20"/>
    <x v="155"/>
    <m/>
  </r>
  <r>
    <x v="640"/>
    <x v="810"/>
    <x v="1"/>
    <x v="0"/>
    <x v="0"/>
    <x v="0"/>
    <x v="6"/>
    <x v="0"/>
    <x v="788"/>
    <n v="18.3"/>
    <x v="0"/>
    <x v="0"/>
    <x v="0"/>
    <n v="1.54"/>
    <m/>
    <m/>
    <x v="62"/>
    <x v="38"/>
    <m/>
  </r>
  <r>
    <x v="641"/>
    <x v="811"/>
    <x v="9"/>
    <x v="0"/>
    <x v="0"/>
    <x v="0"/>
    <x v="3"/>
    <x v="0"/>
    <x v="789"/>
    <n v="73.77"/>
    <x v="0"/>
    <x v="0"/>
    <x v="0"/>
    <n v="0.28449999999999998"/>
    <m/>
    <m/>
    <x v="113"/>
    <x v="264"/>
    <m/>
  </r>
  <r>
    <x v="642"/>
    <x v="812"/>
    <x v="1"/>
    <x v="0"/>
    <x v="0"/>
    <x v="0"/>
    <x v="6"/>
    <x v="0"/>
    <x v="790"/>
    <n v="32.04"/>
    <x v="0"/>
    <x v="0"/>
    <x v="0"/>
    <n v="2.11"/>
    <m/>
    <m/>
    <x v="46"/>
    <x v="95"/>
    <m/>
  </r>
  <r>
    <x v="643"/>
    <x v="813"/>
    <x v="5"/>
    <x v="0"/>
    <x v="1"/>
    <x v="3"/>
    <x v="16"/>
    <x v="0"/>
    <x v="791"/>
    <n v="132.80000000000001"/>
    <x v="178"/>
    <x v="199"/>
    <x v="172"/>
    <n v="0.11"/>
    <n v="0.66"/>
    <n v="0.47099999999999997"/>
    <x v="56"/>
    <x v="138"/>
    <n v="0.30499999999999999"/>
  </r>
  <r>
    <x v="644"/>
    <x v="814"/>
    <x v="21"/>
    <x v="0"/>
    <x v="0"/>
    <x v="0"/>
    <x v="33"/>
    <x v="0"/>
    <x v="792"/>
    <n v="39"/>
    <x v="0"/>
    <x v="0"/>
    <x v="0"/>
    <n v="8.35"/>
    <m/>
    <m/>
    <x v="164"/>
    <x v="6"/>
    <m/>
  </r>
  <r>
    <x v="645"/>
    <x v="815"/>
    <x v="1"/>
    <x v="0"/>
    <x v="0"/>
    <x v="0"/>
    <x v="17"/>
    <x v="0"/>
    <x v="793"/>
    <n v="21.96"/>
    <x v="21"/>
    <x v="0"/>
    <x v="0"/>
    <n v="5.7000000000000002E-2"/>
    <m/>
    <m/>
    <x v="97"/>
    <x v="6"/>
    <m/>
  </r>
  <r>
    <x v="646"/>
    <x v="816"/>
    <x v="10"/>
    <x v="0"/>
    <x v="0"/>
    <x v="0"/>
    <x v="4"/>
    <x v="0"/>
    <x v="794"/>
    <n v="78.930000000000007"/>
    <x v="87"/>
    <x v="0"/>
    <x v="0"/>
    <n v="1.1100000000000001"/>
    <m/>
    <m/>
    <x v="18"/>
    <x v="166"/>
    <m/>
  </r>
  <r>
    <x v="647"/>
    <x v="817"/>
    <x v="18"/>
    <x v="0"/>
    <x v="0"/>
    <x v="0"/>
    <x v="4"/>
    <x v="1"/>
    <x v="795"/>
    <n v="34.69"/>
    <x v="179"/>
    <x v="0"/>
    <x v="0"/>
    <n v="3.76"/>
    <m/>
    <m/>
    <x v="93"/>
    <x v="48"/>
    <m/>
  </r>
  <r>
    <x v="647"/>
    <x v="818"/>
    <x v="20"/>
    <x v="0"/>
    <x v="0"/>
    <x v="0"/>
    <x v="17"/>
    <x v="1"/>
    <x v="796"/>
    <n v="34.69"/>
    <x v="179"/>
    <x v="0"/>
    <x v="0"/>
    <n v="3.67"/>
    <m/>
    <m/>
    <x v="93"/>
    <x v="48"/>
    <m/>
  </r>
  <r>
    <x v="648"/>
    <x v="819"/>
    <x v="20"/>
    <x v="0"/>
    <x v="0"/>
    <x v="0"/>
    <x v="17"/>
    <x v="0"/>
    <x v="797"/>
    <n v="43.59"/>
    <x v="180"/>
    <x v="0"/>
    <x v="0"/>
    <n v="16.88"/>
    <m/>
    <m/>
    <x v="4"/>
    <x v="259"/>
    <m/>
  </r>
  <r>
    <x v="649"/>
    <x v="820"/>
    <x v="16"/>
    <x v="0"/>
    <x v="0"/>
    <x v="0"/>
    <x v="17"/>
    <x v="0"/>
    <x v="798"/>
    <n v="28.54"/>
    <x v="0"/>
    <x v="0"/>
    <x v="0"/>
    <n v="0.37"/>
    <m/>
    <m/>
    <x v="37"/>
    <x v="6"/>
    <m/>
  </r>
  <r>
    <x v="650"/>
    <x v="821"/>
    <x v="1"/>
    <x v="0"/>
    <x v="0"/>
    <x v="0"/>
    <x v="11"/>
    <x v="1"/>
    <x v="799"/>
    <n v="50.42"/>
    <x v="0"/>
    <x v="0"/>
    <x v="0"/>
    <n v="0.7"/>
    <m/>
    <m/>
    <x v="57"/>
    <x v="45"/>
    <m/>
  </r>
  <r>
    <x v="650"/>
    <x v="822"/>
    <x v="1"/>
    <x v="0"/>
    <x v="0"/>
    <x v="0"/>
    <x v="11"/>
    <x v="1"/>
    <x v="800"/>
    <n v="50.42"/>
    <x v="0"/>
    <x v="0"/>
    <x v="0"/>
    <n v="1.82"/>
    <m/>
    <m/>
    <x v="57"/>
    <x v="45"/>
    <m/>
  </r>
  <r>
    <x v="651"/>
    <x v="823"/>
    <x v="5"/>
    <x v="0"/>
    <x v="0"/>
    <x v="0"/>
    <x v="3"/>
    <x v="0"/>
    <x v="801"/>
    <n v="98.43"/>
    <x v="0"/>
    <x v="0"/>
    <x v="0"/>
    <n v="1.26"/>
    <m/>
    <m/>
    <x v="129"/>
    <x v="265"/>
    <m/>
  </r>
  <r>
    <x v="652"/>
    <x v="824"/>
    <x v="7"/>
    <x v="0"/>
    <x v="0"/>
    <x v="1"/>
    <x v="9"/>
    <x v="0"/>
    <x v="6"/>
    <n v="86.44"/>
    <x v="181"/>
    <x v="200"/>
    <x v="0"/>
    <n v="5"/>
    <m/>
    <m/>
    <x v="171"/>
    <x v="6"/>
    <m/>
  </r>
  <r>
    <x v="653"/>
    <x v="825"/>
    <x v="1"/>
    <x v="0"/>
    <x v="0"/>
    <x v="0"/>
    <x v="3"/>
    <x v="1"/>
    <x v="802"/>
    <n v="137.46"/>
    <x v="0"/>
    <x v="0"/>
    <x v="0"/>
    <n v="3.45"/>
    <m/>
    <m/>
    <x v="8"/>
    <x v="266"/>
    <m/>
  </r>
  <r>
    <x v="653"/>
    <x v="826"/>
    <x v="5"/>
    <x v="0"/>
    <x v="0"/>
    <x v="0"/>
    <x v="3"/>
    <x v="1"/>
    <x v="803"/>
    <n v="137.46"/>
    <x v="0"/>
    <x v="0"/>
    <x v="0"/>
    <n v="1.26"/>
    <m/>
    <m/>
    <x v="8"/>
    <x v="266"/>
    <m/>
  </r>
  <r>
    <x v="654"/>
    <x v="827"/>
    <x v="8"/>
    <x v="0"/>
    <x v="0"/>
    <x v="0"/>
    <x v="12"/>
    <x v="0"/>
    <x v="804"/>
    <n v="332"/>
    <x v="0"/>
    <x v="0"/>
    <x v="0"/>
    <n v="10.63"/>
    <m/>
    <m/>
    <x v="183"/>
    <x v="267"/>
    <m/>
  </r>
  <r>
    <x v="655"/>
    <x v="828"/>
    <x v="8"/>
    <x v="0"/>
    <x v="0"/>
    <x v="0"/>
    <x v="32"/>
    <x v="0"/>
    <x v="805"/>
    <n v="7.56"/>
    <x v="0"/>
    <x v="0"/>
    <x v="0"/>
    <n v="3.74"/>
    <m/>
    <m/>
    <x v="37"/>
    <x v="239"/>
    <m/>
  </r>
  <r>
    <x v="656"/>
    <x v="829"/>
    <x v="14"/>
    <x v="0"/>
    <x v="0"/>
    <x v="0"/>
    <x v="3"/>
    <x v="0"/>
    <x v="806"/>
    <n v="140.62"/>
    <x v="0"/>
    <x v="0"/>
    <x v="0"/>
    <n v="1.27"/>
    <m/>
    <m/>
    <x v="55"/>
    <x v="268"/>
    <m/>
  </r>
  <r>
    <x v="657"/>
    <x v="830"/>
    <x v="14"/>
    <x v="0"/>
    <x v="0"/>
    <x v="0"/>
    <x v="12"/>
    <x v="0"/>
    <x v="807"/>
    <n v="597.41999999999996"/>
    <x v="0"/>
    <x v="0"/>
    <x v="0"/>
    <n v="20.96"/>
    <m/>
    <m/>
    <x v="184"/>
    <x v="218"/>
    <m/>
  </r>
  <r>
    <x v="658"/>
    <x v="831"/>
    <x v="1"/>
    <x v="0"/>
    <x v="0"/>
    <x v="0"/>
    <x v="3"/>
    <x v="0"/>
    <x v="808"/>
    <n v="85.51"/>
    <x v="0"/>
    <x v="0"/>
    <x v="0"/>
    <n v="0.71699999999999997"/>
    <m/>
    <m/>
    <x v="46"/>
    <x v="102"/>
    <m/>
  </r>
  <r>
    <x v="659"/>
    <x v="832"/>
    <x v="6"/>
    <x v="0"/>
    <x v="0"/>
    <x v="0"/>
    <x v="3"/>
    <x v="0"/>
    <x v="809"/>
    <n v="21.58"/>
    <x v="0"/>
    <x v="201"/>
    <x v="173"/>
    <n v="0.03"/>
    <n v="0.21"/>
    <m/>
    <x v="45"/>
    <x v="36"/>
    <n v="3.06"/>
  </r>
  <r>
    <x v="660"/>
    <x v="833"/>
    <x v="14"/>
    <x v="0"/>
    <x v="0"/>
    <x v="0"/>
    <x v="3"/>
    <x v="0"/>
    <x v="810"/>
    <n v="114.07"/>
    <x v="0"/>
    <x v="0"/>
    <x v="0"/>
    <n v="1.964"/>
    <m/>
    <m/>
    <x v="130"/>
    <x v="269"/>
    <m/>
  </r>
  <r>
    <x v="661"/>
    <x v="834"/>
    <x v="15"/>
    <x v="0"/>
    <x v="0"/>
    <x v="0"/>
    <x v="17"/>
    <x v="0"/>
    <x v="811"/>
    <n v="42.22"/>
    <x v="182"/>
    <x v="0"/>
    <x v="0"/>
    <n v="6.79"/>
    <m/>
    <m/>
    <x v="18"/>
    <x v="41"/>
    <m/>
  </r>
  <r>
    <x v="662"/>
    <x v="835"/>
    <x v="5"/>
    <x v="0"/>
    <x v="0"/>
    <x v="0"/>
    <x v="3"/>
    <x v="0"/>
    <x v="812"/>
    <n v="32.479999999999997"/>
    <x v="183"/>
    <x v="0"/>
    <x v="0"/>
    <n v="2.33"/>
    <m/>
    <m/>
    <x v="127"/>
    <x v="3"/>
    <m/>
  </r>
  <r>
    <x v="663"/>
    <x v="836"/>
    <x v="16"/>
    <x v="0"/>
    <x v="0"/>
    <x v="0"/>
    <x v="3"/>
    <x v="0"/>
    <x v="813"/>
    <n v="54.88"/>
    <x v="0"/>
    <x v="0"/>
    <x v="0"/>
    <n v="0.44"/>
    <m/>
    <m/>
    <x v="99"/>
    <x v="62"/>
    <m/>
  </r>
  <r>
    <x v="664"/>
    <x v="837"/>
    <x v="9"/>
    <x v="0"/>
    <x v="0"/>
    <x v="0"/>
    <x v="3"/>
    <x v="0"/>
    <x v="814"/>
    <n v="55.7"/>
    <x v="0"/>
    <x v="0"/>
    <x v="0"/>
    <n v="7.0000000000000007E-2"/>
    <m/>
    <m/>
    <x v="12"/>
    <x v="56"/>
    <m/>
  </r>
  <r>
    <x v="665"/>
    <x v="838"/>
    <x v="14"/>
    <x v="0"/>
    <x v="0"/>
    <x v="0"/>
    <x v="3"/>
    <x v="1"/>
    <x v="815"/>
    <n v="147.21"/>
    <x v="0"/>
    <x v="0"/>
    <x v="0"/>
    <n v="1.23"/>
    <m/>
    <m/>
    <x v="158"/>
    <x v="270"/>
    <m/>
  </r>
  <r>
    <x v="665"/>
    <x v="839"/>
    <x v="5"/>
    <x v="0"/>
    <x v="0"/>
    <x v="0"/>
    <x v="3"/>
    <x v="1"/>
    <x v="816"/>
    <n v="147.21"/>
    <x v="0"/>
    <x v="0"/>
    <x v="0"/>
    <n v="5.69"/>
    <m/>
    <m/>
    <x v="158"/>
    <x v="270"/>
    <m/>
  </r>
  <r>
    <x v="666"/>
    <x v="840"/>
    <x v="19"/>
    <x v="0"/>
    <x v="0"/>
    <x v="0"/>
    <x v="4"/>
    <x v="0"/>
    <x v="817"/>
    <n v="78.8"/>
    <x v="0"/>
    <x v="0"/>
    <x v="0"/>
    <n v="8.1999999999999993"/>
    <m/>
    <m/>
    <x v="180"/>
    <x v="6"/>
    <m/>
  </r>
  <r>
    <x v="667"/>
    <x v="841"/>
    <x v="8"/>
    <x v="0"/>
    <x v="0"/>
    <x v="0"/>
    <x v="4"/>
    <x v="0"/>
    <x v="818"/>
    <n v="103.63"/>
    <x v="0"/>
    <x v="0"/>
    <x v="0"/>
    <n v="1.98"/>
    <m/>
    <m/>
    <x v="185"/>
    <x v="271"/>
    <m/>
  </r>
  <r>
    <x v="668"/>
    <x v="842"/>
    <x v="10"/>
    <x v="0"/>
    <x v="0"/>
    <x v="0"/>
    <x v="11"/>
    <x v="0"/>
    <x v="819"/>
    <n v="56.2"/>
    <x v="0"/>
    <x v="0"/>
    <x v="0"/>
    <n v="1.56"/>
    <m/>
    <m/>
    <x v="110"/>
    <x v="6"/>
    <m/>
  </r>
  <r>
    <x v="669"/>
    <x v="843"/>
    <x v="10"/>
    <x v="0"/>
    <x v="0"/>
    <x v="0"/>
    <x v="11"/>
    <x v="0"/>
    <x v="820"/>
    <n v="58.6"/>
    <x v="0"/>
    <x v="0"/>
    <x v="0"/>
    <n v="2.68"/>
    <m/>
    <m/>
    <x v="122"/>
    <x v="6"/>
    <m/>
  </r>
  <r>
    <x v="670"/>
    <x v="844"/>
    <x v="19"/>
    <x v="0"/>
    <x v="1"/>
    <x v="3"/>
    <x v="16"/>
    <x v="0"/>
    <x v="821"/>
    <n v="55.2"/>
    <x v="0"/>
    <x v="202"/>
    <x v="174"/>
    <n v="0.04"/>
    <n v="0.22"/>
    <m/>
    <x v="94"/>
    <x v="185"/>
    <n v="3"/>
  </r>
  <r>
    <x v="671"/>
    <x v="845"/>
    <x v="6"/>
    <x v="0"/>
    <x v="0"/>
    <x v="0"/>
    <x v="17"/>
    <x v="0"/>
    <x v="822"/>
    <n v="23.39"/>
    <x v="0"/>
    <x v="0"/>
    <x v="0"/>
    <n v="0.36"/>
    <m/>
    <m/>
    <x v="74"/>
    <x v="272"/>
    <m/>
  </r>
  <r>
    <x v="672"/>
    <x v="846"/>
    <x v="16"/>
    <x v="0"/>
    <x v="0"/>
    <x v="0"/>
    <x v="3"/>
    <x v="2"/>
    <x v="823"/>
    <n v="50.55"/>
    <x v="184"/>
    <x v="0"/>
    <x v="0"/>
    <n v="3.9"/>
    <m/>
    <m/>
    <x v="53"/>
    <x v="88"/>
    <m/>
  </r>
  <r>
    <x v="672"/>
    <x v="847"/>
    <x v="11"/>
    <x v="0"/>
    <x v="0"/>
    <x v="0"/>
    <x v="3"/>
    <x v="2"/>
    <x v="824"/>
    <n v="50.55"/>
    <x v="184"/>
    <x v="0"/>
    <x v="0"/>
    <n v="1.31"/>
    <m/>
    <m/>
    <x v="53"/>
    <x v="88"/>
    <m/>
  </r>
  <r>
    <x v="672"/>
    <x v="848"/>
    <x v="1"/>
    <x v="0"/>
    <x v="0"/>
    <x v="0"/>
    <x v="3"/>
    <x v="2"/>
    <x v="825"/>
    <n v="50.55"/>
    <x v="184"/>
    <x v="0"/>
    <x v="0"/>
    <n v="0.59"/>
    <m/>
    <m/>
    <x v="53"/>
    <x v="88"/>
    <m/>
  </r>
  <r>
    <x v="673"/>
    <x v="849"/>
    <x v="20"/>
    <x v="0"/>
    <x v="0"/>
    <x v="0"/>
    <x v="30"/>
    <x v="0"/>
    <x v="826"/>
    <n v="33.19"/>
    <x v="0"/>
    <x v="0"/>
    <x v="0"/>
    <n v="3.9960000000000002E-2"/>
    <m/>
    <m/>
    <x v="137"/>
    <x v="6"/>
    <m/>
  </r>
  <r>
    <x v="674"/>
    <x v="850"/>
    <x v="10"/>
    <x v="0"/>
    <x v="1"/>
    <x v="3"/>
    <x v="16"/>
    <x v="3"/>
    <x v="827"/>
    <n v="106.61"/>
    <x v="0"/>
    <x v="0"/>
    <x v="175"/>
    <m/>
    <n v="0.25900000000000001"/>
    <m/>
    <x v="93"/>
    <x v="107"/>
    <m/>
  </r>
  <r>
    <x v="674"/>
    <x v="851"/>
    <x v="10"/>
    <x v="0"/>
    <x v="1"/>
    <x v="3"/>
    <x v="16"/>
    <x v="3"/>
    <x v="828"/>
    <n v="106.61"/>
    <x v="0"/>
    <x v="0"/>
    <x v="176"/>
    <m/>
    <n v="0.22800000000000001"/>
    <m/>
    <x v="93"/>
    <x v="107"/>
    <m/>
  </r>
  <r>
    <x v="674"/>
    <x v="852"/>
    <x v="10"/>
    <x v="0"/>
    <x v="1"/>
    <x v="3"/>
    <x v="16"/>
    <x v="3"/>
    <x v="829"/>
    <n v="106.61"/>
    <x v="0"/>
    <x v="0"/>
    <x v="177"/>
    <m/>
    <n v="0.35299999999999998"/>
    <m/>
    <x v="93"/>
    <x v="107"/>
    <m/>
  </r>
  <r>
    <x v="674"/>
    <x v="853"/>
    <x v="10"/>
    <x v="0"/>
    <x v="1"/>
    <x v="3"/>
    <x v="16"/>
    <x v="3"/>
    <x v="830"/>
    <n v="106.61"/>
    <x v="0"/>
    <x v="0"/>
    <x v="178"/>
    <m/>
    <n v="0.49199999999999999"/>
    <m/>
    <x v="93"/>
    <x v="107"/>
    <m/>
  </r>
  <r>
    <x v="674"/>
    <x v="854"/>
    <x v="10"/>
    <x v="0"/>
    <x v="1"/>
    <x v="3"/>
    <x v="16"/>
    <x v="3"/>
    <x v="327"/>
    <n v="106.61"/>
    <x v="0"/>
    <x v="0"/>
    <x v="179"/>
    <m/>
    <n v="0.91"/>
    <m/>
    <x v="93"/>
    <x v="107"/>
    <m/>
  </r>
  <r>
    <x v="675"/>
    <x v="855"/>
    <x v="1"/>
    <x v="0"/>
    <x v="0"/>
    <x v="0"/>
    <x v="17"/>
    <x v="1"/>
    <x v="831"/>
    <n v="51.68"/>
    <x v="0"/>
    <x v="0"/>
    <x v="0"/>
    <n v="0.96"/>
    <m/>
    <m/>
    <x v="182"/>
    <x v="91"/>
    <m/>
  </r>
  <r>
    <x v="675"/>
    <x v="856"/>
    <x v="14"/>
    <x v="0"/>
    <x v="0"/>
    <x v="0"/>
    <x v="17"/>
    <x v="1"/>
    <x v="832"/>
    <n v="51.68"/>
    <x v="0"/>
    <x v="0"/>
    <x v="0"/>
    <n v="15.04"/>
    <m/>
    <m/>
    <x v="182"/>
    <x v="91"/>
    <m/>
  </r>
  <r>
    <x v="676"/>
    <x v="857"/>
    <x v="20"/>
    <x v="0"/>
    <x v="0"/>
    <x v="0"/>
    <x v="30"/>
    <x v="1"/>
    <x v="833"/>
    <n v="18.73"/>
    <x v="0"/>
    <x v="0"/>
    <x v="0"/>
    <n v="2.7119999999999998E-2"/>
    <m/>
    <m/>
    <x v="40"/>
    <x v="6"/>
    <m/>
  </r>
  <r>
    <x v="676"/>
    <x v="858"/>
    <x v="20"/>
    <x v="0"/>
    <x v="0"/>
    <x v="0"/>
    <x v="30"/>
    <x v="1"/>
    <x v="834"/>
    <n v="18.73"/>
    <x v="0"/>
    <x v="0"/>
    <x v="0"/>
    <n v="3.9140000000000001E-2"/>
    <m/>
    <m/>
    <x v="40"/>
    <x v="6"/>
    <m/>
  </r>
  <r>
    <x v="677"/>
    <x v="859"/>
    <x v="14"/>
    <x v="0"/>
    <x v="0"/>
    <x v="0"/>
    <x v="3"/>
    <x v="2"/>
    <x v="835"/>
    <n v="25.88"/>
    <x v="0"/>
    <x v="0"/>
    <x v="0"/>
    <n v="0.02"/>
    <m/>
    <m/>
    <x v="71"/>
    <x v="202"/>
    <m/>
  </r>
  <r>
    <x v="677"/>
    <x v="860"/>
    <x v="14"/>
    <x v="0"/>
    <x v="0"/>
    <x v="0"/>
    <x v="3"/>
    <x v="2"/>
    <x v="836"/>
    <n v="25.88"/>
    <x v="0"/>
    <x v="0"/>
    <x v="0"/>
    <n v="0.40901999999999999"/>
    <m/>
    <m/>
    <x v="71"/>
    <x v="202"/>
    <m/>
  </r>
  <r>
    <x v="677"/>
    <x v="861"/>
    <x v="14"/>
    <x v="0"/>
    <x v="0"/>
    <x v="0"/>
    <x v="3"/>
    <x v="2"/>
    <x v="837"/>
    <n v="25.88"/>
    <x v="0"/>
    <x v="0"/>
    <x v="0"/>
    <n v="0.52669999999999995"/>
    <m/>
    <m/>
    <x v="71"/>
    <x v="202"/>
    <m/>
  </r>
  <r>
    <x v="678"/>
    <x v="862"/>
    <x v="7"/>
    <x v="0"/>
    <x v="0"/>
    <x v="0"/>
    <x v="4"/>
    <x v="0"/>
    <x v="838"/>
    <n v="157.16"/>
    <x v="0"/>
    <x v="0"/>
    <x v="0"/>
    <n v="9.18"/>
    <m/>
    <m/>
    <x v="8"/>
    <x v="6"/>
    <m/>
  </r>
  <r>
    <x v="679"/>
    <x v="863"/>
    <x v="10"/>
    <x v="0"/>
    <x v="0"/>
    <x v="0"/>
    <x v="11"/>
    <x v="1"/>
    <x v="839"/>
    <n v="55.5"/>
    <x v="0"/>
    <x v="0"/>
    <x v="0"/>
    <n v="0.42799999999999999"/>
    <m/>
    <m/>
    <x v="89"/>
    <x v="6"/>
    <m/>
  </r>
  <r>
    <x v="679"/>
    <x v="864"/>
    <x v="10"/>
    <x v="0"/>
    <x v="0"/>
    <x v="0"/>
    <x v="11"/>
    <x v="1"/>
    <x v="840"/>
    <n v="55.5"/>
    <x v="0"/>
    <x v="0"/>
    <x v="0"/>
    <n v="0.78400000000000003"/>
    <m/>
    <m/>
    <x v="89"/>
    <x v="6"/>
    <m/>
  </r>
  <r>
    <x v="680"/>
    <x v="865"/>
    <x v="17"/>
    <x v="0"/>
    <x v="0"/>
    <x v="1"/>
    <x v="9"/>
    <x v="0"/>
    <x v="6"/>
    <n v="111.4"/>
    <x v="185"/>
    <x v="203"/>
    <x v="111"/>
    <n v="9"/>
    <n v="1.5"/>
    <m/>
    <x v="160"/>
    <x v="273"/>
    <m/>
  </r>
  <r>
    <x v="681"/>
    <x v="866"/>
    <x v="8"/>
    <x v="0"/>
    <x v="0"/>
    <x v="0"/>
    <x v="4"/>
    <x v="0"/>
    <x v="841"/>
    <n v="136.05000000000001"/>
    <x v="0"/>
    <x v="0"/>
    <x v="0"/>
    <n v="6"/>
    <m/>
    <m/>
    <x v="186"/>
    <x v="274"/>
    <m/>
  </r>
  <r>
    <x v="682"/>
    <x v="867"/>
    <x v="17"/>
    <x v="0"/>
    <x v="0"/>
    <x v="0"/>
    <x v="4"/>
    <x v="0"/>
    <x v="842"/>
    <n v="112.6"/>
    <x v="0"/>
    <x v="0"/>
    <x v="0"/>
    <n v="11.1"/>
    <m/>
    <m/>
    <x v="187"/>
    <x v="275"/>
    <m/>
  </r>
  <r>
    <x v="683"/>
    <x v="868"/>
    <x v="8"/>
    <x v="0"/>
    <x v="0"/>
    <x v="0"/>
    <x v="4"/>
    <x v="1"/>
    <x v="843"/>
    <n v="65.959999999999994"/>
    <x v="0"/>
    <x v="0"/>
    <x v="0"/>
    <n v="1.38"/>
    <m/>
    <m/>
    <x v="163"/>
    <x v="276"/>
    <m/>
  </r>
  <r>
    <x v="683"/>
    <x v="869"/>
    <x v="8"/>
    <x v="0"/>
    <x v="0"/>
    <x v="0"/>
    <x v="4"/>
    <x v="1"/>
    <x v="844"/>
    <n v="65.959999999999994"/>
    <x v="0"/>
    <x v="0"/>
    <x v="0"/>
    <n v="5.98"/>
    <m/>
    <m/>
    <x v="163"/>
    <x v="276"/>
    <m/>
  </r>
  <r>
    <x v="684"/>
    <x v="870"/>
    <x v="1"/>
    <x v="0"/>
    <x v="0"/>
    <x v="0"/>
    <x v="17"/>
    <x v="0"/>
    <x v="845"/>
    <n v="24.07"/>
    <x v="23"/>
    <x v="0"/>
    <x v="0"/>
    <n v="9"/>
    <m/>
    <m/>
    <x v="80"/>
    <x v="6"/>
    <m/>
  </r>
  <r>
    <x v="685"/>
    <x v="871"/>
    <x v="20"/>
    <x v="0"/>
    <x v="0"/>
    <x v="0"/>
    <x v="30"/>
    <x v="0"/>
    <x v="846"/>
    <n v="32.36"/>
    <x v="0"/>
    <x v="0"/>
    <x v="0"/>
    <n v="5.9150000000000001E-2"/>
    <m/>
    <m/>
    <x v="62"/>
    <x v="6"/>
    <m/>
  </r>
  <r>
    <x v="686"/>
    <x v="872"/>
    <x v="10"/>
    <x v="0"/>
    <x v="0"/>
    <x v="0"/>
    <x v="4"/>
    <x v="0"/>
    <x v="847"/>
    <n v="91.49"/>
    <x v="0"/>
    <x v="0"/>
    <x v="0"/>
    <n v="2.4"/>
    <m/>
    <m/>
    <x v="177"/>
    <x v="277"/>
    <m/>
  </r>
  <r>
    <x v="687"/>
    <x v="873"/>
    <x v="6"/>
    <x v="0"/>
    <x v="0"/>
    <x v="1"/>
    <x v="5"/>
    <x v="0"/>
    <x v="6"/>
    <n v="156.69999999999999"/>
    <x v="1"/>
    <x v="204"/>
    <x v="0"/>
    <n v="23"/>
    <m/>
    <m/>
    <x v="186"/>
    <x v="6"/>
    <m/>
  </r>
  <r>
    <x v="688"/>
    <x v="874"/>
    <x v="1"/>
    <x v="0"/>
    <x v="0"/>
    <x v="0"/>
    <x v="3"/>
    <x v="0"/>
    <x v="848"/>
    <n v="14.54"/>
    <x v="0"/>
    <x v="0"/>
    <x v="0"/>
    <n v="2.1"/>
    <m/>
    <m/>
    <x v="73"/>
    <x v="80"/>
    <m/>
  </r>
  <r>
    <x v="689"/>
    <x v="875"/>
    <x v="10"/>
    <x v="0"/>
    <x v="0"/>
    <x v="0"/>
    <x v="4"/>
    <x v="0"/>
    <x v="849"/>
    <n v="168.63"/>
    <x v="0"/>
    <x v="0"/>
    <x v="0"/>
    <n v="5.5"/>
    <m/>
    <m/>
    <x v="63"/>
    <x v="278"/>
    <m/>
  </r>
  <r>
    <x v="690"/>
    <x v="876"/>
    <x v="7"/>
    <x v="0"/>
    <x v="0"/>
    <x v="0"/>
    <x v="11"/>
    <x v="0"/>
    <x v="850"/>
    <n v="45.95"/>
    <x v="0"/>
    <x v="0"/>
    <x v="0"/>
    <n v="1.0900000000000001"/>
    <m/>
    <m/>
    <x v="54"/>
    <x v="111"/>
    <m/>
  </r>
  <r>
    <x v="691"/>
    <x v="877"/>
    <x v="19"/>
    <x v="0"/>
    <x v="0"/>
    <x v="0"/>
    <x v="4"/>
    <x v="0"/>
    <x v="851"/>
    <n v="106.5"/>
    <x v="0"/>
    <x v="0"/>
    <x v="0"/>
    <n v="20"/>
    <m/>
    <m/>
    <x v="15"/>
    <x v="279"/>
    <m/>
  </r>
  <r>
    <x v="692"/>
    <x v="878"/>
    <x v="11"/>
    <x v="0"/>
    <x v="1"/>
    <x v="1"/>
    <x v="21"/>
    <x v="0"/>
    <x v="6"/>
    <n v="18.13"/>
    <x v="186"/>
    <x v="205"/>
    <x v="180"/>
    <n v="21.998699999999999"/>
    <n v="1.0509999999999999"/>
    <m/>
    <x v="32"/>
    <x v="110"/>
    <m/>
  </r>
  <r>
    <x v="693"/>
    <x v="879"/>
    <x v="10"/>
    <x v="0"/>
    <x v="0"/>
    <x v="1"/>
    <x v="5"/>
    <x v="0"/>
    <x v="6"/>
    <n v="33.630000000000003"/>
    <x v="187"/>
    <x v="206"/>
    <x v="60"/>
    <n v="30"/>
    <n v="1.1100000000000001"/>
    <m/>
    <x v="123"/>
    <x v="6"/>
    <m/>
  </r>
  <r>
    <x v="694"/>
    <x v="880"/>
    <x v="21"/>
    <x v="0"/>
    <x v="0"/>
    <x v="0"/>
    <x v="17"/>
    <x v="0"/>
    <x v="852"/>
    <n v="17.329999999999998"/>
    <x v="0"/>
    <x v="0"/>
    <x v="0"/>
    <n v="2.27"/>
    <m/>
    <m/>
    <x v="151"/>
    <x v="4"/>
    <m/>
  </r>
  <r>
    <x v="695"/>
    <x v="881"/>
    <x v="2"/>
    <x v="0"/>
    <x v="0"/>
    <x v="1"/>
    <x v="5"/>
    <x v="4"/>
    <x v="853"/>
    <n v="39.4"/>
    <x v="0"/>
    <x v="207"/>
    <x v="181"/>
    <n v="7"/>
    <n v="1.2"/>
    <m/>
    <x v="156"/>
    <x v="6"/>
    <m/>
  </r>
  <r>
    <x v="695"/>
    <x v="882"/>
    <x v="2"/>
    <x v="0"/>
    <x v="0"/>
    <x v="1"/>
    <x v="5"/>
    <x v="4"/>
    <x v="854"/>
    <n v="39.4"/>
    <x v="0"/>
    <x v="1"/>
    <x v="181"/>
    <n v="10"/>
    <n v="1.2"/>
    <m/>
    <x v="156"/>
    <x v="6"/>
    <m/>
  </r>
  <r>
    <x v="695"/>
    <x v="883"/>
    <x v="2"/>
    <x v="0"/>
    <x v="0"/>
    <x v="1"/>
    <x v="3"/>
    <x v="4"/>
    <x v="855"/>
    <n v="39.4"/>
    <x v="0"/>
    <x v="1"/>
    <x v="181"/>
    <n v="10"/>
    <n v="1.2"/>
    <m/>
    <x v="156"/>
    <x v="6"/>
    <m/>
  </r>
  <r>
    <x v="695"/>
    <x v="884"/>
    <x v="6"/>
    <x v="0"/>
    <x v="0"/>
    <x v="1"/>
    <x v="3"/>
    <x v="4"/>
    <x v="856"/>
    <n v="39.4"/>
    <x v="0"/>
    <x v="0"/>
    <x v="0"/>
    <m/>
    <m/>
    <m/>
    <x v="156"/>
    <x v="6"/>
    <m/>
  </r>
  <r>
    <x v="696"/>
    <x v="885"/>
    <x v="5"/>
    <x v="0"/>
    <x v="0"/>
    <x v="0"/>
    <x v="17"/>
    <x v="0"/>
    <x v="857"/>
    <n v="879.38"/>
    <x v="188"/>
    <x v="0"/>
    <x v="0"/>
    <n v="6.3"/>
    <m/>
    <m/>
    <x v="180"/>
    <x v="6"/>
    <m/>
  </r>
  <r>
    <x v="697"/>
    <x v="886"/>
    <x v="8"/>
    <x v="0"/>
    <x v="1"/>
    <x v="3"/>
    <x v="16"/>
    <x v="0"/>
    <x v="858"/>
    <n v="274.48"/>
    <x v="0"/>
    <x v="208"/>
    <x v="182"/>
    <n v="8.4949999999999998E-2"/>
    <n v="0.34300000000000003"/>
    <n v="2.6"/>
    <x v="127"/>
    <x v="62"/>
    <n v="1.38"/>
  </r>
  <r>
    <x v="698"/>
    <x v="887"/>
    <x v="10"/>
    <x v="0"/>
    <x v="1"/>
    <x v="3"/>
    <x v="16"/>
    <x v="0"/>
    <x v="859"/>
    <n v="190.04"/>
    <x v="0"/>
    <x v="0"/>
    <x v="183"/>
    <m/>
    <n v="0.32"/>
    <m/>
    <x v="16"/>
    <x v="147"/>
    <n v="3.2170000000000001"/>
  </r>
  <r>
    <x v="699"/>
    <x v="888"/>
    <x v="10"/>
    <x v="0"/>
    <x v="1"/>
    <x v="3"/>
    <x v="16"/>
    <x v="0"/>
    <x v="860"/>
    <n v="189.33"/>
    <x v="189"/>
    <x v="0"/>
    <x v="184"/>
    <m/>
    <n v="0.17799999999999999"/>
    <m/>
    <x v="34"/>
    <x v="142"/>
    <n v="2.92"/>
  </r>
  <r>
    <x v="700"/>
    <x v="889"/>
    <x v="10"/>
    <x v="0"/>
    <x v="1"/>
    <x v="3"/>
    <x v="16"/>
    <x v="0"/>
    <x v="861"/>
    <n v="189.17"/>
    <x v="189"/>
    <x v="0"/>
    <x v="185"/>
    <m/>
    <n v="0.11600000000000001"/>
    <m/>
    <x v="96"/>
    <x v="32"/>
    <n v="3.03"/>
  </r>
  <r>
    <x v="701"/>
    <x v="890"/>
    <x v="10"/>
    <x v="0"/>
    <x v="1"/>
    <x v="3"/>
    <x v="16"/>
    <x v="0"/>
    <x v="862"/>
    <n v="190.21"/>
    <x v="0"/>
    <x v="0"/>
    <x v="186"/>
    <m/>
    <n v="0.17499999999999999"/>
    <m/>
    <x v="182"/>
    <x v="75"/>
    <m/>
  </r>
  <r>
    <x v="702"/>
    <x v="891"/>
    <x v="17"/>
    <x v="0"/>
    <x v="1"/>
    <x v="3"/>
    <x v="16"/>
    <x v="0"/>
    <x v="863"/>
    <n v="199.28"/>
    <x v="0"/>
    <x v="0"/>
    <x v="187"/>
    <m/>
    <n v="0.30099999999999999"/>
    <m/>
    <x v="7"/>
    <x v="33"/>
    <n v="1.5409999999999999"/>
  </r>
  <r>
    <x v="703"/>
    <x v="892"/>
    <x v="17"/>
    <x v="0"/>
    <x v="1"/>
    <x v="3"/>
    <x v="16"/>
    <x v="0"/>
    <x v="864"/>
    <n v="696.95"/>
    <x v="0"/>
    <x v="0"/>
    <x v="188"/>
    <m/>
    <n v="1.4259999999999999"/>
    <m/>
    <x v="123"/>
    <x v="280"/>
    <n v="0.45700000000000002"/>
  </r>
  <r>
    <x v="704"/>
    <x v="893"/>
    <x v="17"/>
    <x v="0"/>
    <x v="1"/>
    <x v="3"/>
    <x v="16"/>
    <x v="0"/>
    <x v="865"/>
    <n v="484.99"/>
    <x v="0"/>
    <x v="0"/>
    <x v="189"/>
    <m/>
    <n v="0.47599999999999998"/>
    <m/>
    <x v="63"/>
    <x v="192"/>
    <n v="0.80600000000000005"/>
  </r>
  <r>
    <x v="705"/>
    <x v="894"/>
    <x v="8"/>
    <x v="0"/>
    <x v="1"/>
    <x v="3"/>
    <x v="16"/>
    <x v="0"/>
    <x v="866"/>
    <n v="332.46"/>
    <x v="0"/>
    <x v="0"/>
    <x v="190"/>
    <m/>
    <n v="0.67400000000000004"/>
    <m/>
    <x v="131"/>
    <x v="281"/>
    <m/>
  </r>
  <r>
    <x v="706"/>
    <x v="895"/>
    <x v="17"/>
    <x v="0"/>
    <x v="1"/>
    <x v="3"/>
    <x v="16"/>
    <x v="0"/>
    <x v="867"/>
    <n v="116.84"/>
    <x v="0"/>
    <x v="0"/>
    <x v="176"/>
    <m/>
    <n v="0.22800000000000001"/>
    <m/>
    <x v="174"/>
    <x v="32"/>
    <n v="3.5150000000000001"/>
  </r>
  <r>
    <x v="707"/>
    <x v="896"/>
    <x v="17"/>
    <x v="0"/>
    <x v="1"/>
    <x v="3"/>
    <x v="16"/>
    <x v="0"/>
    <x v="868"/>
    <n v="201.51"/>
    <x v="190"/>
    <x v="209"/>
    <x v="191"/>
    <n v="2.7060000000000001E-2"/>
    <n v="0.17"/>
    <n v="6.6"/>
    <x v="59"/>
    <x v="14"/>
    <n v="0.51"/>
  </r>
  <r>
    <x v="708"/>
    <x v="897"/>
    <x v="17"/>
    <x v="0"/>
    <x v="1"/>
    <x v="3"/>
    <x v="16"/>
    <x v="0"/>
    <x v="869"/>
    <n v="649.75"/>
    <x v="0"/>
    <x v="0"/>
    <x v="192"/>
    <m/>
    <n v="1.083"/>
    <m/>
    <x v="48"/>
    <x v="89"/>
    <n v="0.98699999999999999"/>
  </r>
  <r>
    <x v="709"/>
    <x v="898"/>
    <x v="17"/>
    <x v="0"/>
    <x v="1"/>
    <x v="3"/>
    <x v="16"/>
    <x v="0"/>
    <x v="870"/>
    <n v="484.8"/>
    <x v="0"/>
    <x v="0"/>
    <x v="193"/>
    <m/>
    <n v="0.95199999999999996"/>
    <m/>
    <x v="45"/>
    <x v="239"/>
    <n v="1.655"/>
  </r>
  <r>
    <x v="710"/>
    <x v="899"/>
    <x v="17"/>
    <x v="0"/>
    <x v="1"/>
    <x v="3"/>
    <x v="16"/>
    <x v="0"/>
    <x v="871"/>
    <n v="418.58"/>
    <x v="0"/>
    <x v="0"/>
    <x v="194"/>
    <m/>
    <n v="1.0760000000000001"/>
    <m/>
    <x v="44"/>
    <x v="100"/>
    <n v="2.6629999999999998"/>
  </r>
  <r>
    <x v="711"/>
    <x v="900"/>
    <x v="17"/>
    <x v="0"/>
    <x v="1"/>
    <x v="3"/>
    <x v="16"/>
    <x v="0"/>
    <x v="872"/>
    <n v="49.46"/>
    <x v="0"/>
    <x v="0"/>
    <x v="195"/>
    <m/>
    <n v="6.2E-2"/>
    <m/>
    <x v="74"/>
    <x v="282"/>
    <m/>
  </r>
  <r>
    <x v="712"/>
    <x v="901"/>
    <x v="17"/>
    <x v="0"/>
    <x v="1"/>
    <x v="3"/>
    <x v="16"/>
    <x v="1"/>
    <x v="873"/>
    <n v="101.95"/>
    <x v="0"/>
    <x v="0"/>
    <x v="196"/>
    <m/>
    <n v="0.18099999999999999"/>
    <m/>
    <x v="77"/>
    <x v="283"/>
    <m/>
  </r>
  <r>
    <x v="712"/>
    <x v="902"/>
    <x v="17"/>
    <x v="0"/>
    <x v="1"/>
    <x v="3"/>
    <x v="16"/>
    <x v="1"/>
    <x v="874"/>
    <n v="101.95"/>
    <x v="0"/>
    <x v="0"/>
    <x v="197"/>
    <m/>
    <n v="0.184"/>
    <m/>
    <x v="77"/>
    <x v="283"/>
    <m/>
  </r>
  <r>
    <x v="713"/>
    <x v="903"/>
    <x v="17"/>
    <x v="0"/>
    <x v="1"/>
    <x v="3"/>
    <x v="16"/>
    <x v="0"/>
    <x v="875"/>
    <n v="324.7"/>
    <x v="0"/>
    <x v="0"/>
    <x v="198"/>
    <m/>
    <n v="0.22700000000000001"/>
    <m/>
    <x v="99"/>
    <x v="142"/>
    <m/>
  </r>
  <r>
    <x v="714"/>
    <x v="904"/>
    <x v="17"/>
    <x v="0"/>
    <x v="1"/>
    <x v="3"/>
    <x v="16"/>
    <x v="0"/>
    <x v="876"/>
    <n v="369.66"/>
    <x v="0"/>
    <x v="0"/>
    <x v="199"/>
    <m/>
    <n v="0.22600000000000001"/>
    <m/>
    <x v="99"/>
    <x v="32"/>
    <n v="2.2509999999999999"/>
  </r>
  <r>
    <x v="715"/>
    <x v="905"/>
    <x v="8"/>
    <x v="0"/>
    <x v="1"/>
    <x v="3"/>
    <x v="16"/>
    <x v="0"/>
    <x v="877"/>
    <n v="329.36"/>
    <x v="0"/>
    <x v="0"/>
    <x v="200"/>
    <m/>
    <n v="0.20799999999999999"/>
    <m/>
    <x v="53"/>
    <x v="41"/>
    <m/>
  </r>
  <r>
    <x v="716"/>
    <x v="906"/>
    <x v="17"/>
    <x v="0"/>
    <x v="1"/>
    <x v="3"/>
    <x v="16"/>
    <x v="0"/>
    <x v="878"/>
    <n v="289.54000000000002"/>
    <x v="0"/>
    <x v="0"/>
    <x v="201"/>
    <m/>
    <n v="0.17899999999999999"/>
    <m/>
    <x v="74"/>
    <x v="282"/>
    <m/>
  </r>
  <r>
    <x v="717"/>
    <x v="907"/>
    <x v="17"/>
    <x v="0"/>
    <x v="1"/>
    <x v="3"/>
    <x v="16"/>
    <x v="0"/>
    <x v="879"/>
    <n v="170.37"/>
    <x v="0"/>
    <x v="0"/>
    <x v="202"/>
    <m/>
    <n v="0.66900000000000004"/>
    <m/>
    <x v="145"/>
    <x v="85"/>
    <n v="6.532"/>
  </r>
  <r>
    <x v="718"/>
    <x v="908"/>
    <x v="17"/>
    <x v="0"/>
    <x v="1"/>
    <x v="3"/>
    <x v="16"/>
    <x v="0"/>
    <x v="880"/>
    <n v="72.19"/>
    <x v="0"/>
    <x v="0"/>
    <x v="203"/>
    <m/>
    <n v="0.108"/>
    <m/>
    <x v="138"/>
    <x v="284"/>
    <n v="6.9390000000000001"/>
  </r>
  <r>
    <x v="719"/>
    <x v="909"/>
    <x v="17"/>
    <x v="0"/>
    <x v="1"/>
    <x v="3"/>
    <x v="16"/>
    <x v="0"/>
    <x v="881"/>
    <n v="162.36000000000001"/>
    <x v="0"/>
    <x v="0"/>
    <x v="204"/>
    <m/>
    <n v="0.246"/>
    <m/>
    <x v="138"/>
    <x v="285"/>
    <n v="4.5110000000000001"/>
  </r>
  <r>
    <x v="720"/>
    <x v="910"/>
    <x v="17"/>
    <x v="0"/>
    <x v="1"/>
    <x v="3"/>
    <x v="16"/>
    <x v="0"/>
    <x v="882"/>
    <n v="140.4"/>
    <x v="0"/>
    <x v="0"/>
    <x v="175"/>
    <m/>
    <n v="0.25900000000000001"/>
    <m/>
    <x v="81"/>
    <x v="76"/>
    <n v="9.58"/>
  </r>
  <r>
    <x v="721"/>
    <x v="911"/>
    <x v="17"/>
    <x v="0"/>
    <x v="1"/>
    <x v="3"/>
    <x v="16"/>
    <x v="0"/>
    <x v="883"/>
    <n v="124.6"/>
    <x v="0"/>
    <x v="0"/>
    <x v="205"/>
    <m/>
    <n v="0.19400000000000001"/>
    <m/>
    <x v="31"/>
    <x v="64"/>
    <m/>
  </r>
  <r>
    <x v="722"/>
    <x v="912"/>
    <x v="17"/>
    <x v="0"/>
    <x v="1"/>
    <x v="3"/>
    <x v="16"/>
    <x v="0"/>
    <x v="884"/>
    <n v="103.29"/>
    <x v="0"/>
    <x v="0"/>
    <x v="206"/>
    <m/>
    <n v="0.17599999999999999"/>
    <m/>
    <x v="74"/>
    <x v="272"/>
    <n v="2.903"/>
  </r>
  <r>
    <x v="723"/>
    <x v="913"/>
    <x v="17"/>
    <x v="0"/>
    <x v="1"/>
    <x v="3"/>
    <x v="16"/>
    <x v="0"/>
    <x v="885"/>
    <n v="723.97"/>
    <x v="0"/>
    <x v="0"/>
    <x v="207"/>
    <m/>
    <n v="0.747"/>
    <m/>
    <x v="145"/>
    <x v="286"/>
    <n v="2.2109999999999999"/>
  </r>
  <r>
    <x v="724"/>
    <x v="914"/>
    <x v="17"/>
    <x v="0"/>
    <x v="1"/>
    <x v="3"/>
    <x v="16"/>
    <x v="0"/>
    <x v="886"/>
    <n v="115.01"/>
    <x v="0"/>
    <x v="0"/>
    <x v="208"/>
    <m/>
    <n v="0.127"/>
    <m/>
    <x v="159"/>
    <x v="202"/>
    <m/>
  </r>
  <r>
    <x v="725"/>
    <x v="915"/>
    <x v="17"/>
    <x v="0"/>
    <x v="1"/>
    <x v="3"/>
    <x v="16"/>
    <x v="0"/>
    <x v="887"/>
    <n v="27.82"/>
    <x v="0"/>
    <x v="0"/>
    <x v="209"/>
    <m/>
    <n v="9.2999999999999999E-2"/>
    <m/>
    <x v="70"/>
    <x v="287"/>
    <m/>
  </r>
  <r>
    <x v="726"/>
    <x v="916"/>
    <x v="8"/>
    <x v="0"/>
    <x v="1"/>
    <x v="3"/>
    <x v="16"/>
    <x v="0"/>
    <x v="888"/>
    <n v="345.76"/>
    <x v="0"/>
    <x v="0"/>
    <x v="210"/>
    <m/>
    <n v="0.16900000000000001"/>
    <m/>
    <x v="34"/>
    <x v="202"/>
    <m/>
  </r>
  <r>
    <x v="727"/>
    <x v="917"/>
    <x v="17"/>
    <x v="0"/>
    <x v="1"/>
    <x v="3"/>
    <x v="16"/>
    <x v="0"/>
    <x v="889"/>
    <n v="118.41"/>
    <x v="0"/>
    <x v="0"/>
    <x v="211"/>
    <m/>
    <n v="0.112"/>
    <m/>
    <x v="37"/>
    <x v="36"/>
    <m/>
  </r>
  <r>
    <x v="728"/>
    <x v="918"/>
    <x v="17"/>
    <x v="0"/>
    <x v="1"/>
    <x v="3"/>
    <x v="16"/>
    <x v="0"/>
    <x v="890"/>
    <n v="153.69999999999999"/>
    <x v="0"/>
    <x v="0"/>
    <x v="169"/>
    <m/>
    <n v="0.152"/>
    <m/>
    <x v="97"/>
    <x v="91"/>
    <m/>
  </r>
  <r>
    <x v="729"/>
    <x v="919"/>
    <x v="17"/>
    <x v="0"/>
    <x v="1"/>
    <x v="3"/>
    <x v="16"/>
    <x v="0"/>
    <x v="891"/>
    <n v="620.41"/>
    <x v="191"/>
    <x v="210"/>
    <x v="17"/>
    <n v="0.49"/>
    <n v="1.3"/>
    <m/>
    <x v="4"/>
    <x v="288"/>
    <n v="2.64E-2"/>
  </r>
  <r>
    <x v="730"/>
    <x v="920"/>
    <x v="17"/>
    <x v="0"/>
    <x v="1"/>
    <x v="3"/>
    <x v="16"/>
    <x v="4"/>
    <x v="892"/>
    <n v="75.2"/>
    <x v="0"/>
    <x v="0"/>
    <x v="212"/>
    <m/>
    <n v="0.12"/>
    <m/>
    <x v="188"/>
    <x v="78"/>
    <m/>
  </r>
  <r>
    <x v="730"/>
    <x v="921"/>
    <x v="17"/>
    <x v="0"/>
    <x v="1"/>
    <x v="3"/>
    <x v="16"/>
    <x v="4"/>
    <x v="893"/>
    <n v="75.2"/>
    <x v="0"/>
    <x v="0"/>
    <x v="213"/>
    <m/>
    <n v="0.14299999999999999"/>
    <m/>
    <x v="188"/>
    <x v="78"/>
    <m/>
  </r>
  <r>
    <x v="730"/>
    <x v="922"/>
    <x v="17"/>
    <x v="0"/>
    <x v="1"/>
    <x v="3"/>
    <x v="16"/>
    <x v="4"/>
    <x v="894"/>
    <n v="75.2"/>
    <x v="0"/>
    <x v="0"/>
    <x v="214"/>
    <m/>
    <n v="0.17899999999999999"/>
    <m/>
    <x v="188"/>
    <x v="78"/>
    <m/>
  </r>
  <r>
    <x v="730"/>
    <x v="923"/>
    <x v="20"/>
    <x v="0"/>
    <x v="1"/>
    <x v="3"/>
    <x v="16"/>
    <x v="4"/>
    <x v="895"/>
    <n v="75.2"/>
    <x v="0"/>
    <x v="0"/>
    <x v="215"/>
    <m/>
    <n v="0.154"/>
    <m/>
    <x v="188"/>
    <x v="78"/>
    <m/>
  </r>
  <r>
    <x v="731"/>
    <x v="924"/>
    <x v="17"/>
    <x v="0"/>
    <x v="1"/>
    <x v="3"/>
    <x v="16"/>
    <x v="2"/>
    <x v="896"/>
    <n v="59.35"/>
    <x v="0"/>
    <x v="0"/>
    <x v="216"/>
    <m/>
    <n v="8.7999999999999995E-2"/>
    <m/>
    <x v="36"/>
    <x v="286"/>
    <n v="3.52"/>
  </r>
  <r>
    <x v="731"/>
    <x v="925"/>
    <x v="17"/>
    <x v="0"/>
    <x v="1"/>
    <x v="3"/>
    <x v="16"/>
    <x v="2"/>
    <x v="897"/>
    <n v="59.35"/>
    <x v="0"/>
    <x v="0"/>
    <x v="217"/>
    <m/>
    <n v="0.26"/>
    <m/>
    <x v="36"/>
    <x v="286"/>
    <n v="3.52"/>
  </r>
  <r>
    <x v="731"/>
    <x v="926"/>
    <x v="17"/>
    <x v="0"/>
    <x v="1"/>
    <x v="3"/>
    <x v="16"/>
    <x v="2"/>
    <x v="898"/>
    <n v="59.35"/>
    <x v="0"/>
    <x v="0"/>
    <x v="218"/>
    <m/>
    <n v="0.129"/>
    <m/>
    <x v="36"/>
    <x v="286"/>
    <n v="3.52"/>
  </r>
  <r>
    <x v="732"/>
    <x v="927"/>
    <x v="17"/>
    <x v="0"/>
    <x v="1"/>
    <x v="3"/>
    <x v="16"/>
    <x v="0"/>
    <x v="899"/>
    <n v="99.15"/>
    <x v="0"/>
    <x v="211"/>
    <x v="219"/>
    <n v="0.5"/>
    <n v="7.9000000000000001E-2"/>
    <m/>
    <x v="188"/>
    <x v="71"/>
    <n v="13"/>
  </r>
  <r>
    <x v="733"/>
    <x v="928"/>
    <x v="17"/>
    <x v="0"/>
    <x v="1"/>
    <x v="3"/>
    <x v="16"/>
    <x v="3"/>
    <x v="900"/>
    <n v="183"/>
    <x v="0"/>
    <x v="0"/>
    <x v="220"/>
    <m/>
    <n v="0.14000000000000001"/>
    <m/>
    <x v="89"/>
    <x v="24"/>
    <m/>
  </r>
  <r>
    <x v="733"/>
    <x v="929"/>
    <x v="17"/>
    <x v="0"/>
    <x v="1"/>
    <x v="3"/>
    <x v="16"/>
    <x v="3"/>
    <x v="901"/>
    <n v="183"/>
    <x v="0"/>
    <x v="0"/>
    <x v="221"/>
    <m/>
    <n v="0.22500000000000001"/>
    <m/>
    <x v="89"/>
    <x v="24"/>
    <m/>
  </r>
  <r>
    <x v="733"/>
    <x v="930"/>
    <x v="17"/>
    <x v="0"/>
    <x v="1"/>
    <x v="3"/>
    <x v="16"/>
    <x v="3"/>
    <x v="902"/>
    <n v="183"/>
    <x v="0"/>
    <x v="0"/>
    <x v="222"/>
    <m/>
    <n v="0.23699999999999999"/>
    <m/>
    <x v="89"/>
    <x v="24"/>
    <m/>
  </r>
  <r>
    <x v="733"/>
    <x v="931"/>
    <x v="17"/>
    <x v="0"/>
    <x v="1"/>
    <x v="3"/>
    <x v="16"/>
    <x v="3"/>
    <x v="903"/>
    <n v="183"/>
    <x v="0"/>
    <x v="0"/>
    <x v="223"/>
    <m/>
    <n v="0.29399999999999998"/>
    <m/>
    <x v="89"/>
    <x v="24"/>
    <m/>
  </r>
  <r>
    <x v="733"/>
    <x v="932"/>
    <x v="17"/>
    <x v="0"/>
    <x v="1"/>
    <x v="3"/>
    <x v="16"/>
    <x v="3"/>
    <x v="904"/>
    <n v="183"/>
    <x v="0"/>
    <x v="0"/>
    <x v="224"/>
    <m/>
    <n v="0.251"/>
    <m/>
    <x v="89"/>
    <x v="24"/>
    <m/>
  </r>
  <r>
    <x v="734"/>
    <x v="933"/>
    <x v="17"/>
    <x v="0"/>
    <x v="1"/>
    <x v="3"/>
    <x v="16"/>
    <x v="0"/>
    <x v="905"/>
    <n v="154.6"/>
    <x v="0"/>
    <x v="0"/>
    <x v="225"/>
    <m/>
    <n v="0.81299999999999994"/>
    <m/>
    <x v="50"/>
    <x v="100"/>
    <n v="2.4769999999999999"/>
  </r>
  <r>
    <x v="735"/>
    <x v="934"/>
    <x v="8"/>
    <x v="0"/>
    <x v="1"/>
    <x v="3"/>
    <x v="16"/>
    <x v="0"/>
    <x v="906"/>
    <n v="367.72"/>
    <x v="0"/>
    <x v="0"/>
    <x v="226"/>
    <m/>
    <n v="0.42899999999999999"/>
    <m/>
    <x v="76"/>
    <x v="234"/>
    <m/>
  </r>
  <r>
    <x v="736"/>
    <x v="935"/>
    <x v="17"/>
    <x v="0"/>
    <x v="1"/>
    <x v="3"/>
    <x v="16"/>
    <x v="0"/>
    <x v="907"/>
    <n v="341.6"/>
    <x v="0"/>
    <x v="0"/>
    <x v="227"/>
    <m/>
    <n v="1.093"/>
    <m/>
    <x v="57"/>
    <x v="173"/>
    <m/>
  </r>
  <r>
    <x v="737"/>
    <x v="936"/>
    <x v="5"/>
    <x v="0"/>
    <x v="1"/>
    <x v="3"/>
    <x v="16"/>
    <x v="1"/>
    <x v="908"/>
    <n v="61.98"/>
    <x v="25"/>
    <x v="212"/>
    <x v="228"/>
    <n v="1.5980000000000001E-2"/>
    <n v="0.13500000000000001"/>
    <n v="8.1999999999999993"/>
    <x v="159"/>
    <x v="85"/>
    <n v="3.1640000000000001"/>
  </r>
  <r>
    <x v="737"/>
    <x v="937"/>
    <x v="5"/>
    <x v="0"/>
    <x v="1"/>
    <x v="3"/>
    <x v="16"/>
    <x v="1"/>
    <x v="909"/>
    <n v="61.98"/>
    <x v="25"/>
    <x v="213"/>
    <x v="229"/>
    <n v="2.3279999999999999E-2"/>
    <n v="0.624"/>
    <m/>
    <x v="159"/>
    <x v="85"/>
    <n v="3.1640000000000001"/>
  </r>
  <r>
    <x v="738"/>
    <x v="938"/>
    <x v="5"/>
    <x v="0"/>
    <x v="1"/>
    <x v="3"/>
    <x v="16"/>
    <x v="0"/>
    <x v="910"/>
    <n v="79.5"/>
    <x v="0"/>
    <x v="0"/>
    <x v="230"/>
    <m/>
    <n v="0.192"/>
    <m/>
    <x v="61"/>
    <x v="289"/>
    <n v="2.3519999999999999"/>
  </r>
  <r>
    <x v="739"/>
    <x v="939"/>
    <x v="5"/>
    <x v="0"/>
    <x v="1"/>
    <x v="3"/>
    <x v="16"/>
    <x v="0"/>
    <x v="911"/>
    <n v="88"/>
    <x v="0"/>
    <x v="0"/>
    <x v="231"/>
    <m/>
    <n v="0.123"/>
    <m/>
    <x v="101"/>
    <x v="72"/>
    <m/>
  </r>
  <r>
    <x v="740"/>
    <x v="940"/>
    <x v="5"/>
    <x v="0"/>
    <x v="1"/>
    <x v="3"/>
    <x v="16"/>
    <x v="2"/>
    <x v="912"/>
    <n v="121"/>
    <x v="0"/>
    <x v="0"/>
    <x v="232"/>
    <m/>
    <n v="0.11899999999999999"/>
    <m/>
    <x v="88"/>
    <x v="290"/>
    <m/>
  </r>
  <r>
    <x v="740"/>
    <x v="941"/>
    <x v="5"/>
    <x v="0"/>
    <x v="1"/>
    <x v="3"/>
    <x v="16"/>
    <x v="2"/>
    <x v="913"/>
    <n v="121"/>
    <x v="0"/>
    <x v="0"/>
    <x v="215"/>
    <m/>
    <n v="0.154"/>
    <m/>
    <x v="88"/>
    <x v="290"/>
    <m/>
  </r>
  <r>
    <x v="740"/>
    <x v="942"/>
    <x v="5"/>
    <x v="0"/>
    <x v="1"/>
    <x v="3"/>
    <x v="16"/>
    <x v="2"/>
    <x v="914"/>
    <n v="121"/>
    <x v="0"/>
    <x v="0"/>
    <x v="157"/>
    <m/>
    <n v="0.14599999999999999"/>
    <m/>
    <x v="88"/>
    <x v="290"/>
    <m/>
  </r>
  <r>
    <x v="741"/>
    <x v="943"/>
    <x v="5"/>
    <x v="0"/>
    <x v="1"/>
    <x v="3"/>
    <x v="16"/>
    <x v="0"/>
    <x v="915"/>
    <n v="118"/>
    <x v="0"/>
    <x v="0"/>
    <x v="157"/>
    <m/>
    <n v="0.14599999999999999"/>
    <m/>
    <x v="83"/>
    <x v="60"/>
    <m/>
  </r>
  <r>
    <x v="742"/>
    <x v="944"/>
    <x v="8"/>
    <x v="0"/>
    <x v="1"/>
    <x v="3"/>
    <x v="16"/>
    <x v="0"/>
    <x v="916"/>
    <n v="501.03"/>
    <x v="0"/>
    <x v="0"/>
    <x v="233"/>
    <m/>
    <n v="0.221"/>
    <m/>
    <x v="145"/>
    <x v="85"/>
    <m/>
  </r>
  <r>
    <x v="743"/>
    <x v="945"/>
    <x v="5"/>
    <x v="0"/>
    <x v="1"/>
    <x v="3"/>
    <x v="16"/>
    <x v="0"/>
    <x v="917"/>
    <n v="110"/>
    <x v="0"/>
    <x v="0"/>
    <x v="184"/>
    <m/>
    <n v="0.17799999999999999"/>
    <m/>
    <x v="188"/>
    <x v="71"/>
    <m/>
  </r>
  <r>
    <x v="744"/>
    <x v="946"/>
    <x v="5"/>
    <x v="0"/>
    <x v="1"/>
    <x v="3"/>
    <x v="16"/>
    <x v="0"/>
    <x v="918"/>
    <n v="69.61"/>
    <x v="0"/>
    <x v="0"/>
    <x v="234"/>
    <m/>
    <n v="0.13300000000000001"/>
    <m/>
    <x v="76"/>
    <x v="234"/>
    <n v="6.7359999999999998"/>
  </r>
  <r>
    <x v="745"/>
    <x v="947"/>
    <x v="5"/>
    <x v="0"/>
    <x v="1"/>
    <x v="3"/>
    <x v="16"/>
    <x v="0"/>
    <x v="919"/>
    <n v="108.7"/>
    <x v="0"/>
    <x v="0"/>
    <x v="235"/>
    <m/>
    <n v="0.20399999999999999"/>
    <m/>
    <x v="80"/>
    <x v="74"/>
    <m/>
  </r>
  <r>
    <x v="746"/>
    <x v="948"/>
    <x v="5"/>
    <x v="0"/>
    <x v="1"/>
    <x v="3"/>
    <x v="16"/>
    <x v="0"/>
    <x v="920"/>
    <n v="143.6"/>
    <x v="0"/>
    <x v="0"/>
    <x v="184"/>
    <m/>
    <n v="0.17799999999999999"/>
    <m/>
    <x v="87"/>
    <x v="81"/>
    <m/>
  </r>
  <r>
    <x v="747"/>
    <x v="949"/>
    <x v="5"/>
    <x v="0"/>
    <x v="1"/>
    <x v="3"/>
    <x v="16"/>
    <x v="1"/>
    <x v="921"/>
    <n v="129.80000000000001"/>
    <x v="0"/>
    <x v="0"/>
    <x v="236"/>
    <m/>
    <n v="0.17799999999999999"/>
    <m/>
    <x v="88"/>
    <x v="290"/>
    <m/>
  </r>
  <r>
    <x v="747"/>
    <x v="950"/>
    <x v="5"/>
    <x v="0"/>
    <x v="1"/>
    <x v="3"/>
    <x v="16"/>
    <x v="1"/>
    <x v="922"/>
    <n v="129.80000000000001"/>
    <x v="0"/>
    <x v="0"/>
    <x v="46"/>
    <m/>
    <n v="0.185"/>
    <m/>
    <x v="88"/>
    <x v="290"/>
    <m/>
  </r>
  <r>
    <x v="748"/>
    <x v="951"/>
    <x v="5"/>
    <x v="0"/>
    <x v="1"/>
    <x v="3"/>
    <x v="16"/>
    <x v="2"/>
    <x v="923"/>
    <n v="82"/>
    <x v="0"/>
    <x v="0"/>
    <x v="237"/>
    <m/>
    <n v="0.161"/>
    <m/>
    <x v="88"/>
    <x v="291"/>
    <m/>
  </r>
  <r>
    <x v="748"/>
    <x v="952"/>
    <x v="5"/>
    <x v="0"/>
    <x v="1"/>
    <x v="3"/>
    <x v="16"/>
    <x v="2"/>
    <x v="924"/>
    <n v="82"/>
    <x v="0"/>
    <x v="0"/>
    <x v="238"/>
    <m/>
    <n v="0.23200000000000001"/>
    <m/>
    <x v="88"/>
    <x v="291"/>
    <m/>
  </r>
  <r>
    <x v="748"/>
    <x v="953"/>
    <x v="5"/>
    <x v="0"/>
    <x v="1"/>
    <x v="3"/>
    <x v="16"/>
    <x v="2"/>
    <x v="925"/>
    <n v="82"/>
    <x v="0"/>
    <x v="0"/>
    <x v="191"/>
    <m/>
    <n v="0.17"/>
    <m/>
    <x v="88"/>
    <x v="291"/>
    <m/>
  </r>
  <r>
    <x v="749"/>
    <x v="954"/>
    <x v="5"/>
    <x v="0"/>
    <x v="1"/>
    <x v="3"/>
    <x v="16"/>
    <x v="0"/>
    <x v="926"/>
    <n v="150.4"/>
    <x v="0"/>
    <x v="0"/>
    <x v="239"/>
    <m/>
    <n v="0.10299999999999999"/>
    <m/>
    <x v="62"/>
    <x v="286"/>
    <m/>
  </r>
  <r>
    <x v="750"/>
    <x v="955"/>
    <x v="5"/>
    <x v="0"/>
    <x v="1"/>
    <x v="3"/>
    <x v="16"/>
    <x v="0"/>
    <x v="927"/>
    <n v="300.88"/>
    <x v="0"/>
    <x v="0"/>
    <x v="240"/>
    <m/>
    <n v="9.4E-2"/>
    <m/>
    <x v="23"/>
    <x v="100"/>
    <m/>
  </r>
  <r>
    <x v="751"/>
    <x v="956"/>
    <x v="5"/>
    <x v="0"/>
    <x v="1"/>
    <x v="3"/>
    <x v="16"/>
    <x v="1"/>
    <x v="928"/>
    <n v="198.2"/>
    <x v="0"/>
    <x v="0"/>
    <x v="241"/>
    <m/>
    <n v="0.23599999999999999"/>
    <m/>
    <x v="127"/>
    <x v="105"/>
    <m/>
  </r>
  <r>
    <x v="751"/>
    <x v="957"/>
    <x v="5"/>
    <x v="0"/>
    <x v="1"/>
    <x v="3"/>
    <x v="16"/>
    <x v="1"/>
    <x v="929"/>
    <n v="198.2"/>
    <x v="0"/>
    <x v="0"/>
    <x v="242"/>
    <m/>
    <n v="0.114"/>
    <m/>
    <x v="127"/>
    <x v="105"/>
    <m/>
  </r>
  <r>
    <x v="752"/>
    <x v="958"/>
    <x v="5"/>
    <x v="0"/>
    <x v="1"/>
    <x v="3"/>
    <x v="16"/>
    <x v="0"/>
    <x v="930"/>
    <n v="171.9"/>
    <x v="0"/>
    <x v="0"/>
    <x v="243"/>
    <m/>
    <n v="0.20200000000000001"/>
    <m/>
    <x v="3"/>
    <x v="56"/>
    <m/>
  </r>
  <r>
    <x v="753"/>
    <x v="959"/>
    <x v="8"/>
    <x v="0"/>
    <x v="1"/>
    <x v="3"/>
    <x v="16"/>
    <x v="1"/>
    <x v="931"/>
    <n v="338.19"/>
    <x v="0"/>
    <x v="0"/>
    <x v="244"/>
    <m/>
    <n v="0.18"/>
    <m/>
    <x v="72"/>
    <x v="286"/>
    <m/>
  </r>
  <r>
    <x v="753"/>
    <x v="960"/>
    <x v="8"/>
    <x v="0"/>
    <x v="1"/>
    <x v="3"/>
    <x v="16"/>
    <x v="1"/>
    <x v="932"/>
    <n v="338.19"/>
    <x v="0"/>
    <x v="0"/>
    <x v="198"/>
    <m/>
    <n v="0.22700000000000001"/>
    <m/>
    <x v="72"/>
    <x v="286"/>
    <m/>
  </r>
  <r>
    <x v="754"/>
    <x v="961"/>
    <x v="5"/>
    <x v="0"/>
    <x v="1"/>
    <x v="3"/>
    <x v="16"/>
    <x v="0"/>
    <x v="933"/>
    <n v="318.19"/>
    <x v="0"/>
    <x v="0"/>
    <x v="245"/>
    <m/>
    <n v="0.28399999999999997"/>
    <m/>
    <x v="17"/>
    <x v="33"/>
    <m/>
  </r>
  <r>
    <x v="755"/>
    <x v="962"/>
    <x v="5"/>
    <x v="0"/>
    <x v="1"/>
    <x v="3"/>
    <x v="16"/>
    <x v="0"/>
    <x v="934"/>
    <n v="941.09"/>
    <x v="0"/>
    <x v="0"/>
    <x v="246"/>
    <m/>
    <n v="0.54600000000000004"/>
    <m/>
    <x v="7"/>
    <x v="253"/>
    <m/>
  </r>
  <r>
    <x v="756"/>
    <x v="963"/>
    <x v="5"/>
    <x v="0"/>
    <x v="1"/>
    <x v="3"/>
    <x v="16"/>
    <x v="0"/>
    <x v="935"/>
    <n v="125.1"/>
    <x v="0"/>
    <x v="0"/>
    <x v="247"/>
    <m/>
    <n v="0.128"/>
    <m/>
    <x v="174"/>
    <x v="67"/>
    <m/>
  </r>
  <r>
    <x v="757"/>
    <x v="964"/>
    <x v="5"/>
    <x v="0"/>
    <x v="1"/>
    <x v="3"/>
    <x v="16"/>
    <x v="0"/>
    <x v="936"/>
    <n v="209.67"/>
    <x v="0"/>
    <x v="0"/>
    <x v="174"/>
    <m/>
    <n v="0.22"/>
    <m/>
    <x v="134"/>
    <x v="153"/>
    <m/>
  </r>
  <r>
    <x v="758"/>
    <x v="965"/>
    <x v="5"/>
    <x v="0"/>
    <x v="1"/>
    <x v="3"/>
    <x v="16"/>
    <x v="0"/>
    <x v="937"/>
    <n v="379.64"/>
    <x v="0"/>
    <x v="0"/>
    <x v="248"/>
    <m/>
    <n v="0.28999999999999998"/>
    <m/>
    <x v="112"/>
    <x v="264"/>
    <m/>
  </r>
  <r>
    <x v="759"/>
    <x v="966"/>
    <x v="5"/>
    <x v="0"/>
    <x v="1"/>
    <x v="3"/>
    <x v="16"/>
    <x v="2"/>
    <x v="938"/>
    <n v="135.1"/>
    <x v="0"/>
    <x v="0"/>
    <x v="249"/>
    <m/>
    <n v="0.114"/>
    <m/>
    <x v="134"/>
    <x v="292"/>
    <m/>
  </r>
  <r>
    <x v="759"/>
    <x v="967"/>
    <x v="5"/>
    <x v="0"/>
    <x v="1"/>
    <x v="3"/>
    <x v="16"/>
    <x v="2"/>
    <x v="939"/>
    <n v="135.1"/>
    <x v="0"/>
    <x v="0"/>
    <x v="250"/>
    <m/>
    <n v="0.13900000000000001"/>
    <m/>
    <x v="134"/>
    <x v="292"/>
    <m/>
  </r>
  <r>
    <x v="759"/>
    <x v="968"/>
    <x v="5"/>
    <x v="0"/>
    <x v="1"/>
    <x v="3"/>
    <x v="16"/>
    <x v="2"/>
    <x v="940"/>
    <n v="135.1"/>
    <x v="0"/>
    <x v="0"/>
    <x v="251"/>
    <m/>
    <n v="0.23599999999999999"/>
    <m/>
    <x v="134"/>
    <x v="292"/>
    <m/>
  </r>
  <r>
    <x v="760"/>
    <x v="969"/>
    <x v="5"/>
    <x v="0"/>
    <x v="1"/>
    <x v="3"/>
    <x v="16"/>
    <x v="0"/>
    <x v="941"/>
    <n v="481"/>
    <x v="0"/>
    <x v="0"/>
    <x v="252"/>
    <m/>
    <n v="0.19500000000000001"/>
    <m/>
    <x v="56"/>
    <x v="49"/>
    <m/>
  </r>
  <r>
    <x v="761"/>
    <x v="970"/>
    <x v="5"/>
    <x v="0"/>
    <x v="1"/>
    <x v="3"/>
    <x v="16"/>
    <x v="0"/>
    <x v="942"/>
    <n v="81.08"/>
    <x v="0"/>
    <x v="0"/>
    <x v="253"/>
    <m/>
    <n v="0.252"/>
    <m/>
    <x v="102"/>
    <x v="293"/>
    <m/>
  </r>
  <r>
    <x v="762"/>
    <x v="971"/>
    <x v="5"/>
    <x v="0"/>
    <x v="1"/>
    <x v="3"/>
    <x v="16"/>
    <x v="0"/>
    <x v="943"/>
    <n v="245.56"/>
    <x v="0"/>
    <x v="0"/>
    <x v="254"/>
    <m/>
    <n v="0.191"/>
    <m/>
    <x v="21"/>
    <x v="90"/>
    <m/>
  </r>
  <r>
    <x v="763"/>
    <x v="972"/>
    <x v="5"/>
    <x v="0"/>
    <x v="1"/>
    <x v="3"/>
    <x v="16"/>
    <x v="0"/>
    <x v="944"/>
    <n v="237.35"/>
    <x v="0"/>
    <x v="0"/>
    <x v="255"/>
    <m/>
    <n v="0.114"/>
    <m/>
    <x v="7"/>
    <x v="94"/>
    <m/>
  </r>
  <r>
    <x v="764"/>
    <x v="973"/>
    <x v="8"/>
    <x v="0"/>
    <x v="1"/>
    <x v="3"/>
    <x v="16"/>
    <x v="0"/>
    <x v="945"/>
    <n v="125.56"/>
    <x v="0"/>
    <x v="0"/>
    <x v="256"/>
    <m/>
    <n v="0.19900000000000001"/>
    <m/>
    <x v="159"/>
    <x v="286"/>
    <m/>
  </r>
  <r>
    <x v="765"/>
    <x v="974"/>
    <x v="5"/>
    <x v="0"/>
    <x v="1"/>
    <x v="3"/>
    <x v="16"/>
    <x v="1"/>
    <x v="946"/>
    <n v="397.26"/>
    <x v="0"/>
    <x v="0"/>
    <x v="257"/>
    <m/>
    <n v="0.127"/>
    <m/>
    <x v="50"/>
    <x v="62"/>
    <m/>
  </r>
  <r>
    <x v="765"/>
    <x v="975"/>
    <x v="5"/>
    <x v="0"/>
    <x v="1"/>
    <x v="3"/>
    <x v="16"/>
    <x v="1"/>
    <x v="947"/>
    <n v="397.26"/>
    <x v="0"/>
    <x v="0"/>
    <x v="258"/>
    <m/>
    <n v="0.161"/>
    <m/>
    <x v="50"/>
    <x v="62"/>
    <m/>
  </r>
  <r>
    <x v="766"/>
    <x v="976"/>
    <x v="5"/>
    <x v="0"/>
    <x v="1"/>
    <x v="3"/>
    <x v="16"/>
    <x v="0"/>
    <x v="948"/>
    <n v="616.41"/>
    <x v="0"/>
    <x v="0"/>
    <x v="259"/>
    <m/>
    <n v="0.24"/>
    <m/>
    <x v="45"/>
    <x v="191"/>
    <m/>
  </r>
  <r>
    <x v="767"/>
    <x v="977"/>
    <x v="5"/>
    <x v="0"/>
    <x v="1"/>
    <x v="3"/>
    <x v="16"/>
    <x v="1"/>
    <x v="949"/>
    <n v="251.51"/>
    <x v="0"/>
    <x v="0"/>
    <x v="260"/>
    <m/>
    <n v="0.14899999999999999"/>
    <m/>
    <x v="89"/>
    <x v="90"/>
    <m/>
  </r>
  <r>
    <x v="767"/>
    <x v="978"/>
    <x v="5"/>
    <x v="0"/>
    <x v="1"/>
    <x v="3"/>
    <x v="16"/>
    <x v="1"/>
    <x v="950"/>
    <n v="251.51"/>
    <x v="0"/>
    <x v="0"/>
    <x v="261"/>
    <m/>
    <n v="0.28599999999999998"/>
    <m/>
    <x v="89"/>
    <x v="90"/>
    <m/>
  </r>
  <r>
    <x v="768"/>
    <x v="979"/>
    <x v="5"/>
    <x v="0"/>
    <x v="1"/>
    <x v="3"/>
    <x v="16"/>
    <x v="0"/>
    <x v="951"/>
    <n v="230.14"/>
    <x v="0"/>
    <x v="0"/>
    <x v="262"/>
    <m/>
    <n v="0.14299999999999999"/>
    <m/>
    <x v="59"/>
    <x v="239"/>
    <m/>
  </r>
  <r>
    <x v="769"/>
    <x v="980"/>
    <x v="5"/>
    <x v="0"/>
    <x v="1"/>
    <x v="3"/>
    <x v="16"/>
    <x v="0"/>
    <x v="952"/>
    <n v="100.1"/>
    <x v="0"/>
    <x v="0"/>
    <x v="238"/>
    <m/>
    <n v="0.23200000000000001"/>
    <m/>
    <x v="37"/>
    <x v="85"/>
    <n v="3.21"/>
  </r>
  <r>
    <x v="770"/>
    <x v="981"/>
    <x v="5"/>
    <x v="0"/>
    <x v="1"/>
    <x v="3"/>
    <x v="16"/>
    <x v="0"/>
    <x v="953"/>
    <n v="249.01"/>
    <x v="0"/>
    <x v="0"/>
    <x v="263"/>
    <m/>
    <n v="0.182"/>
    <m/>
    <x v="25"/>
    <x v="212"/>
    <m/>
  </r>
  <r>
    <x v="771"/>
    <x v="982"/>
    <x v="5"/>
    <x v="0"/>
    <x v="1"/>
    <x v="3"/>
    <x v="16"/>
    <x v="0"/>
    <x v="954"/>
    <n v="249.01"/>
    <x v="0"/>
    <x v="0"/>
    <x v="264"/>
    <m/>
    <n v="0.13300000000000001"/>
    <m/>
    <x v="23"/>
    <x v="24"/>
    <m/>
  </r>
  <r>
    <x v="772"/>
    <x v="983"/>
    <x v="5"/>
    <x v="0"/>
    <x v="1"/>
    <x v="3"/>
    <x v="16"/>
    <x v="0"/>
    <x v="955"/>
    <n v="499.02"/>
    <x v="0"/>
    <x v="0"/>
    <x v="265"/>
    <m/>
    <n v="0.189"/>
    <m/>
    <x v="49"/>
    <x v="42"/>
    <m/>
  </r>
  <r>
    <x v="773"/>
    <x v="984"/>
    <x v="5"/>
    <x v="0"/>
    <x v="1"/>
    <x v="3"/>
    <x v="16"/>
    <x v="0"/>
    <x v="956"/>
    <n v="216.08"/>
    <x v="0"/>
    <x v="0"/>
    <x v="266"/>
    <m/>
    <n v="0.317"/>
    <m/>
    <x v="44"/>
    <x v="111"/>
    <m/>
  </r>
  <r>
    <x v="774"/>
    <x v="985"/>
    <x v="5"/>
    <x v="0"/>
    <x v="1"/>
    <x v="3"/>
    <x v="16"/>
    <x v="0"/>
    <x v="957"/>
    <n v="191.84"/>
    <x v="0"/>
    <x v="0"/>
    <x v="267"/>
    <m/>
    <n v="0.224"/>
    <m/>
    <x v="58"/>
    <x v="57"/>
    <m/>
  </r>
  <r>
    <x v="775"/>
    <x v="986"/>
    <x v="8"/>
    <x v="0"/>
    <x v="1"/>
    <x v="3"/>
    <x v="16"/>
    <x v="1"/>
    <x v="958"/>
    <n v="34"/>
    <x v="0"/>
    <x v="214"/>
    <x v="268"/>
    <n v="2.8070000000000001E-2"/>
    <n v="0.21099999999999999"/>
    <n v="4.1100000000000003"/>
    <x v="70"/>
    <x v="77"/>
    <m/>
  </r>
  <r>
    <x v="775"/>
    <x v="987"/>
    <x v="17"/>
    <x v="0"/>
    <x v="0"/>
    <x v="0"/>
    <x v="17"/>
    <x v="1"/>
    <x v="959"/>
    <n v="34"/>
    <x v="0"/>
    <x v="0"/>
    <x v="0"/>
    <n v="2.3630000000000002E-2"/>
    <m/>
    <m/>
    <x v="70"/>
    <x v="77"/>
    <m/>
  </r>
  <r>
    <x v="776"/>
    <x v="988"/>
    <x v="5"/>
    <x v="0"/>
    <x v="1"/>
    <x v="3"/>
    <x v="16"/>
    <x v="0"/>
    <x v="960"/>
    <n v="204.51"/>
    <x v="0"/>
    <x v="0"/>
    <x v="269"/>
    <m/>
    <n v="0.20599999999999999"/>
    <m/>
    <x v="145"/>
    <x v="185"/>
    <n v="3.375"/>
  </r>
  <r>
    <x v="777"/>
    <x v="989"/>
    <x v="5"/>
    <x v="0"/>
    <x v="1"/>
    <x v="3"/>
    <x v="16"/>
    <x v="0"/>
    <x v="961"/>
    <n v="364.82"/>
    <x v="0"/>
    <x v="0"/>
    <x v="270"/>
    <m/>
    <n v="0.253"/>
    <m/>
    <x v="7"/>
    <x v="88"/>
    <n v="2.6389999999999998"/>
  </r>
  <r>
    <x v="778"/>
    <x v="990"/>
    <x v="5"/>
    <x v="0"/>
    <x v="1"/>
    <x v="3"/>
    <x v="16"/>
    <x v="0"/>
    <x v="962"/>
    <n v="155.9"/>
    <x v="0"/>
    <x v="0"/>
    <x v="204"/>
    <m/>
    <n v="0.246"/>
    <m/>
    <x v="59"/>
    <x v="292"/>
    <n v="2.2559999999999998"/>
  </r>
  <r>
    <x v="779"/>
    <x v="991"/>
    <x v="5"/>
    <x v="0"/>
    <x v="1"/>
    <x v="3"/>
    <x v="16"/>
    <x v="2"/>
    <x v="963"/>
    <n v="331.77"/>
    <x v="0"/>
    <x v="0"/>
    <x v="271"/>
    <m/>
    <n v="0.23200000000000001"/>
    <m/>
    <x v="89"/>
    <x v="193"/>
    <m/>
  </r>
  <r>
    <x v="779"/>
    <x v="992"/>
    <x v="5"/>
    <x v="0"/>
    <x v="1"/>
    <x v="3"/>
    <x v="16"/>
    <x v="2"/>
    <x v="964"/>
    <n v="331.77"/>
    <x v="0"/>
    <x v="0"/>
    <x v="272"/>
    <m/>
    <n v="0.25600000000000001"/>
    <m/>
    <x v="89"/>
    <x v="193"/>
    <m/>
  </r>
  <r>
    <x v="779"/>
    <x v="993"/>
    <x v="5"/>
    <x v="0"/>
    <x v="1"/>
    <x v="3"/>
    <x v="16"/>
    <x v="2"/>
    <x v="965"/>
    <n v="331.77"/>
    <x v="0"/>
    <x v="0"/>
    <x v="170"/>
    <m/>
    <n v="0.255"/>
    <m/>
    <x v="89"/>
    <x v="193"/>
    <m/>
  </r>
  <r>
    <x v="780"/>
    <x v="994"/>
    <x v="5"/>
    <x v="0"/>
    <x v="1"/>
    <x v="3"/>
    <x v="16"/>
    <x v="0"/>
    <x v="966"/>
    <n v="75.790000000000006"/>
    <x v="0"/>
    <x v="0"/>
    <x v="273"/>
    <m/>
    <n v="0.13800000000000001"/>
    <m/>
    <x v="126"/>
    <x v="202"/>
    <n v="6.9660000000000002"/>
  </r>
  <r>
    <x v="781"/>
    <x v="995"/>
    <x v="5"/>
    <x v="0"/>
    <x v="1"/>
    <x v="3"/>
    <x v="16"/>
    <x v="0"/>
    <x v="967"/>
    <n v="270.41000000000003"/>
    <x v="0"/>
    <x v="0"/>
    <x v="274"/>
    <m/>
    <n v="0.11700000000000001"/>
    <m/>
    <x v="17"/>
    <x v="33"/>
    <m/>
  </r>
  <r>
    <x v="782"/>
    <x v="996"/>
    <x v="5"/>
    <x v="0"/>
    <x v="1"/>
    <x v="3"/>
    <x v="16"/>
    <x v="0"/>
    <x v="968"/>
    <n v="333.84"/>
    <x v="0"/>
    <x v="0"/>
    <x v="275"/>
    <m/>
    <n v="0.28299999999999997"/>
    <m/>
    <x v="102"/>
    <x v="62"/>
    <m/>
  </r>
  <r>
    <x v="783"/>
    <x v="997"/>
    <x v="5"/>
    <x v="0"/>
    <x v="1"/>
    <x v="3"/>
    <x v="16"/>
    <x v="4"/>
    <x v="969"/>
    <n v="333.51"/>
    <x v="0"/>
    <x v="0"/>
    <x v="185"/>
    <m/>
    <n v="0.11600000000000001"/>
    <m/>
    <x v="17"/>
    <x v="94"/>
    <m/>
  </r>
  <r>
    <x v="783"/>
    <x v="998"/>
    <x v="5"/>
    <x v="0"/>
    <x v="1"/>
    <x v="3"/>
    <x v="16"/>
    <x v="4"/>
    <x v="970"/>
    <n v="333.51"/>
    <x v="0"/>
    <x v="0"/>
    <x v="237"/>
    <m/>
    <n v="0.161"/>
    <m/>
    <x v="17"/>
    <x v="94"/>
    <m/>
  </r>
  <r>
    <x v="783"/>
    <x v="999"/>
    <x v="5"/>
    <x v="0"/>
    <x v="1"/>
    <x v="3"/>
    <x v="16"/>
    <x v="4"/>
    <x v="971"/>
    <n v="333.51"/>
    <x v="0"/>
    <x v="0"/>
    <x v="276"/>
    <m/>
    <n v="0.28299999999999997"/>
    <m/>
    <x v="17"/>
    <x v="94"/>
    <m/>
  </r>
  <r>
    <x v="783"/>
    <x v="1000"/>
    <x v="5"/>
    <x v="0"/>
    <x v="1"/>
    <x v="3"/>
    <x v="16"/>
    <x v="4"/>
    <x v="972"/>
    <n v="333.51"/>
    <x v="0"/>
    <x v="0"/>
    <x v="277"/>
    <m/>
    <n v="0.21199999999999999"/>
    <m/>
    <x v="17"/>
    <x v="94"/>
    <m/>
  </r>
  <r>
    <x v="784"/>
    <x v="1001"/>
    <x v="5"/>
    <x v="0"/>
    <x v="1"/>
    <x v="3"/>
    <x v="16"/>
    <x v="1"/>
    <x v="973"/>
    <n v="452.9"/>
    <x v="0"/>
    <x v="0"/>
    <x v="278"/>
    <m/>
    <n v="0.12"/>
    <m/>
    <x v="104"/>
    <x v="43"/>
    <m/>
  </r>
  <r>
    <x v="784"/>
    <x v="1002"/>
    <x v="5"/>
    <x v="0"/>
    <x v="1"/>
    <x v="3"/>
    <x v="16"/>
    <x v="1"/>
    <x v="974"/>
    <n v="452.9"/>
    <x v="0"/>
    <x v="0"/>
    <x v="279"/>
    <m/>
    <n v="0.252"/>
    <m/>
    <x v="104"/>
    <x v="43"/>
    <m/>
  </r>
  <r>
    <x v="785"/>
    <x v="1003"/>
    <x v="5"/>
    <x v="0"/>
    <x v="1"/>
    <x v="3"/>
    <x v="16"/>
    <x v="1"/>
    <x v="975"/>
    <n v="243.93"/>
    <x v="0"/>
    <x v="0"/>
    <x v="280"/>
    <m/>
    <n v="0.13600000000000001"/>
    <m/>
    <x v="23"/>
    <x v="90"/>
    <m/>
  </r>
  <r>
    <x v="785"/>
    <x v="1004"/>
    <x v="5"/>
    <x v="0"/>
    <x v="1"/>
    <x v="3"/>
    <x v="16"/>
    <x v="1"/>
    <x v="976"/>
    <n v="243.93"/>
    <x v="0"/>
    <x v="0"/>
    <x v="281"/>
    <m/>
    <n v="0.223"/>
    <m/>
    <x v="23"/>
    <x v="90"/>
    <m/>
  </r>
  <r>
    <x v="786"/>
    <x v="1005"/>
    <x v="8"/>
    <x v="0"/>
    <x v="1"/>
    <x v="3"/>
    <x v="16"/>
    <x v="2"/>
    <x v="977"/>
    <n v="292.14"/>
    <x v="0"/>
    <x v="0"/>
    <x v="282"/>
    <m/>
    <n v="0.69099999999999995"/>
    <m/>
    <x v="89"/>
    <x v="24"/>
    <m/>
  </r>
  <r>
    <x v="786"/>
    <x v="1006"/>
    <x v="8"/>
    <x v="0"/>
    <x v="1"/>
    <x v="3"/>
    <x v="16"/>
    <x v="2"/>
    <x v="978"/>
    <n v="292.14"/>
    <x v="0"/>
    <x v="0"/>
    <x v="283"/>
    <m/>
    <n v="0.434"/>
    <m/>
    <x v="89"/>
    <x v="24"/>
    <m/>
  </r>
  <r>
    <x v="786"/>
    <x v="1007"/>
    <x v="10"/>
    <x v="0"/>
    <x v="1"/>
    <x v="3"/>
    <x v="16"/>
    <x v="2"/>
    <x v="979"/>
    <n v="292.14"/>
    <x v="0"/>
    <x v="0"/>
    <x v="284"/>
    <m/>
    <n v="0.10199999999999999"/>
    <m/>
    <x v="89"/>
    <x v="24"/>
    <m/>
  </r>
  <r>
    <x v="787"/>
    <x v="1008"/>
    <x v="5"/>
    <x v="0"/>
    <x v="1"/>
    <x v="3"/>
    <x v="16"/>
    <x v="1"/>
    <x v="980"/>
    <n v="161.41999999999999"/>
    <x v="0"/>
    <x v="0"/>
    <x v="285"/>
    <m/>
    <n v="0.121"/>
    <m/>
    <x v="3"/>
    <x v="33"/>
    <m/>
  </r>
  <r>
    <x v="787"/>
    <x v="1009"/>
    <x v="5"/>
    <x v="0"/>
    <x v="1"/>
    <x v="3"/>
    <x v="16"/>
    <x v="1"/>
    <x v="981"/>
    <n v="161.41999999999999"/>
    <x v="0"/>
    <x v="0"/>
    <x v="286"/>
    <m/>
    <n v="9.8000000000000004E-2"/>
    <m/>
    <x v="3"/>
    <x v="33"/>
    <m/>
  </r>
  <r>
    <x v="788"/>
    <x v="1010"/>
    <x v="5"/>
    <x v="0"/>
    <x v="1"/>
    <x v="3"/>
    <x v="16"/>
    <x v="0"/>
    <x v="982"/>
    <n v="289.57"/>
    <x v="0"/>
    <x v="0"/>
    <x v="287"/>
    <m/>
    <n v="0.14099999999999999"/>
    <m/>
    <x v="3"/>
    <x v="239"/>
    <m/>
  </r>
  <r>
    <x v="789"/>
    <x v="1011"/>
    <x v="5"/>
    <x v="0"/>
    <x v="1"/>
    <x v="3"/>
    <x v="16"/>
    <x v="0"/>
    <x v="983"/>
    <n v="223.99"/>
    <x v="0"/>
    <x v="0"/>
    <x v="280"/>
    <m/>
    <n v="0.13600000000000001"/>
    <m/>
    <x v="3"/>
    <x v="130"/>
    <n v="5.9749999999999996"/>
  </r>
  <r>
    <x v="790"/>
    <x v="1012"/>
    <x v="5"/>
    <x v="0"/>
    <x v="1"/>
    <x v="3"/>
    <x v="16"/>
    <x v="0"/>
    <x v="984"/>
    <n v="416.91"/>
    <x v="0"/>
    <x v="0"/>
    <x v="288"/>
    <m/>
    <n v="0.35199999999999998"/>
    <m/>
    <x v="53"/>
    <x v="62"/>
    <n v="1.532"/>
  </r>
  <r>
    <x v="791"/>
    <x v="1013"/>
    <x v="5"/>
    <x v="0"/>
    <x v="1"/>
    <x v="3"/>
    <x v="16"/>
    <x v="0"/>
    <x v="985"/>
    <n v="640.65"/>
    <x v="0"/>
    <x v="0"/>
    <x v="289"/>
    <m/>
    <n v="0.32500000000000001"/>
    <m/>
    <x v="129"/>
    <x v="182"/>
    <m/>
  </r>
  <r>
    <x v="792"/>
    <x v="1014"/>
    <x v="5"/>
    <x v="0"/>
    <x v="1"/>
    <x v="3"/>
    <x v="16"/>
    <x v="1"/>
    <x v="986"/>
    <n v="317.83"/>
    <x v="0"/>
    <x v="0"/>
    <x v="290"/>
    <m/>
    <n v="0.27900000000000003"/>
    <m/>
    <x v="23"/>
    <x v="173"/>
    <n v="1.0900000000000001"/>
  </r>
  <r>
    <x v="792"/>
    <x v="1015"/>
    <x v="5"/>
    <x v="0"/>
    <x v="1"/>
    <x v="3"/>
    <x v="16"/>
    <x v="1"/>
    <x v="987"/>
    <n v="317.83"/>
    <x v="0"/>
    <x v="0"/>
    <x v="291"/>
    <m/>
    <n v="0.23"/>
    <m/>
    <x v="23"/>
    <x v="173"/>
    <n v="1.0900000000000001"/>
  </r>
  <r>
    <x v="793"/>
    <x v="1016"/>
    <x v="5"/>
    <x v="0"/>
    <x v="1"/>
    <x v="3"/>
    <x v="16"/>
    <x v="0"/>
    <x v="988"/>
    <n v="594.09"/>
    <x v="0"/>
    <x v="0"/>
    <x v="292"/>
    <m/>
    <n v="0.32100000000000001"/>
    <m/>
    <x v="56"/>
    <x v="120"/>
    <m/>
  </r>
  <r>
    <x v="794"/>
    <x v="1017"/>
    <x v="5"/>
    <x v="0"/>
    <x v="1"/>
    <x v="3"/>
    <x v="16"/>
    <x v="0"/>
    <x v="989"/>
    <n v="249.59"/>
    <x v="0"/>
    <x v="0"/>
    <x v="176"/>
    <m/>
    <n v="0.22800000000000001"/>
    <m/>
    <x v="57"/>
    <x v="3"/>
    <n v="1.1599999999999999"/>
  </r>
  <r>
    <x v="795"/>
    <x v="1018"/>
    <x v="5"/>
    <x v="0"/>
    <x v="1"/>
    <x v="3"/>
    <x v="16"/>
    <x v="0"/>
    <x v="990"/>
    <n v="110.91"/>
    <x v="0"/>
    <x v="0"/>
    <x v="293"/>
    <m/>
    <n v="0.36699999999999999"/>
    <m/>
    <x v="97"/>
    <x v="202"/>
    <m/>
  </r>
  <r>
    <x v="796"/>
    <x v="1019"/>
    <x v="5"/>
    <x v="0"/>
    <x v="1"/>
    <x v="3"/>
    <x v="16"/>
    <x v="1"/>
    <x v="991"/>
    <n v="107.97"/>
    <x v="0"/>
    <x v="0"/>
    <x v="294"/>
    <m/>
    <n v="0.16700000000000001"/>
    <m/>
    <x v="69"/>
    <x v="85"/>
    <m/>
  </r>
  <r>
    <x v="796"/>
    <x v="1020"/>
    <x v="5"/>
    <x v="0"/>
    <x v="1"/>
    <x v="3"/>
    <x v="16"/>
    <x v="1"/>
    <x v="992"/>
    <n v="107.97"/>
    <x v="0"/>
    <x v="0"/>
    <x v="295"/>
    <m/>
    <n v="0.248"/>
    <m/>
    <x v="69"/>
    <x v="85"/>
    <m/>
  </r>
  <r>
    <x v="797"/>
    <x v="1021"/>
    <x v="5"/>
    <x v="0"/>
    <x v="1"/>
    <x v="3"/>
    <x v="16"/>
    <x v="0"/>
    <x v="993"/>
    <n v="185.09"/>
    <x v="0"/>
    <x v="0"/>
    <x v="296"/>
    <m/>
    <n v="0.122"/>
    <m/>
    <x v="126"/>
    <x v="38"/>
    <m/>
  </r>
  <r>
    <x v="798"/>
    <x v="1022"/>
    <x v="5"/>
    <x v="0"/>
    <x v="1"/>
    <x v="3"/>
    <x v="16"/>
    <x v="1"/>
    <x v="994"/>
    <n v="199.05"/>
    <x v="0"/>
    <x v="0"/>
    <x v="297"/>
    <m/>
    <n v="0.125"/>
    <m/>
    <x v="50"/>
    <x v="100"/>
    <m/>
  </r>
  <r>
    <x v="798"/>
    <x v="1023"/>
    <x v="5"/>
    <x v="0"/>
    <x v="1"/>
    <x v="3"/>
    <x v="16"/>
    <x v="1"/>
    <x v="995"/>
    <n v="199.05"/>
    <x v="0"/>
    <x v="0"/>
    <x v="298"/>
    <m/>
    <n v="0.29299999999999998"/>
    <m/>
    <x v="50"/>
    <x v="100"/>
    <m/>
  </r>
  <r>
    <x v="799"/>
    <x v="1024"/>
    <x v="5"/>
    <x v="0"/>
    <x v="1"/>
    <x v="3"/>
    <x v="16"/>
    <x v="0"/>
    <x v="996"/>
    <n v="302.99"/>
    <x v="0"/>
    <x v="0"/>
    <x v="299"/>
    <m/>
    <n v="0.20499999999999999"/>
    <m/>
    <x v="54"/>
    <x v="33"/>
    <m/>
  </r>
  <r>
    <x v="800"/>
    <x v="1025"/>
    <x v="5"/>
    <x v="0"/>
    <x v="1"/>
    <x v="3"/>
    <x v="16"/>
    <x v="0"/>
    <x v="997"/>
    <n v="166.93"/>
    <x v="0"/>
    <x v="0"/>
    <x v="300"/>
    <m/>
    <n v="0.122"/>
    <m/>
    <x v="137"/>
    <x v="153"/>
    <m/>
  </r>
  <r>
    <x v="801"/>
    <x v="1026"/>
    <x v="5"/>
    <x v="0"/>
    <x v="1"/>
    <x v="3"/>
    <x v="16"/>
    <x v="0"/>
    <x v="998"/>
    <n v="586.87"/>
    <x v="0"/>
    <x v="0"/>
    <x v="301"/>
    <m/>
    <n v="0.27200000000000002"/>
    <m/>
    <x v="53"/>
    <x v="201"/>
    <m/>
  </r>
  <r>
    <x v="802"/>
    <x v="1027"/>
    <x v="5"/>
    <x v="0"/>
    <x v="1"/>
    <x v="3"/>
    <x v="16"/>
    <x v="0"/>
    <x v="999"/>
    <n v="409.95"/>
    <x v="0"/>
    <x v="0"/>
    <x v="302"/>
    <m/>
    <n v="0.17799999999999999"/>
    <m/>
    <x v="44"/>
    <x v="29"/>
    <m/>
  </r>
  <r>
    <x v="803"/>
    <x v="1028"/>
    <x v="5"/>
    <x v="0"/>
    <x v="1"/>
    <x v="3"/>
    <x v="16"/>
    <x v="0"/>
    <x v="1000"/>
    <n v="246.14"/>
    <x v="0"/>
    <x v="0"/>
    <x v="303"/>
    <m/>
    <n v="0.249"/>
    <m/>
    <x v="137"/>
    <x v="153"/>
    <m/>
  </r>
  <r>
    <x v="804"/>
    <x v="1029"/>
    <x v="5"/>
    <x v="0"/>
    <x v="1"/>
    <x v="3"/>
    <x v="16"/>
    <x v="0"/>
    <x v="1001"/>
    <n v="366.84"/>
    <x v="0"/>
    <x v="0"/>
    <x v="304"/>
    <m/>
    <n v="0.23200000000000001"/>
    <m/>
    <x v="23"/>
    <x v="3"/>
    <m/>
  </r>
  <r>
    <x v="805"/>
    <x v="1030"/>
    <x v="5"/>
    <x v="0"/>
    <x v="1"/>
    <x v="3"/>
    <x v="16"/>
    <x v="0"/>
    <x v="1002"/>
    <n v="258.76"/>
    <x v="0"/>
    <x v="0"/>
    <x v="305"/>
    <m/>
    <n v="0.15"/>
    <m/>
    <x v="89"/>
    <x v="24"/>
    <m/>
  </r>
  <r>
    <x v="806"/>
    <x v="1031"/>
    <x v="5"/>
    <x v="0"/>
    <x v="1"/>
    <x v="3"/>
    <x v="16"/>
    <x v="0"/>
    <x v="1003"/>
    <n v="76.67"/>
    <x v="0"/>
    <x v="0"/>
    <x v="306"/>
    <m/>
    <n v="7.6999999999999999E-2"/>
    <m/>
    <x v="36"/>
    <x v="32"/>
    <m/>
  </r>
  <r>
    <x v="807"/>
    <x v="1032"/>
    <x v="8"/>
    <x v="0"/>
    <x v="1"/>
    <x v="3"/>
    <x v="16"/>
    <x v="1"/>
    <x v="1004"/>
    <n v="83.85"/>
    <x v="0"/>
    <x v="0"/>
    <x v="307"/>
    <m/>
    <n v="0.16400000000000001"/>
    <m/>
    <x v="72"/>
    <x v="272"/>
    <m/>
  </r>
  <r>
    <x v="807"/>
    <x v="1033"/>
    <x v="8"/>
    <x v="0"/>
    <x v="1"/>
    <x v="3"/>
    <x v="16"/>
    <x v="1"/>
    <x v="1005"/>
    <n v="83.85"/>
    <x v="0"/>
    <x v="0"/>
    <x v="308"/>
    <m/>
    <n v="0.222"/>
    <m/>
    <x v="72"/>
    <x v="272"/>
    <m/>
  </r>
  <r>
    <x v="808"/>
    <x v="1034"/>
    <x v="5"/>
    <x v="0"/>
    <x v="1"/>
    <x v="3"/>
    <x v="16"/>
    <x v="0"/>
    <x v="1006"/>
    <n v="177.39"/>
    <x v="0"/>
    <x v="0"/>
    <x v="309"/>
    <m/>
    <n v="7.2999999999999995E-2"/>
    <m/>
    <x v="21"/>
    <x v="131"/>
    <m/>
  </r>
  <r>
    <x v="809"/>
    <x v="1035"/>
    <x v="5"/>
    <x v="0"/>
    <x v="1"/>
    <x v="3"/>
    <x v="16"/>
    <x v="0"/>
    <x v="1007"/>
    <n v="274.39"/>
    <x v="0"/>
    <x v="0"/>
    <x v="310"/>
    <m/>
    <n v="0.123"/>
    <m/>
    <x v="59"/>
    <x v="92"/>
    <m/>
  </r>
  <r>
    <x v="810"/>
    <x v="1036"/>
    <x v="5"/>
    <x v="0"/>
    <x v="1"/>
    <x v="3"/>
    <x v="16"/>
    <x v="0"/>
    <x v="1008"/>
    <n v="109.32"/>
    <x v="0"/>
    <x v="0"/>
    <x v="221"/>
    <m/>
    <n v="0.22500000000000001"/>
    <m/>
    <x v="150"/>
    <x v="272"/>
    <n v="4.4450000000000003"/>
  </r>
  <r>
    <x v="811"/>
    <x v="1037"/>
    <x v="5"/>
    <x v="0"/>
    <x v="1"/>
    <x v="3"/>
    <x v="16"/>
    <x v="0"/>
    <x v="1009"/>
    <n v="394.05"/>
    <x v="0"/>
    <x v="0"/>
    <x v="311"/>
    <m/>
    <n v="0.13500000000000001"/>
    <m/>
    <x v="154"/>
    <x v="15"/>
    <m/>
  </r>
  <r>
    <x v="812"/>
    <x v="1038"/>
    <x v="5"/>
    <x v="0"/>
    <x v="1"/>
    <x v="3"/>
    <x v="16"/>
    <x v="0"/>
    <x v="1010"/>
    <n v="303.27999999999997"/>
    <x v="0"/>
    <x v="0"/>
    <x v="312"/>
    <m/>
    <n v="0.217"/>
    <m/>
    <x v="52"/>
    <x v="223"/>
    <n v="1.08"/>
  </r>
  <r>
    <x v="813"/>
    <x v="1039"/>
    <x v="5"/>
    <x v="0"/>
    <x v="1"/>
    <x v="3"/>
    <x v="16"/>
    <x v="0"/>
    <x v="1011"/>
    <n v="408.67"/>
    <x v="0"/>
    <x v="0"/>
    <x v="313"/>
    <m/>
    <n v="0.189"/>
    <m/>
    <x v="57"/>
    <x v="193"/>
    <m/>
  </r>
  <r>
    <x v="814"/>
    <x v="1040"/>
    <x v="5"/>
    <x v="0"/>
    <x v="1"/>
    <x v="3"/>
    <x v="16"/>
    <x v="0"/>
    <x v="1012"/>
    <n v="115.94"/>
    <x v="0"/>
    <x v="215"/>
    <x v="314"/>
    <n v="2.5170000000000001E-2"/>
    <n v="0.156"/>
    <n v="8.1999999999999993"/>
    <x v="37"/>
    <x v="185"/>
    <n v="2.2999999999999998"/>
  </r>
  <r>
    <x v="815"/>
    <x v="1041"/>
    <x v="5"/>
    <x v="0"/>
    <x v="1"/>
    <x v="3"/>
    <x v="16"/>
    <x v="0"/>
    <x v="1013"/>
    <n v="386.01"/>
    <x v="0"/>
    <x v="0"/>
    <x v="315"/>
    <m/>
    <n v="0.31900000000000001"/>
    <m/>
    <x v="32"/>
    <x v="216"/>
    <m/>
  </r>
  <r>
    <x v="816"/>
    <x v="1042"/>
    <x v="5"/>
    <x v="0"/>
    <x v="1"/>
    <x v="3"/>
    <x v="16"/>
    <x v="0"/>
    <x v="1014"/>
    <n v="398.41"/>
    <x v="0"/>
    <x v="0"/>
    <x v="316"/>
    <m/>
    <n v="0.22900000000000001"/>
    <m/>
    <x v="52"/>
    <x v="41"/>
    <m/>
  </r>
  <r>
    <x v="817"/>
    <x v="1043"/>
    <x v="5"/>
    <x v="0"/>
    <x v="1"/>
    <x v="3"/>
    <x v="16"/>
    <x v="2"/>
    <x v="1015"/>
    <n v="328.42"/>
    <x v="0"/>
    <x v="0"/>
    <x v="317"/>
    <m/>
    <n v="0.12"/>
    <m/>
    <x v="102"/>
    <x v="43"/>
    <m/>
  </r>
  <r>
    <x v="817"/>
    <x v="1044"/>
    <x v="5"/>
    <x v="0"/>
    <x v="1"/>
    <x v="3"/>
    <x v="16"/>
    <x v="2"/>
    <x v="1016"/>
    <n v="328.42"/>
    <x v="0"/>
    <x v="0"/>
    <x v="318"/>
    <m/>
    <n v="0.128"/>
    <m/>
    <x v="102"/>
    <x v="43"/>
    <m/>
  </r>
  <r>
    <x v="817"/>
    <x v="1045"/>
    <x v="5"/>
    <x v="0"/>
    <x v="1"/>
    <x v="3"/>
    <x v="16"/>
    <x v="2"/>
    <x v="1017"/>
    <n v="328.42"/>
    <x v="0"/>
    <x v="0"/>
    <x v="291"/>
    <m/>
    <n v="0.23"/>
    <m/>
    <x v="102"/>
    <x v="43"/>
    <m/>
  </r>
  <r>
    <x v="818"/>
    <x v="1046"/>
    <x v="8"/>
    <x v="0"/>
    <x v="1"/>
    <x v="3"/>
    <x v="16"/>
    <x v="0"/>
    <x v="1018"/>
    <n v="245.53"/>
    <x v="0"/>
    <x v="216"/>
    <x v="281"/>
    <n v="1.4"/>
    <n v="0.223"/>
    <m/>
    <x v="14"/>
    <x v="60"/>
    <m/>
  </r>
  <r>
    <x v="819"/>
    <x v="1047"/>
    <x v="5"/>
    <x v="0"/>
    <x v="1"/>
    <x v="3"/>
    <x v="16"/>
    <x v="0"/>
    <x v="1019"/>
    <n v="234.92"/>
    <x v="0"/>
    <x v="0"/>
    <x v="158"/>
    <m/>
    <n v="0.21299999999999999"/>
    <m/>
    <x v="50"/>
    <x v="55"/>
    <n v="3.0609999999999999"/>
  </r>
  <r>
    <x v="820"/>
    <x v="1048"/>
    <x v="5"/>
    <x v="0"/>
    <x v="1"/>
    <x v="3"/>
    <x v="16"/>
    <x v="0"/>
    <x v="1020"/>
    <n v="321.63"/>
    <x v="0"/>
    <x v="0"/>
    <x v="305"/>
    <m/>
    <n v="0.15"/>
    <m/>
    <x v="53"/>
    <x v="105"/>
    <m/>
  </r>
  <r>
    <x v="821"/>
    <x v="1049"/>
    <x v="5"/>
    <x v="0"/>
    <x v="1"/>
    <x v="3"/>
    <x v="16"/>
    <x v="0"/>
    <x v="1021"/>
    <n v="101.59"/>
    <x v="0"/>
    <x v="0"/>
    <x v="158"/>
    <m/>
    <n v="0.21299999999999999"/>
    <m/>
    <x v="57"/>
    <x v="121"/>
    <n v="1.25"/>
  </r>
  <r>
    <x v="822"/>
    <x v="1050"/>
    <x v="5"/>
    <x v="0"/>
    <x v="1"/>
    <x v="3"/>
    <x v="16"/>
    <x v="1"/>
    <x v="1022"/>
    <n v="201.1"/>
    <x v="0"/>
    <x v="0"/>
    <x v="219"/>
    <m/>
    <n v="7.9000000000000001E-2"/>
    <m/>
    <x v="104"/>
    <x v="173"/>
    <m/>
  </r>
  <r>
    <x v="822"/>
    <x v="1051"/>
    <x v="5"/>
    <x v="0"/>
    <x v="1"/>
    <x v="3"/>
    <x v="16"/>
    <x v="1"/>
    <x v="1023"/>
    <n v="201.1"/>
    <x v="0"/>
    <x v="0"/>
    <x v="220"/>
    <m/>
    <n v="0.14000000000000001"/>
    <m/>
    <x v="104"/>
    <x v="173"/>
    <m/>
  </r>
  <r>
    <x v="823"/>
    <x v="1052"/>
    <x v="5"/>
    <x v="0"/>
    <x v="1"/>
    <x v="3"/>
    <x v="16"/>
    <x v="1"/>
    <x v="1024"/>
    <n v="277.7"/>
    <x v="0"/>
    <x v="0"/>
    <x v="319"/>
    <m/>
    <n v="0.13900000000000001"/>
    <m/>
    <x v="21"/>
    <x v="239"/>
    <m/>
  </r>
  <r>
    <x v="823"/>
    <x v="1053"/>
    <x v="5"/>
    <x v="0"/>
    <x v="1"/>
    <x v="3"/>
    <x v="16"/>
    <x v="1"/>
    <x v="1025"/>
    <n v="277.7"/>
    <x v="0"/>
    <x v="0"/>
    <x v="320"/>
    <m/>
    <n v="0.215"/>
    <m/>
    <x v="21"/>
    <x v="239"/>
    <m/>
  </r>
  <r>
    <x v="824"/>
    <x v="1054"/>
    <x v="5"/>
    <x v="0"/>
    <x v="1"/>
    <x v="3"/>
    <x v="16"/>
    <x v="0"/>
    <x v="1026"/>
    <n v="360.3"/>
    <x v="0"/>
    <x v="0"/>
    <x v="321"/>
    <m/>
    <n v="0.311"/>
    <m/>
    <x v="46"/>
    <x v="109"/>
    <m/>
  </r>
  <r>
    <x v="825"/>
    <x v="1055"/>
    <x v="5"/>
    <x v="0"/>
    <x v="1"/>
    <x v="3"/>
    <x v="16"/>
    <x v="0"/>
    <x v="1027"/>
    <n v="211.2"/>
    <x v="0"/>
    <x v="0"/>
    <x v="322"/>
    <m/>
    <n v="0.13700000000000001"/>
    <m/>
    <x v="59"/>
    <x v="33"/>
    <m/>
  </r>
  <r>
    <x v="826"/>
    <x v="1056"/>
    <x v="5"/>
    <x v="0"/>
    <x v="1"/>
    <x v="3"/>
    <x v="16"/>
    <x v="0"/>
    <x v="1028"/>
    <n v="188.22"/>
    <x v="0"/>
    <x v="0"/>
    <x v="260"/>
    <m/>
    <n v="0.14899999999999999"/>
    <m/>
    <x v="44"/>
    <x v="111"/>
    <m/>
  </r>
  <r>
    <x v="827"/>
    <x v="1057"/>
    <x v="5"/>
    <x v="0"/>
    <x v="1"/>
    <x v="3"/>
    <x v="16"/>
    <x v="0"/>
    <x v="1029"/>
    <n v="142.4"/>
    <x v="0"/>
    <x v="0"/>
    <x v="203"/>
    <m/>
    <n v="0.108"/>
    <m/>
    <x v="159"/>
    <x v="272"/>
    <m/>
  </r>
  <r>
    <x v="828"/>
    <x v="1058"/>
    <x v="5"/>
    <x v="0"/>
    <x v="1"/>
    <x v="3"/>
    <x v="16"/>
    <x v="1"/>
    <x v="1030"/>
    <n v="103.8"/>
    <x v="0"/>
    <x v="0"/>
    <x v="284"/>
    <m/>
    <n v="0.10199999999999999"/>
    <m/>
    <x v="122"/>
    <x v="38"/>
    <m/>
  </r>
  <r>
    <x v="828"/>
    <x v="1059"/>
    <x v="5"/>
    <x v="0"/>
    <x v="1"/>
    <x v="3"/>
    <x v="16"/>
    <x v="1"/>
    <x v="1031"/>
    <n v="103.8"/>
    <x v="0"/>
    <x v="0"/>
    <x v="196"/>
    <m/>
    <n v="0.18099999999999999"/>
    <m/>
    <x v="122"/>
    <x v="38"/>
    <m/>
  </r>
  <r>
    <x v="829"/>
    <x v="1060"/>
    <x v="5"/>
    <x v="0"/>
    <x v="1"/>
    <x v="3"/>
    <x v="16"/>
    <x v="0"/>
    <x v="1032"/>
    <n v="548.9"/>
    <x v="0"/>
    <x v="0"/>
    <x v="186"/>
    <m/>
    <n v="0.17499999999999999"/>
    <m/>
    <x v="129"/>
    <x v="61"/>
    <m/>
  </r>
  <r>
    <x v="830"/>
    <x v="1061"/>
    <x v="5"/>
    <x v="0"/>
    <x v="1"/>
    <x v="3"/>
    <x v="16"/>
    <x v="0"/>
    <x v="1033"/>
    <n v="295"/>
    <x v="23"/>
    <x v="0"/>
    <x v="281"/>
    <m/>
    <n v="0.223"/>
    <m/>
    <x v="53"/>
    <x v="105"/>
    <m/>
  </r>
  <r>
    <x v="831"/>
    <x v="1062"/>
    <x v="5"/>
    <x v="0"/>
    <x v="1"/>
    <x v="3"/>
    <x v="16"/>
    <x v="0"/>
    <x v="1034"/>
    <n v="131.21"/>
    <x v="192"/>
    <x v="217"/>
    <x v="323"/>
    <n v="0.39800000000000002"/>
    <n v="1"/>
    <m/>
    <x v="128"/>
    <x v="220"/>
    <m/>
  </r>
  <r>
    <x v="832"/>
    <x v="1063"/>
    <x v="5"/>
    <x v="0"/>
    <x v="1"/>
    <x v="3"/>
    <x v="16"/>
    <x v="2"/>
    <x v="1035"/>
    <n v="67.64"/>
    <x v="193"/>
    <x v="0"/>
    <x v="324"/>
    <m/>
    <n v="0.125"/>
    <m/>
    <x v="34"/>
    <x v="36"/>
    <m/>
  </r>
  <r>
    <x v="832"/>
    <x v="1064"/>
    <x v="5"/>
    <x v="0"/>
    <x v="1"/>
    <x v="3"/>
    <x v="16"/>
    <x v="2"/>
    <x v="1036"/>
    <n v="67.64"/>
    <x v="193"/>
    <x v="0"/>
    <x v="325"/>
    <m/>
    <n v="0.11899999999999999"/>
    <m/>
    <x v="34"/>
    <x v="36"/>
    <m/>
  </r>
  <r>
    <x v="832"/>
    <x v="1065"/>
    <x v="5"/>
    <x v="0"/>
    <x v="1"/>
    <x v="3"/>
    <x v="16"/>
    <x v="2"/>
    <x v="1037"/>
    <n v="67.64"/>
    <x v="193"/>
    <x v="0"/>
    <x v="241"/>
    <m/>
    <n v="0.23599999999999999"/>
    <m/>
    <x v="34"/>
    <x v="36"/>
    <m/>
  </r>
  <r>
    <x v="833"/>
    <x v="1066"/>
    <x v="5"/>
    <x v="0"/>
    <x v="0"/>
    <x v="3"/>
    <x v="9"/>
    <x v="0"/>
    <x v="1038"/>
    <n v="309.5"/>
    <x v="0"/>
    <x v="218"/>
    <x v="326"/>
    <n v="1.236"/>
    <n v="1.6419999999999999"/>
    <n v="0.37"/>
    <x v="16"/>
    <x v="93"/>
    <n v="0.66300000000000003"/>
  </r>
  <r>
    <x v="834"/>
    <x v="1067"/>
    <x v="5"/>
    <x v="0"/>
    <x v="0"/>
    <x v="3"/>
    <x v="9"/>
    <x v="0"/>
    <x v="1039"/>
    <n v="453"/>
    <x v="194"/>
    <x v="219"/>
    <x v="17"/>
    <n v="0.86"/>
    <n v="1.3"/>
    <n v="0.56000000000000005"/>
    <x v="128"/>
    <x v="44"/>
    <n v="7.7499999999999999E-2"/>
  </r>
  <r>
    <x v="835"/>
    <x v="1068"/>
    <x v="5"/>
    <x v="0"/>
    <x v="1"/>
    <x v="3"/>
    <x v="16"/>
    <x v="2"/>
    <x v="1040"/>
    <n v="49"/>
    <x v="0"/>
    <x v="0"/>
    <x v="327"/>
    <m/>
    <n v="9.8000000000000004E-2"/>
    <m/>
    <x v="9"/>
    <x v="287"/>
    <m/>
  </r>
  <r>
    <x v="835"/>
    <x v="1069"/>
    <x v="5"/>
    <x v="0"/>
    <x v="1"/>
    <x v="3"/>
    <x v="16"/>
    <x v="2"/>
    <x v="1041"/>
    <n v="49"/>
    <x v="0"/>
    <x v="0"/>
    <x v="328"/>
    <m/>
    <n v="8.8999999999999996E-2"/>
    <m/>
    <x v="9"/>
    <x v="287"/>
    <m/>
  </r>
  <r>
    <x v="835"/>
    <x v="1070"/>
    <x v="5"/>
    <x v="0"/>
    <x v="1"/>
    <x v="3"/>
    <x v="16"/>
    <x v="2"/>
    <x v="1042"/>
    <n v="49"/>
    <x v="0"/>
    <x v="0"/>
    <x v="327"/>
    <m/>
    <n v="9.8000000000000004E-2"/>
    <m/>
    <x v="9"/>
    <x v="287"/>
    <m/>
  </r>
  <r>
    <x v="836"/>
    <x v="1071"/>
    <x v="10"/>
    <x v="0"/>
    <x v="1"/>
    <x v="3"/>
    <x v="16"/>
    <x v="1"/>
    <x v="1043"/>
    <n v="171.39"/>
    <x v="0"/>
    <x v="220"/>
    <x v="329"/>
    <n v="5.978E-2"/>
    <n v="0.48199999999999998"/>
    <n v="0.64"/>
    <x v="154"/>
    <x v="220"/>
    <m/>
  </r>
  <r>
    <x v="836"/>
    <x v="1072"/>
    <x v="10"/>
    <x v="0"/>
    <x v="1"/>
    <x v="3"/>
    <x v="16"/>
    <x v="1"/>
    <x v="1044"/>
    <n v="171.39"/>
    <x v="0"/>
    <x v="221"/>
    <x v="202"/>
    <n v="4.845E-2"/>
    <n v="0.66900000000000004"/>
    <n v="0.2"/>
    <x v="154"/>
    <x v="220"/>
    <m/>
  </r>
  <r>
    <x v="837"/>
    <x v="1073"/>
    <x v="5"/>
    <x v="0"/>
    <x v="1"/>
    <x v="3"/>
    <x v="16"/>
    <x v="1"/>
    <x v="1045"/>
    <n v="70"/>
    <x v="0"/>
    <x v="0"/>
    <x v="184"/>
    <m/>
    <n v="0.17799999999999999"/>
    <m/>
    <x v="101"/>
    <x v="80"/>
    <m/>
  </r>
  <r>
    <x v="837"/>
    <x v="1074"/>
    <x v="5"/>
    <x v="0"/>
    <x v="1"/>
    <x v="3"/>
    <x v="16"/>
    <x v="1"/>
    <x v="1046"/>
    <n v="70"/>
    <x v="0"/>
    <x v="0"/>
    <x v="237"/>
    <m/>
    <n v="0.161"/>
    <m/>
    <x v="101"/>
    <x v="80"/>
    <m/>
  </r>
  <r>
    <x v="838"/>
    <x v="1075"/>
    <x v="5"/>
    <x v="0"/>
    <x v="1"/>
    <x v="3"/>
    <x v="16"/>
    <x v="0"/>
    <x v="1047"/>
    <n v="149.6"/>
    <x v="0"/>
    <x v="0"/>
    <x v="330"/>
    <m/>
    <n v="0.22700000000000001"/>
    <m/>
    <x v="159"/>
    <x v="91"/>
    <m/>
  </r>
  <r>
    <x v="839"/>
    <x v="1076"/>
    <x v="5"/>
    <x v="0"/>
    <x v="1"/>
    <x v="3"/>
    <x v="16"/>
    <x v="0"/>
    <x v="1048"/>
    <n v="109.6"/>
    <x v="0"/>
    <x v="0"/>
    <x v="198"/>
    <m/>
    <n v="0.22700000000000001"/>
    <m/>
    <x v="189"/>
    <x v="294"/>
    <m/>
  </r>
  <r>
    <x v="840"/>
    <x v="1077"/>
    <x v="5"/>
    <x v="0"/>
    <x v="1"/>
    <x v="3"/>
    <x v="16"/>
    <x v="1"/>
    <x v="1049"/>
    <n v="269.2"/>
    <x v="0"/>
    <x v="0"/>
    <x v="331"/>
    <m/>
    <n v="0.19400000000000001"/>
    <m/>
    <x v="51"/>
    <x v="61"/>
    <m/>
  </r>
  <r>
    <x v="840"/>
    <x v="1078"/>
    <x v="5"/>
    <x v="0"/>
    <x v="1"/>
    <x v="3"/>
    <x v="16"/>
    <x v="1"/>
    <x v="1050"/>
    <n v="269.2"/>
    <x v="0"/>
    <x v="0"/>
    <x v="201"/>
    <m/>
    <n v="0.17899999999999999"/>
    <m/>
    <x v="51"/>
    <x v="61"/>
    <m/>
  </r>
  <r>
    <x v="841"/>
    <x v="1079"/>
    <x v="5"/>
    <x v="0"/>
    <x v="1"/>
    <x v="3"/>
    <x v="16"/>
    <x v="0"/>
    <x v="1051"/>
    <n v="214"/>
    <x v="0"/>
    <x v="0"/>
    <x v="314"/>
    <m/>
    <n v="0.156"/>
    <m/>
    <x v="126"/>
    <x v="94"/>
    <m/>
  </r>
  <r>
    <x v="842"/>
    <x v="1080"/>
    <x v="5"/>
    <x v="0"/>
    <x v="1"/>
    <x v="3"/>
    <x v="16"/>
    <x v="0"/>
    <x v="1052"/>
    <n v="463.4"/>
    <x v="0"/>
    <x v="0"/>
    <x v="332"/>
    <m/>
    <n v="0.38700000000000001"/>
    <m/>
    <x v="134"/>
    <x v="167"/>
    <m/>
  </r>
  <r>
    <x v="843"/>
    <x v="1081"/>
    <x v="5"/>
    <x v="0"/>
    <x v="1"/>
    <x v="3"/>
    <x v="16"/>
    <x v="0"/>
    <x v="1053"/>
    <n v="723.1"/>
    <x v="0"/>
    <x v="0"/>
    <x v="321"/>
    <m/>
    <n v="0.311"/>
    <m/>
    <x v="122"/>
    <x v="16"/>
    <m/>
  </r>
  <r>
    <x v="844"/>
    <x v="1082"/>
    <x v="5"/>
    <x v="0"/>
    <x v="1"/>
    <x v="3"/>
    <x v="16"/>
    <x v="1"/>
    <x v="1054"/>
    <n v="260.2"/>
    <x v="0"/>
    <x v="0"/>
    <x v="333"/>
    <m/>
    <n v="0.189"/>
    <m/>
    <x v="36"/>
    <x v="67"/>
    <m/>
  </r>
  <r>
    <x v="844"/>
    <x v="1083"/>
    <x v="5"/>
    <x v="0"/>
    <x v="1"/>
    <x v="3"/>
    <x v="16"/>
    <x v="1"/>
    <x v="1055"/>
    <n v="260.2"/>
    <x v="0"/>
    <x v="0"/>
    <x v="252"/>
    <m/>
    <n v="0.19500000000000001"/>
    <m/>
    <x v="36"/>
    <x v="67"/>
    <m/>
  </r>
  <r>
    <x v="845"/>
    <x v="1084"/>
    <x v="5"/>
    <x v="0"/>
    <x v="1"/>
    <x v="3"/>
    <x v="16"/>
    <x v="0"/>
    <x v="1056"/>
    <n v="410.5"/>
    <x v="0"/>
    <x v="0"/>
    <x v="334"/>
    <m/>
    <n v="0.22900000000000001"/>
    <m/>
    <x v="59"/>
    <x v="94"/>
    <m/>
  </r>
  <r>
    <x v="846"/>
    <x v="1085"/>
    <x v="5"/>
    <x v="0"/>
    <x v="1"/>
    <x v="3"/>
    <x v="16"/>
    <x v="0"/>
    <x v="1057"/>
    <n v="528.29999999999995"/>
    <x v="0"/>
    <x v="0"/>
    <x v="335"/>
    <m/>
    <n v="0.249"/>
    <m/>
    <x v="64"/>
    <x v="119"/>
    <m/>
  </r>
  <r>
    <x v="847"/>
    <x v="1086"/>
    <x v="8"/>
    <x v="0"/>
    <x v="1"/>
    <x v="3"/>
    <x v="16"/>
    <x v="0"/>
    <x v="1058"/>
    <n v="45.01"/>
    <x v="0"/>
    <x v="0"/>
    <x v="336"/>
    <m/>
    <n v="0.30599999999999999"/>
    <m/>
    <x v="71"/>
    <x v="69"/>
    <n v="15.9"/>
  </r>
  <r>
    <x v="848"/>
    <x v="1087"/>
    <x v="5"/>
    <x v="0"/>
    <x v="1"/>
    <x v="3"/>
    <x v="16"/>
    <x v="0"/>
    <x v="1059"/>
    <n v="417.6"/>
    <x v="0"/>
    <x v="0"/>
    <x v="337"/>
    <m/>
    <n v="0.218"/>
    <m/>
    <x v="34"/>
    <x v="130"/>
    <m/>
  </r>
  <r>
    <x v="849"/>
    <x v="1088"/>
    <x v="5"/>
    <x v="0"/>
    <x v="1"/>
    <x v="3"/>
    <x v="16"/>
    <x v="0"/>
    <x v="1060"/>
    <n v="147.69999999999999"/>
    <x v="0"/>
    <x v="0"/>
    <x v="338"/>
    <m/>
    <n v="0.21"/>
    <m/>
    <x v="85"/>
    <x v="75"/>
    <m/>
  </r>
  <r>
    <x v="850"/>
    <x v="1089"/>
    <x v="5"/>
    <x v="0"/>
    <x v="1"/>
    <x v="3"/>
    <x v="16"/>
    <x v="0"/>
    <x v="1061"/>
    <n v="229.9"/>
    <x v="0"/>
    <x v="0"/>
    <x v="339"/>
    <m/>
    <n v="0.155"/>
    <m/>
    <x v="137"/>
    <x v="92"/>
    <m/>
  </r>
  <r>
    <x v="851"/>
    <x v="1090"/>
    <x v="5"/>
    <x v="0"/>
    <x v="1"/>
    <x v="3"/>
    <x v="16"/>
    <x v="0"/>
    <x v="1062"/>
    <n v="901.8"/>
    <x v="0"/>
    <x v="0"/>
    <x v="340"/>
    <m/>
    <n v="1.1299999999999999"/>
    <m/>
    <x v="4"/>
    <x v="95"/>
    <m/>
  </r>
  <r>
    <x v="852"/>
    <x v="1091"/>
    <x v="5"/>
    <x v="0"/>
    <x v="1"/>
    <x v="3"/>
    <x v="16"/>
    <x v="1"/>
    <x v="1063"/>
    <n v="229.4"/>
    <x v="0"/>
    <x v="0"/>
    <x v="341"/>
    <m/>
    <n v="0.14499999999999999"/>
    <m/>
    <x v="159"/>
    <x v="282"/>
    <m/>
  </r>
  <r>
    <x v="852"/>
    <x v="1092"/>
    <x v="5"/>
    <x v="0"/>
    <x v="1"/>
    <x v="3"/>
    <x v="16"/>
    <x v="1"/>
    <x v="1064"/>
    <n v="229.4"/>
    <x v="0"/>
    <x v="0"/>
    <x v="252"/>
    <m/>
    <n v="0.19500000000000001"/>
    <m/>
    <x v="159"/>
    <x v="282"/>
    <m/>
  </r>
  <r>
    <x v="853"/>
    <x v="1093"/>
    <x v="5"/>
    <x v="0"/>
    <x v="1"/>
    <x v="3"/>
    <x v="16"/>
    <x v="0"/>
    <x v="1065"/>
    <n v="192.4"/>
    <x v="0"/>
    <x v="0"/>
    <x v="175"/>
    <m/>
    <n v="0.25900000000000001"/>
    <m/>
    <x v="159"/>
    <x v="67"/>
    <m/>
  </r>
  <r>
    <x v="854"/>
    <x v="1094"/>
    <x v="5"/>
    <x v="0"/>
    <x v="1"/>
    <x v="3"/>
    <x v="16"/>
    <x v="0"/>
    <x v="1066"/>
    <n v="580.5"/>
    <x v="0"/>
    <x v="0"/>
    <x v="154"/>
    <m/>
    <n v="0.23499999999999999"/>
    <m/>
    <x v="97"/>
    <x v="202"/>
    <m/>
  </r>
  <r>
    <x v="855"/>
    <x v="1095"/>
    <x v="5"/>
    <x v="0"/>
    <x v="1"/>
    <x v="3"/>
    <x v="16"/>
    <x v="0"/>
    <x v="1067"/>
    <n v="64.099999999999994"/>
    <x v="0"/>
    <x v="0"/>
    <x v="342"/>
    <m/>
    <n v="7.3999999999999996E-2"/>
    <m/>
    <x v="85"/>
    <x v="70"/>
    <m/>
  </r>
  <r>
    <x v="856"/>
    <x v="1096"/>
    <x v="5"/>
    <x v="0"/>
    <x v="1"/>
    <x v="3"/>
    <x v="16"/>
    <x v="0"/>
    <x v="1068"/>
    <n v="675.2"/>
    <x v="0"/>
    <x v="0"/>
    <x v="343"/>
    <m/>
    <n v="0.26800000000000002"/>
    <m/>
    <x v="49"/>
    <x v="97"/>
    <m/>
  </r>
  <r>
    <x v="857"/>
    <x v="1097"/>
    <x v="5"/>
    <x v="0"/>
    <x v="1"/>
    <x v="3"/>
    <x v="16"/>
    <x v="0"/>
    <x v="1069"/>
    <n v="422.1"/>
    <x v="0"/>
    <x v="0"/>
    <x v="152"/>
    <m/>
    <n v="0.20699999999999999"/>
    <m/>
    <x v="30"/>
    <x v="4"/>
    <m/>
  </r>
  <r>
    <x v="858"/>
    <x v="1098"/>
    <x v="10"/>
    <x v="0"/>
    <x v="1"/>
    <x v="3"/>
    <x v="16"/>
    <x v="0"/>
    <x v="1070"/>
    <n v="99.33"/>
    <x v="40"/>
    <x v="0"/>
    <x v="344"/>
    <m/>
    <n v="0.23799999999999999"/>
    <m/>
    <x v="92"/>
    <x v="34"/>
    <n v="3.92"/>
  </r>
  <r>
    <x v="859"/>
    <x v="1099"/>
    <x v="5"/>
    <x v="0"/>
    <x v="1"/>
    <x v="3"/>
    <x v="16"/>
    <x v="0"/>
    <x v="1071"/>
    <n v="676.32"/>
    <x v="107"/>
    <x v="222"/>
    <x v="345"/>
    <n v="1.42"/>
    <n v="1.552"/>
    <n v="0.5"/>
    <x v="139"/>
    <x v="295"/>
    <n v="0.40050000000000002"/>
  </r>
  <r>
    <x v="860"/>
    <x v="1100"/>
    <x v="5"/>
    <x v="0"/>
    <x v="1"/>
    <x v="3"/>
    <x v="16"/>
    <x v="0"/>
    <x v="1072"/>
    <n v="214.58"/>
    <x v="51"/>
    <x v="223"/>
    <x v="346"/>
    <n v="0.223"/>
    <n v="0.85"/>
    <n v="0.48299999999999998"/>
    <x v="32"/>
    <x v="46"/>
    <n v="0.35"/>
  </r>
  <r>
    <x v="861"/>
    <x v="1101"/>
    <x v="5"/>
    <x v="0"/>
    <x v="1"/>
    <x v="3"/>
    <x v="16"/>
    <x v="0"/>
    <x v="1073"/>
    <n v="163.22999999999999"/>
    <x v="172"/>
    <x v="224"/>
    <x v="320"/>
    <n v="4.657E-2"/>
    <n v="0.215"/>
    <n v="5.7"/>
    <x v="59"/>
    <x v="131"/>
    <n v="2.02"/>
  </r>
  <r>
    <x v="862"/>
    <x v="1102"/>
    <x v="5"/>
    <x v="0"/>
    <x v="1"/>
    <x v="3"/>
    <x v="16"/>
    <x v="1"/>
    <x v="1074"/>
    <n v="187"/>
    <x v="0"/>
    <x v="0"/>
    <x v="347"/>
    <m/>
    <n v="0.19900000000000001"/>
    <m/>
    <x v="38"/>
    <x v="296"/>
    <n v="6.61"/>
  </r>
  <r>
    <x v="862"/>
    <x v="1103"/>
    <x v="5"/>
    <x v="0"/>
    <x v="1"/>
    <x v="3"/>
    <x v="16"/>
    <x v="1"/>
    <x v="1075"/>
    <n v="187"/>
    <x v="0"/>
    <x v="0"/>
    <x v="348"/>
    <m/>
    <n v="0.23799999999999999"/>
    <m/>
    <x v="38"/>
    <x v="296"/>
    <n v="6.61"/>
  </r>
  <r>
    <x v="863"/>
    <x v="1104"/>
    <x v="5"/>
    <x v="0"/>
    <x v="1"/>
    <x v="3"/>
    <x v="16"/>
    <x v="0"/>
    <x v="1076"/>
    <n v="139.22"/>
    <x v="68"/>
    <x v="225"/>
    <x v="349"/>
    <n v="2.0580000000000001E-2"/>
    <n v="0.153"/>
    <n v="7.1"/>
    <x v="127"/>
    <x v="62"/>
    <n v="0.98"/>
  </r>
  <r>
    <x v="864"/>
    <x v="1105"/>
    <x v="5"/>
    <x v="0"/>
    <x v="1"/>
    <x v="3"/>
    <x v="16"/>
    <x v="4"/>
    <x v="1077"/>
    <n v="77.16"/>
    <x v="0"/>
    <x v="226"/>
    <x v="350"/>
    <n v="3.5549999999999998E-2"/>
    <n v="0.29399999999999998"/>
    <n v="1.77"/>
    <x v="74"/>
    <x v="86"/>
    <n v="2.79"/>
  </r>
  <r>
    <x v="864"/>
    <x v="1106"/>
    <x v="5"/>
    <x v="0"/>
    <x v="1"/>
    <x v="3"/>
    <x v="16"/>
    <x v="4"/>
    <x v="1078"/>
    <n v="77.16"/>
    <x v="0"/>
    <x v="227"/>
    <x v="351"/>
    <n v="9.1E-4"/>
    <n v="6.3E-2"/>
    <n v="4.51"/>
    <x v="74"/>
    <x v="86"/>
    <n v="2.79"/>
  </r>
  <r>
    <x v="864"/>
    <x v="1107"/>
    <x v="5"/>
    <x v="0"/>
    <x v="1"/>
    <x v="3"/>
    <x v="16"/>
    <x v="4"/>
    <x v="1079"/>
    <n v="77.16"/>
    <x v="0"/>
    <x v="228"/>
    <x v="352"/>
    <n v="2.9579999999999999E-2"/>
    <n v="0.26100000000000001"/>
    <n v="2.0299999999999998"/>
    <x v="74"/>
    <x v="86"/>
    <n v="2.79"/>
  </r>
  <r>
    <x v="864"/>
    <x v="1108"/>
    <x v="5"/>
    <x v="0"/>
    <x v="1"/>
    <x v="3"/>
    <x v="16"/>
    <x v="4"/>
    <x v="1080"/>
    <n v="77.16"/>
    <x v="0"/>
    <x v="229"/>
    <x v="38"/>
    <n v="2.6110000000000001E-2"/>
    <n v="0.24399999999999999"/>
    <n v="2.21"/>
    <x v="74"/>
    <x v="86"/>
    <n v="2.79"/>
  </r>
  <r>
    <x v="865"/>
    <x v="1109"/>
    <x v="5"/>
    <x v="0"/>
    <x v="1"/>
    <x v="3"/>
    <x v="16"/>
    <x v="1"/>
    <x v="1081"/>
    <n v="331.46"/>
    <x v="0"/>
    <x v="0"/>
    <x v="353"/>
    <m/>
    <n v="0.126"/>
    <m/>
    <x v="97"/>
    <x v="202"/>
    <m/>
  </r>
  <r>
    <x v="865"/>
    <x v="1110"/>
    <x v="5"/>
    <x v="0"/>
    <x v="1"/>
    <x v="3"/>
    <x v="16"/>
    <x v="1"/>
    <x v="1082"/>
    <n v="331.46"/>
    <x v="0"/>
    <x v="0"/>
    <x v="354"/>
    <m/>
    <n v="0.24"/>
    <m/>
    <x v="97"/>
    <x v="202"/>
    <m/>
  </r>
  <r>
    <x v="866"/>
    <x v="1111"/>
    <x v="5"/>
    <x v="0"/>
    <x v="1"/>
    <x v="3"/>
    <x v="16"/>
    <x v="0"/>
    <x v="1083"/>
    <n v="362.07"/>
    <x v="0"/>
    <x v="0"/>
    <x v="220"/>
    <m/>
    <n v="0.14000000000000001"/>
    <m/>
    <x v="56"/>
    <x v="150"/>
    <n v="1.1299999999999999"/>
  </r>
  <r>
    <x v="867"/>
    <x v="1112"/>
    <x v="10"/>
    <x v="0"/>
    <x v="1"/>
    <x v="3"/>
    <x v="16"/>
    <x v="0"/>
    <x v="1084"/>
    <n v="251.43"/>
    <x v="92"/>
    <x v="230"/>
    <x v="355"/>
    <n v="9.7220000000000001E-2"/>
    <n v="0.4"/>
    <n v="1.87"/>
    <x v="122"/>
    <x v="111"/>
    <m/>
  </r>
  <r>
    <x v="868"/>
    <x v="1113"/>
    <x v="5"/>
    <x v="0"/>
    <x v="1"/>
    <x v="3"/>
    <x v="16"/>
    <x v="1"/>
    <x v="1085"/>
    <n v="283.52999999999997"/>
    <x v="0"/>
    <x v="0"/>
    <x v="231"/>
    <m/>
    <n v="0.123"/>
    <m/>
    <x v="6"/>
    <x v="57"/>
    <m/>
  </r>
  <r>
    <x v="868"/>
    <x v="1114"/>
    <x v="5"/>
    <x v="0"/>
    <x v="1"/>
    <x v="3"/>
    <x v="16"/>
    <x v="1"/>
    <x v="1086"/>
    <n v="283.52999999999997"/>
    <x v="0"/>
    <x v="0"/>
    <x v="356"/>
    <m/>
    <n v="0.26300000000000001"/>
    <m/>
    <x v="6"/>
    <x v="57"/>
    <m/>
  </r>
  <r>
    <x v="869"/>
    <x v="1115"/>
    <x v="5"/>
    <x v="0"/>
    <x v="1"/>
    <x v="3"/>
    <x v="16"/>
    <x v="0"/>
    <x v="1087"/>
    <n v="571.47"/>
    <x v="0"/>
    <x v="0"/>
    <x v="357"/>
    <m/>
    <n v="0.64900000000000002"/>
    <m/>
    <x v="134"/>
    <x v="173"/>
    <n v="2.2839999999999998"/>
  </r>
  <r>
    <x v="870"/>
    <x v="1116"/>
    <x v="5"/>
    <x v="0"/>
    <x v="1"/>
    <x v="3"/>
    <x v="16"/>
    <x v="0"/>
    <x v="1088"/>
    <n v="426.57"/>
    <x v="0"/>
    <x v="0"/>
    <x v="217"/>
    <m/>
    <n v="0.26"/>
    <m/>
    <x v="94"/>
    <x v="130"/>
    <n v="2.577"/>
  </r>
  <r>
    <x v="871"/>
    <x v="1117"/>
    <x v="5"/>
    <x v="0"/>
    <x v="1"/>
    <x v="3"/>
    <x v="16"/>
    <x v="0"/>
    <x v="1089"/>
    <n v="310.60000000000002"/>
    <x v="0"/>
    <x v="0"/>
    <x v="358"/>
    <m/>
    <n v="0.39400000000000002"/>
    <m/>
    <x v="3"/>
    <x v="239"/>
    <n v="3.6999999999999998E-2"/>
  </r>
  <r>
    <x v="872"/>
    <x v="1118"/>
    <x v="5"/>
    <x v="0"/>
    <x v="1"/>
    <x v="3"/>
    <x v="16"/>
    <x v="0"/>
    <x v="1090"/>
    <n v="232.82"/>
    <x v="0"/>
    <x v="0"/>
    <x v="359"/>
    <m/>
    <n v="0.19600000000000001"/>
    <m/>
    <x v="94"/>
    <x v="36"/>
    <n v="2.98"/>
  </r>
  <r>
    <x v="873"/>
    <x v="1119"/>
    <x v="5"/>
    <x v="0"/>
    <x v="1"/>
    <x v="3"/>
    <x v="16"/>
    <x v="1"/>
    <x v="1091"/>
    <n v="124.09"/>
    <x v="0"/>
    <x v="0"/>
    <x v="360"/>
    <m/>
    <n v="0.2"/>
    <m/>
    <x v="137"/>
    <x v="142"/>
    <m/>
  </r>
  <r>
    <x v="873"/>
    <x v="1120"/>
    <x v="5"/>
    <x v="0"/>
    <x v="1"/>
    <x v="3"/>
    <x v="16"/>
    <x v="1"/>
    <x v="1092"/>
    <n v="124.09"/>
    <x v="0"/>
    <x v="0"/>
    <x v="361"/>
    <m/>
    <n v="0.20899999999999999"/>
    <m/>
    <x v="137"/>
    <x v="142"/>
    <m/>
  </r>
  <r>
    <x v="874"/>
    <x v="1121"/>
    <x v="5"/>
    <x v="0"/>
    <x v="1"/>
    <x v="3"/>
    <x v="16"/>
    <x v="0"/>
    <x v="1093"/>
    <n v="489.88"/>
    <x v="0"/>
    <x v="0"/>
    <x v="362"/>
    <m/>
    <n v="0.33600000000000002"/>
    <m/>
    <x v="58"/>
    <x v="131"/>
    <n v="0.505"/>
  </r>
  <r>
    <x v="875"/>
    <x v="1122"/>
    <x v="5"/>
    <x v="0"/>
    <x v="1"/>
    <x v="3"/>
    <x v="16"/>
    <x v="0"/>
    <x v="1094"/>
    <n v="113.53"/>
    <x v="0"/>
    <x v="0"/>
    <x v="46"/>
    <m/>
    <n v="0.185"/>
    <m/>
    <x v="102"/>
    <x v="193"/>
    <n v="6.9359999999999999"/>
  </r>
  <r>
    <x v="876"/>
    <x v="1123"/>
    <x v="5"/>
    <x v="0"/>
    <x v="1"/>
    <x v="3"/>
    <x v="16"/>
    <x v="0"/>
    <x v="1095"/>
    <n v="804.13"/>
    <x v="0"/>
    <x v="0"/>
    <x v="363"/>
    <m/>
    <n v="0.26600000000000001"/>
    <m/>
    <x v="28"/>
    <x v="49"/>
    <n v="0.41299999999999998"/>
  </r>
  <r>
    <x v="877"/>
    <x v="1124"/>
    <x v="5"/>
    <x v="0"/>
    <x v="1"/>
    <x v="3"/>
    <x v="16"/>
    <x v="0"/>
    <x v="1096"/>
    <n v="183.8"/>
    <x v="0"/>
    <x v="0"/>
    <x v="203"/>
    <m/>
    <n v="0.108"/>
    <m/>
    <x v="137"/>
    <x v="24"/>
    <n v="1.1299999999999999"/>
  </r>
  <r>
    <x v="878"/>
    <x v="1125"/>
    <x v="10"/>
    <x v="0"/>
    <x v="1"/>
    <x v="3"/>
    <x v="16"/>
    <x v="0"/>
    <x v="1097"/>
    <n v="63.11"/>
    <x v="0"/>
    <x v="0"/>
    <x v="152"/>
    <m/>
    <n v="0.20699999999999999"/>
    <m/>
    <x v="190"/>
    <x v="69"/>
    <n v="15.2"/>
  </r>
  <r>
    <x v="879"/>
    <x v="1126"/>
    <x v="5"/>
    <x v="0"/>
    <x v="1"/>
    <x v="3"/>
    <x v="16"/>
    <x v="0"/>
    <x v="1098"/>
    <n v="396.9"/>
    <x v="0"/>
    <x v="0"/>
    <x v="364"/>
    <m/>
    <n v="0.68400000000000005"/>
    <m/>
    <x v="129"/>
    <x v="182"/>
    <n v="0.25900000000000001"/>
  </r>
  <r>
    <x v="880"/>
    <x v="1127"/>
    <x v="5"/>
    <x v="0"/>
    <x v="1"/>
    <x v="3"/>
    <x v="16"/>
    <x v="0"/>
    <x v="1099"/>
    <n v="466.11"/>
    <x v="0"/>
    <x v="0"/>
    <x v="365"/>
    <m/>
    <n v="0.73"/>
    <m/>
    <x v="58"/>
    <x v="153"/>
    <n v="4.3540000000000001"/>
  </r>
  <r>
    <x v="881"/>
    <x v="1128"/>
    <x v="5"/>
    <x v="0"/>
    <x v="1"/>
    <x v="3"/>
    <x v="16"/>
    <x v="0"/>
    <x v="1100"/>
    <n v="502.28"/>
    <x v="0"/>
    <x v="0"/>
    <x v="366"/>
    <m/>
    <n v="0.252"/>
    <m/>
    <x v="44"/>
    <x v="16"/>
    <n v="1.4419999999999999"/>
  </r>
  <r>
    <x v="882"/>
    <x v="1129"/>
    <x v="5"/>
    <x v="0"/>
    <x v="1"/>
    <x v="3"/>
    <x v="16"/>
    <x v="0"/>
    <x v="1101"/>
    <n v="408.24"/>
    <x v="0"/>
    <x v="0"/>
    <x v="367"/>
    <m/>
    <n v="0.314"/>
    <m/>
    <x v="45"/>
    <x v="92"/>
    <n v="2.8610000000000002"/>
  </r>
  <r>
    <x v="883"/>
    <x v="1130"/>
    <x v="5"/>
    <x v="0"/>
    <x v="1"/>
    <x v="3"/>
    <x v="16"/>
    <x v="0"/>
    <x v="1102"/>
    <n v="107.6"/>
    <x v="4"/>
    <x v="0"/>
    <x v="295"/>
    <m/>
    <n v="0.248"/>
    <m/>
    <x v="80"/>
    <x v="74"/>
    <n v="3.91"/>
  </r>
  <r>
    <x v="884"/>
    <x v="1131"/>
    <x v="5"/>
    <x v="0"/>
    <x v="1"/>
    <x v="3"/>
    <x v="16"/>
    <x v="4"/>
    <x v="1103"/>
    <n v="155.65"/>
    <x v="0"/>
    <x v="231"/>
    <x v="368"/>
    <n v="3.0460000000000001E-2"/>
    <n v="0.23100000000000001"/>
    <n v="3.07"/>
    <x v="134"/>
    <x v="38"/>
    <n v="2.512"/>
  </r>
  <r>
    <x v="884"/>
    <x v="1132"/>
    <x v="5"/>
    <x v="0"/>
    <x v="1"/>
    <x v="3"/>
    <x v="16"/>
    <x v="4"/>
    <x v="1104"/>
    <n v="155.65"/>
    <x v="0"/>
    <x v="232"/>
    <x v="369"/>
    <n v="4.9329999999999999E-2"/>
    <n v="0.315"/>
    <n v="1.95"/>
    <x v="134"/>
    <x v="38"/>
    <n v="2.512"/>
  </r>
  <r>
    <x v="884"/>
    <x v="1133"/>
    <x v="5"/>
    <x v="0"/>
    <x v="1"/>
    <x v="3"/>
    <x v="16"/>
    <x v="4"/>
    <x v="1105"/>
    <n v="155.65"/>
    <x v="0"/>
    <x v="233"/>
    <x v="233"/>
    <n v="2.0449999999999999E-2"/>
    <n v="0.221"/>
    <m/>
    <x v="134"/>
    <x v="38"/>
    <n v="2.512"/>
  </r>
  <r>
    <x v="884"/>
    <x v="1134"/>
    <x v="5"/>
    <x v="0"/>
    <x v="1"/>
    <x v="3"/>
    <x v="16"/>
    <x v="4"/>
    <x v="1106"/>
    <n v="155.65"/>
    <x v="0"/>
    <x v="234"/>
    <x v="370"/>
    <n v="3.3669999999999999E-2"/>
    <n v="0.17399999999999999"/>
    <m/>
    <x v="134"/>
    <x v="38"/>
    <n v="2.512"/>
  </r>
  <r>
    <x v="885"/>
    <x v="1135"/>
    <x v="5"/>
    <x v="0"/>
    <x v="1"/>
    <x v="3"/>
    <x v="10"/>
    <x v="0"/>
    <x v="1107"/>
    <n v="76.319999999999993"/>
    <x v="0"/>
    <x v="0"/>
    <x v="371"/>
    <m/>
    <n v="0.187"/>
    <m/>
    <x v="191"/>
    <x v="112"/>
    <m/>
  </r>
  <r>
    <x v="886"/>
    <x v="1136"/>
    <x v="5"/>
    <x v="0"/>
    <x v="1"/>
    <x v="3"/>
    <x v="10"/>
    <x v="0"/>
    <x v="1108"/>
    <n v="159.05000000000001"/>
    <x v="35"/>
    <x v="235"/>
    <x v="372"/>
    <n v="0.315"/>
    <n v="0.84699999999999998"/>
    <m/>
    <x v="104"/>
    <x v="88"/>
    <n v="1.2170000000000001"/>
  </r>
  <r>
    <x v="887"/>
    <x v="1137"/>
    <x v="5"/>
    <x v="0"/>
    <x v="1"/>
    <x v="3"/>
    <x v="10"/>
    <x v="0"/>
    <x v="1109"/>
    <n v="65.72"/>
    <x v="40"/>
    <x v="0"/>
    <x v="191"/>
    <m/>
    <n v="0.17"/>
    <m/>
    <x v="61"/>
    <x v="297"/>
    <n v="14.2"/>
  </r>
  <r>
    <x v="888"/>
    <x v="1138"/>
    <x v="20"/>
    <x v="0"/>
    <x v="1"/>
    <x v="3"/>
    <x v="10"/>
    <x v="0"/>
    <x v="1110"/>
    <n v="270.7"/>
    <x v="0"/>
    <x v="0"/>
    <x v="373"/>
    <m/>
    <n v="0.81200000000000006"/>
    <m/>
    <x v="44"/>
    <x v="55"/>
    <n v="1.24"/>
  </r>
  <r>
    <x v="889"/>
    <x v="1139"/>
    <x v="10"/>
    <x v="0"/>
    <x v="1"/>
    <x v="3"/>
    <x v="16"/>
    <x v="0"/>
    <x v="1111"/>
    <n v="179.39"/>
    <x v="195"/>
    <x v="186"/>
    <x v="374"/>
    <n v="0.73"/>
    <n v="1.19"/>
    <n v="0.53"/>
    <x v="23"/>
    <x v="24"/>
    <m/>
  </r>
  <r>
    <x v="890"/>
    <x v="1140"/>
    <x v="20"/>
    <x v="0"/>
    <x v="1"/>
    <x v="3"/>
    <x v="10"/>
    <x v="1"/>
    <x v="1112"/>
    <n v="274.99"/>
    <x v="12"/>
    <x v="236"/>
    <x v="375"/>
    <n v="3.4299999999999997E-2"/>
    <n v="0.27300000000000002"/>
    <n v="4.0999999999999996"/>
    <x v="128"/>
    <x v="195"/>
    <n v="0.48499999999999999"/>
  </r>
  <r>
    <x v="890"/>
    <x v="1141"/>
    <x v="20"/>
    <x v="0"/>
    <x v="1"/>
    <x v="3"/>
    <x v="10"/>
    <x v="1"/>
    <x v="1113"/>
    <n v="274.99"/>
    <x v="12"/>
    <x v="237"/>
    <x v="376"/>
    <n v="0.77400000000000002"/>
    <n v="1.006"/>
    <n v="1.01"/>
    <x v="128"/>
    <x v="195"/>
    <n v="0.48499999999999999"/>
  </r>
  <r>
    <x v="891"/>
    <x v="1142"/>
    <x v="20"/>
    <x v="0"/>
    <x v="1"/>
    <x v="3"/>
    <x v="10"/>
    <x v="0"/>
    <x v="1114"/>
    <n v="90.29"/>
    <x v="196"/>
    <x v="238"/>
    <x v="377"/>
    <n v="2.0420000000000001E-2"/>
    <n v="0.14199999999999999"/>
    <n v="8.84"/>
    <x v="89"/>
    <x v="52"/>
    <m/>
  </r>
  <r>
    <x v="892"/>
    <x v="1143"/>
    <x v="20"/>
    <x v="0"/>
    <x v="1"/>
    <x v="3"/>
    <x v="10"/>
    <x v="0"/>
    <x v="1115"/>
    <n v="396.64"/>
    <x v="0"/>
    <x v="0"/>
    <x v="378"/>
    <m/>
    <n v="0.219"/>
    <m/>
    <x v="50"/>
    <x v="105"/>
    <m/>
  </r>
  <r>
    <x v="893"/>
    <x v="1144"/>
    <x v="20"/>
    <x v="0"/>
    <x v="1"/>
    <x v="3"/>
    <x v="10"/>
    <x v="0"/>
    <x v="1116"/>
    <n v="377.04"/>
    <x v="0"/>
    <x v="0"/>
    <x v="379"/>
    <m/>
    <n v="0.14799999999999999"/>
    <m/>
    <x v="7"/>
    <x v="15"/>
    <m/>
  </r>
  <r>
    <x v="894"/>
    <x v="1145"/>
    <x v="5"/>
    <x v="0"/>
    <x v="1"/>
    <x v="3"/>
    <x v="16"/>
    <x v="0"/>
    <x v="1117"/>
    <n v="225.7"/>
    <x v="0"/>
    <x v="239"/>
    <x v="380"/>
    <n v="0.33500000000000002"/>
    <n v="0.89700000000000002"/>
    <n v="0.61199999999999999"/>
    <x v="36"/>
    <x v="86"/>
    <n v="3.0430000000000001"/>
  </r>
  <r>
    <x v="895"/>
    <x v="1146"/>
    <x v="8"/>
    <x v="0"/>
    <x v="1"/>
    <x v="3"/>
    <x v="16"/>
    <x v="2"/>
    <x v="1118"/>
    <n v="44.13"/>
    <x v="0"/>
    <x v="0"/>
    <x v="205"/>
    <m/>
    <n v="0.19400000000000001"/>
    <m/>
    <x v="14"/>
    <x v="83"/>
    <m/>
  </r>
  <r>
    <x v="895"/>
    <x v="1147"/>
    <x v="8"/>
    <x v="0"/>
    <x v="1"/>
    <x v="3"/>
    <x v="16"/>
    <x v="2"/>
    <x v="1119"/>
    <n v="44.13"/>
    <x v="0"/>
    <x v="0"/>
    <x v="381"/>
    <m/>
    <n v="0.16500000000000001"/>
    <m/>
    <x v="14"/>
    <x v="83"/>
    <m/>
  </r>
  <r>
    <x v="895"/>
    <x v="1148"/>
    <x v="8"/>
    <x v="0"/>
    <x v="1"/>
    <x v="3"/>
    <x v="16"/>
    <x v="2"/>
    <x v="1120"/>
    <n v="44.13"/>
    <x v="0"/>
    <x v="0"/>
    <x v="228"/>
    <m/>
    <n v="0.13500000000000001"/>
    <m/>
    <x v="14"/>
    <x v="83"/>
    <m/>
  </r>
  <r>
    <x v="896"/>
    <x v="1149"/>
    <x v="10"/>
    <x v="0"/>
    <x v="1"/>
    <x v="3"/>
    <x v="16"/>
    <x v="0"/>
    <x v="1121"/>
    <n v="336.26"/>
    <x v="61"/>
    <x v="240"/>
    <x v="102"/>
    <n v="0.57899999999999996"/>
    <n v="1.0389999999999999"/>
    <n v="0.64"/>
    <x v="3"/>
    <x v="239"/>
    <n v="2.11"/>
  </r>
  <r>
    <x v="897"/>
    <x v="1150"/>
    <x v="10"/>
    <x v="0"/>
    <x v="1"/>
    <x v="3"/>
    <x v="16"/>
    <x v="0"/>
    <x v="1122"/>
    <n v="110.87"/>
    <x v="0"/>
    <x v="241"/>
    <x v="54"/>
    <n v="1.774"/>
    <n v="1.06"/>
    <m/>
    <x v="21"/>
    <x v="202"/>
    <m/>
  </r>
  <r>
    <x v="898"/>
    <x v="1151"/>
    <x v="10"/>
    <x v="0"/>
    <x v="1"/>
    <x v="3"/>
    <x v="16"/>
    <x v="2"/>
    <x v="1123"/>
    <n v="158.38999999999999"/>
    <x v="197"/>
    <x v="242"/>
    <x v="382"/>
    <n v="5.1909999999999998E-2"/>
    <n v="0.45800000000000002"/>
    <n v="0.67"/>
    <x v="126"/>
    <x v="239"/>
    <m/>
  </r>
  <r>
    <x v="898"/>
    <x v="1152"/>
    <x v="10"/>
    <x v="0"/>
    <x v="1"/>
    <x v="3"/>
    <x v="16"/>
    <x v="2"/>
    <x v="1124"/>
    <n v="158.38999999999999"/>
    <x v="197"/>
    <x v="243"/>
    <x v="383"/>
    <n v="3.807E-2"/>
    <n v="0.26900000000000002"/>
    <n v="2.7"/>
    <x v="126"/>
    <x v="239"/>
    <m/>
  </r>
  <r>
    <x v="898"/>
    <x v="1153"/>
    <x v="10"/>
    <x v="0"/>
    <x v="1"/>
    <x v="3"/>
    <x v="16"/>
    <x v="2"/>
    <x v="1125"/>
    <n v="158.38999999999999"/>
    <x v="197"/>
    <x v="244"/>
    <x v="336"/>
    <n v="3.2410000000000001E-2"/>
    <n v="0.30599999999999999"/>
    <n v="1.38"/>
    <x v="126"/>
    <x v="239"/>
    <m/>
  </r>
  <r>
    <x v="899"/>
    <x v="1154"/>
    <x v="10"/>
    <x v="0"/>
    <x v="1"/>
    <x v="3"/>
    <x v="16"/>
    <x v="0"/>
    <x v="1126"/>
    <n v="139.80000000000001"/>
    <x v="198"/>
    <x v="245"/>
    <x v="384"/>
    <n v="3.7"/>
    <n v="0.45"/>
    <m/>
    <x v="92"/>
    <x v="133"/>
    <n v="0.72"/>
  </r>
  <r>
    <x v="900"/>
    <x v="1155"/>
    <x v="10"/>
    <x v="0"/>
    <x v="1"/>
    <x v="3"/>
    <x v="16"/>
    <x v="0"/>
    <x v="1127"/>
    <n v="352.34"/>
    <x v="0"/>
    <x v="0"/>
    <x v="385"/>
    <m/>
    <n v="1.2450000000000001"/>
    <m/>
    <x v="93"/>
    <x v="132"/>
    <n v="0.67500000000000004"/>
  </r>
  <r>
    <x v="901"/>
    <x v="1156"/>
    <x v="10"/>
    <x v="0"/>
    <x v="1"/>
    <x v="3"/>
    <x v="16"/>
    <x v="1"/>
    <x v="1128"/>
    <n v="254.43"/>
    <x v="0"/>
    <x v="0"/>
    <x v="386"/>
    <m/>
    <n v="0.17199999999999999"/>
    <m/>
    <x v="37"/>
    <x v="112"/>
    <m/>
  </r>
  <r>
    <x v="901"/>
    <x v="1157"/>
    <x v="10"/>
    <x v="0"/>
    <x v="1"/>
    <x v="3"/>
    <x v="16"/>
    <x v="1"/>
    <x v="1129"/>
    <n v="254.43"/>
    <x v="0"/>
    <x v="0"/>
    <x v="387"/>
    <m/>
    <n v="0.11799999999999999"/>
    <m/>
    <x v="37"/>
    <x v="112"/>
    <m/>
  </r>
  <r>
    <x v="902"/>
    <x v="1158"/>
    <x v="10"/>
    <x v="0"/>
    <x v="1"/>
    <x v="3"/>
    <x v="16"/>
    <x v="1"/>
    <x v="1130"/>
    <n v="110.09"/>
    <x v="0"/>
    <x v="0"/>
    <x v="387"/>
    <m/>
    <n v="0.11799999999999999"/>
    <m/>
    <x v="34"/>
    <x v="36"/>
    <m/>
  </r>
  <r>
    <x v="902"/>
    <x v="1159"/>
    <x v="10"/>
    <x v="0"/>
    <x v="1"/>
    <x v="3"/>
    <x v="16"/>
    <x v="1"/>
    <x v="1131"/>
    <n v="110.09"/>
    <x v="0"/>
    <x v="0"/>
    <x v="388"/>
    <m/>
    <n v="0.25"/>
    <m/>
    <x v="34"/>
    <x v="36"/>
    <m/>
  </r>
  <r>
    <x v="903"/>
    <x v="1160"/>
    <x v="10"/>
    <x v="0"/>
    <x v="1"/>
    <x v="3"/>
    <x v="16"/>
    <x v="2"/>
    <x v="1132"/>
    <n v="180.86"/>
    <x v="0"/>
    <x v="0"/>
    <x v="165"/>
    <m/>
    <n v="0.14399999999999999"/>
    <m/>
    <x v="3"/>
    <x v="131"/>
    <m/>
  </r>
  <r>
    <x v="903"/>
    <x v="1161"/>
    <x v="10"/>
    <x v="0"/>
    <x v="1"/>
    <x v="3"/>
    <x v="16"/>
    <x v="2"/>
    <x v="1133"/>
    <n v="180.86"/>
    <x v="0"/>
    <x v="0"/>
    <x v="389"/>
    <m/>
    <n v="0.245"/>
    <m/>
    <x v="3"/>
    <x v="131"/>
    <m/>
  </r>
  <r>
    <x v="903"/>
    <x v="1162"/>
    <x v="10"/>
    <x v="0"/>
    <x v="1"/>
    <x v="3"/>
    <x v="16"/>
    <x v="2"/>
    <x v="1134"/>
    <n v="180.86"/>
    <x v="0"/>
    <x v="0"/>
    <x v="38"/>
    <m/>
    <n v="0.24399999999999999"/>
    <m/>
    <x v="3"/>
    <x v="131"/>
    <m/>
  </r>
  <r>
    <x v="904"/>
    <x v="1163"/>
    <x v="10"/>
    <x v="0"/>
    <x v="1"/>
    <x v="3"/>
    <x v="16"/>
    <x v="1"/>
    <x v="1135"/>
    <n v="193.71"/>
    <x v="0"/>
    <x v="246"/>
    <x v="390"/>
    <n v="0.06"/>
    <n v="0.17"/>
    <m/>
    <x v="152"/>
    <x v="93"/>
    <n v="1.21"/>
  </r>
  <r>
    <x v="904"/>
    <x v="1164"/>
    <x v="10"/>
    <x v="0"/>
    <x v="1"/>
    <x v="3"/>
    <x v="16"/>
    <x v="1"/>
    <x v="1136"/>
    <n v="193.71"/>
    <x v="0"/>
    <x v="247"/>
    <x v="391"/>
    <n v="3.1150000000000001E-2"/>
    <n v="0.216"/>
    <n v="3.6"/>
    <x v="152"/>
    <x v="93"/>
    <n v="1.21"/>
  </r>
  <r>
    <x v="905"/>
    <x v="1165"/>
    <x v="10"/>
    <x v="0"/>
    <x v="1"/>
    <x v="3"/>
    <x v="16"/>
    <x v="0"/>
    <x v="1137"/>
    <n v="310.14"/>
    <x v="0"/>
    <x v="248"/>
    <x v="392"/>
    <n v="0.09"/>
    <n v="0.56000000000000005"/>
    <m/>
    <x v="62"/>
    <x v="298"/>
    <n v="0.04"/>
  </r>
  <r>
    <x v="906"/>
    <x v="1166"/>
    <x v="8"/>
    <x v="0"/>
    <x v="1"/>
    <x v="3"/>
    <x v="16"/>
    <x v="0"/>
    <x v="1138"/>
    <n v="233.37"/>
    <x v="0"/>
    <x v="0"/>
    <x v="371"/>
    <m/>
    <n v="0.187"/>
    <m/>
    <x v="191"/>
    <x v="60"/>
    <m/>
  </r>
  <r>
    <x v="907"/>
    <x v="1167"/>
    <x v="10"/>
    <x v="0"/>
    <x v="1"/>
    <x v="3"/>
    <x v="16"/>
    <x v="0"/>
    <x v="1139"/>
    <n v="401.36"/>
    <x v="0"/>
    <x v="0"/>
    <x v="230"/>
    <m/>
    <n v="0.192"/>
    <m/>
    <x v="37"/>
    <x v="299"/>
    <m/>
  </r>
  <r>
    <x v="908"/>
    <x v="1168"/>
    <x v="10"/>
    <x v="0"/>
    <x v="1"/>
    <x v="3"/>
    <x v="16"/>
    <x v="0"/>
    <x v="1140"/>
    <n v="183.48"/>
    <x v="0"/>
    <x v="0"/>
    <x v="393"/>
    <m/>
    <n v="0.42399999999999999"/>
    <m/>
    <x v="14"/>
    <x v="285"/>
    <m/>
  </r>
  <r>
    <x v="909"/>
    <x v="1169"/>
    <x v="10"/>
    <x v="0"/>
    <x v="1"/>
    <x v="3"/>
    <x v="16"/>
    <x v="0"/>
    <x v="1141"/>
    <n v="483.19"/>
    <x v="0"/>
    <x v="0"/>
    <x v="394"/>
    <m/>
    <n v="0.24299999999999999"/>
    <m/>
    <x v="93"/>
    <x v="259"/>
    <m/>
  </r>
  <r>
    <x v="910"/>
    <x v="1170"/>
    <x v="10"/>
    <x v="0"/>
    <x v="1"/>
    <x v="3"/>
    <x v="16"/>
    <x v="0"/>
    <x v="1142"/>
    <n v="502.34"/>
    <x v="0"/>
    <x v="0"/>
    <x v="395"/>
    <m/>
    <n v="0.59899999999999998"/>
    <m/>
    <x v="38"/>
    <x v="234"/>
    <m/>
  </r>
  <r>
    <x v="911"/>
    <x v="1171"/>
    <x v="10"/>
    <x v="0"/>
    <x v="1"/>
    <x v="3"/>
    <x v="16"/>
    <x v="0"/>
    <x v="1143"/>
    <n v="454.93"/>
    <x v="0"/>
    <x v="0"/>
    <x v="396"/>
    <m/>
    <n v="0.183"/>
    <m/>
    <x v="50"/>
    <x v="145"/>
    <m/>
  </r>
  <r>
    <x v="912"/>
    <x v="1172"/>
    <x v="10"/>
    <x v="0"/>
    <x v="1"/>
    <x v="3"/>
    <x v="16"/>
    <x v="0"/>
    <x v="1144"/>
    <n v="353.38"/>
    <x v="0"/>
    <x v="0"/>
    <x v="210"/>
    <m/>
    <n v="0.16900000000000001"/>
    <m/>
    <x v="174"/>
    <x v="153"/>
    <m/>
  </r>
  <r>
    <x v="913"/>
    <x v="1173"/>
    <x v="10"/>
    <x v="0"/>
    <x v="1"/>
    <x v="3"/>
    <x v="16"/>
    <x v="0"/>
    <x v="1145"/>
    <n v="316.61"/>
    <x v="0"/>
    <x v="0"/>
    <x v="360"/>
    <m/>
    <n v="0.2"/>
    <m/>
    <x v="96"/>
    <x v="142"/>
    <m/>
  </r>
  <r>
    <x v="914"/>
    <x v="1174"/>
    <x v="10"/>
    <x v="0"/>
    <x v="1"/>
    <x v="3"/>
    <x v="16"/>
    <x v="0"/>
    <x v="1146"/>
    <n v="463.06"/>
    <x v="0"/>
    <x v="0"/>
    <x v="386"/>
    <m/>
    <n v="0.17199999999999999"/>
    <m/>
    <x v="192"/>
    <x v="234"/>
    <m/>
  </r>
  <r>
    <x v="915"/>
    <x v="1175"/>
    <x v="8"/>
    <x v="0"/>
    <x v="1"/>
    <x v="3"/>
    <x v="16"/>
    <x v="1"/>
    <x v="1147"/>
    <n v="204.12"/>
    <x v="0"/>
    <x v="0"/>
    <x v="3"/>
    <m/>
    <n v="0.17"/>
    <m/>
    <x v="91"/>
    <x v="60"/>
    <m/>
  </r>
  <r>
    <x v="915"/>
    <x v="1176"/>
    <x v="8"/>
    <x v="0"/>
    <x v="1"/>
    <x v="3"/>
    <x v="16"/>
    <x v="1"/>
    <x v="1148"/>
    <n v="204.12"/>
    <x v="0"/>
    <x v="0"/>
    <x v="243"/>
    <m/>
    <n v="0.20200000000000001"/>
    <m/>
    <x v="91"/>
    <x v="60"/>
    <m/>
  </r>
  <r>
    <x v="916"/>
    <x v="1177"/>
    <x v="10"/>
    <x v="0"/>
    <x v="1"/>
    <x v="3"/>
    <x v="16"/>
    <x v="0"/>
    <x v="1149"/>
    <n v="259.33"/>
    <x v="0"/>
    <x v="0"/>
    <x v="397"/>
    <m/>
    <n v="0.14199999999999999"/>
    <m/>
    <x v="91"/>
    <x v="72"/>
    <m/>
  </r>
  <r>
    <x v="917"/>
    <x v="1178"/>
    <x v="10"/>
    <x v="0"/>
    <x v="1"/>
    <x v="3"/>
    <x v="16"/>
    <x v="0"/>
    <x v="1150"/>
    <n v="1041.7"/>
    <x v="0"/>
    <x v="0"/>
    <x v="398"/>
    <m/>
    <n v="1.6060000000000001"/>
    <m/>
    <x v="161"/>
    <x v="300"/>
    <n v="0.22"/>
  </r>
  <r>
    <x v="918"/>
    <x v="1179"/>
    <x v="10"/>
    <x v="0"/>
    <x v="1"/>
    <x v="3"/>
    <x v="16"/>
    <x v="0"/>
    <x v="1151"/>
    <n v="139.1"/>
    <x v="0"/>
    <x v="0"/>
    <x v="238"/>
    <m/>
    <n v="0.23200000000000001"/>
    <m/>
    <x v="6"/>
    <x v="130"/>
    <n v="2.29"/>
  </r>
  <r>
    <x v="919"/>
    <x v="1180"/>
    <x v="10"/>
    <x v="0"/>
    <x v="1"/>
    <x v="3"/>
    <x v="16"/>
    <x v="0"/>
    <x v="1152"/>
    <n v="175.84"/>
    <x v="0"/>
    <x v="0"/>
    <x v="239"/>
    <m/>
    <n v="0.10299999999999999"/>
    <m/>
    <x v="73"/>
    <x v="68"/>
    <m/>
  </r>
  <r>
    <x v="920"/>
    <x v="1181"/>
    <x v="10"/>
    <x v="0"/>
    <x v="1"/>
    <x v="3"/>
    <x v="16"/>
    <x v="0"/>
    <x v="1153"/>
    <n v="160.26"/>
    <x v="0"/>
    <x v="0"/>
    <x v="399"/>
    <m/>
    <n v="0.34100000000000003"/>
    <m/>
    <x v="37"/>
    <x v="290"/>
    <m/>
  </r>
  <r>
    <x v="921"/>
    <x v="1182"/>
    <x v="10"/>
    <x v="0"/>
    <x v="1"/>
    <x v="3"/>
    <x v="16"/>
    <x v="0"/>
    <x v="1154"/>
    <n v="266.23"/>
    <x v="0"/>
    <x v="0"/>
    <x v="371"/>
    <m/>
    <n v="0.187"/>
    <m/>
    <x v="72"/>
    <x v="112"/>
    <m/>
  </r>
  <r>
    <x v="922"/>
    <x v="1183"/>
    <x v="10"/>
    <x v="0"/>
    <x v="1"/>
    <x v="3"/>
    <x v="16"/>
    <x v="2"/>
    <x v="1155"/>
    <n v="182.69"/>
    <x v="0"/>
    <x v="0"/>
    <x v="400"/>
    <m/>
    <n v="0.23899999999999999"/>
    <m/>
    <x v="45"/>
    <x v="24"/>
    <m/>
  </r>
  <r>
    <x v="922"/>
    <x v="1184"/>
    <x v="10"/>
    <x v="0"/>
    <x v="1"/>
    <x v="3"/>
    <x v="16"/>
    <x v="2"/>
    <x v="1156"/>
    <n v="182.69"/>
    <x v="0"/>
    <x v="0"/>
    <x v="44"/>
    <m/>
    <n v="0.14499999999999999"/>
    <m/>
    <x v="45"/>
    <x v="24"/>
    <m/>
  </r>
  <r>
    <x v="922"/>
    <x v="1185"/>
    <x v="10"/>
    <x v="0"/>
    <x v="1"/>
    <x v="3"/>
    <x v="16"/>
    <x v="2"/>
    <x v="1157"/>
    <n v="182.69"/>
    <x v="0"/>
    <x v="0"/>
    <x v="349"/>
    <m/>
    <n v="0.153"/>
    <m/>
    <x v="45"/>
    <x v="24"/>
    <m/>
  </r>
  <r>
    <x v="923"/>
    <x v="1186"/>
    <x v="10"/>
    <x v="0"/>
    <x v="1"/>
    <x v="3"/>
    <x v="16"/>
    <x v="1"/>
    <x v="1158"/>
    <n v="314.08999999999997"/>
    <x v="0"/>
    <x v="0"/>
    <x v="320"/>
    <m/>
    <n v="0.215"/>
    <m/>
    <x v="96"/>
    <x v="142"/>
    <m/>
  </r>
  <r>
    <x v="923"/>
    <x v="1187"/>
    <x v="10"/>
    <x v="0"/>
    <x v="1"/>
    <x v="3"/>
    <x v="16"/>
    <x v="1"/>
    <x v="1159"/>
    <n v="314.08999999999997"/>
    <x v="0"/>
    <x v="0"/>
    <x v="401"/>
    <m/>
    <n v="0.20499999999999999"/>
    <m/>
    <x v="96"/>
    <x v="142"/>
    <m/>
  </r>
  <r>
    <x v="924"/>
    <x v="1188"/>
    <x v="8"/>
    <x v="0"/>
    <x v="1"/>
    <x v="3"/>
    <x v="16"/>
    <x v="0"/>
    <x v="1160"/>
    <n v="319.58999999999997"/>
    <x v="0"/>
    <x v="0"/>
    <x v="281"/>
    <m/>
    <n v="0.223"/>
    <m/>
    <x v="54"/>
    <x v="18"/>
    <m/>
  </r>
  <r>
    <x v="925"/>
    <x v="1189"/>
    <x v="10"/>
    <x v="0"/>
    <x v="1"/>
    <x v="3"/>
    <x v="16"/>
    <x v="0"/>
    <x v="1161"/>
    <n v="498.7"/>
    <x v="113"/>
    <x v="249"/>
    <x v="402"/>
    <n v="0.42599999999999999"/>
    <n v="0.68300000000000005"/>
    <n v="1.7"/>
    <x v="54"/>
    <x v="40"/>
    <n v="0.99"/>
  </r>
  <r>
    <x v="926"/>
    <x v="1190"/>
    <x v="10"/>
    <x v="0"/>
    <x v="1"/>
    <x v="3"/>
    <x v="16"/>
    <x v="0"/>
    <x v="1162"/>
    <n v="410.35"/>
    <x v="0"/>
    <x v="0"/>
    <x v="233"/>
    <m/>
    <n v="0.221"/>
    <m/>
    <x v="49"/>
    <x v="301"/>
    <m/>
  </r>
  <r>
    <x v="927"/>
    <x v="1191"/>
    <x v="10"/>
    <x v="0"/>
    <x v="1"/>
    <x v="3"/>
    <x v="16"/>
    <x v="1"/>
    <x v="1163"/>
    <n v="112.83"/>
    <x v="0"/>
    <x v="0"/>
    <x v="403"/>
    <m/>
    <n v="0.191"/>
    <m/>
    <x v="96"/>
    <x v="142"/>
    <m/>
  </r>
  <r>
    <x v="927"/>
    <x v="1192"/>
    <x v="10"/>
    <x v="0"/>
    <x v="1"/>
    <x v="3"/>
    <x v="16"/>
    <x v="1"/>
    <x v="1164"/>
    <n v="112.83"/>
    <x v="0"/>
    <x v="0"/>
    <x v="403"/>
    <m/>
    <n v="0.191"/>
    <m/>
    <x v="96"/>
    <x v="142"/>
    <m/>
  </r>
  <r>
    <x v="928"/>
    <x v="1193"/>
    <x v="10"/>
    <x v="0"/>
    <x v="1"/>
    <x v="3"/>
    <x v="16"/>
    <x v="1"/>
    <x v="1165"/>
    <n v="524.41"/>
    <x v="0"/>
    <x v="0"/>
    <x v="404"/>
    <m/>
    <n v="0.28699999999999998"/>
    <m/>
    <x v="28"/>
    <x v="204"/>
    <m/>
  </r>
  <r>
    <x v="928"/>
    <x v="1194"/>
    <x v="10"/>
    <x v="0"/>
    <x v="1"/>
    <x v="3"/>
    <x v="16"/>
    <x v="1"/>
    <x v="1166"/>
    <n v="524.41"/>
    <x v="0"/>
    <x v="0"/>
    <x v="405"/>
    <m/>
    <n v="0.34799999999999998"/>
    <m/>
    <x v="28"/>
    <x v="204"/>
    <m/>
  </r>
  <r>
    <x v="929"/>
    <x v="1195"/>
    <x v="10"/>
    <x v="0"/>
    <x v="1"/>
    <x v="3"/>
    <x v="16"/>
    <x v="0"/>
    <x v="1167"/>
    <n v="506.87"/>
    <x v="0"/>
    <x v="0"/>
    <x v="46"/>
    <m/>
    <n v="0.185"/>
    <m/>
    <x v="36"/>
    <x v="142"/>
    <m/>
  </r>
  <r>
    <x v="930"/>
    <x v="1196"/>
    <x v="10"/>
    <x v="0"/>
    <x v="1"/>
    <x v="3"/>
    <x v="16"/>
    <x v="0"/>
    <x v="1168"/>
    <n v="78.06"/>
    <x v="0"/>
    <x v="0"/>
    <x v="406"/>
    <m/>
    <n v="0.14099999999999999"/>
    <m/>
    <x v="122"/>
    <x v="239"/>
    <m/>
  </r>
  <r>
    <x v="931"/>
    <x v="1197"/>
    <x v="10"/>
    <x v="0"/>
    <x v="1"/>
    <x v="3"/>
    <x v="16"/>
    <x v="0"/>
    <x v="1169"/>
    <n v="520.42999999999995"/>
    <x v="0"/>
    <x v="250"/>
    <x v="308"/>
    <n v="6.7019999999999996E-2"/>
    <n v="0.222"/>
    <n v="7.8"/>
    <x v="129"/>
    <x v="166"/>
    <m/>
  </r>
  <r>
    <x v="932"/>
    <x v="1198"/>
    <x v="10"/>
    <x v="0"/>
    <x v="1"/>
    <x v="3"/>
    <x v="16"/>
    <x v="0"/>
    <x v="1170"/>
    <n v="169.47"/>
    <x v="0"/>
    <x v="0"/>
    <x v="406"/>
    <m/>
    <n v="0.14099999999999999"/>
    <m/>
    <x v="69"/>
    <x v="85"/>
    <m/>
  </r>
  <r>
    <x v="933"/>
    <x v="1199"/>
    <x v="10"/>
    <x v="0"/>
    <x v="1"/>
    <x v="3"/>
    <x v="16"/>
    <x v="0"/>
    <x v="1171"/>
    <n v="181.63"/>
    <x v="0"/>
    <x v="0"/>
    <x v="152"/>
    <m/>
    <n v="0.20699999999999999"/>
    <m/>
    <x v="87"/>
    <x v="75"/>
    <m/>
  </r>
  <r>
    <x v="934"/>
    <x v="1200"/>
    <x v="8"/>
    <x v="0"/>
    <x v="1"/>
    <x v="3"/>
    <x v="16"/>
    <x v="0"/>
    <x v="1172"/>
    <n v="754.64"/>
    <x v="0"/>
    <x v="0"/>
    <x v="344"/>
    <m/>
    <n v="0.23799999999999999"/>
    <m/>
    <x v="54"/>
    <x v="18"/>
    <m/>
  </r>
  <r>
    <x v="935"/>
    <x v="1201"/>
    <x v="10"/>
    <x v="0"/>
    <x v="1"/>
    <x v="3"/>
    <x v="16"/>
    <x v="0"/>
    <x v="1173"/>
    <n v="234.47"/>
    <x v="0"/>
    <x v="0"/>
    <x v="407"/>
    <m/>
    <n v="0.25800000000000001"/>
    <m/>
    <x v="23"/>
    <x v="3"/>
    <m/>
  </r>
  <r>
    <x v="936"/>
    <x v="1202"/>
    <x v="10"/>
    <x v="0"/>
    <x v="1"/>
    <x v="3"/>
    <x v="16"/>
    <x v="0"/>
    <x v="1174"/>
    <n v="153.86000000000001"/>
    <x v="0"/>
    <x v="0"/>
    <x v="230"/>
    <m/>
    <n v="0.192"/>
    <m/>
    <x v="12"/>
    <x v="73"/>
    <m/>
  </r>
  <r>
    <x v="937"/>
    <x v="1203"/>
    <x v="10"/>
    <x v="0"/>
    <x v="1"/>
    <x v="3"/>
    <x v="16"/>
    <x v="4"/>
    <x v="1175"/>
    <n v="66.56"/>
    <x v="0"/>
    <x v="0"/>
    <x v="408"/>
    <m/>
    <n v="9.6000000000000002E-2"/>
    <m/>
    <x v="79"/>
    <x v="289"/>
    <m/>
  </r>
  <r>
    <x v="937"/>
    <x v="1204"/>
    <x v="10"/>
    <x v="0"/>
    <x v="1"/>
    <x v="3"/>
    <x v="16"/>
    <x v="4"/>
    <x v="1176"/>
    <n v="66.56"/>
    <x v="0"/>
    <x v="0"/>
    <x v="409"/>
    <m/>
    <n v="0.10299999999999999"/>
    <m/>
    <x v="79"/>
    <x v="289"/>
    <m/>
  </r>
  <r>
    <x v="937"/>
    <x v="1205"/>
    <x v="10"/>
    <x v="0"/>
    <x v="1"/>
    <x v="3"/>
    <x v="16"/>
    <x v="4"/>
    <x v="1177"/>
    <n v="66.56"/>
    <x v="0"/>
    <x v="0"/>
    <x v="410"/>
    <m/>
    <n v="0.09"/>
    <m/>
    <x v="79"/>
    <x v="289"/>
    <m/>
  </r>
  <r>
    <x v="937"/>
    <x v="1206"/>
    <x v="10"/>
    <x v="0"/>
    <x v="1"/>
    <x v="3"/>
    <x v="16"/>
    <x v="4"/>
    <x v="1178"/>
    <n v="66.56"/>
    <x v="0"/>
    <x v="0"/>
    <x v="411"/>
    <m/>
    <n v="0.115"/>
    <m/>
    <x v="79"/>
    <x v="289"/>
    <m/>
  </r>
  <r>
    <x v="938"/>
    <x v="1207"/>
    <x v="10"/>
    <x v="0"/>
    <x v="1"/>
    <x v="3"/>
    <x v="16"/>
    <x v="0"/>
    <x v="1179"/>
    <n v="271.27"/>
    <x v="0"/>
    <x v="0"/>
    <x v="378"/>
    <m/>
    <n v="0.219"/>
    <m/>
    <x v="52"/>
    <x v="124"/>
    <m/>
  </r>
  <r>
    <x v="939"/>
    <x v="1208"/>
    <x v="10"/>
    <x v="0"/>
    <x v="1"/>
    <x v="3"/>
    <x v="16"/>
    <x v="0"/>
    <x v="1180"/>
    <n v="381.85"/>
    <x v="0"/>
    <x v="0"/>
    <x v="269"/>
    <m/>
    <n v="0.20599999999999999"/>
    <m/>
    <x v="50"/>
    <x v="62"/>
    <m/>
  </r>
  <r>
    <x v="940"/>
    <x v="1209"/>
    <x v="10"/>
    <x v="0"/>
    <x v="1"/>
    <x v="3"/>
    <x v="16"/>
    <x v="1"/>
    <x v="1181"/>
    <n v="570.86"/>
    <x v="0"/>
    <x v="0"/>
    <x v="344"/>
    <m/>
    <n v="0.23799999999999999"/>
    <m/>
    <x v="56"/>
    <x v="53"/>
    <m/>
  </r>
  <r>
    <x v="940"/>
    <x v="1210"/>
    <x v="10"/>
    <x v="0"/>
    <x v="1"/>
    <x v="3"/>
    <x v="16"/>
    <x v="1"/>
    <x v="1182"/>
    <n v="570.86"/>
    <x v="0"/>
    <x v="0"/>
    <x v="412"/>
    <m/>
    <n v="0.247"/>
    <m/>
    <x v="56"/>
    <x v="53"/>
    <m/>
  </r>
  <r>
    <x v="941"/>
    <x v="1211"/>
    <x v="10"/>
    <x v="0"/>
    <x v="1"/>
    <x v="3"/>
    <x v="16"/>
    <x v="0"/>
    <x v="1183"/>
    <n v="142.31"/>
    <x v="199"/>
    <x v="6"/>
    <x v="401"/>
    <n v="1.9"/>
    <n v="0.20499999999999999"/>
    <m/>
    <x v="34"/>
    <x v="153"/>
    <n v="2.5"/>
  </r>
  <r>
    <x v="942"/>
    <x v="1212"/>
    <x v="10"/>
    <x v="0"/>
    <x v="1"/>
    <x v="3"/>
    <x v="16"/>
    <x v="0"/>
    <x v="1184"/>
    <n v="257.89999999999998"/>
    <x v="0"/>
    <x v="0"/>
    <x v="413"/>
    <m/>
    <n v="0.32900000000000001"/>
    <m/>
    <x v="104"/>
    <x v="182"/>
    <m/>
  </r>
  <r>
    <x v="943"/>
    <x v="1213"/>
    <x v="8"/>
    <x v="0"/>
    <x v="1"/>
    <x v="3"/>
    <x v="16"/>
    <x v="1"/>
    <x v="1185"/>
    <n v="407.93"/>
    <x v="0"/>
    <x v="0"/>
    <x v="414"/>
    <m/>
    <n v="0.31900000000000001"/>
    <m/>
    <x v="110"/>
    <x v="36"/>
    <m/>
  </r>
  <r>
    <x v="943"/>
    <x v="1214"/>
    <x v="10"/>
    <x v="0"/>
    <x v="1"/>
    <x v="3"/>
    <x v="16"/>
    <x v="1"/>
    <x v="1186"/>
    <n v="407.93"/>
    <x v="0"/>
    <x v="0"/>
    <x v="320"/>
    <m/>
    <n v="0.215"/>
    <m/>
    <x v="110"/>
    <x v="36"/>
    <m/>
  </r>
  <r>
    <x v="944"/>
    <x v="1215"/>
    <x v="10"/>
    <x v="0"/>
    <x v="1"/>
    <x v="3"/>
    <x v="16"/>
    <x v="2"/>
    <x v="1187"/>
    <n v="201.96"/>
    <x v="0"/>
    <x v="0"/>
    <x v="201"/>
    <m/>
    <n v="0.17899999999999999"/>
    <m/>
    <x v="3"/>
    <x v="90"/>
    <m/>
  </r>
  <r>
    <x v="944"/>
    <x v="1216"/>
    <x v="10"/>
    <x v="0"/>
    <x v="1"/>
    <x v="3"/>
    <x v="16"/>
    <x v="2"/>
    <x v="1188"/>
    <n v="201.96"/>
    <x v="0"/>
    <x v="0"/>
    <x v="415"/>
    <m/>
    <n v="0.13100000000000001"/>
    <m/>
    <x v="3"/>
    <x v="90"/>
    <m/>
  </r>
  <r>
    <x v="944"/>
    <x v="1217"/>
    <x v="5"/>
    <x v="0"/>
    <x v="1"/>
    <x v="3"/>
    <x v="16"/>
    <x v="2"/>
    <x v="1189"/>
    <n v="201.96"/>
    <x v="0"/>
    <x v="0"/>
    <x v="416"/>
    <m/>
    <n v="0.22800000000000001"/>
    <m/>
    <x v="3"/>
    <x v="90"/>
    <m/>
  </r>
  <r>
    <x v="945"/>
    <x v="1218"/>
    <x v="10"/>
    <x v="0"/>
    <x v="1"/>
    <x v="3"/>
    <x v="16"/>
    <x v="0"/>
    <x v="1190"/>
    <n v="254.14"/>
    <x v="0"/>
    <x v="0"/>
    <x v="206"/>
    <m/>
    <n v="0.17599999999999999"/>
    <m/>
    <x v="174"/>
    <x v="290"/>
    <m/>
  </r>
  <r>
    <x v="946"/>
    <x v="1219"/>
    <x v="10"/>
    <x v="0"/>
    <x v="1"/>
    <x v="3"/>
    <x v="16"/>
    <x v="1"/>
    <x v="1191"/>
    <n v="125.98"/>
    <x v="0"/>
    <x v="0"/>
    <x v="417"/>
    <m/>
    <n v="0.111"/>
    <m/>
    <x v="12"/>
    <x v="84"/>
    <m/>
  </r>
  <r>
    <x v="946"/>
    <x v="1220"/>
    <x v="10"/>
    <x v="0"/>
    <x v="1"/>
    <x v="3"/>
    <x v="16"/>
    <x v="1"/>
    <x v="1192"/>
    <n v="125.98"/>
    <x v="0"/>
    <x v="0"/>
    <x v="418"/>
    <m/>
    <n v="0.13200000000000001"/>
    <m/>
    <x v="12"/>
    <x v="84"/>
    <m/>
  </r>
  <r>
    <x v="947"/>
    <x v="1221"/>
    <x v="10"/>
    <x v="0"/>
    <x v="1"/>
    <x v="3"/>
    <x v="16"/>
    <x v="1"/>
    <x v="1193"/>
    <n v="287.23"/>
    <x v="0"/>
    <x v="0"/>
    <x v="320"/>
    <m/>
    <n v="0.215"/>
    <m/>
    <x v="44"/>
    <x v="3"/>
    <m/>
  </r>
  <r>
    <x v="947"/>
    <x v="1222"/>
    <x v="10"/>
    <x v="0"/>
    <x v="1"/>
    <x v="3"/>
    <x v="16"/>
    <x v="1"/>
    <x v="1194"/>
    <n v="287.23"/>
    <x v="0"/>
    <x v="0"/>
    <x v="196"/>
    <m/>
    <n v="0.18099999999999999"/>
    <m/>
    <x v="44"/>
    <x v="3"/>
    <m/>
  </r>
  <r>
    <x v="948"/>
    <x v="1223"/>
    <x v="10"/>
    <x v="0"/>
    <x v="1"/>
    <x v="3"/>
    <x v="16"/>
    <x v="0"/>
    <x v="1195"/>
    <n v="97.49"/>
    <x v="0"/>
    <x v="0"/>
    <x v="410"/>
    <m/>
    <n v="0.09"/>
    <m/>
    <x v="40"/>
    <x v="283"/>
    <m/>
  </r>
  <r>
    <x v="949"/>
    <x v="1224"/>
    <x v="10"/>
    <x v="0"/>
    <x v="1"/>
    <x v="3"/>
    <x v="16"/>
    <x v="0"/>
    <x v="1196"/>
    <n v="260.61"/>
    <x v="0"/>
    <x v="0"/>
    <x v="186"/>
    <m/>
    <n v="0.17499999999999999"/>
    <m/>
    <x v="137"/>
    <x v="153"/>
    <m/>
  </r>
  <r>
    <x v="950"/>
    <x v="1225"/>
    <x v="10"/>
    <x v="0"/>
    <x v="1"/>
    <x v="3"/>
    <x v="16"/>
    <x v="0"/>
    <x v="1197"/>
    <n v="503.6"/>
    <x v="0"/>
    <x v="0"/>
    <x v="419"/>
    <m/>
    <n v="0.67800000000000005"/>
    <m/>
    <x v="56"/>
    <x v="107"/>
    <n v="0.59"/>
  </r>
  <r>
    <x v="951"/>
    <x v="1226"/>
    <x v="10"/>
    <x v="0"/>
    <x v="1"/>
    <x v="3"/>
    <x v="16"/>
    <x v="0"/>
    <x v="1198"/>
    <n v="110.91"/>
    <x v="0"/>
    <x v="0"/>
    <x v="420"/>
    <m/>
    <n v="0.11"/>
    <m/>
    <x v="190"/>
    <x v="302"/>
    <m/>
  </r>
  <r>
    <x v="952"/>
    <x v="1227"/>
    <x v="10"/>
    <x v="0"/>
    <x v="1"/>
    <x v="3"/>
    <x v="16"/>
    <x v="0"/>
    <x v="1199"/>
    <n v="86.25"/>
    <x v="0"/>
    <x v="0"/>
    <x v="421"/>
    <m/>
    <n v="5.5E-2"/>
    <m/>
    <x v="43"/>
    <x v="297"/>
    <m/>
  </r>
  <r>
    <x v="953"/>
    <x v="1228"/>
    <x v="8"/>
    <x v="0"/>
    <x v="1"/>
    <x v="3"/>
    <x v="16"/>
    <x v="0"/>
    <x v="1200"/>
    <n v="83.16"/>
    <x v="40"/>
    <x v="0"/>
    <x v="422"/>
    <m/>
    <n v="0.20100000000000001"/>
    <m/>
    <x v="86"/>
    <x v="79"/>
    <n v="9.8800000000000008"/>
  </r>
  <r>
    <x v="954"/>
    <x v="1229"/>
    <x v="10"/>
    <x v="0"/>
    <x v="1"/>
    <x v="3"/>
    <x v="16"/>
    <x v="1"/>
    <x v="1201"/>
    <n v="134.9"/>
    <x v="0"/>
    <x v="0"/>
    <x v="238"/>
    <m/>
    <n v="0.23200000000000001"/>
    <m/>
    <x v="80"/>
    <x v="112"/>
    <n v="3.74"/>
  </r>
  <r>
    <x v="954"/>
    <x v="1230"/>
    <x v="10"/>
    <x v="0"/>
    <x v="1"/>
    <x v="3"/>
    <x v="16"/>
    <x v="1"/>
    <x v="1202"/>
    <n v="134.9"/>
    <x v="0"/>
    <x v="0"/>
    <x v="185"/>
    <m/>
    <n v="0.11600000000000001"/>
    <m/>
    <x v="80"/>
    <x v="112"/>
    <n v="3.74"/>
  </r>
  <r>
    <x v="955"/>
    <x v="1231"/>
    <x v="10"/>
    <x v="0"/>
    <x v="1"/>
    <x v="3"/>
    <x v="16"/>
    <x v="0"/>
    <x v="1203"/>
    <n v="62.69"/>
    <x v="0"/>
    <x v="0"/>
    <x v="327"/>
    <m/>
    <n v="9.8000000000000004E-2"/>
    <m/>
    <x v="71"/>
    <x v="9"/>
    <m/>
  </r>
  <r>
    <x v="956"/>
    <x v="1232"/>
    <x v="10"/>
    <x v="0"/>
    <x v="1"/>
    <x v="3"/>
    <x v="16"/>
    <x v="0"/>
    <x v="1204"/>
    <n v="180.63"/>
    <x v="0"/>
    <x v="0"/>
    <x v="423"/>
    <m/>
    <n v="0.34599999999999997"/>
    <m/>
    <x v="193"/>
    <x v="84"/>
    <n v="1.1200000000000001"/>
  </r>
  <r>
    <x v="957"/>
    <x v="1233"/>
    <x v="10"/>
    <x v="0"/>
    <x v="1"/>
    <x v="3"/>
    <x v="16"/>
    <x v="0"/>
    <x v="1205"/>
    <n v="869.76"/>
    <x v="0"/>
    <x v="0"/>
    <x v="424"/>
    <m/>
    <n v="0.94699999999999995"/>
    <m/>
    <x v="141"/>
    <x v="303"/>
    <n v="0.27900000000000003"/>
  </r>
  <r>
    <x v="958"/>
    <x v="1234"/>
    <x v="10"/>
    <x v="0"/>
    <x v="1"/>
    <x v="3"/>
    <x v="16"/>
    <x v="0"/>
    <x v="1206"/>
    <n v="526.30999999999995"/>
    <x v="0"/>
    <x v="0"/>
    <x v="425"/>
    <m/>
    <n v="0.46400000000000002"/>
    <m/>
    <x v="141"/>
    <x v="119"/>
    <n v="0.63300000000000001"/>
  </r>
  <r>
    <x v="959"/>
    <x v="1235"/>
    <x v="10"/>
    <x v="0"/>
    <x v="1"/>
    <x v="3"/>
    <x v="16"/>
    <x v="0"/>
    <x v="1207"/>
    <n v="522.29"/>
    <x v="0"/>
    <x v="0"/>
    <x v="426"/>
    <m/>
    <n v="1.046"/>
    <m/>
    <x v="163"/>
    <x v="304"/>
    <n v="9.9000000000000005E-2"/>
  </r>
  <r>
    <x v="960"/>
    <x v="1236"/>
    <x v="15"/>
    <x v="0"/>
    <x v="0"/>
    <x v="3"/>
    <x v="35"/>
    <x v="0"/>
    <x v="1208"/>
    <n v="262"/>
    <x v="0"/>
    <x v="251"/>
    <x v="60"/>
    <n v="27.23"/>
    <n v="1.1100000000000001"/>
    <n v="24.7"/>
    <x v="64"/>
    <x v="134"/>
    <m/>
  </r>
  <r>
    <x v="961"/>
    <x v="1237"/>
    <x v="10"/>
    <x v="0"/>
    <x v="0"/>
    <x v="3"/>
    <x v="36"/>
    <x v="0"/>
    <x v="1209"/>
    <n v="183"/>
    <x v="35"/>
    <x v="252"/>
    <x v="427"/>
    <n v="0.67900000000000005"/>
    <n v="1.399"/>
    <n v="0.308"/>
    <x v="129"/>
    <x v="42"/>
    <n v="0.88900000000000001"/>
  </r>
  <r>
    <x v="962"/>
    <x v="1238"/>
    <x v="17"/>
    <x v="0"/>
    <x v="0"/>
    <x v="3"/>
    <x v="36"/>
    <x v="0"/>
    <x v="1210"/>
    <n v="98"/>
    <x v="0"/>
    <x v="253"/>
    <x v="70"/>
    <n v="0.17100000000000001"/>
    <n v="1.35"/>
    <m/>
    <x v="22"/>
    <x v="305"/>
    <n v="0.104"/>
  </r>
  <r>
    <x v="963"/>
    <x v="1239"/>
    <x v="17"/>
    <x v="0"/>
    <x v="0"/>
    <x v="3"/>
    <x v="37"/>
    <x v="0"/>
    <x v="1211"/>
    <n v="360"/>
    <x v="39"/>
    <x v="254"/>
    <x v="428"/>
    <n v="0.95"/>
    <n v="1.78"/>
    <n v="0.20899999999999999"/>
    <x v="140"/>
    <x v="306"/>
    <n v="0.16800000000000001"/>
  </r>
  <r>
    <x v="964"/>
    <x v="1240"/>
    <x v="10"/>
    <x v="0"/>
    <x v="0"/>
    <x v="3"/>
    <x v="36"/>
    <x v="0"/>
    <x v="1212"/>
    <n v="266"/>
    <x v="200"/>
    <x v="255"/>
    <x v="429"/>
    <n v="1.284"/>
    <n v="1.7430000000000001"/>
    <n v="0.32200000000000001"/>
    <x v="100"/>
    <x v="250"/>
    <n v="0.495"/>
  </r>
  <r>
    <x v="965"/>
    <x v="1241"/>
    <x v="10"/>
    <x v="0"/>
    <x v="0"/>
    <x v="3"/>
    <x v="36"/>
    <x v="0"/>
    <x v="1213"/>
    <n v="291"/>
    <x v="0"/>
    <x v="256"/>
    <x v="92"/>
    <n v="1.31"/>
    <n v="1.74"/>
    <m/>
    <x v="194"/>
    <x v="51"/>
    <n v="0.51"/>
  </r>
  <r>
    <x v="966"/>
    <x v="1242"/>
    <x v="17"/>
    <x v="0"/>
    <x v="0"/>
    <x v="3"/>
    <x v="35"/>
    <x v="0"/>
    <x v="1214"/>
    <n v="450.28"/>
    <x v="186"/>
    <x v="257"/>
    <x v="430"/>
    <n v="2.75"/>
    <n v="1.415"/>
    <n v="1.2"/>
    <x v="49"/>
    <x v="301"/>
    <n v="0.67900000000000005"/>
  </r>
  <r>
    <x v="967"/>
    <x v="1243"/>
    <x v="10"/>
    <x v="0"/>
    <x v="0"/>
    <x v="3"/>
    <x v="35"/>
    <x v="0"/>
    <x v="1215"/>
    <n v="210"/>
    <x v="201"/>
    <x v="256"/>
    <x v="431"/>
    <n v="1.31"/>
    <n v="1.5249999999999999"/>
    <n v="0.46"/>
    <x v="120"/>
    <x v="46"/>
    <n v="0.51800000000000002"/>
  </r>
  <r>
    <x v="968"/>
    <x v="1244"/>
    <x v="17"/>
    <x v="0"/>
    <x v="0"/>
    <x v="3"/>
    <x v="37"/>
    <x v="0"/>
    <x v="1216"/>
    <n v="311"/>
    <x v="107"/>
    <x v="258"/>
    <x v="122"/>
    <n v="1.18"/>
    <n v="1.57"/>
    <n v="0.377"/>
    <x v="24"/>
    <x v="224"/>
    <n v="0.31109999999999999"/>
  </r>
  <r>
    <x v="969"/>
    <x v="1245"/>
    <x v="17"/>
    <x v="0"/>
    <x v="0"/>
    <x v="3"/>
    <x v="35"/>
    <x v="0"/>
    <x v="1217"/>
    <n v="302.8"/>
    <x v="0"/>
    <x v="259"/>
    <x v="432"/>
    <n v="4.07"/>
    <n v="1.91"/>
    <n v="0.74399999999999999"/>
    <x v="149"/>
    <x v="293"/>
    <n v="0.376"/>
  </r>
  <r>
    <x v="970"/>
    <x v="1246"/>
    <x v="15"/>
    <x v="0"/>
    <x v="0"/>
    <x v="3"/>
    <x v="35"/>
    <x v="0"/>
    <x v="1218"/>
    <n v="134.57"/>
    <x v="0"/>
    <x v="260"/>
    <x v="70"/>
    <n v="1.7"/>
    <n v="1.35"/>
    <m/>
    <x v="8"/>
    <x v="194"/>
    <n v="0.3"/>
  </r>
  <r>
    <x v="971"/>
    <x v="1247"/>
    <x v="17"/>
    <x v="0"/>
    <x v="0"/>
    <x v="3"/>
    <x v="37"/>
    <x v="0"/>
    <x v="1219"/>
    <n v="139.69999999999999"/>
    <x v="187"/>
    <x v="261"/>
    <x v="433"/>
    <n v="3.3820000000000001"/>
    <n v="1.7410000000000001"/>
    <n v="0.80600000000000005"/>
    <x v="195"/>
    <x v="53"/>
    <n v="0.64100000000000001"/>
  </r>
  <r>
    <x v="972"/>
    <x v="1248"/>
    <x v="5"/>
    <x v="0"/>
    <x v="0"/>
    <x v="3"/>
    <x v="37"/>
    <x v="0"/>
    <x v="1220"/>
    <n v="415"/>
    <x v="125"/>
    <x v="262"/>
    <x v="434"/>
    <n v="3.91"/>
    <n v="1.5860000000000001"/>
    <n v="1.24"/>
    <x v="158"/>
    <x v="229"/>
    <n v="0.46800000000000003"/>
  </r>
  <r>
    <x v="973"/>
    <x v="1249"/>
    <x v="7"/>
    <x v="0"/>
    <x v="0"/>
    <x v="3"/>
    <x v="35"/>
    <x v="0"/>
    <x v="1221"/>
    <n v="178"/>
    <x v="0"/>
    <x v="75"/>
    <x v="435"/>
    <n v="1.94"/>
    <n v="1.56"/>
    <m/>
    <x v="160"/>
    <x v="109"/>
    <n v="0.56000000000000005"/>
  </r>
  <r>
    <x v="974"/>
    <x v="1250"/>
    <x v="10"/>
    <x v="0"/>
    <x v="0"/>
    <x v="3"/>
    <x v="35"/>
    <x v="0"/>
    <x v="1222"/>
    <n v="210"/>
    <x v="202"/>
    <x v="263"/>
    <x v="436"/>
    <n v="0.90200000000000002"/>
    <n v="1.6990000000000001"/>
    <n v="0.22800000000000001"/>
    <x v="141"/>
    <x v="246"/>
    <n v="0.41099999999999998"/>
  </r>
  <r>
    <x v="975"/>
    <x v="1251"/>
    <x v="19"/>
    <x v="0"/>
    <x v="0"/>
    <x v="3"/>
    <x v="35"/>
    <x v="1"/>
    <x v="1223"/>
    <n v="222"/>
    <x v="0"/>
    <x v="264"/>
    <x v="17"/>
    <n v="0.52"/>
    <n v="1.3"/>
    <m/>
    <x v="116"/>
    <x v="98"/>
    <n v="0.39"/>
  </r>
  <r>
    <x v="975"/>
    <x v="1252"/>
    <x v="8"/>
    <x v="0"/>
    <x v="0"/>
    <x v="0"/>
    <x v="4"/>
    <x v="1"/>
    <x v="1224"/>
    <n v="222"/>
    <x v="0"/>
    <x v="0"/>
    <x v="0"/>
    <n v="3.71"/>
    <m/>
    <m/>
    <x v="116"/>
    <x v="98"/>
    <n v="0.39"/>
  </r>
  <r>
    <x v="976"/>
    <x v="1253"/>
    <x v="8"/>
    <x v="0"/>
    <x v="0"/>
    <x v="3"/>
    <x v="35"/>
    <x v="0"/>
    <x v="1225"/>
    <n v="129"/>
    <x v="0"/>
    <x v="265"/>
    <x v="437"/>
    <n v="1.39"/>
    <n v="1.6"/>
    <m/>
    <x v="195"/>
    <x v="280"/>
    <n v="0.42"/>
  </r>
  <r>
    <x v="977"/>
    <x v="1254"/>
    <x v="8"/>
    <x v="0"/>
    <x v="0"/>
    <x v="3"/>
    <x v="35"/>
    <x v="0"/>
    <x v="1226"/>
    <n v="236"/>
    <x v="0"/>
    <x v="266"/>
    <x v="438"/>
    <n v="0.66"/>
    <n v="1.62"/>
    <m/>
    <x v="94"/>
    <x v="134"/>
    <n v="0.37"/>
  </r>
  <r>
    <x v="978"/>
    <x v="1255"/>
    <x v="17"/>
    <x v="0"/>
    <x v="0"/>
    <x v="3"/>
    <x v="37"/>
    <x v="0"/>
    <x v="1227"/>
    <n v="188.7"/>
    <x v="121"/>
    <x v="267"/>
    <x v="439"/>
    <n v="2.88"/>
    <n v="1.891"/>
    <n v="0.53"/>
    <x v="196"/>
    <x v="307"/>
    <n v="0.2702"/>
  </r>
  <r>
    <x v="979"/>
    <x v="1256"/>
    <x v="19"/>
    <x v="1"/>
    <x v="1"/>
    <x v="5"/>
    <x v="10"/>
    <x v="2"/>
    <x v="1228"/>
    <n v="1758.47"/>
    <x v="0"/>
    <x v="0"/>
    <x v="0"/>
    <m/>
    <m/>
    <m/>
    <x v="29"/>
    <x v="6"/>
    <m/>
  </r>
  <r>
    <x v="979"/>
    <x v="1257"/>
    <x v="19"/>
    <x v="1"/>
    <x v="1"/>
    <x v="5"/>
    <x v="10"/>
    <x v="2"/>
    <x v="1229"/>
    <n v="1758.47"/>
    <x v="0"/>
    <x v="0"/>
    <x v="0"/>
    <m/>
    <m/>
    <m/>
    <x v="29"/>
    <x v="6"/>
    <m/>
  </r>
  <r>
    <x v="979"/>
    <x v="1258"/>
    <x v="19"/>
    <x v="1"/>
    <x v="1"/>
    <x v="5"/>
    <x v="10"/>
    <x v="2"/>
    <x v="1230"/>
    <n v="1758.47"/>
    <x v="0"/>
    <x v="0"/>
    <x v="0"/>
    <m/>
    <m/>
    <m/>
    <x v="29"/>
    <x v="6"/>
    <m/>
  </r>
  <r>
    <x v="980"/>
    <x v="1259"/>
    <x v="8"/>
    <x v="1"/>
    <x v="1"/>
    <x v="3"/>
    <x v="10"/>
    <x v="0"/>
    <x v="1231"/>
    <n v="1464.12"/>
    <x v="0"/>
    <x v="0"/>
    <x v="440"/>
    <m/>
    <n v="0.49099999999999999"/>
    <m/>
    <x v="53"/>
    <x v="41"/>
    <m/>
  </r>
  <r>
    <x v="981"/>
    <x v="1260"/>
    <x v="8"/>
    <x v="1"/>
    <x v="1"/>
    <x v="3"/>
    <x v="10"/>
    <x v="0"/>
    <x v="1232"/>
    <n v="1215.6400000000001"/>
    <x v="0"/>
    <x v="0"/>
    <x v="441"/>
    <m/>
    <n v="0.61599999999999999"/>
    <m/>
    <x v="17"/>
    <x v="41"/>
    <m/>
  </r>
  <r>
    <x v="982"/>
    <x v="1261"/>
    <x v="8"/>
    <x v="1"/>
    <x v="1"/>
    <x v="3"/>
    <x v="10"/>
    <x v="1"/>
    <x v="1233"/>
    <n v="848"/>
    <x v="0"/>
    <x v="0"/>
    <x v="442"/>
    <m/>
    <n v="0.57099999999999995"/>
    <m/>
    <x v="154"/>
    <x v="89"/>
    <m/>
  </r>
  <r>
    <x v="983"/>
    <x v="1262"/>
    <x v="8"/>
    <x v="1"/>
    <x v="1"/>
    <x v="3"/>
    <x v="10"/>
    <x v="0"/>
    <x v="1234"/>
    <n v="742.54"/>
    <x v="0"/>
    <x v="0"/>
    <x v="443"/>
    <m/>
    <n v="0.58899999999999997"/>
    <m/>
    <x v="17"/>
    <x v="250"/>
    <m/>
  </r>
  <r>
    <x v="984"/>
    <x v="1263"/>
    <x v="10"/>
    <x v="1"/>
    <x v="1"/>
    <x v="6"/>
    <x v="10"/>
    <x v="0"/>
    <x v="1235"/>
    <n v="1382.51"/>
    <x v="0"/>
    <x v="0"/>
    <x v="0"/>
    <n v="11.8"/>
    <m/>
    <m/>
    <x v="163"/>
    <x v="6"/>
    <m/>
  </r>
  <r>
    <x v="985"/>
    <x v="1264"/>
    <x v="8"/>
    <x v="1"/>
    <x v="1"/>
    <x v="3"/>
    <x v="10"/>
    <x v="1"/>
    <x v="1236"/>
    <n v="1072.1199999999999"/>
    <x v="0"/>
    <x v="0"/>
    <x v="444"/>
    <m/>
    <n v="0.36599999999999999"/>
    <m/>
    <x v="48"/>
    <x v="308"/>
    <m/>
  </r>
  <r>
    <x v="985"/>
    <x v="1265"/>
    <x v="8"/>
    <x v="1"/>
    <x v="1"/>
    <x v="3"/>
    <x v="10"/>
    <x v="1"/>
    <x v="1237"/>
    <n v="1072.1199999999999"/>
    <x v="0"/>
    <x v="0"/>
    <x v="445"/>
    <m/>
    <n v="0.214"/>
    <m/>
    <x v="48"/>
    <x v="308"/>
    <m/>
  </r>
  <r>
    <x v="986"/>
    <x v="1266"/>
    <x v="8"/>
    <x v="1"/>
    <x v="1"/>
    <x v="3"/>
    <x v="10"/>
    <x v="1"/>
    <x v="1238"/>
    <n v="1594.34"/>
    <x v="0"/>
    <x v="0"/>
    <x v="446"/>
    <m/>
    <n v="0.41"/>
    <m/>
    <x v="17"/>
    <x v="171"/>
    <m/>
  </r>
  <r>
    <x v="987"/>
    <x v="1267"/>
    <x v="20"/>
    <x v="0"/>
    <x v="0"/>
    <x v="7"/>
    <x v="38"/>
    <x v="0"/>
    <x v="6"/>
    <n v="6651"/>
    <x v="0"/>
    <x v="268"/>
    <x v="0"/>
    <n v="3.2829999999999999"/>
    <m/>
    <m/>
    <x v="197"/>
    <x v="6"/>
    <m/>
  </r>
  <r>
    <x v="988"/>
    <x v="1268"/>
    <x v="5"/>
    <x v="0"/>
    <x v="0"/>
    <x v="7"/>
    <x v="38"/>
    <x v="0"/>
    <x v="6"/>
    <n v="6600"/>
    <x v="0"/>
    <x v="269"/>
    <x v="0"/>
    <n v="7"/>
    <m/>
    <m/>
    <x v="78"/>
    <x v="6"/>
    <m/>
  </r>
  <r>
    <x v="989"/>
    <x v="1269"/>
    <x v="5"/>
    <x v="0"/>
    <x v="0"/>
    <x v="7"/>
    <x v="38"/>
    <x v="0"/>
    <x v="6"/>
    <n v="6260"/>
    <x v="0"/>
    <x v="270"/>
    <x v="0"/>
    <n v="4.57"/>
    <m/>
    <m/>
    <x v="198"/>
    <x v="6"/>
    <m/>
  </r>
  <r>
    <x v="990"/>
    <x v="1270"/>
    <x v="5"/>
    <x v="0"/>
    <x v="0"/>
    <x v="7"/>
    <x v="38"/>
    <x v="0"/>
    <x v="6"/>
    <n v="7010"/>
    <x v="0"/>
    <x v="271"/>
    <x v="0"/>
    <n v="15.49"/>
    <m/>
    <m/>
    <x v="60"/>
    <x v="6"/>
    <m/>
  </r>
  <r>
    <x v="991"/>
    <x v="1271"/>
    <x v="20"/>
    <x v="0"/>
    <x v="0"/>
    <x v="7"/>
    <x v="38"/>
    <x v="0"/>
    <x v="6"/>
    <n v="6000"/>
    <x v="0"/>
    <x v="9"/>
    <x v="0"/>
    <n v="2"/>
    <m/>
    <m/>
    <x v="199"/>
    <x v="6"/>
    <m/>
  </r>
  <r>
    <x v="992"/>
    <x v="1272"/>
    <x v="20"/>
    <x v="0"/>
    <x v="0"/>
    <x v="7"/>
    <x v="38"/>
    <x v="0"/>
    <x v="6"/>
    <n v="6500"/>
    <x v="0"/>
    <x v="272"/>
    <x v="0"/>
    <n v="0.71"/>
    <m/>
    <m/>
    <x v="61"/>
    <x v="6"/>
    <m/>
  </r>
  <r>
    <x v="993"/>
    <x v="1273"/>
    <x v="8"/>
    <x v="1"/>
    <x v="1"/>
    <x v="3"/>
    <x v="10"/>
    <x v="0"/>
    <x v="1239"/>
    <n v="426"/>
    <x v="0"/>
    <x v="273"/>
    <x v="447"/>
    <n v="5.32"/>
    <n v="1.54"/>
    <m/>
    <x v="107"/>
    <x v="138"/>
    <n v="0.47"/>
  </r>
  <r>
    <x v="994"/>
    <x v="1274"/>
    <x v="19"/>
    <x v="1"/>
    <x v="1"/>
    <x v="3"/>
    <x v="10"/>
    <x v="0"/>
    <x v="1240"/>
    <n v="900"/>
    <x v="203"/>
    <x v="274"/>
    <x v="448"/>
    <n v="1.45"/>
    <n v="0.94"/>
    <n v="2.1"/>
    <x v="7"/>
    <x v="4"/>
    <n v="0.99"/>
  </r>
  <r>
    <x v="995"/>
    <x v="1275"/>
    <x v="14"/>
    <x v="1"/>
    <x v="1"/>
    <x v="3"/>
    <x v="10"/>
    <x v="0"/>
    <x v="1241"/>
    <n v="415"/>
    <x v="0"/>
    <x v="275"/>
    <x v="449"/>
    <n v="9.2799999999999994"/>
    <n v="1.512"/>
    <n v="3.6"/>
    <x v="170"/>
    <x v="123"/>
    <m/>
  </r>
  <r>
    <x v="996"/>
    <x v="1276"/>
    <x v="7"/>
    <x v="1"/>
    <x v="1"/>
    <x v="3"/>
    <x v="10"/>
    <x v="1"/>
    <x v="1242"/>
    <n v="339"/>
    <x v="39"/>
    <x v="276"/>
    <x v="450"/>
    <n v="2.7E-2"/>
    <n v="0.33700000000000002"/>
    <n v="0.87"/>
    <x v="50"/>
    <x v="100"/>
    <m/>
  </r>
  <r>
    <x v="996"/>
    <x v="1277"/>
    <x v="7"/>
    <x v="1"/>
    <x v="1"/>
    <x v="8"/>
    <x v="10"/>
    <x v="1"/>
    <x v="1243"/>
    <n v="339"/>
    <x v="39"/>
    <x v="277"/>
    <x v="0"/>
    <n v="0.626"/>
    <m/>
    <m/>
    <x v="50"/>
    <x v="100"/>
    <m/>
  </r>
  <r>
    <x v="997"/>
    <x v="1278"/>
    <x v="20"/>
    <x v="1"/>
    <x v="1"/>
    <x v="3"/>
    <x v="10"/>
    <x v="1"/>
    <x v="1244"/>
    <n v="1168.99"/>
    <x v="0"/>
    <x v="278"/>
    <x v="191"/>
    <n v="1.447E-2"/>
    <n v="0.17"/>
    <m/>
    <x v="102"/>
    <x v="193"/>
    <m/>
  </r>
  <r>
    <x v="997"/>
    <x v="1279"/>
    <x v="20"/>
    <x v="1"/>
    <x v="1"/>
    <x v="3"/>
    <x v="10"/>
    <x v="1"/>
    <x v="1245"/>
    <n v="1168.99"/>
    <x v="0"/>
    <x v="279"/>
    <x v="191"/>
    <n v="2.8320000000000001E-2"/>
    <n v="0.17"/>
    <m/>
    <x v="102"/>
    <x v="193"/>
    <m/>
  </r>
  <r>
    <x v="998"/>
    <x v="1280"/>
    <x v="6"/>
    <x v="1"/>
    <x v="1"/>
    <x v="3"/>
    <x v="10"/>
    <x v="0"/>
    <x v="1246"/>
    <n v="800"/>
    <x v="0"/>
    <x v="0"/>
    <x v="60"/>
    <m/>
    <n v="1.1100000000000001"/>
    <m/>
    <x v="44"/>
    <x v="24"/>
    <m/>
  </r>
  <r>
    <x v="999"/>
    <x v="1281"/>
    <x v="7"/>
    <x v="1"/>
    <x v="1"/>
    <x v="3"/>
    <x v="10"/>
    <x v="6"/>
    <x v="1247"/>
    <n v="780"/>
    <x v="0"/>
    <x v="0"/>
    <x v="166"/>
    <m/>
    <n v="0.11700000000000001"/>
    <m/>
    <x v="141"/>
    <x v="15"/>
    <m/>
  </r>
  <r>
    <x v="999"/>
    <x v="1282"/>
    <x v="7"/>
    <x v="1"/>
    <x v="1"/>
    <x v="3"/>
    <x v="10"/>
    <x v="6"/>
    <x v="1248"/>
    <n v="780"/>
    <x v="0"/>
    <x v="0"/>
    <x v="451"/>
    <m/>
    <n v="0.106"/>
    <m/>
    <x v="141"/>
    <x v="15"/>
    <m/>
  </r>
  <r>
    <x v="999"/>
    <x v="1283"/>
    <x v="7"/>
    <x v="1"/>
    <x v="1"/>
    <x v="3"/>
    <x v="10"/>
    <x v="6"/>
    <x v="1249"/>
    <n v="780"/>
    <x v="0"/>
    <x v="0"/>
    <x v="272"/>
    <m/>
    <n v="0.25600000000000001"/>
    <m/>
    <x v="141"/>
    <x v="15"/>
    <m/>
  </r>
  <r>
    <x v="999"/>
    <x v="1284"/>
    <x v="7"/>
    <x v="1"/>
    <x v="1"/>
    <x v="3"/>
    <x v="10"/>
    <x v="6"/>
    <x v="1250"/>
    <n v="780"/>
    <x v="0"/>
    <x v="0"/>
    <x v="222"/>
    <m/>
    <n v="0.23699999999999999"/>
    <m/>
    <x v="141"/>
    <x v="15"/>
    <m/>
  </r>
  <r>
    <x v="999"/>
    <x v="1285"/>
    <x v="7"/>
    <x v="1"/>
    <x v="1"/>
    <x v="3"/>
    <x v="10"/>
    <x v="6"/>
    <x v="1251"/>
    <n v="780"/>
    <x v="0"/>
    <x v="0"/>
    <x v="452"/>
    <m/>
    <n v="0.25700000000000001"/>
    <m/>
    <x v="141"/>
    <x v="15"/>
    <m/>
  </r>
  <r>
    <x v="999"/>
    <x v="1286"/>
    <x v="7"/>
    <x v="1"/>
    <x v="1"/>
    <x v="3"/>
    <x v="10"/>
    <x v="6"/>
    <x v="1252"/>
    <n v="780"/>
    <x v="0"/>
    <x v="0"/>
    <x v="453"/>
    <m/>
    <n v="0.72299999999999998"/>
    <m/>
    <x v="141"/>
    <x v="15"/>
    <m/>
  </r>
  <r>
    <x v="999"/>
    <x v="1287"/>
    <x v="7"/>
    <x v="1"/>
    <x v="1"/>
    <x v="3"/>
    <x v="10"/>
    <x v="6"/>
    <x v="1253"/>
    <n v="780"/>
    <x v="0"/>
    <x v="0"/>
    <x v="454"/>
    <m/>
    <n v="1.008"/>
    <m/>
    <x v="141"/>
    <x v="15"/>
    <m/>
  </r>
  <r>
    <x v="999"/>
    <x v="1288"/>
    <x v="17"/>
    <x v="1"/>
    <x v="1"/>
    <x v="3"/>
    <x v="10"/>
    <x v="6"/>
    <x v="1254"/>
    <n v="780"/>
    <x v="0"/>
    <x v="0"/>
    <x v="387"/>
    <m/>
    <n v="0.11799999999999999"/>
    <m/>
    <x v="141"/>
    <x v="15"/>
    <m/>
  </r>
  <r>
    <x v="1000"/>
    <x v="1289"/>
    <x v="5"/>
    <x v="1"/>
    <x v="1"/>
    <x v="3"/>
    <x v="10"/>
    <x v="0"/>
    <x v="1255"/>
    <n v="946.59"/>
    <x v="74"/>
    <x v="280"/>
    <x v="455"/>
    <n v="1.93"/>
    <n v="0.99"/>
    <n v="2.46"/>
    <x v="53"/>
    <x v="18"/>
    <n v="1.88"/>
  </r>
  <r>
    <x v="1001"/>
    <x v="1290"/>
    <x v="14"/>
    <x v="1"/>
    <x v="1"/>
    <x v="5"/>
    <x v="10"/>
    <x v="1"/>
    <x v="1256"/>
    <n v="1180"/>
    <x v="0"/>
    <x v="281"/>
    <x v="456"/>
    <n v="1.4E-3"/>
    <n v="6.8000000000000005E-2"/>
    <m/>
    <x v="38"/>
    <x v="309"/>
    <n v="84.1"/>
  </r>
  <r>
    <x v="1001"/>
    <x v="1291"/>
    <x v="14"/>
    <x v="1"/>
    <x v="1"/>
    <x v="5"/>
    <x v="10"/>
    <x v="1"/>
    <x v="1257"/>
    <n v="1180"/>
    <x v="0"/>
    <x v="282"/>
    <x v="457"/>
    <n v="2.0999999999999999E-3"/>
    <n v="7.6999999999999999E-2"/>
    <m/>
    <x v="38"/>
    <x v="309"/>
    <n v="84.1"/>
  </r>
  <r>
    <x v="1002"/>
    <x v="1292"/>
    <x v="7"/>
    <x v="1"/>
    <x v="1"/>
    <x v="3"/>
    <x v="10"/>
    <x v="4"/>
    <x v="1258"/>
    <n v="462"/>
    <x v="204"/>
    <x v="283"/>
    <x v="349"/>
    <n v="3.3000000000000002E-2"/>
    <n v="0.153"/>
    <n v="10.1"/>
    <x v="114"/>
    <x v="250"/>
    <m/>
  </r>
  <r>
    <x v="1002"/>
    <x v="1293"/>
    <x v="7"/>
    <x v="1"/>
    <x v="1"/>
    <x v="3"/>
    <x v="10"/>
    <x v="4"/>
    <x v="1259"/>
    <n v="462"/>
    <x v="204"/>
    <x v="284"/>
    <x v="458"/>
    <n v="4.9000000000000002E-2"/>
    <n v="0.38500000000000001"/>
    <n v="0.91"/>
    <x v="114"/>
    <x v="250"/>
    <m/>
  </r>
  <r>
    <x v="1002"/>
    <x v="1294"/>
    <x v="7"/>
    <x v="1"/>
    <x v="1"/>
    <x v="3"/>
    <x v="10"/>
    <x v="4"/>
    <x v="1260"/>
    <n v="462"/>
    <x v="204"/>
    <x v="285"/>
    <x v="459"/>
    <n v="0.33400000000000002"/>
    <n v="1.0049999999999999"/>
    <n v="0.36299999999999999"/>
    <x v="114"/>
    <x v="250"/>
    <m/>
  </r>
  <r>
    <x v="1002"/>
    <x v="1295"/>
    <x v="7"/>
    <x v="1"/>
    <x v="1"/>
    <x v="3"/>
    <x v="10"/>
    <x v="4"/>
    <x v="1261"/>
    <n v="462"/>
    <x v="204"/>
    <x v="286"/>
    <x v="460"/>
    <n v="0.11"/>
    <n v="0.58499999999999996"/>
    <n v="0.6"/>
    <x v="114"/>
    <x v="250"/>
    <m/>
  </r>
  <r>
    <x v="1003"/>
    <x v="1296"/>
    <x v="5"/>
    <x v="0"/>
    <x v="0"/>
    <x v="3"/>
    <x v="39"/>
    <x v="0"/>
    <x v="1262"/>
    <n v="264.69"/>
    <x v="0"/>
    <x v="287"/>
    <x v="461"/>
    <n v="1.0900000000000001"/>
    <n v="1.03"/>
    <n v="1.31"/>
    <x v="45"/>
    <x v="33"/>
    <n v="1.68"/>
  </r>
  <r>
    <x v="1004"/>
    <x v="1297"/>
    <x v="19"/>
    <x v="0"/>
    <x v="0"/>
    <x v="0"/>
    <x v="4"/>
    <x v="0"/>
    <x v="1263"/>
    <n v="3.93"/>
    <x v="0"/>
    <x v="0"/>
    <x v="0"/>
    <n v="2.1999999999999999E-2"/>
    <m/>
    <m/>
    <x v="200"/>
    <x v="69"/>
    <m/>
  </r>
  <r>
    <x v="1005"/>
    <x v="1298"/>
    <x v="14"/>
    <x v="1"/>
    <x v="1"/>
    <x v="3"/>
    <x v="10"/>
    <x v="1"/>
    <x v="1264"/>
    <n v="173"/>
    <x v="0"/>
    <x v="288"/>
    <x v="462"/>
    <n v="1.4500000000000001E-2"/>
    <n v="0.13200000000000001"/>
    <n v="8"/>
    <x v="21"/>
    <x v="124"/>
    <m/>
  </r>
  <r>
    <x v="1005"/>
    <x v="1299"/>
    <x v="14"/>
    <x v="1"/>
    <x v="1"/>
    <x v="3"/>
    <x v="10"/>
    <x v="1"/>
    <x v="1265"/>
    <n v="173"/>
    <x v="0"/>
    <x v="289"/>
    <x v="338"/>
    <n v="5.3999999999999999E-2"/>
    <n v="0.21"/>
    <n v="7.1"/>
    <x v="21"/>
    <x v="124"/>
    <m/>
  </r>
  <r>
    <x v="1006"/>
    <x v="1300"/>
    <x v="19"/>
    <x v="1"/>
    <x v="1"/>
    <x v="3"/>
    <x v="10"/>
    <x v="2"/>
    <x v="1266"/>
    <n v="297"/>
    <x v="205"/>
    <x v="290"/>
    <x v="387"/>
    <n v="2.3E-2"/>
    <n v="0.11799999999999999"/>
    <n v="14.25"/>
    <x v="4"/>
    <x v="242"/>
    <n v="0.44"/>
  </r>
  <r>
    <x v="1006"/>
    <x v="1301"/>
    <x v="19"/>
    <x v="1"/>
    <x v="1"/>
    <x v="3"/>
    <x v="10"/>
    <x v="2"/>
    <x v="1267"/>
    <n v="297"/>
    <x v="205"/>
    <x v="291"/>
    <x v="359"/>
    <n v="2.2179999999999998E-2"/>
    <n v="0.19600000000000001"/>
    <m/>
    <x v="4"/>
    <x v="242"/>
    <n v="0.44"/>
  </r>
  <r>
    <x v="1006"/>
    <x v="1302"/>
    <x v="19"/>
    <x v="1"/>
    <x v="1"/>
    <x v="3"/>
    <x v="10"/>
    <x v="2"/>
    <x v="1268"/>
    <n v="297"/>
    <x v="205"/>
    <x v="292"/>
    <x v="165"/>
    <n v="9.4400000000000005E-3"/>
    <n v="0.14399999999999999"/>
    <m/>
    <x v="4"/>
    <x v="242"/>
    <n v="0.44"/>
  </r>
  <r>
    <x v="1007"/>
    <x v="1303"/>
    <x v="10"/>
    <x v="1"/>
    <x v="1"/>
    <x v="3"/>
    <x v="10"/>
    <x v="0"/>
    <x v="1269"/>
    <n v="925"/>
    <x v="206"/>
    <x v="0"/>
    <x v="463"/>
    <m/>
    <n v="0.42499999999999999"/>
    <m/>
    <x v="28"/>
    <x v="195"/>
    <m/>
  </r>
  <r>
    <x v="1008"/>
    <x v="1304"/>
    <x v="10"/>
    <x v="1"/>
    <x v="1"/>
    <x v="3"/>
    <x v="10"/>
    <x v="0"/>
    <x v="1270"/>
    <n v="1009"/>
    <x v="207"/>
    <x v="0"/>
    <x v="464"/>
    <m/>
    <n v="0.28100000000000003"/>
    <m/>
    <x v="3"/>
    <x v="100"/>
    <m/>
  </r>
  <r>
    <x v="1009"/>
    <x v="1305"/>
    <x v="10"/>
    <x v="1"/>
    <x v="1"/>
    <x v="3"/>
    <x v="10"/>
    <x v="0"/>
    <x v="1271"/>
    <n v="425"/>
    <x v="208"/>
    <x v="0"/>
    <x v="349"/>
    <m/>
    <n v="0.153"/>
    <m/>
    <x v="84"/>
    <x v="119"/>
    <m/>
  </r>
  <r>
    <x v="1010"/>
    <x v="1306"/>
    <x v="10"/>
    <x v="1"/>
    <x v="1"/>
    <x v="3"/>
    <x v="10"/>
    <x v="0"/>
    <x v="1272"/>
    <n v="873"/>
    <x v="204"/>
    <x v="0"/>
    <x v="465"/>
    <m/>
    <n v="0.159"/>
    <m/>
    <x v="129"/>
    <x v="54"/>
    <m/>
  </r>
  <r>
    <x v="1011"/>
    <x v="1307"/>
    <x v="10"/>
    <x v="1"/>
    <x v="1"/>
    <x v="3"/>
    <x v="10"/>
    <x v="0"/>
    <x v="1273"/>
    <n v="1080"/>
    <x v="209"/>
    <x v="0"/>
    <x v="466"/>
    <m/>
    <n v="0.56000000000000005"/>
    <m/>
    <x v="129"/>
    <x v="310"/>
    <m/>
  </r>
  <r>
    <x v="1012"/>
    <x v="1308"/>
    <x v="10"/>
    <x v="1"/>
    <x v="1"/>
    <x v="3"/>
    <x v="10"/>
    <x v="0"/>
    <x v="1274"/>
    <n v="515"/>
    <x v="210"/>
    <x v="0"/>
    <x v="467"/>
    <m/>
    <n v="0.13400000000000001"/>
    <m/>
    <x v="57"/>
    <x v="124"/>
    <m/>
  </r>
  <r>
    <x v="1013"/>
    <x v="1309"/>
    <x v="10"/>
    <x v="1"/>
    <x v="1"/>
    <x v="3"/>
    <x v="10"/>
    <x v="0"/>
    <x v="1275"/>
    <n v="496"/>
    <x v="211"/>
    <x v="0"/>
    <x v="322"/>
    <m/>
    <n v="0.13700000000000001"/>
    <m/>
    <x v="110"/>
    <x v="36"/>
    <m/>
  </r>
  <r>
    <x v="1014"/>
    <x v="1310"/>
    <x v="10"/>
    <x v="1"/>
    <x v="1"/>
    <x v="3"/>
    <x v="10"/>
    <x v="0"/>
    <x v="1276"/>
    <n v="365"/>
    <x v="212"/>
    <x v="0"/>
    <x v="247"/>
    <m/>
    <n v="0.128"/>
    <m/>
    <x v="69"/>
    <x v="86"/>
    <m/>
  </r>
  <r>
    <x v="1015"/>
    <x v="1311"/>
    <x v="10"/>
    <x v="1"/>
    <x v="1"/>
    <x v="3"/>
    <x v="10"/>
    <x v="0"/>
    <x v="1277"/>
    <n v="299"/>
    <x v="213"/>
    <x v="0"/>
    <x v="242"/>
    <m/>
    <n v="0.114"/>
    <m/>
    <x v="94"/>
    <x v="202"/>
    <m/>
  </r>
  <r>
    <x v="1016"/>
    <x v="1312"/>
    <x v="10"/>
    <x v="1"/>
    <x v="1"/>
    <x v="3"/>
    <x v="10"/>
    <x v="0"/>
    <x v="1278"/>
    <n v="281"/>
    <x v="204"/>
    <x v="0"/>
    <x v="331"/>
    <m/>
    <n v="0.19400000000000001"/>
    <m/>
    <x v="83"/>
    <x v="60"/>
    <m/>
  </r>
  <r>
    <x v="1017"/>
    <x v="1313"/>
    <x v="19"/>
    <x v="1"/>
    <x v="1"/>
    <x v="3"/>
    <x v="10"/>
    <x v="1"/>
    <x v="1279"/>
    <n v="657"/>
    <x v="214"/>
    <x v="293"/>
    <x v="468"/>
    <n v="0.16"/>
    <n v="0.51"/>
    <n v="1.45"/>
    <x v="63"/>
    <x v="53"/>
    <n v="0.437"/>
  </r>
  <r>
    <x v="1017"/>
    <x v="1314"/>
    <x v="19"/>
    <x v="1"/>
    <x v="1"/>
    <x v="3"/>
    <x v="10"/>
    <x v="1"/>
    <x v="1280"/>
    <n v="657"/>
    <x v="214"/>
    <x v="294"/>
    <x v="211"/>
    <n v="0.01"/>
    <n v="0.112"/>
    <n v="10.5"/>
    <x v="63"/>
    <x v="53"/>
    <n v="0.437"/>
  </r>
  <r>
    <x v="1018"/>
    <x v="1315"/>
    <x v="10"/>
    <x v="1"/>
    <x v="1"/>
    <x v="3"/>
    <x v="10"/>
    <x v="0"/>
    <x v="1281"/>
    <n v="610"/>
    <x v="215"/>
    <x v="0"/>
    <x v="152"/>
    <m/>
    <n v="0.20699999999999999"/>
    <m/>
    <x v="126"/>
    <x v="92"/>
    <m/>
  </r>
  <r>
    <x v="1019"/>
    <x v="1316"/>
    <x v="10"/>
    <x v="1"/>
    <x v="1"/>
    <x v="3"/>
    <x v="10"/>
    <x v="0"/>
    <x v="1282"/>
    <n v="860"/>
    <x v="216"/>
    <x v="0"/>
    <x v="272"/>
    <m/>
    <n v="0.25600000000000001"/>
    <m/>
    <x v="21"/>
    <x v="100"/>
    <m/>
  </r>
  <r>
    <x v="1020"/>
    <x v="1317"/>
    <x v="10"/>
    <x v="1"/>
    <x v="1"/>
    <x v="3"/>
    <x v="10"/>
    <x v="0"/>
    <x v="1283"/>
    <n v="420"/>
    <x v="196"/>
    <x v="0"/>
    <x v="411"/>
    <m/>
    <n v="0.115"/>
    <m/>
    <x v="44"/>
    <x v="33"/>
    <m/>
  </r>
  <r>
    <x v="1021"/>
    <x v="1318"/>
    <x v="10"/>
    <x v="1"/>
    <x v="1"/>
    <x v="3"/>
    <x v="10"/>
    <x v="0"/>
    <x v="1284"/>
    <n v="433"/>
    <x v="211"/>
    <x v="0"/>
    <x v="230"/>
    <m/>
    <n v="0.192"/>
    <m/>
    <x v="94"/>
    <x v="153"/>
    <m/>
  </r>
  <r>
    <x v="1022"/>
    <x v="1319"/>
    <x v="10"/>
    <x v="1"/>
    <x v="1"/>
    <x v="3"/>
    <x v="10"/>
    <x v="0"/>
    <x v="1285"/>
    <n v="672"/>
    <x v="215"/>
    <x v="0"/>
    <x v="158"/>
    <m/>
    <n v="0.21299999999999999"/>
    <m/>
    <x v="59"/>
    <x v="239"/>
    <m/>
  </r>
  <r>
    <x v="1023"/>
    <x v="1320"/>
    <x v="10"/>
    <x v="1"/>
    <x v="1"/>
    <x v="3"/>
    <x v="10"/>
    <x v="0"/>
    <x v="1286"/>
    <n v="932"/>
    <x v="217"/>
    <x v="0"/>
    <x v="469"/>
    <m/>
    <n v="0.317"/>
    <m/>
    <x v="144"/>
    <x v="280"/>
    <m/>
  </r>
  <r>
    <x v="1024"/>
    <x v="1321"/>
    <x v="10"/>
    <x v="1"/>
    <x v="1"/>
    <x v="3"/>
    <x v="10"/>
    <x v="1"/>
    <x v="1287"/>
    <n v="1239"/>
    <x v="218"/>
    <x v="0"/>
    <x v="205"/>
    <m/>
    <n v="0.19400000000000001"/>
    <m/>
    <x v="7"/>
    <x v="45"/>
    <m/>
  </r>
  <r>
    <x v="1024"/>
    <x v="1322"/>
    <x v="10"/>
    <x v="1"/>
    <x v="1"/>
    <x v="3"/>
    <x v="10"/>
    <x v="1"/>
    <x v="1288"/>
    <n v="1239"/>
    <x v="218"/>
    <x v="0"/>
    <x v="470"/>
    <m/>
    <n v="0.32800000000000001"/>
    <m/>
    <x v="7"/>
    <x v="45"/>
    <m/>
  </r>
  <r>
    <x v="1025"/>
    <x v="1323"/>
    <x v="10"/>
    <x v="1"/>
    <x v="1"/>
    <x v="3"/>
    <x v="10"/>
    <x v="0"/>
    <x v="1289"/>
    <n v="554"/>
    <x v="219"/>
    <x v="0"/>
    <x v="236"/>
    <m/>
    <n v="0.17799999999999999"/>
    <m/>
    <x v="89"/>
    <x v="90"/>
    <m/>
  </r>
  <r>
    <x v="1026"/>
    <x v="1324"/>
    <x v="10"/>
    <x v="1"/>
    <x v="1"/>
    <x v="3"/>
    <x v="10"/>
    <x v="0"/>
    <x v="1290"/>
    <n v="894"/>
    <x v="216"/>
    <x v="0"/>
    <x v="471"/>
    <m/>
    <n v="0.23"/>
    <m/>
    <x v="21"/>
    <x v="100"/>
    <m/>
  </r>
  <r>
    <x v="1027"/>
    <x v="1325"/>
    <x v="10"/>
    <x v="1"/>
    <x v="1"/>
    <x v="3"/>
    <x v="10"/>
    <x v="0"/>
    <x v="1291"/>
    <n v="198"/>
    <x v="220"/>
    <x v="0"/>
    <x v="472"/>
    <m/>
    <n v="0.13"/>
    <m/>
    <x v="37"/>
    <x v="282"/>
    <m/>
  </r>
  <r>
    <x v="1028"/>
    <x v="1326"/>
    <x v="19"/>
    <x v="1"/>
    <x v="1"/>
    <x v="3"/>
    <x v="10"/>
    <x v="3"/>
    <x v="1292"/>
    <n v="110"/>
    <x v="0"/>
    <x v="295"/>
    <x v="473"/>
    <n v="1.353E-2"/>
    <n v="4.2000000000000003E-2"/>
    <m/>
    <x v="94"/>
    <x v="153"/>
    <n v="2.61"/>
  </r>
  <r>
    <x v="1028"/>
    <x v="1327"/>
    <x v="19"/>
    <x v="1"/>
    <x v="1"/>
    <x v="3"/>
    <x v="10"/>
    <x v="3"/>
    <x v="1293"/>
    <n v="110"/>
    <x v="0"/>
    <x v="292"/>
    <x v="474"/>
    <n v="9.4400000000000005E-3"/>
    <n v="5.1999999999999998E-2"/>
    <m/>
    <x v="94"/>
    <x v="153"/>
    <n v="2.61"/>
  </r>
  <r>
    <x v="1028"/>
    <x v="1328"/>
    <x v="19"/>
    <x v="1"/>
    <x v="1"/>
    <x v="3"/>
    <x v="10"/>
    <x v="3"/>
    <x v="1294"/>
    <n v="110"/>
    <x v="0"/>
    <x v="296"/>
    <x v="475"/>
    <n v="1.2E-2"/>
    <n v="0.105"/>
    <n v="13.27"/>
    <x v="94"/>
    <x v="153"/>
    <n v="2.61"/>
  </r>
  <r>
    <x v="1028"/>
    <x v="1329"/>
    <x v="7"/>
    <x v="1"/>
    <x v="1"/>
    <x v="3"/>
    <x v="10"/>
    <x v="3"/>
    <x v="1295"/>
    <n v="110"/>
    <x v="0"/>
    <x v="297"/>
    <x v="476"/>
    <n v="2.8000000000000001E-2"/>
    <n v="0.19800000000000001"/>
    <n v="4.68"/>
    <x v="94"/>
    <x v="153"/>
    <n v="2.61"/>
  </r>
  <r>
    <x v="1028"/>
    <x v="1330"/>
    <x v="19"/>
    <x v="1"/>
    <x v="1"/>
    <x v="3"/>
    <x v="10"/>
    <x v="3"/>
    <x v="1296"/>
    <n v="110"/>
    <x v="0"/>
    <x v="67"/>
    <x v="477"/>
    <n v="1.636E-2"/>
    <n v="7.9000000000000001E-2"/>
    <m/>
    <x v="94"/>
    <x v="153"/>
    <n v="2.61"/>
  </r>
  <r>
    <x v="1029"/>
    <x v="1331"/>
    <x v="10"/>
    <x v="1"/>
    <x v="1"/>
    <x v="3"/>
    <x v="10"/>
    <x v="0"/>
    <x v="1297"/>
    <n v="446"/>
    <x v="159"/>
    <x v="0"/>
    <x v="478"/>
    <m/>
    <n v="0.20300000000000001"/>
    <m/>
    <x v="122"/>
    <x v="292"/>
    <m/>
  </r>
  <r>
    <x v="1030"/>
    <x v="1332"/>
    <x v="10"/>
    <x v="1"/>
    <x v="1"/>
    <x v="3"/>
    <x v="10"/>
    <x v="0"/>
    <x v="1298"/>
    <n v="837"/>
    <x v="207"/>
    <x v="0"/>
    <x v="200"/>
    <m/>
    <n v="0.20799999999999999"/>
    <m/>
    <x v="45"/>
    <x v="24"/>
    <m/>
  </r>
  <r>
    <x v="1031"/>
    <x v="1333"/>
    <x v="10"/>
    <x v="1"/>
    <x v="1"/>
    <x v="3"/>
    <x v="10"/>
    <x v="0"/>
    <x v="1299"/>
    <n v="455"/>
    <x v="159"/>
    <x v="0"/>
    <x v="479"/>
    <m/>
    <n v="0.21099999999999999"/>
    <m/>
    <x v="159"/>
    <x v="85"/>
    <m/>
  </r>
  <r>
    <x v="1032"/>
    <x v="1334"/>
    <x v="10"/>
    <x v="1"/>
    <x v="1"/>
    <x v="3"/>
    <x v="10"/>
    <x v="0"/>
    <x v="1300"/>
    <n v="686"/>
    <x v="216"/>
    <x v="0"/>
    <x v="154"/>
    <m/>
    <n v="0.23499999999999999"/>
    <m/>
    <x v="89"/>
    <x v="111"/>
    <m/>
  </r>
  <r>
    <x v="1033"/>
    <x v="1335"/>
    <x v="10"/>
    <x v="1"/>
    <x v="1"/>
    <x v="3"/>
    <x v="10"/>
    <x v="0"/>
    <x v="1301"/>
    <n v="1017"/>
    <x v="221"/>
    <x v="0"/>
    <x v="480"/>
    <m/>
    <n v="0.34899999999999998"/>
    <m/>
    <x v="94"/>
    <x v="202"/>
    <m/>
  </r>
  <r>
    <x v="1034"/>
    <x v="1336"/>
    <x v="10"/>
    <x v="1"/>
    <x v="1"/>
    <x v="3"/>
    <x v="10"/>
    <x v="0"/>
    <x v="1302"/>
    <n v="716"/>
    <x v="222"/>
    <x v="0"/>
    <x v="35"/>
    <m/>
    <n v="0.17699999999999999"/>
    <m/>
    <x v="25"/>
    <x v="4"/>
    <m/>
  </r>
  <r>
    <x v="1035"/>
    <x v="1337"/>
    <x v="10"/>
    <x v="1"/>
    <x v="1"/>
    <x v="3"/>
    <x v="10"/>
    <x v="0"/>
    <x v="1303"/>
    <n v="389"/>
    <x v="223"/>
    <x v="0"/>
    <x v="481"/>
    <m/>
    <n v="0.19700000000000001"/>
    <m/>
    <x v="137"/>
    <x v="91"/>
    <m/>
  </r>
  <r>
    <x v="1036"/>
    <x v="1338"/>
    <x v="10"/>
    <x v="1"/>
    <x v="1"/>
    <x v="3"/>
    <x v="10"/>
    <x v="0"/>
    <x v="1304"/>
    <n v="291"/>
    <x v="106"/>
    <x v="0"/>
    <x v="219"/>
    <m/>
    <n v="7.9000000000000001E-2"/>
    <m/>
    <x v="21"/>
    <x v="92"/>
    <m/>
  </r>
  <r>
    <x v="1037"/>
    <x v="1339"/>
    <x v="10"/>
    <x v="1"/>
    <x v="1"/>
    <x v="3"/>
    <x v="10"/>
    <x v="0"/>
    <x v="1305"/>
    <n v="633"/>
    <x v="207"/>
    <x v="0"/>
    <x v="232"/>
    <m/>
    <n v="0.11899999999999999"/>
    <m/>
    <x v="3"/>
    <x v="90"/>
    <m/>
  </r>
  <r>
    <x v="1038"/>
    <x v="1340"/>
    <x v="10"/>
    <x v="1"/>
    <x v="1"/>
    <x v="3"/>
    <x v="10"/>
    <x v="0"/>
    <x v="1306"/>
    <n v="422"/>
    <x v="208"/>
    <x v="0"/>
    <x v="482"/>
    <m/>
    <n v="0.112"/>
    <m/>
    <x v="58"/>
    <x v="57"/>
    <m/>
  </r>
  <r>
    <x v="1039"/>
    <x v="1341"/>
    <x v="19"/>
    <x v="1"/>
    <x v="1"/>
    <x v="3"/>
    <x v="10"/>
    <x v="1"/>
    <x v="1307"/>
    <n v="485"/>
    <x v="55"/>
    <x v="298"/>
    <x v="187"/>
    <n v="3.1E-2"/>
    <n v="0.30099999999999999"/>
    <n v="1.38"/>
    <x v="25"/>
    <x v="132"/>
    <n v="0.52"/>
  </r>
  <r>
    <x v="1039"/>
    <x v="1342"/>
    <x v="19"/>
    <x v="1"/>
    <x v="1"/>
    <x v="3"/>
    <x v="10"/>
    <x v="1"/>
    <x v="1308"/>
    <n v="485"/>
    <x v="55"/>
    <x v="299"/>
    <x v="483"/>
    <n v="0.114"/>
    <n v="0.45900000000000002"/>
    <n v="1.47"/>
    <x v="25"/>
    <x v="132"/>
    <n v="0.52"/>
  </r>
  <r>
    <x v="1040"/>
    <x v="1343"/>
    <x v="10"/>
    <x v="1"/>
    <x v="1"/>
    <x v="3"/>
    <x v="10"/>
    <x v="0"/>
    <x v="1309"/>
    <n v="795"/>
    <x v="224"/>
    <x v="0"/>
    <x v="233"/>
    <m/>
    <n v="0.221"/>
    <m/>
    <x v="34"/>
    <x v="153"/>
    <m/>
  </r>
  <r>
    <x v="1041"/>
    <x v="1344"/>
    <x v="10"/>
    <x v="1"/>
    <x v="1"/>
    <x v="3"/>
    <x v="10"/>
    <x v="0"/>
    <x v="1310"/>
    <n v="741"/>
    <x v="225"/>
    <x v="0"/>
    <x v="484"/>
    <m/>
    <n v="7.8E-2"/>
    <m/>
    <x v="25"/>
    <x v="40"/>
    <m/>
  </r>
  <r>
    <x v="1042"/>
    <x v="1345"/>
    <x v="10"/>
    <x v="1"/>
    <x v="1"/>
    <x v="3"/>
    <x v="10"/>
    <x v="0"/>
    <x v="1311"/>
    <n v="607"/>
    <x v="226"/>
    <x v="0"/>
    <x v="294"/>
    <m/>
    <n v="0.16700000000000001"/>
    <m/>
    <x v="96"/>
    <x v="32"/>
    <m/>
  </r>
  <r>
    <x v="1043"/>
    <x v="1346"/>
    <x v="10"/>
    <x v="1"/>
    <x v="1"/>
    <x v="3"/>
    <x v="10"/>
    <x v="0"/>
    <x v="1312"/>
    <n v="1425"/>
    <x v="227"/>
    <x v="0"/>
    <x v="485"/>
    <m/>
    <n v="0.224"/>
    <m/>
    <x v="23"/>
    <x v="94"/>
    <m/>
  </r>
  <r>
    <x v="1044"/>
    <x v="1347"/>
    <x v="10"/>
    <x v="1"/>
    <x v="1"/>
    <x v="3"/>
    <x v="10"/>
    <x v="0"/>
    <x v="1313"/>
    <n v="706"/>
    <x v="215"/>
    <x v="0"/>
    <x v="243"/>
    <m/>
    <n v="0.20200000000000001"/>
    <m/>
    <x v="134"/>
    <x v="292"/>
    <m/>
  </r>
  <r>
    <x v="1045"/>
    <x v="1348"/>
    <x v="10"/>
    <x v="1"/>
    <x v="1"/>
    <x v="3"/>
    <x v="10"/>
    <x v="0"/>
    <x v="1314"/>
    <n v="408"/>
    <x v="216"/>
    <x v="0"/>
    <x v="486"/>
    <m/>
    <n v="0.104"/>
    <m/>
    <x v="17"/>
    <x v="193"/>
    <m/>
  </r>
  <r>
    <x v="1046"/>
    <x v="1349"/>
    <x v="10"/>
    <x v="1"/>
    <x v="1"/>
    <x v="3"/>
    <x v="10"/>
    <x v="0"/>
    <x v="1315"/>
    <n v="507"/>
    <x v="109"/>
    <x v="0"/>
    <x v="383"/>
    <m/>
    <n v="0.26900000000000002"/>
    <m/>
    <x v="44"/>
    <x v="111"/>
    <m/>
  </r>
  <r>
    <x v="1047"/>
    <x v="1350"/>
    <x v="10"/>
    <x v="1"/>
    <x v="1"/>
    <x v="3"/>
    <x v="10"/>
    <x v="0"/>
    <x v="1316"/>
    <n v="451"/>
    <x v="228"/>
    <x v="0"/>
    <x v="242"/>
    <m/>
    <n v="0.114"/>
    <m/>
    <x v="58"/>
    <x v="202"/>
    <m/>
  </r>
  <r>
    <x v="1048"/>
    <x v="1351"/>
    <x v="10"/>
    <x v="1"/>
    <x v="1"/>
    <x v="3"/>
    <x v="10"/>
    <x v="0"/>
    <x v="1317"/>
    <n v="622"/>
    <x v="211"/>
    <x v="0"/>
    <x v="369"/>
    <m/>
    <n v="0.315"/>
    <m/>
    <x v="122"/>
    <x v="56"/>
    <m/>
  </r>
  <r>
    <x v="1049"/>
    <x v="1352"/>
    <x v="10"/>
    <x v="1"/>
    <x v="1"/>
    <x v="3"/>
    <x v="10"/>
    <x v="0"/>
    <x v="1318"/>
    <n v="324"/>
    <x v="224"/>
    <x v="0"/>
    <x v="472"/>
    <m/>
    <n v="0.13"/>
    <m/>
    <x v="137"/>
    <x v="36"/>
    <m/>
  </r>
  <r>
    <x v="1050"/>
    <x v="1353"/>
    <x v="19"/>
    <x v="1"/>
    <x v="1"/>
    <x v="3"/>
    <x v="10"/>
    <x v="2"/>
    <x v="1319"/>
    <n v="403"/>
    <x v="0"/>
    <x v="0"/>
    <x v="487"/>
    <m/>
    <n v="0.27700000000000002"/>
    <m/>
    <x v="29"/>
    <x v="311"/>
    <m/>
  </r>
  <r>
    <x v="1050"/>
    <x v="1354"/>
    <x v="19"/>
    <x v="1"/>
    <x v="1"/>
    <x v="3"/>
    <x v="10"/>
    <x v="2"/>
    <x v="1320"/>
    <n v="403"/>
    <x v="0"/>
    <x v="0"/>
    <x v="290"/>
    <m/>
    <n v="0.27900000000000003"/>
    <m/>
    <x v="29"/>
    <x v="311"/>
    <m/>
  </r>
  <r>
    <x v="1050"/>
    <x v="1355"/>
    <x v="19"/>
    <x v="1"/>
    <x v="1"/>
    <x v="3"/>
    <x v="10"/>
    <x v="2"/>
    <x v="1321"/>
    <n v="403"/>
    <x v="0"/>
    <x v="0"/>
    <x v="414"/>
    <m/>
    <n v="0.31900000000000001"/>
    <m/>
    <x v="29"/>
    <x v="311"/>
    <m/>
  </r>
  <r>
    <x v="1051"/>
    <x v="1356"/>
    <x v="10"/>
    <x v="1"/>
    <x v="1"/>
    <x v="3"/>
    <x v="10"/>
    <x v="0"/>
    <x v="1322"/>
    <n v="473"/>
    <x v="212"/>
    <x v="0"/>
    <x v="488"/>
    <m/>
    <n v="0.186"/>
    <m/>
    <x v="17"/>
    <x v="18"/>
    <m/>
  </r>
  <r>
    <x v="1052"/>
    <x v="1357"/>
    <x v="10"/>
    <x v="1"/>
    <x v="1"/>
    <x v="3"/>
    <x v="10"/>
    <x v="0"/>
    <x v="1323"/>
    <n v="979"/>
    <x v="220"/>
    <x v="0"/>
    <x v="489"/>
    <m/>
    <n v="0.26200000000000001"/>
    <m/>
    <x v="104"/>
    <x v="29"/>
    <m/>
  </r>
  <r>
    <x v="1053"/>
    <x v="1358"/>
    <x v="10"/>
    <x v="1"/>
    <x v="1"/>
    <x v="3"/>
    <x v="10"/>
    <x v="0"/>
    <x v="1324"/>
    <n v="659"/>
    <x v="215"/>
    <x v="0"/>
    <x v="252"/>
    <m/>
    <n v="0.19500000000000001"/>
    <m/>
    <x v="174"/>
    <x v="185"/>
    <m/>
  </r>
  <r>
    <x v="1054"/>
    <x v="1359"/>
    <x v="10"/>
    <x v="1"/>
    <x v="1"/>
    <x v="3"/>
    <x v="10"/>
    <x v="0"/>
    <x v="1325"/>
    <n v="838"/>
    <x v="216"/>
    <x v="0"/>
    <x v="330"/>
    <m/>
    <n v="0.22700000000000001"/>
    <m/>
    <x v="127"/>
    <x v="52"/>
    <m/>
  </r>
  <r>
    <x v="1055"/>
    <x v="1360"/>
    <x v="10"/>
    <x v="1"/>
    <x v="1"/>
    <x v="3"/>
    <x v="10"/>
    <x v="0"/>
    <x v="1326"/>
    <n v="1507"/>
    <x v="220"/>
    <x v="0"/>
    <x v="344"/>
    <m/>
    <n v="0.23799999999999999"/>
    <m/>
    <x v="4"/>
    <x v="37"/>
    <m/>
  </r>
  <r>
    <x v="1056"/>
    <x v="1361"/>
    <x v="10"/>
    <x v="1"/>
    <x v="1"/>
    <x v="3"/>
    <x v="10"/>
    <x v="0"/>
    <x v="1327"/>
    <n v="971"/>
    <x v="216"/>
    <x v="0"/>
    <x v="354"/>
    <m/>
    <n v="0.24"/>
    <m/>
    <x v="126"/>
    <x v="92"/>
    <m/>
  </r>
  <r>
    <x v="1057"/>
    <x v="1362"/>
    <x v="10"/>
    <x v="1"/>
    <x v="1"/>
    <x v="3"/>
    <x v="10"/>
    <x v="0"/>
    <x v="1328"/>
    <n v="518"/>
    <x v="159"/>
    <x v="0"/>
    <x v="349"/>
    <m/>
    <n v="0.153"/>
    <m/>
    <x v="48"/>
    <x v="110"/>
    <m/>
  </r>
  <r>
    <x v="1058"/>
    <x v="1363"/>
    <x v="10"/>
    <x v="1"/>
    <x v="1"/>
    <x v="3"/>
    <x v="10"/>
    <x v="1"/>
    <x v="1329"/>
    <n v="566"/>
    <x v="216"/>
    <x v="0"/>
    <x v="490"/>
    <m/>
    <n v="0.186"/>
    <m/>
    <x v="4"/>
    <x v="4"/>
    <m/>
  </r>
  <r>
    <x v="1058"/>
    <x v="1364"/>
    <x v="10"/>
    <x v="1"/>
    <x v="1"/>
    <x v="3"/>
    <x v="10"/>
    <x v="1"/>
    <x v="1330"/>
    <n v="566"/>
    <x v="216"/>
    <x v="0"/>
    <x v="216"/>
    <m/>
    <n v="8.7999999999999995E-2"/>
    <m/>
    <x v="4"/>
    <x v="4"/>
    <m/>
  </r>
  <r>
    <x v="1059"/>
    <x v="1365"/>
    <x v="10"/>
    <x v="1"/>
    <x v="1"/>
    <x v="3"/>
    <x v="10"/>
    <x v="0"/>
    <x v="1331"/>
    <n v="415"/>
    <x v="229"/>
    <x v="0"/>
    <x v="165"/>
    <m/>
    <n v="0.14399999999999999"/>
    <m/>
    <x v="174"/>
    <x v="86"/>
    <m/>
  </r>
  <r>
    <x v="1060"/>
    <x v="1366"/>
    <x v="10"/>
    <x v="1"/>
    <x v="1"/>
    <x v="3"/>
    <x v="10"/>
    <x v="0"/>
    <x v="1332"/>
    <n v="129"/>
    <x v="44"/>
    <x v="0"/>
    <x v="491"/>
    <m/>
    <n v="8.5000000000000006E-2"/>
    <m/>
    <x v="192"/>
    <x v="75"/>
    <m/>
  </r>
  <r>
    <x v="1061"/>
    <x v="1367"/>
    <x v="7"/>
    <x v="1"/>
    <x v="1"/>
    <x v="3"/>
    <x v="10"/>
    <x v="1"/>
    <x v="1333"/>
    <n v="524"/>
    <x v="0"/>
    <x v="0"/>
    <x v="226"/>
    <m/>
    <n v="0.42899999999999999"/>
    <m/>
    <x v="50"/>
    <x v="111"/>
    <m/>
  </r>
  <r>
    <x v="1061"/>
    <x v="1368"/>
    <x v="19"/>
    <x v="1"/>
    <x v="1"/>
    <x v="3"/>
    <x v="10"/>
    <x v="1"/>
    <x v="1334"/>
    <n v="524"/>
    <x v="0"/>
    <x v="278"/>
    <x v="166"/>
    <n v="1.447E-2"/>
    <n v="0.11700000000000001"/>
    <n v="11.2"/>
    <x v="50"/>
    <x v="111"/>
    <m/>
  </r>
  <r>
    <x v="1062"/>
    <x v="1369"/>
    <x v="10"/>
    <x v="1"/>
    <x v="1"/>
    <x v="3"/>
    <x v="10"/>
    <x v="1"/>
    <x v="1335"/>
    <n v="555"/>
    <x v="220"/>
    <x v="0"/>
    <x v="492"/>
    <m/>
    <n v="0.14299999999999999"/>
    <m/>
    <x v="25"/>
    <x v="4"/>
    <m/>
  </r>
  <r>
    <x v="1062"/>
    <x v="1370"/>
    <x v="10"/>
    <x v="1"/>
    <x v="1"/>
    <x v="3"/>
    <x v="10"/>
    <x v="1"/>
    <x v="1336"/>
    <n v="555"/>
    <x v="220"/>
    <x v="0"/>
    <x v="493"/>
    <m/>
    <n v="0.13200000000000001"/>
    <m/>
    <x v="25"/>
    <x v="4"/>
    <m/>
  </r>
  <r>
    <x v="1063"/>
    <x v="1371"/>
    <x v="10"/>
    <x v="1"/>
    <x v="1"/>
    <x v="3"/>
    <x v="10"/>
    <x v="0"/>
    <x v="1337"/>
    <n v="1021"/>
    <x v="230"/>
    <x v="0"/>
    <x v="494"/>
    <m/>
    <n v="0.30299999999999999"/>
    <m/>
    <x v="157"/>
    <x v="98"/>
    <m/>
  </r>
  <r>
    <x v="1064"/>
    <x v="1372"/>
    <x v="10"/>
    <x v="1"/>
    <x v="1"/>
    <x v="3"/>
    <x v="10"/>
    <x v="0"/>
    <x v="1338"/>
    <n v="1051"/>
    <x v="220"/>
    <x v="0"/>
    <x v="352"/>
    <m/>
    <n v="0.26100000000000001"/>
    <m/>
    <x v="18"/>
    <x v="171"/>
    <m/>
  </r>
  <r>
    <x v="1065"/>
    <x v="1373"/>
    <x v="10"/>
    <x v="1"/>
    <x v="1"/>
    <x v="3"/>
    <x v="10"/>
    <x v="0"/>
    <x v="1339"/>
    <n v="171"/>
    <x v="231"/>
    <x v="0"/>
    <x v="495"/>
    <m/>
    <n v="8.6999999999999994E-2"/>
    <m/>
    <x v="36"/>
    <x v="67"/>
    <m/>
  </r>
  <r>
    <x v="1066"/>
    <x v="1374"/>
    <x v="10"/>
    <x v="1"/>
    <x v="1"/>
    <x v="3"/>
    <x v="10"/>
    <x v="0"/>
    <x v="1340"/>
    <n v="1050"/>
    <x v="232"/>
    <x v="0"/>
    <x v="154"/>
    <m/>
    <n v="0.23499999999999999"/>
    <m/>
    <x v="84"/>
    <x v="156"/>
    <m/>
  </r>
  <r>
    <x v="1067"/>
    <x v="1375"/>
    <x v="10"/>
    <x v="1"/>
    <x v="1"/>
    <x v="3"/>
    <x v="10"/>
    <x v="0"/>
    <x v="1341"/>
    <n v="422"/>
    <x v="231"/>
    <x v="0"/>
    <x v="420"/>
    <m/>
    <n v="0.11"/>
    <m/>
    <x v="17"/>
    <x v="16"/>
    <m/>
  </r>
  <r>
    <x v="1068"/>
    <x v="1376"/>
    <x v="10"/>
    <x v="1"/>
    <x v="1"/>
    <x v="3"/>
    <x v="10"/>
    <x v="0"/>
    <x v="1342"/>
    <n v="971"/>
    <x v="219"/>
    <x v="0"/>
    <x v="383"/>
    <m/>
    <n v="0.26900000000000002"/>
    <m/>
    <x v="20"/>
    <x v="15"/>
    <m/>
  </r>
  <r>
    <x v="1069"/>
    <x v="1377"/>
    <x v="10"/>
    <x v="1"/>
    <x v="1"/>
    <x v="3"/>
    <x v="10"/>
    <x v="0"/>
    <x v="1343"/>
    <n v="1462"/>
    <x v="231"/>
    <x v="0"/>
    <x v="496"/>
    <m/>
    <n v="0.3"/>
    <m/>
    <x v="154"/>
    <x v="95"/>
    <m/>
  </r>
  <r>
    <x v="1070"/>
    <x v="1378"/>
    <x v="10"/>
    <x v="1"/>
    <x v="1"/>
    <x v="3"/>
    <x v="10"/>
    <x v="0"/>
    <x v="1344"/>
    <n v="525"/>
    <x v="225"/>
    <x v="0"/>
    <x v="394"/>
    <m/>
    <n v="0.24299999999999999"/>
    <m/>
    <x v="69"/>
    <x v="67"/>
    <m/>
  </r>
  <r>
    <x v="1071"/>
    <x v="1379"/>
    <x v="10"/>
    <x v="1"/>
    <x v="1"/>
    <x v="3"/>
    <x v="10"/>
    <x v="0"/>
    <x v="1345"/>
    <n v="673"/>
    <x v="233"/>
    <x v="0"/>
    <x v="215"/>
    <m/>
    <n v="0.154"/>
    <m/>
    <x v="174"/>
    <x v="185"/>
    <m/>
  </r>
  <r>
    <x v="1072"/>
    <x v="1380"/>
    <x v="19"/>
    <x v="1"/>
    <x v="1"/>
    <x v="3"/>
    <x v="10"/>
    <x v="4"/>
    <x v="1346"/>
    <n v="451"/>
    <x v="234"/>
    <x v="300"/>
    <x v="497"/>
    <n v="1.668E-2"/>
    <n v="7.2999999999999995E-2"/>
    <m/>
    <x v="57"/>
    <x v="110"/>
    <n v="1.38"/>
  </r>
  <r>
    <x v="1072"/>
    <x v="1381"/>
    <x v="19"/>
    <x v="1"/>
    <x v="1"/>
    <x v="3"/>
    <x v="10"/>
    <x v="4"/>
    <x v="1347"/>
    <n v="451"/>
    <x v="234"/>
    <x v="301"/>
    <x v="281"/>
    <n v="3.3000000000000002E-2"/>
    <n v="0.223"/>
    <n v="3.28"/>
    <x v="57"/>
    <x v="110"/>
    <n v="1.38"/>
  </r>
  <r>
    <x v="1072"/>
    <x v="1382"/>
    <x v="19"/>
    <x v="1"/>
    <x v="1"/>
    <x v="3"/>
    <x v="10"/>
    <x v="4"/>
    <x v="1348"/>
    <n v="451"/>
    <x v="234"/>
    <x v="302"/>
    <x v="491"/>
    <n v="2.5489999999999999E-2"/>
    <n v="8.5000000000000006E-2"/>
    <m/>
    <x v="57"/>
    <x v="110"/>
    <n v="1.38"/>
  </r>
  <r>
    <x v="1072"/>
    <x v="1383"/>
    <x v="19"/>
    <x v="1"/>
    <x v="1"/>
    <x v="3"/>
    <x v="10"/>
    <x v="4"/>
    <x v="1349"/>
    <n v="451"/>
    <x v="234"/>
    <x v="303"/>
    <x v="176"/>
    <n v="3.5000000000000003E-2"/>
    <n v="0.22800000000000001"/>
    <n v="3.1"/>
    <x v="57"/>
    <x v="110"/>
    <n v="1.38"/>
  </r>
  <r>
    <x v="1073"/>
    <x v="1384"/>
    <x v="10"/>
    <x v="1"/>
    <x v="1"/>
    <x v="3"/>
    <x v="10"/>
    <x v="0"/>
    <x v="1350"/>
    <n v="861"/>
    <x v="211"/>
    <x v="0"/>
    <x v="277"/>
    <m/>
    <n v="0.21199999999999999"/>
    <m/>
    <x v="7"/>
    <x v="173"/>
    <m/>
  </r>
  <r>
    <x v="1074"/>
    <x v="1385"/>
    <x v="10"/>
    <x v="1"/>
    <x v="1"/>
    <x v="3"/>
    <x v="10"/>
    <x v="0"/>
    <x v="1351"/>
    <n v="585"/>
    <x v="235"/>
    <x v="0"/>
    <x v="35"/>
    <m/>
    <n v="0.17699999999999999"/>
    <m/>
    <x v="25"/>
    <x v="88"/>
    <m/>
  </r>
  <r>
    <x v="1075"/>
    <x v="1386"/>
    <x v="10"/>
    <x v="1"/>
    <x v="1"/>
    <x v="3"/>
    <x v="10"/>
    <x v="0"/>
    <x v="1352"/>
    <n v="388"/>
    <x v="236"/>
    <x v="0"/>
    <x v="498"/>
    <m/>
    <n v="0.157"/>
    <m/>
    <x v="174"/>
    <x v="86"/>
    <m/>
  </r>
  <r>
    <x v="1076"/>
    <x v="1387"/>
    <x v="10"/>
    <x v="1"/>
    <x v="1"/>
    <x v="3"/>
    <x v="10"/>
    <x v="0"/>
    <x v="1353"/>
    <n v="365"/>
    <x v="225"/>
    <x v="0"/>
    <x v="234"/>
    <m/>
    <n v="0.13300000000000001"/>
    <m/>
    <x v="25"/>
    <x v="48"/>
    <m/>
  </r>
  <r>
    <x v="1077"/>
    <x v="1388"/>
    <x v="10"/>
    <x v="1"/>
    <x v="1"/>
    <x v="3"/>
    <x v="10"/>
    <x v="0"/>
    <x v="1354"/>
    <n v="374"/>
    <x v="218"/>
    <x v="0"/>
    <x v="273"/>
    <m/>
    <n v="0.13800000000000001"/>
    <m/>
    <x v="6"/>
    <x v="38"/>
    <m/>
  </r>
  <r>
    <x v="1078"/>
    <x v="1389"/>
    <x v="10"/>
    <x v="1"/>
    <x v="1"/>
    <x v="3"/>
    <x v="10"/>
    <x v="1"/>
    <x v="1355"/>
    <n v="1078"/>
    <x v="216"/>
    <x v="0"/>
    <x v="499"/>
    <m/>
    <n v="0.33300000000000002"/>
    <m/>
    <x v="23"/>
    <x v="3"/>
    <m/>
  </r>
  <r>
    <x v="1078"/>
    <x v="1390"/>
    <x v="10"/>
    <x v="1"/>
    <x v="1"/>
    <x v="3"/>
    <x v="10"/>
    <x v="1"/>
    <x v="1356"/>
    <n v="1078"/>
    <x v="216"/>
    <x v="0"/>
    <x v="492"/>
    <m/>
    <n v="0.14299999999999999"/>
    <m/>
    <x v="23"/>
    <x v="3"/>
    <m/>
  </r>
  <r>
    <x v="1079"/>
    <x v="1391"/>
    <x v="10"/>
    <x v="1"/>
    <x v="1"/>
    <x v="3"/>
    <x v="10"/>
    <x v="0"/>
    <x v="1357"/>
    <n v="399"/>
    <x v="44"/>
    <x v="0"/>
    <x v="479"/>
    <m/>
    <n v="0.21099999999999999"/>
    <m/>
    <x v="17"/>
    <x v="62"/>
    <m/>
  </r>
  <r>
    <x v="1080"/>
    <x v="1392"/>
    <x v="10"/>
    <x v="1"/>
    <x v="1"/>
    <x v="3"/>
    <x v="10"/>
    <x v="0"/>
    <x v="1358"/>
    <n v="689"/>
    <x v="215"/>
    <x v="0"/>
    <x v="500"/>
    <m/>
    <n v="7.0999999999999994E-2"/>
    <m/>
    <x v="44"/>
    <x v="3"/>
    <m/>
  </r>
  <r>
    <x v="1081"/>
    <x v="1393"/>
    <x v="10"/>
    <x v="1"/>
    <x v="1"/>
    <x v="3"/>
    <x v="10"/>
    <x v="0"/>
    <x v="1359"/>
    <n v="1532"/>
    <x v="212"/>
    <x v="0"/>
    <x v="501"/>
    <m/>
    <n v="0.32400000000000001"/>
    <m/>
    <x v="53"/>
    <x v="41"/>
    <m/>
  </r>
  <r>
    <x v="1082"/>
    <x v="1394"/>
    <x v="10"/>
    <x v="1"/>
    <x v="1"/>
    <x v="3"/>
    <x v="10"/>
    <x v="0"/>
    <x v="1360"/>
    <n v="435"/>
    <x v="224"/>
    <x v="0"/>
    <x v="492"/>
    <m/>
    <n v="0.14299999999999999"/>
    <m/>
    <x v="7"/>
    <x v="62"/>
    <m/>
  </r>
  <r>
    <x v="1083"/>
    <x v="1395"/>
    <x v="19"/>
    <x v="1"/>
    <x v="1"/>
    <x v="3"/>
    <x v="10"/>
    <x v="4"/>
    <x v="1361"/>
    <n v="512"/>
    <x v="0"/>
    <x v="0"/>
    <x v="319"/>
    <m/>
    <n v="0.13900000000000001"/>
    <m/>
    <x v="29"/>
    <x v="11"/>
    <m/>
  </r>
  <r>
    <x v="1083"/>
    <x v="1396"/>
    <x v="19"/>
    <x v="1"/>
    <x v="1"/>
    <x v="3"/>
    <x v="10"/>
    <x v="4"/>
    <x v="1362"/>
    <n v="512"/>
    <x v="0"/>
    <x v="0"/>
    <x v="502"/>
    <m/>
    <n v="0.161"/>
    <m/>
    <x v="29"/>
    <x v="11"/>
    <m/>
  </r>
  <r>
    <x v="1083"/>
    <x v="1397"/>
    <x v="19"/>
    <x v="1"/>
    <x v="1"/>
    <x v="3"/>
    <x v="10"/>
    <x v="4"/>
    <x v="1363"/>
    <n v="512"/>
    <x v="0"/>
    <x v="0"/>
    <x v="503"/>
    <m/>
    <n v="9.5000000000000001E-2"/>
    <m/>
    <x v="29"/>
    <x v="11"/>
    <m/>
  </r>
  <r>
    <x v="1083"/>
    <x v="1398"/>
    <x v="19"/>
    <x v="1"/>
    <x v="1"/>
    <x v="3"/>
    <x v="10"/>
    <x v="4"/>
    <x v="1364"/>
    <n v="512"/>
    <x v="0"/>
    <x v="0"/>
    <x v="504"/>
    <m/>
    <n v="0.308"/>
    <m/>
    <x v="29"/>
    <x v="11"/>
    <m/>
  </r>
  <r>
    <x v="1084"/>
    <x v="1399"/>
    <x v="10"/>
    <x v="1"/>
    <x v="1"/>
    <x v="3"/>
    <x v="10"/>
    <x v="0"/>
    <x v="1365"/>
    <n v="1040"/>
    <x v="237"/>
    <x v="0"/>
    <x v="215"/>
    <m/>
    <n v="0.154"/>
    <m/>
    <x v="49"/>
    <x v="106"/>
    <m/>
  </r>
  <r>
    <x v="1085"/>
    <x v="1400"/>
    <x v="10"/>
    <x v="1"/>
    <x v="1"/>
    <x v="3"/>
    <x v="10"/>
    <x v="0"/>
    <x v="1366"/>
    <n v="964"/>
    <x v="211"/>
    <x v="0"/>
    <x v="277"/>
    <m/>
    <n v="0.21199999999999999"/>
    <m/>
    <x v="126"/>
    <x v="130"/>
    <m/>
  </r>
  <r>
    <x v="1086"/>
    <x v="1401"/>
    <x v="10"/>
    <x v="1"/>
    <x v="1"/>
    <x v="3"/>
    <x v="10"/>
    <x v="0"/>
    <x v="1367"/>
    <n v="976"/>
    <x v="238"/>
    <x v="0"/>
    <x v="406"/>
    <m/>
    <n v="0.14099999999999999"/>
    <m/>
    <x v="141"/>
    <x v="106"/>
    <m/>
  </r>
  <r>
    <x v="1087"/>
    <x v="1402"/>
    <x v="10"/>
    <x v="1"/>
    <x v="1"/>
    <x v="3"/>
    <x v="10"/>
    <x v="1"/>
    <x v="1368"/>
    <n v="837"/>
    <x v="196"/>
    <x v="0"/>
    <x v="401"/>
    <m/>
    <n v="0.20499999999999999"/>
    <m/>
    <x v="57"/>
    <x v="45"/>
    <m/>
  </r>
  <r>
    <x v="1087"/>
    <x v="1403"/>
    <x v="10"/>
    <x v="1"/>
    <x v="1"/>
    <x v="3"/>
    <x v="10"/>
    <x v="1"/>
    <x v="1369"/>
    <n v="837"/>
    <x v="196"/>
    <x v="0"/>
    <x v="157"/>
    <m/>
    <n v="0.14599999999999999"/>
    <m/>
    <x v="57"/>
    <x v="45"/>
    <m/>
  </r>
  <r>
    <x v="1088"/>
    <x v="1404"/>
    <x v="10"/>
    <x v="1"/>
    <x v="1"/>
    <x v="3"/>
    <x v="10"/>
    <x v="0"/>
    <x v="1370"/>
    <n v="245"/>
    <x v="220"/>
    <x v="0"/>
    <x v="211"/>
    <m/>
    <n v="0.112"/>
    <m/>
    <x v="14"/>
    <x v="60"/>
    <m/>
  </r>
  <r>
    <x v="1089"/>
    <x v="1405"/>
    <x v="10"/>
    <x v="1"/>
    <x v="1"/>
    <x v="3"/>
    <x v="10"/>
    <x v="0"/>
    <x v="1371"/>
    <n v="265"/>
    <x v="219"/>
    <x v="0"/>
    <x v="208"/>
    <m/>
    <n v="0.127"/>
    <m/>
    <x v="92"/>
    <x v="80"/>
    <m/>
  </r>
  <r>
    <x v="1090"/>
    <x v="1406"/>
    <x v="10"/>
    <x v="1"/>
    <x v="1"/>
    <x v="3"/>
    <x v="10"/>
    <x v="0"/>
    <x v="1372"/>
    <n v="199"/>
    <x v="196"/>
    <x v="0"/>
    <x v="500"/>
    <m/>
    <n v="7.0999999999999994E-2"/>
    <m/>
    <x v="137"/>
    <x v="36"/>
    <m/>
  </r>
  <r>
    <x v="1091"/>
    <x v="1407"/>
    <x v="10"/>
    <x v="1"/>
    <x v="1"/>
    <x v="3"/>
    <x v="10"/>
    <x v="0"/>
    <x v="1373"/>
    <n v="1098"/>
    <x v="212"/>
    <x v="0"/>
    <x v="412"/>
    <m/>
    <n v="0.247"/>
    <m/>
    <x v="102"/>
    <x v="55"/>
    <m/>
  </r>
  <r>
    <x v="1092"/>
    <x v="1408"/>
    <x v="10"/>
    <x v="1"/>
    <x v="1"/>
    <x v="3"/>
    <x v="10"/>
    <x v="0"/>
    <x v="1374"/>
    <n v="1215"/>
    <x v="224"/>
    <x v="0"/>
    <x v="191"/>
    <m/>
    <n v="0.17"/>
    <m/>
    <x v="23"/>
    <x v="94"/>
    <m/>
  </r>
  <r>
    <x v="1093"/>
    <x v="1409"/>
    <x v="10"/>
    <x v="1"/>
    <x v="1"/>
    <x v="3"/>
    <x v="10"/>
    <x v="0"/>
    <x v="1375"/>
    <n v="481"/>
    <x v="239"/>
    <x v="0"/>
    <x v="341"/>
    <m/>
    <n v="0.14499999999999999"/>
    <m/>
    <x v="4"/>
    <x v="301"/>
    <m/>
  </r>
  <r>
    <x v="1094"/>
    <x v="1410"/>
    <x v="19"/>
    <x v="1"/>
    <x v="1"/>
    <x v="3"/>
    <x v="10"/>
    <x v="1"/>
    <x v="1376"/>
    <n v="729"/>
    <x v="0"/>
    <x v="0"/>
    <x v="505"/>
    <m/>
    <n v="0.77200000000000002"/>
    <m/>
    <x v="29"/>
    <x v="300"/>
    <m/>
  </r>
  <r>
    <x v="1094"/>
    <x v="1411"/>
    <x v="19"/>
    <x v="1"/>
    <x v="1"/>
    <x v="3"/>
    <x v="10"/>
    <x v="1"/>
    <x v="1377"/>
    <n v="729"/>
    <x v="0"/>
    <x v="0"/>
    <x v="365"/>
    <m/>
    <n v="0.73"/>
    <m/>
    <x v="29"/>
    <x v="300"/>
    <m/>
  </r>
  <r>
    <x v="1095"/>
    <x v="1412"/>
    <x v="10"/>
    <x v="1"/>
    <x v="1"/>
    <x v="3"/>
    <x v="10"/>
    <x v="0"/>
    <x v="1378"/>
    <n v="688"/>
    <x v="218"/>
    <x v="0"/>
    <x v="506"/>
    <m/>
    <n v="0.29299999999999998"/>
    <m/>
    <x v="32"/>
    <x v="220"/>
    <m/>
  </r>
  <r>
    <x v="1096"/>
    <x v="1413"/>
    <x v="10"/>
    <x v="1"/>
    <x v="1"/>
    <x v="3"/>
    <x v="10"/>
    <x v="0"/>
    <x v="1379"/>
    <n v="425"/>
    <x v="207"/>
    <x v="0"/>
    <x v="410"/>
    <m/>
    <n v="0.09"/>
    <m/>
    <x v="59"/>
    <x v="239"/>
    <m/>
  </r>
  <r>
    <x v="1097"/>
    <x v="1414"/>
    <x v="10"/>
    <x v="1"/>
    <x v="1"/>
    <x v="3"/>
    <x v="10"/>
    <x v="0"/>
    <x v="1380"/>
    <n v="628"/>
    <x v="240"/>
    <x v="0"/>
    <x v="507"/>
    <m/>
    <n v="0.1"/>
    <m/>
    <x v="18"/>
    <x v="48"/>
    <m/>
  </r>
  <r>
    <x v="1098"/>
    <x v="1415"/>
    <x v="10"/>
    <x v="1"/>
    <x v="1"/>
    <x v="3"/>
    <x v="10"/>
    <x v="0"/>
    <x v="1381"/>
    <n v="912"/>
    <x v="207"/>
    <x v="0"/>
    <x v="496"/>
    <m/>
    <n v="0.3"/>
    <m/>
    <x v="94"/>
    <x v="57"/>
    <m/>
  </r>
  <r>
    <x v="1099"/>
    <x v="1416"/>
    <x v="10"/>
    <x v="1"/>
    <x v="1"/>
    <x v="3"/>
    <x v="10"/>
    <x v="0"/>
    <x v="1382"/>
    <n v="427"/>
    <x v="208"/>
    <x v="0"/>
    <x v="508"/>
    <m/>
    <n v="9.9000000000000005E-2"/>
    <m/>
    <x v="20"/>
    <x v="182"/>
    <m/>
  </r>
  <r>
    <x v="1100"/>
    <x v="1417"/>
    <x v="10"/>
    <x v="1"/>
    <x v="1"/>
    <x v="3"/>
    <x v="10"/>
    <x v="0"/>
    <x v="1383"/>
    <n v="1518"/>
    <x v="225"/>
    <x v="0"/>
    <x v="509"/>
    <m/>
    <n v="0.64400000000000002"/>
    <m/>
    <x v="129"/>
    <x v="48"/>
    <m/>
  </r>
  <r>
    <x v="1101"/>
    <x v="1418"/>
    <x v="10"/>
    <x v="1"/>
    <x v="1"/>
    <x v="3"/>
    <x v="10"/>
    <x v="1"/>
    <x v="1384"/>
    <n v="464"/>
    <x v="238"/>
    <x v="0"/>
    <x v="337"/>
    <m/>
    <n v="0.218"/>
    <m/>
    <x v="37"/>
    <x v="286"/>
    <m/>
  </r>
  <r>
    <x v="1101"/>
    <x v="1419"/>
    <x v="10"/>
    <x v="1"/>
    <x v="1"/>
    <x v="3"/>
    <x v="10"/>
    <x v="1"/>
    <x v="1385"/>
    <n v="464"/>
    <x v="238"/>
    <x v="0"/>
    <x v="489"/>
    <m/>
    <n v="0.26200000000000001"/>
    <m/>
    <x v="37"/>
    <x v="286"/>
    <m/>
  </r>
  <r>
    <x v="1102"/>
    <x v="1420"/>
    <x v="10"/>
    <x v="1"/>
    <x v="1"/>
    <x v="3"/>
    <x v="10"/>
    <x v="0"/>
    <x v="1386"/>
    <n v="354"/>
    <x v="220"/>
    <x v="0"/>
    <x v="510"/>
    <m/>
    <n v="5.3999999999999999E-2"/>
    <m/>
    <x v="50"/>
    <x v="16"/>
    <m/>
  </r>
  <r>
    <x v="1103"/>
    <x v="1421"/>
    <x v="10"/>
    <x v="1"/>
    <x v="1"/>
    <x v="3"/>
    <x v="10"/>
    <x v="0"/>
    <x v="1387"/>
    <n v="300"/>
    <x v="43"/>
    <x v="0"/>
    <x v="208"/>
    <m/>
    <n v="0.127"/>
    <m/>
    <x v="4"/>
    <x v="29"/>
    <m/>
  </r>
  <r>
    <x v="1104"/>
    <x v="1422"/>
    <x v="10"/>
    <x v="1"/>
    <x v="1"/>
    <x v="3"/>
    <x v="10"/>
    <x v="0"/>
    <x v="1388"/>
    <n v="227"/>
    <x v="196"/>
    <x v="0"/>
    <x v="511"/>
    <m/>
    <n v="0.16300000000000001"/>
    <m/>
    <x v="85"/>
    <x v="75"/>
    <m/>
  </r>
  <r>
    <x v="1105"/>
    <x v="1423"/>
    <x v="19"/>
    <x v="1"/>
    <x v="1"/>
    <x v="3"/>
    <x v="10"/>
    <x v="1"/>
    <x v="1389"/>
    <n v="482"/>
    <x v="241"/>
    <x v="191"/>
    <x v="268"/>
    <n v="2.2970000000000001E-2"/>
    <n v="0.21099999999999999"/>
    <m/>
    <x v="48"/>
    <x v="106"/>
    <n v="0.65"/>
  </r>
  <r>
    <x v="1105"/>
    <x v="1424"/>
    <x v="19"/>
    <x v="1"/>
    <x v="1"/>
    <x v="3"/>
    <x v="10"/>
    <x v="1"/>
    <x v="1390"/>
    <n v="482"/>
    <x v="241"/>
    <x v="304"/>
    <x v="221"/>
    <n v="6.8589999999999998E-2"/>
    <n v="0.22500000000000001"/>
    <m/>
    <x v="48"/>
    <x v="106"/>
    <n v="0.65"/>
  </r>
  <r>
    <x v="1106"/>
    <x v="1425"/>
    <x v="10"/>
    <x v="1"/>
    <x v="1"/>
    <x v="3"/>
    <x v="10"/>
    <x v="0"/>
    <x v="1391"/>
    <n v="702"/>
    <x v="224"/>
    <x v="0"/>
    <x v="422"/>
    <m/>
    <n v="0.20100000000000001"/>
    <m/>
    <x v="126"/>
    <x v="92"/>
    <m/>
  </r>
  <r>
    <x v="1107"/>
    <x v="1426"/>
    <x v="10"/>
    <x v="1"/>
    <x v="1"/>
    <x v="3"/>
    <x v="10"/>
    <x v="0"/>
    <x v="1392"/>
    <n v="915"/>
    <x v="242"/>
    <x v="0"/>
    <x v="472"/>
    <m/>
    <n v="0.13"/>
    <m/>
    <x v="53"/>
    <x v="171"/>
    <m/>
  </r>
  <r>
    <x v="1108"/>
    <x v="1427"/>
    <x v="10"/>
    <x v="1"/>
    <x v="1"/>
    <x v="3"/>
    <x v="10"/>
    <x v="0"/>
    <x v="1393"/>
    <n v="914"/>
    <x v="44"/>
    <x v="0"/>
    <x v="46"/>
    <m/>
    <n v="0.185"/>
    <m/>
    <x v="7"/>
    <x v="45"/>
    <m/>
  </r>
  <r>
    <x v="1109"/>
    <x v="1428"/>
    <x v="10"/>
    <x v="1"/>
    <x v="1"/>
    <x v="3"/>
    <x v="10"/>
    <x v="1"/>
    <x v="1394"/>
    <n v="848"/>
    <x v="219"/>
    <x v="0"/>
    <x v="370"/>
    <m/>
    <n v="0.17399999999999999"/>
    <m/>
    <x v="47"/>
    <x v="15"/>
    <m/>
  </r>
  <r>
    <x v="1109"/>
    <x v="1429"/>
    <x v="10"/>
    <x v="1"/>
    <x v="1"/>
    <x v="3"/>
    <x v="10"/>
    <x v="1"/>
    <x v="1395"/>
    <n v="848"/>
    <x v="219"/>
    <x v="0"/>
    <x v="186"/>
    <m/>
    <n v="0.17499999999999999"/>
    <m/>
    <x v="47"/>
    <x v="15"/>
    <m/>
  </r>
  <r>
    <x v="1110"/>
    <x v="1430"/>
    <x v="10"/>
    <x v="1"/>
    <x v="1"/>
    <x v="3"/>
    <x v="10"/>
    <x v="0"/>
    <x v="1396"/>
    <n v="1371"/>
    <x v="231"/>
    <x v="0"/>
    <x v="512"/>
    <m/>
    <n v="0.28399999999999997"/>
    <m/>
    <x v="30"/>
    <x v="42"/>
    <m/>
  </r>
  <r>
    <x v="1111"/>
    <x v="1431"/>
    <x v="10"/>
    <x v="1"/>
    <x v="1"/>
    <x v="3"/>
    <x v="10"/>
    <x v="0"/>
    <x v="1397"/>
    <n v="758"/>
    <x v="216"/>
    <x v="0"/>
    <x v="203"/>
    <m/>
    <n v="0.108"/>
    <m/>
    <x v="23"/>
    <x v="94"/>
    <m/>
  </r>
  <r>
    <x v="1112"/>
    <x v="1432"/>
    <x v="10"/>
    <x v="1"/>
    <x v="1"/>
    <x v="3"/>
    <x v="10"/>
    <x v="0"/>
    <x v="1398"/>
    <n v="344"/>
    <x v="44"/>
    <x v="0"/>
    <x v="513"/>
    <m/>
    <n v="0.111"/>
    <m/>
    <x v="62"/>
    <x v="290"/>
    <m/>
  </r>
  <r>
    <x v="1113"/>
    <x v="1433"/>
    <x v="10"/>
    <x v="1"/>
    <x v="1"/>
    <x v="3"/>
    <x v="10"/>
    <x v="0"/>
    <x v="1399"/>
    <n v="738"/>
    <x v="65"/>
    <x v="0"/>
    <x v="514"/>
    <m/>
    <n v="0.29099999999999998"/>
    <m/>
    <x v="58"/>
    <x v="38"/>
    <m/>
  </r>
  <r>
    <x v="1114"/>
    <x v="1434"/>
    <x v="10"/>
    <x v="1"/>
    <x v="1"/>
    <x v="3"/>
    <x v="10"/>
    <x v="0"/>
    <x v="1400"/>
    <n v="876"/>
    <x v="229"/>
    <x v="0"/>
    <x v="185"/>
    <m/>
    <n v="0.11600000000000001"/>
    <m/>
    <x v="7"/>
    <x v="173"/>
    <m/>
  </r>
  <r>
    <x v="1115"/>
    <x v="1435"/>
    <x v="10"/>
    <x v="1"/>
    <x v="1"/>
    <x v="3"/>
    <x v="10"/>
    <x v="0"/>
    <x v="1401"/>
    <n v="1209"/>
    <x v="159"/>
    <x v="0"/>
    <x v="279"/>
    <m/>
    <n v="0.252"/>
    <m/>
    <x v="53"/>
    <x v="45"/>
    <m/>
  </r>
  <r>
    <x v="1116"/>
    <x v="1436"/>
    <x v="6"/>
    <x v="1"/>
    <x v="1"/>
    <x v="3"/>
    <x v="10"/>
    <x v="5"/>
    <x v="1402"/>
    <n v="613"/>
    <x v="191"/>
    <x v="305"/>
    <x v="237"/>
    <n v="6.0000000000000001E-3"/>
    <n v="0.161"/>
    <n v="1.72"/>
    <x v="50"/>
    <x v="124"/>
    <n v="1.1220000000000001"/>
  </r>
  <r>
    <x v="1116"/>
    <x v="1437"/>
    <x v="6"/>
    <x v="1"/>
    <x v="1"/>
    <x v="3"/>
    <x v="10"/>
    <x v="5"/>
    <x v="1403"/>
    <n v="613"/>
    <x v="191"/>
    <x v="306"/>
    <x v="272"/>
    <n v="8.9999999999999993E-3"/>
    <n v="0.25600000000000001"/>
    <n v="0.66"/>
    <x v="50"/>
    <x v="124"/>
    <n v="1.1220000000000001"/>
  </r>
  <r>
    <x v="1116"/>
    <x v="1438"/>
    <x v="6"/>
    <x v="1"/>
    <x v="1"/>
    <x v="3"/>
    <x v="10"/>
    <x v="5"/>
    <x v="1404"/>
    <n v="613"/>
    <x v="191"/>
    <x v="191"/>
    <x v="515"/>
    <n v="2.3E-2"/>
    <n v="0.27800000000000002"/>
    <n v="1.28"/>
    <x v="50"/>
    <x v="124"/>
    <n v="1.1220000000000001"/>
  </r>
  <r>
    <x v="1116"/>
    <x v="1439"/>
    <x v="6"/>
    <x v="1"/>
    <x v="1"/>
    <x v="3"/>
    <x v="10"/>
    <x v="5"/>
    <x v="1405"/>
    <n v="613"/>
    <x v="191"/>
    <x v="215"/>
    <x v="516"/>
    <n v="2.5000000000000001E-2"/>
    <n v="0.374"/>
    <n v="0.57999999999999996"/>
    <x v="50"/>
    <x v="124"/>
    <n v="1.1220000000000001"/>
  </r>
  <r>
    <x v="1116"/>
    <x v="1440"/>
    <x v="6"/>
    <x v="1"/>
    <x v="1"/>
    <x v="3"/>
    <x v="10"/>
    <x v="5"/>
    <x v="1406"/>
    <n v="613"/>
    <x v="191"/>
    <x v="307"/>
    <x v="308"/>
    <n v="6.0000000000000001E-3"/>
    <n v="0.222"/>
    <n v="0.69"/>
    <x v="50"/>
    <x v="124"/>
    <n v="1.1220000000000001"/>
  </r>
  <r>
    <x v="1116"/>
    <x v="1441"/>
    <x v="6"/>
    <x v="1"/>
    <x v="1"/>
    <x v="3"/>
    <x v="10"/>
    <x v="5"/>
    <x v="1407"/>
    <n v="613"/>
    <x v="191"/>
    <x v="308"/>
    <x v="517"/>
    <n v="7.9000000000000001E-2"/>
    <n v="0.29699999999999999"/>
    <n v="4"/>
    <x v="50"/>
    <x v="124"/>
    <n v="1.1220000000000001"/>
  </r>
  <r>
    <x v="1117"/>
    <x v="1442"/>
    <x v="19"/>
    <x v="1"/>
    <x v="1"/>
    <x v="3"/>
    <x v="10"/>
    <x v="1"/>
    <x v="1408"/>
    <n v="692"/>
    <x v="0"/>
    <x v="0"/>
    <x v="511"/>
    <m/>
    <n v="0.16300000000000001"/>
    <m/>
    <x v="29"/>
    <x v="180"/>
    <m/>
  </r>
  <r>
    <x v="1117"/>
    <x v="1443"/>
    <x v="19"/>
    <x v="1"/>
    <x v="1"/>
    <x v="3"/>
    <x v="10"/>
    <x v="1"/>
    <x v="1409"/>
    <n v="692"/>
    <x v="0"/>
    <x v="0"/>
    <x v="481"/>
    <m/>
    <n v="0.19700000000000001"/>
    <m/>
    <x v="29"/>
    <x v="180"/>
    <m/>
  </r>
  <r>
    <x v="1118"/>
    <x v="1444"/>
    <x v="10"/>
    <x v="1"/>
    <x v="1"/>
    <x v="3"/>
    <x v="10"/>
    <x v="0"/>
    <x v="1410"/>
    <n v="940"/>
    <x v="243"/>
    <x v="0"/>
    <x v="314"/>
    <m/>
    <n v="0.156"/>
    <m/>
    <x v="49"/>
    <x v="156"/>
    <m/>
  </r>
  <r>
    <x v="1119"/>
    <x v="1445"/>
    <x v="10"/>
    <x v="1"/>
    <x v="1"/>
    <x v="3"/>
    <x v="10"/>
    <x v="0"/>
    <x v="1411"/>
    <n v="897"/>
    <x v="211"/>
    <x v="0"/>
    <x v="518"/>
    <m/>
    <n v="0.22"/>
    <m/>
    <x v="23"/>
    <x v="33"/>
    <m/>
  </r>
  <r>
    <x v="1120"/>
    <x v="1446"/>
    <x v="10"/>
    <x v="1"/>
    <x v="1"/>
    <x v="3"/>
    <x v="10"/>
    <x v="0"/>
    <x v="1412"/>
    <n v="986"/>
    <x v="224"/>
    <x v="0"/>
    <x v="222"/>
    <m/>
    <n v="0.23699999999999999"/>
    <m/>
    <x v="50"/>
    <x v="16"/>
    <m/>
  </r>
  <r>
    <x v="1121"/>
    <x v="1447"/>
    <x v="10"/>
    <x v="1"/>
    <x v="1"/>
    <x v="3"/>
    <x v="10"/>
    <x v="0"/>
    <x v="1413"/>
    <n v="921"/>
    <x v="222"/>
    <x v="0"/>
    <x v="519"/>
    <m/>
    <n v="0.20300000000000001"/>
    <m/>
    <x v="129"/>
    <x v="180"/>
    <m/>
  </r>
  <r>
    <x v="1122"/>
    <x v="1448"/>
    <x v="10"/>
    <x v="1"/>
    <x v="1"/>
    <x v="3"/>
    <x v="10"/>
    <x v="0"/>
    <x v="1414"/>
    <n v="516"/>
    <x v="244"/>
    <x v="0"/>
    <x v="420"/>
    <m/>
    <n v="0.11"/>
    <m/>
    <x v="123"/>
    <x v="11"/>
    <m/>
  </r>
  <r>
    <x v="1123"/>
    <x v="1449"/>
    <x v="10"/>
    <x v="1"/>
    <x v="1"/>
    <x v="3"/>
    <x v="10"/>
    <x v="0"/>
    <x v="1415"/>
    <n v="369"/>
    <x v="245"/>
    <x v="0"/>
    <x v="201"/>
    <m/>
    <n v="0.17899999999999999"/>
    <m/>
    <x v="159"/>
    <x v="85"/>
    <m/>
  </r>
  <r>
    <x v="1124"/>
    <x v="1450"/>
    <x v="10"/>
    <x v="1"/>
    <x v="1"/>
    <x v="3"/>
    <x v="10"/>
    <x v="0"/>
    <x v="1416"/>
    <n v="1168"/>
    <x v="231"/>
    <x v="0"/>
    <x v="520"/>
    <m/>
    <n v="0.14699999999999999"/>
    <m/>
    <x v="129"/>
    <x v="54"/>
    <m/>
  </r>
  <r>
    <x v="1125"/>
    <x v="1451"/>
    <x v="10"/>
    <x v="1"/>
    <x v="1"/>
    <x v="3"/>
    <x v="10"/>
    <x v="0"/>
    <x v="1417"/>
    <n v="457"/>
    <x v="216"/>
    <x v="0"/>
    <x v="212"/>
    <m/>
    <n v="0.12"/>
    <m/>
    <x v="126"/>
    <x v="92"/>
    <m/>
  </r>
  <r>
    <x v="1126"/>
    <x v="1452"/>
    <x v="10"/>
    <x v="1"/>
    <x v="1"/>
    <x v="3"/>
    <x v="10"/>
    <x v="0"/>
    <x v="1418"/>
    <n v="764"/>
    <x v="212"/>
    <x v="0"/>
    <x v="472"/>
    <m/>
    <n v="0.13"/>
    <m/>
    <x v="59"/>
    <x v="239"/>
    <m/>
  </r>
  <r>
    <x v="1127"/>
    <x v="1453"/>
    <x v="10"/>
    <x v="1"/>
    <x v="1"/>
    <x v="3"/>
    <x v="10"/>
    <x v="0"/>
    <x v="1419"/>
    <n v="797"/>
    <x v="44"/>
    <x v="0"/>
    <x v="252"/>
    <m/>
    <n v="0.19500000000000001"/>
    <m/>
    <x v="52"/>
    <x v="124"/>
    <m/>
  </r>
  <r>
    <x v="1128"/>
    <x v="1454"/>
    <x v="19"/>
    <x v="1"/>
    <x v="1"/>
    <x v="3"/>
    <x v="10"/>
    <x v="1"/>
    <x v="1420"/>
    <n v="698"/>
    <x v="0"/>
    <x v="0"/>
    <x v="406"/>
    <m/>
    <n v="0.14099999999999999"/>
    <m/>
    <x v="29"/>
    <x v="220"/>
    <m/>
  </r>
  <r>
    <x v="1128"/>
    <x v="1455"/>
    <x v="19"/>
    <x v="1"/>
    <x v="1"/>
    <x v="3"/>
    <x v="10"/>
    <x v="1"/>
    <x v="1421"/>
    <n v="698"/>
    <x v="0"/>
    <x v="0"/>
    <x v="521"/>
    <m/>
    <n v="0.65100000000000002"/>
    <m/>
    <x v="29"/>
    <x v="220"/>
    <m/>
  </r>
  <r>
    <x v="1129"/>
    <x v="1456"/>
    <x v="10"/>
    <x v="1"/>
    <x v="1"/>
    <x v="3"/>
    <x v="10"/>
    <x v="0"/>
    <x v="1422"/>
    <n v="726"/>
    <x v="215"/>
    <x v="0"/>
    <x v="222"/>
    <m/>
    <n v="0.23699999999999999"/>
    <m/>
    <x v="69"/>
    <x v="86"/>
    <m/>
  </r>
  <r>
    <x v="1130"/>
    <x v="1457"/>
    <x v="10"/>
    <x v="1"/>
    <x v="1"/>
    <x v="3"/>
    <x v="10"/>
    <x v="0"/>
    <x v="1423"/>
    <n v="1142"/>
    <x v="204"/>
    <x v="0"/>
    <x v="184"/>
    <m/>
    <n v="0.17799999999999999"/>
    <m/>
    <x v="32"/>
    <x v="180"/>
    <m/>
  </r>
  <r>
    <x v="1131"/>
    <x v="1458"/>
    <x v="10"/>
    <x v="1"/>
    <x v="1"/>
    <x v="3"/>
    <x v="10"/>
    <x v="0"/>
    <x v="1424"/>
    <n v="1734"/>
    <x v="246"/>
    <x v="0"/>
    <x v="522"/>
    <m/>
    <n v="0.26900000000000002"/>
    <m/>
    <x v="151"/>
    <x v="120"/>
    <m/>
  </r>
  <r>
    <x v="1132"/>
    <x v="1459"/>
    <x v="10"/>
    <x v="1"/>
    <x v="1"/>
    <x v="3"/>
    <x v="10"/>
    <x v="0"/>
    <x v="1425"/>
    <n v="1127"/>
    <x v="220"/>
    <x v="0"/>
    <x v="224"/>
    <m/>
    <n v="0.251"/>
    <m/>
    <x v="20"/>
    <x v="54"/>
    <m/>
  </r>
  <r>
    <x v="1133"/>
    <x v="1460"/>
    <x v="10"/>
    <x v="1"/>
    <x v="1"/>
    <x v="3"/>
    <x v="10"/>
    <x v="0"/>
    <x v="1426"/>
    <n v="427"/>
    <x v="211"/>
    <x v="0"/>
    <x v="278"/>
    <m/>
    <n v="0.12"/>
    <m/>
    <x v="122"/>
    <x v="56"/>
    <m/>
  </r>
  <r>
    <x v="1134"/>
    <x v="1461"/>
    <x v="10"/>
    <x v="1"/>
    <x v="1"/>
    <x v="3"/>
    <x v="10"/>
    <x v="0"/>
    <x v="1427"/>
    <n v="935"/>
    <x v="247"/>
    <x v="0"/>
    <x v="169"/>
    <m/>
    <n v="0.152"/>
    <m/>
    <x v="171"/>
    <x v="98"/>
    <m/>
  </r>
  <r>
    <x v="1135"/>
    <x v="1462"/>
    <x v="10"/>
    <x v="1"/>
    <x v="1"/>
    <x v="3"/>
    <x v="10"/>
    <x v="0"/>
    <x v="1428"/>
    <n v="1017"/>
    <x v="65"/>
    <x v="0"/>
    <x v="198"/>
    <m/>
    <n v="0.22700000000000001"/>
    <m/>
    <x v="44"/>
    <x v="3"/>
    <m/>
  </r>
  <r>
    <x v="1136"/>
    <x v="1463"/>
    <x v="10"/>
    <x v="1"/>
    <x v="1"/>
    <x v="3"/>
    <x v="10"/>
    <x v="0"/>
    <x v="1429"/>
    <n v="619"/>
    <x v="211"/>
    <x v="0"/>
    <x v="508"/>
    <m/>
    <n v="9.9000000000000005E-2"/>
    <m/>
    <x v="44"/>
    <x v="3"/>
    <m/>
  </r>
  <r>
    <x v="1137"/>
    <x v="1464"/>
    <x v="10"/>
    <x v="1"/>
    <x v="1"/>
    <x v="3"/>
    <x v="10"/>
    <x v="0"/>
    <x v="1430"/>
    <n v="818"/>
    <x v="208"/>
    <x v="0"/>
    <x v="523"/>
    <m/>
    <n v="0.24399999999999999"/>
    <m/>
    <x v="50"/>
    <x v="193"/>
    <m/>
  </r>
  <r>
    <x v="1138"/>
    <x v="1465"/>
    <x v="10"/>
    <x v="1"/>
    <x v="1"/>
    <x v="3"/>
    <x v="10"/>
    <x v="0"/>
    <x v="1431"/>
    <n v="1288"/>
    <x v="231"/>
    <x v="0"/>
    <x v="524"/>
    <m/>
    <n v="0.17100000000000001"/>
    <m/>
    <x v="129"/>
    <x v="54"/>
    <m/>
  </r>
  <r>
    <x v="1139"/>
    <x v="1466"/>
    <x v="19"/>
    <x v="1"/>
    <x v="1"/>
    <x v="3"/>
    <x v="10"/>
    <x v="1"/>
    <x v="1432"/>
    <n v="499"/>
    <x v="0"/>
    <x v="0"/>
    <x v="479"/>
    <m/>
    <n v="0.21099999999999999"/>
    <m/>
    <x v="29"/>
    <x v="239"/>
    <m/>
  </r>
  <r>
    <x v="1139"/>
    <x v="1467"/>
    <x v="19"/>
    <x v="1"/>
    <x v="1"/>
    <x v="3"/>
    <x v="10"/>
    <x v="1"/>
    <x v="1433"/>
    <n v="499"/>
    <x v="0"/>
    <x v="0"/>
    <x v="445"/>
    <m/>
    <n v="0.214"/>
    <m/>
    <x v="29"/>
    <x v="239"/>
    <m/>
  </r>
  <r>
    <x v="1140"/>
    <x v="1468"/>
    <x v="10"/>
    <x v="1"/>
    <x v="1"/>
    <x v="3"/>
    <x v="10"/>
    <x v="0"/>
    <x v="1434"/>
    <n v="635"/>
    <x v="207"/>
    <x v="0"/>
    <x v="231"/>
    <m/>
    <n v="0.123"/>
    <m/>
    <x v="110"/>
    <x v="36"/>
    <m/>
  </r>
  <r>
    <x v="1141"/>
    <x v="1469"/>
    <x v="10"/>
    <x v="1"/>
    <x v="1"/>
    <x v="3"/>
    <x v="10"/>
    <x v="0"/>
    <x v="1435"/>
    <n v="529"/>
    <x v="43"/>
    <x v="0"/>
    <x v="3"/>
    <m/>
    <n v="0.17"/>
    <m/>
    <x v="51"/>
    <x v="44"/>
    <m/>
  </r>
  <r>
    <x v="1142"/>
    <x v="1470"/>
    <x v="10"/>
    <x v="1"/>
    <x v="1"/>
    <x v="3"/>
    <x v="10"/>
    <x v="0"/>
    <x v="1436"/>
    <n v="924"/>
    <x v="207"/>
    <x v="0"/>
    <x v="525"/>
    <m/>
    <n v="0.182"/>
    <m/>
    <x v="127"/>
    <x v="111"/>
    <m/>
  </r>
  <r>
    <x v="1143"/>
    <x v="1471"/>
    <x v="10"/>
    <x v="1"/>
    <x v="1"/>
    <x v="3"/>
    <x v="10"/>
    <x v="0"/>
    <x v="1437"/>
    <n v="796"/>
    <x v="228"/>
    <x v="0"/>
    <x v="526"/>
    <m/>
    <n v="0.14899999999999999"/>
    <m/>
    <x v="89"/>
    <x v="52"/>
    <m/>
  </r>
  <r>
    <x v="1144"/>
    <x v="1472"/>
    <x v="10"/>
    <x v="1"/>
    <x v="1"/>
    <x v="3"/>
    <x v="10"/>
    <x v="0"/>
    <x v="1438"/>
    <n v="177"/>
    <x v="225"/>
    <x v="0"/>
    <x v="242"/>
    <m/>
    <n v="0.114"/>
    <m/>
    <x v="43"/>
    <x v="312"/>
    <m/>
  </r>
  <r>
    <x v="1145"/>
    <x v="1473"/>
    <x v="10"/>
    <x v="1"/>
    <x v="1"/>
    <x v="3"/>
    <x v="10"/>
    <x v="0"/>
    <x v="1439"/>
    <n v="910"/>
    <x v="212"/>
    <x v="0"/>
    <x v="307"/>
    <m/>
    <n v="0.16400000000000001"/>
    <m/>
    <x v="44"/>
    <x v="16"/>
    <m/>
  </r>
  <r>
    <x v="1146"/>
    <x v="1474"/>
    <x v="10"/>
    <x v="1"/>
    <x v="1"/>
    <x v="3"/>
    <x v="10"/>
    <x v="0"/>
    <x v="1440"/>
    <n v="668"/>
    <x v="73"/>
    <x v="0"/>
    <x v="215"/>
    <m/>
    <n v="0.154"/>
    <m/>
    <x v="127"/>
    <x v="3"/>
    <m/>
  </r>
  <r>
    <x v="1147"/>
    <x v="1475"/>
    <x v="10"/>
    <x v="1"/>
    <x v="1"/>
    <x v="3"/>
    <x v="10"/>
    <x v="0"/>
    <x v="1441"/>
    <n v="996"/>
    <x v="224"/>
    <x v="0"/>
    <x v="186"/>
    <m/>
    <n v="0.17499999999999999"/>
    <m/>
    <x v="54"/>
    <x v="105"/>
    <m/>
  </r>
  <r>
    <x v="1148"/>
    <x v="1476"/>
    <x v="10"/>
    <x v="1"/>
    <x v="1"/>
    <x v="3"/>
    <x v="10"/>
    <x v="0"/>
    <x v="1442"/>
    <n v="1163"/>
    <x v="223"/>
    <x v="0"/>
    <x v="527"/>
    <m/>
    <n v="0.32600000000000001"/>
    <m/>
    <x v="23"/>
    <x v="33"/>
    <m/>
  </r>
  <r>
    <x v="1149"/>
    <x v="1477"/>
    <x v="10"/>
    <x v="1"/>
    <x v="1"/>
    <x v="3"/>
    <x v="10"/>
    <x v="1"/>
    <x v="1443"/>
    <n v="1258"/>
    <x v="208"/>
    <x v="0"/>
    <x v="528"/>
    <m/>
    <n v="0.26400000000000001"/>
    <m/>
    <x v="57"/>
    <x v="45"/>
    <m/>
  </r>
  <r>
    <x v="1149"/>
    <x v="1478"/>
    <x v="10"/>
    <x v="1"/>
    <x v="1"/>
    <x v="3"/>
    <x v="10"/>
    <x v="1"/>
    <x v="1444"/>
    <n v="1258"/>
    <x v="208"/>
    <x v="0"/>
    <x v="38"/>
    <m/>
    <n v="0.24399999999999999"/>
    <m/>
    <x v="57"/>
    <x v="45"/>
    <m/>
  </r>
  <r>
    <x v="1150"/>
    <x v="1479"/>
    <x v="19"/>
    <x v="1"/>
    <x v="1"/>
    <x v="3"/>
    <x v="10"/>
    <x v="1"/>
    <x v="1445"/>
    <n v="255"/>
    <x v="248"/>
    <x v="309"/>
    <x v="37"/>
    <n v="3.6999999999999998E-2"/>
    <n v="0.16200000000000001"/>
    <n v="10.73"/>
    <x v="174"/>
    <x v="67"/>
    <n v="2.71"/>
  </r>
  <r>
    <x v="1150"/>
    <x v="1480"/>
    <x v="19"/>
    <x v="1"/>
    <x v="1"/>
    <x v="3"/>
    <x v="10"/>
    <x v="1"/>
    <x v="1446"/>
    <n v="255"/>
    <x v="248"/>
    <x v="276"/>
    <x v="205"/>
    <n v="2.7369999999999998E-2"/>
    <n v="0.19400000000000001"/>
    <m/>
    <x v="174"/>
    <x v="67"/>
    <n v="2.71"/>
  </r>
  <r>
    <x v="1151"/>
    <x v="1481"/>
    <x v="10"/>
    <x v="1"/>
    <x v="1"/>
    <x v="3"/>
    <x v="10"/>
    <x v="0"/>
    <x v="1447"/>
    <n v="234"/>
    <x v="217"/>
    <x v="0"/>
    <x v="500"/>
    <m/>
    <n v="7.0999999999999994E-2"/>
    <m/>
    <x v="3"/>
    <x v="130"/>
    <m/>
  </r>
  <r>
    <x v="1152"/>
    <x v="1482"/>
    <x v="10"/>
    <x v="1"/>
    <x v="1"/>
    <x v="3"/>
    <x v="10"/>
    <x v="0"/>
    <x v="1448"/>
    <n v="1109"/>
    <x v="212"/>
    <x v="0"/>
    <x v="397"/>
    <m/>
    <n v="0.14199999999999999"/>
    <m/>
    <x v="18"/>
    <x v="110"/>
    <m/>
  </r>
  <r>
    <x v="1153"/>
    <x v="1483"/>
    <x v="10"/>
    <x v="1"/>
    <x v="1"/>
    <x v="3"/>
    <x v="10"/>
    <x v="0"/>
    <x v="1449"/>
    <n v="940"/>
    <x v="223"/>
    <x v="0"/>
    <x v="338"/>
    <m/>
    <n v="0.21"/>
    <m/>
    <x v="122"/>
    <x v="56"/>
    <m/>
  </r>
  <r>
    <x v="1154"/>
    <x v="1484"/>
    <x v="10"/>
    <x v="1"/>
    <x v="1"/>
    <x v="3"/>
    <x v="10"/>
    <x v="0"/>
    <x v="1450"/>
    <n v="821"/>
    <x v="208"/>
    <x v="0"/>
    <x v="206"/>
    <m/>
    <n v="0.17599999999999999"/>
    <m/>
    <x v="89"/>
    <x v="52"/>
    <m/>
  </r>
  <r>
    <x v="1155"/>
    <x v="1485"/>
    <x v="10"/>
    <x v="1"/>
    <x v="1"/>
    <x v="3"/>
    <x v="10"/>
    <x v="0"/>
    <x v="1451"/>
    <n v="997"/>
    <x v="65"/>
    <x v="0"/>
    <x v="241"/>
    <m/>
    <n v="0.23599999999999999"/>
    <m/>
    <x v="97"/>
    <x v="130"/>
    <m/>
  </r>
  <r>
    <x v="1156"/>
    <x v="1486"/>
    <x v="10"/>
    <x v="1"/>
    <x v="1"/>
    <x v="3"/>
    <x v="10"/>
    <x v="0"/>
    <x v="1452"/>
    <n v="728"/>
    <x v="216"/>
    <x v="0"/>
    <x v="381"/>
    <m/>
    <n v="0.16500000000000001"/>
    <m/>
    <x v="50"/>
    <x v="16"/>
    <m/>
  </r>
  <r>
    <x v="1157"/>
    <x v="1487"/>
    <x v="10"/>
    <x v="1"/>
    <x v="1"/>
    <x v="3"/>
    <x v="10"/>
    <x v="0"/>
    <x v="1453"/>
    <n v="545"/>
    <x v="109"/>
    <x v="0"/>
    <x v="157"/>
    <m/>
    <n v="0.14599999999999999"/>
    <m/>
    <x v="145"/>
    <x v="85"/>
    <m/>
  </r>
  <r>
    <x v="1158"/>
    <x v="1488"/>
    <x v="10"/>
    <x v="1"/>
    <x v="1"/>
    <x v="3"/>
    <x v="10"/>
    <x v="0"/>
    <x v="1454"/>
    <n v="971"/>
    <x v="217"/>
    <x v="0"/>
    <x v="359"/>
    <m/>
    <n v="0.19600000000000001"/>
    <m/>
    <x v="125"/>
    <x v="137"/>
    <m/>
  </r>
  <r>
    <x v="1159"/>
    <x v="1489"/>
    <x v="10"/>
    <x v="1"/>
    <x v="1"/>
    <x v="3"/>
    <x v="10"/>
    <x v="0"/>
    <x v="1455"/>
    <n v="1101"/>
    <x v="224"/>
    <x v="0"/>
    <x v="169"/>
    <m/>
    <n v="0.152"/>
    <m/>
    <x v="44"/>
    <x v="94"/>
    <m/>
  </r>
  <r>
    <x v="1160"/>
    <x v="1490"/>
    <x v="10"/>
    <x v="1"/>
    <x v="1"/>
    <x v="3"/>
    <x v="10"/>
    <x v="0"/>
    <x v="1456"/>
    <n v="555"/>
    <x v="216"/>
    <x v="0"/>
    <x v="451"/>
    <m/>
    <n v="0.106"/>
    <m/>
    <x v="23"/>
    <x v="33"/>
    <m/>
  </r>
  <r>
    <x v="1161"/>
    <x v="1491"/>
    <x v="19"/>
    <x v="1"/>
    <x v="1"/>
    <x v="3"/>
    <x v="10"/>
    <x v="2"/>
    <x v="1457"/>
    <n v="255"/>
    <x v="0"/>
    <x v="0"/>
    <x v="482"/>
    <m/>
    <n v="0.112"/>
    <m/>
    <x v="29"/>
    <x v="282"/>
    <m/>
  </r>
  <r>
    <x v="1161"/>
    <x v="1492"/>
    <x v="7"/>
    <x v="1"/>
    <x v="1"/>
    <x v="3"/>
    <x v="10"/>
    <x v="2"/>
    <x v="1458"/>
    <n v="255"/>
    <x v="0"/>
    <x v="310"/>
    <x v="492"/>
    <n v="8.9999999999999993E-3"/>
    <n v="0.14299999999999999"/>
    <m/>
    <x v="29"/>
    <x v="282"/>
    <m/>
  </r>
  <r>
    <x v="1161"/>
    <x v="1493"/>
    <x v="7"/>
    <x v="1"/>
    <x v="1"/>
    <x v="3"/>
    <x v="10"/>
    <x v="2"/>
    <x v="1459"/>
    <n v="255"/>
    <x v="0"/>
    <x v="311"/>
    <x v="199"/>
    <n v="1.2E-2"/>
    <n v="0.22600000000000001"/>
    <m/>
    <x v="29"/>
    <x v="282"/>
    <m/>
  </r>
  <r>
    <x v="1162"/>
    <x v="1494"/>
    <x v="10"/>
    <x v="1"/>
    <x v="1"/>
    <x v="3"/>
    <x v="10"/>
    <x v="0"/>
    <x v="1460"/>
    <n v="657"/>
    <x v="227"/>
    <x v="0"/>
    <x v="412"/>
    <m/>
    <n v="0.247"/>
    <m/>
    <x v="99"/>
    <x v="142"/>
    <m/>
  </r>
  <r>
    <x v="1163"/>
    <x v="1495"/>
    <x v="10"/>
    <x v="1"/>
    <x v="1"/>
    <x v="3"/>
    <x v="10"/>
    <x v="0"/>
    <x v="1461"/>
    <n v="365"/>
    <x v="210"/>
    <x v="0"/>
    <x v="497"/>
    <m/>
    <n v="7.2999999999999995E-2"/>
    <m/>
    <x v="53"/>
    <x v="88"/>
    <m/>
  </r>
  <r>
    <x v="1164"/>
    <x v="1496"/>
    <x v="10"/>
    <x v="1"/>
    <x v="1"/>
    <x v="3"/>
    <x v="10"/>
    <x v="0"/>
    <x v="1462"/>
    <n v="697"/>
    <x v="233"/>
    <x v="0"/>
    <x v="415"/>
    <m/>
    <n v="0.13100000000000001"/>
    <m/>
    <x v="54"/>
    <x v="18"/>
    <m/>
  </r>
  <r>
    <x v="1165"/>
    <x v="1497"/>
    <x v="10"/>
    <x v="1"/>
    <x v="1"/>
    <x v="3"/>
    <x v="10"/>
    <x v="1"/>
    <x v="1463"/>
    <n v="632"/>
    <x v="215"/>
    <x v="0"/>
    <x v="526"/>
    <m/>
    <n v="0.14899999999999999"/>
    <m/>
    <x v="94"/>
    <x v="57"/>
    <m/>
  </r>
  <r>
    <x v="1165"/>
    <x v="1498"/>
    <x v="10"/>
    <x v="1"/>
    <x v="1"/>
    <x v="3"/>
    <x v="10"/>
    <x v="1"/>
    <x v="1464"/>
    <n v="632"/>
    <x v="215"/>
    <x v="0"/>
    <x v="292"/>
    <m/>
    <n v="0.32100000000000001"/>
    <m/>
    <x v="94"/>
    <x v="57"/>
    <m/>
  </r>
  <r>
    <x v="1166"/>
    <x v="1499"/>
    <x v="10"/>
    <x v="1"/>
    <x v="1"/>
    <x v="3"/>
    <x v="10"/>
    <x v="0"/>
    <x v="1465"/>
    <n v="1012"/>
    <x v="229"/>
    <x v="0"/>
    <x v="236"/>
    <m/>
    <n v="0.17799999999999999"/>
    <m/>
    <x v="17"/>
    <x v="18"/>
    <m/>
  </r>
  <r>
    <x v="1167"/>
    <x v="1500"/>
    <x v="10"/>
    <x v="1"/>
    <x v="1"/>
    <x v="3"/>
    <x v="10"/>
    <x v="0"/>
    <x v="1466"/>
    <n v="714"/>
    <x v="215"/>
    <x v="0"/>
    <x v="297"/>
    <m/>
    <n v="0.125"/>
    <m/>
    <x v="137"/>
    <x v="91"/>
    <m/>
  </r>
  <r>
    <x v="1168"/>
    <x v="1501"/>
    <x v="10"/>
    <x v="1"/>
    <x v="1"/>
    <x v="3"/>
    <x v="10"/>
    <x v="0"/>
    <x v="1467"/>
    <n v="694"/>
    <x v="65"/>
    <x v="0"/>
    <x v="420"/>
    <m/>
    <n v="0.11"/>
    <m/>
    <x v="36"/>
    <x v="86"/>
    <m/>
  </r>
  <r>
    <x v="1169"/>
    <x v="1502"/>
    <x v="10"/>
    <x v="1"/>
    <x v="1"/>
    <x v="3"/>
    <x v="10"/>
    <x v="0"/>
    <x v="1468"/>
    <n v="1476"/>
    <x v="44"/>
    <x v="0"/>
    <x v="41"/>
    <m/>
    <n v="0.23300000000000001"/>
    <m/>
    <x v="25"/>
    <x v="48"/>
    <m/>
  </r>
  <r>
    <x v="1170"/>
    <x v="1503"/>
    <x v="10"/>
    <x v="1"/>
    <x v="1"/>
    <x v="3"/>
    <x v="10"/>
    <x v="0"/>
    <x v="1469"/>
    <n v="682"/>
    <x v="223"/>
    <x v="0"/>
    <x v="529"/>
    <m/>
    <n v="0.151"/>
    <m/>
    <x v="94"/>
    <x v="57"/>
    <m/>
  </r>
  <r>
    <x v="1171"/>
    <x v="1504"/>
    <x v="10"/>
    <x v="1"/>
    <x v="1"/>
    <x v="3"/>
    <x v="10"/>
    <x v="0"/>
    <x v="1470"/>
    <n v="1023"/>
    <x v="229"/>
    <x v="0"/>
    <x v="247"/>
    <m/>
    <n v="0.128"/>
    <m/>
    <x v="102"/>
    <x v="41"/>
    <m/>
  </r>
  <r>
    <x v="1172"/>
    <x v="1505"/>
    <x v="19"/>
    <x v="1"/>
    <x v="1"/>
    <x v="3"/>
    <x v="10"/>
    <x v="1"/>
    <x v="1471"/>
    <n v="631"/>
    <x v="0"/>
    <x v="0"/>
    <x v="530"/>
    <m/>
    <n v="9.7000000000000003E-2"/>
    <m/>
    <x v="29"/>
    <x v="42"/>
    <m/>
  </r>
  <r>
    <x v="1172"/>
    <x v="1506"/>
    <x v="19"/>
    <x v="1"/>
    <x v="1"/>
    <x v="3"/>
    <x v="10"/>
    <x v="1"/>
    <x v="1472"/>
    <n v="631"/>
    <x v="0"/>
    <x v="0"/>
    <x v="238"/>
    <m/>
    <n v="0.23200000000000001"/>
    <m/>
    <x v="29"/>
    <x v="42"/>
    <m/>
  </r>
  <r>
    <x v="1173"/>
    <x v="1507"/>
    <x v="10"/>
    <x v="1"/>
    <x v="1"/>
    <x v="3"/>
    <x v="10"/>
    <x v="0"/>
    <x v="1473"/>
    <n v="373"/>
    <x v="207"/>
    <x v="0"/>
    <x v="531"/>
    <m/>
    <n v="9.0999999999999998E-2"/>
    <m/>
    <x v="99"/>
    <x v="185"/>
    <m/>
  </r>
  <r>
    <x v="1174"/>
    <x v="1508"/>
    <x v="10"/>
    <x v="1"/>
    <x v="1"/>
    <x v="3"/>
    <x v="10"/>
    <x v="0"/>
    <x v="1474"/>
    <n v="763"/>
    <x v="224"/>
    <x v="0"/>
    <x v="476"/>
    <m/>
    <n v="0.19800000000000001"/>
    <m/>
    <x v="59"/>
    <x v="131"/>
    <m/>
  </r>
  <r>
    <x v="1175"/>
    <x v="1509"/>
    <x v="10"/>
    <x v="1"/>
    <x v="1"/>
    <x v="3"/>
    <x v="10"/>
    <x v="0"/>
    <x v="1475"/>
    <n v="184"/>
    <x v="242"/>
    <x v="0"/>
    <x v="484"/>
    <m/>
    <n v="7.8E-2"/>
    <m/>
    <x v="87"/>
    <x v="81"/>
    <m/>
  </r>
  <r>
    <x v="1176"/>
    <x v="1510"/>
    <x v="10"/>
    <x v="1"/>
    <x v="1"/>
    <x v="3"/>
    <x v="10"/>
    <x v="0"/>
    <x v="1476"/>
    <n v="1185"/>
    <x v="223"/>
    <x v="0"/>
    <x v="215"/>
    <m/>
    <n v="0.154"/>
    <m/>
    <x v="21"/>
    <x v="100"/>
    <m/>
  </r>
  <r>
    <x v="1177"/>
    <x v="1511"/>
    <x v="10"/>
    <x v="1"/>
    <x v="1"/>
    <x v="3"/>
    <x v="10"/>
    <x v="1"/>
    <x v="1477"/>
    <n v="1531"/>
    <x v="249"/>
    <x v="0"/>
    <x v="361"/>
    <m/>
    <n v="0.20899999999999999"/>
    <m/>
    <x v="113"/>
    <x v="126"/>
    <m/>
  </r>
  <r>
    <x v="1177"/>
    <x v="1512"/>
    <x v="10"/>
    <x v="1"/>
    <x v="1"/>
    <x v="3"/>
    <x v="10"/>
    <x v="1"/>
    <x v="1478"/>
    <n v="1531"/>
    <x v="249"/>
    <x v="0"/>
    <x v="479"/>
    <m/>
    <n v="0.21099999999999999"/>
    <m/>
    <x v="113"/>
    <x v="126"/>
    <m/>
  </r>
  <r>
    <x v="1178"/>
    <x v="1513"/>
    <x v="10"/>
    <x v="1"/>
    <x v="1"/>
    <x v="3"/>
    <x v="10"/>
    <x v="0"/>
    <x v="1479"/>
    <n v="987"/>
    <x v="196"/>
    <x v="0"/>
    <x v="196"/>
    <m/>
    <n v="0.18099999999999999"/>
    <m/>
    <x v="18"/>
    <x v="171"/>
    <m/>
  </r>
  <r>
    <x v="1179"/>
    <x v="1514"/>
    <x v="10"/>
    <x v="1"/>
    <x v="1"/>
    <x v="3"/>
    <x v="10"/>
    <x v="0"/>
    <x v="1480"/>
    <n v="759"/>
    <x v="216"/>
    <x v="0"/>
    <x v="387"/>
    <m/>
    <n v="0.11799999999999999"/>
    <m/>
    <x v="57"/>
    <x v="45"/>
    <m/>
  </r>
  <r>
    <x v="1180"/>
    <x v="1515"/>
    <x v="10"/>
    <x v="1"/>
    <x v="1"/>
    <x v="3"/>
    <x v="10"/>
    <x v="0"/>
    <x v="1481"/>
    <n v="346"/>
    <x v="225"/>
    <x v="0"/>
    <x v="530"/>
    <m/>
    <n v="9.7000000000000003E-2"/>
    <m/>
    <x v="99"/>
    <x v="32"/>
    <m/>
  </r>
  <r>
    <x v="1181"/>
    <x v="1516"/>
    <x v="10"/>
    <x v="1"/>
    <x v="1"/>
    <x v="3"/>
    <x v="10"/>
    <x v="0"/>
    <x v="1482"/>
    <n v="1258"/>
    <x v="238"/>
    <x v="0"/>
    <x v="361"/>
    <m/>
    <n v="0.20899999999999999"/>
    <m/>
    <x v="130"/>
    <x v="47"/>
    <m/>
  </r>
  <r>
    <x v="1182"/>
    <x v="1517"/>
    <x v="10"/>
    <x v="1"/>
    <x v="1"/>
    <x v="3"/>
    <x v="10"/>
    <x v="0"/>
    <x v="1483"/>
    <n v="1238"/>
    <x v="237"/>
    <x v="0"/>
    <x v="268"/>
    <m/>
    <n v="0.21099999999999999"/>
    <m/>
    <x v="128"/>
    <x v="182"/>
    <m/>
  </r>
  <r>
    <x v="1183"/>
    <x v="1518"/>
    <x v="19"/>
    <x v="1"/>
    <x v="1"/>
    <x v="3"/>
    <x v="10"/>
    <x v="1"/>
    <x v="1484"/>
    <n v="987"/>
    <x v="0"/>
    <x v="0"/>
    <x v="532"/>
    <m/>
    <n v="0.30499999999999999"/>
    <m/>
    <x v="29"/>
    <x v="150"/>
    <m/>
  </r>
  <r>
    <x v="1183"/>
    <x v="1519"/>
    <x v="19"/>
    <x v="1"/>
    <x v="1"/>
    <x v="3"/>
    <x v="10"/>
    <x v="1"/>
    <x v="1485"/>
    <n v="987"/>
    <x v="0"/>
    <x v="0"/>
    <x v="401"/>
    <m/>
    <n v="0.20499999999999999"/>
    <m/>
    <x v="29"/>
    <x v="150"/>
    <m/>
  </r>
  <r>
    <x v="1184"/>
    <x v="1520"/>
    <x v="10"/>
    <x v="1"/>
    <x v="1"/>
    <x v="3"/>
    <x v="10"/>
    <x v="0"/>
    <x v="1486"/>
    <n v="1293"/>
    <x v="223"/>
    <x v="0"/>
    <x v="403"/>
    <m/>
    <n v="0.191"/>
    <m/>
    <x v="127"/>
    <x v="111"/>
    <m/>
  </r>
  <r>
    <x v="1185"/>
    <x v="1521"/>
    <x v="10"/>
    <x v="1"/>
    <x v="1"/>
    <x v="3"/>
    <x v="10"/>
    <x v="0"/>
    <x v="1487"/>
    <n v="428"/>
    <x v="225"/>
    <x v="0"/>
    <x v="533"/>
    <m/>
    <n v="0.19"/>
    <m/>
    <x v="83"/>
    <x v="60"/>
    <m/>
  </r>
  <r>
    <x v="1186"/>
    <x v="1522"/>
    <x v="10"/>
    <x v="1"/>
    <x v="1"/>
    <x v="3"/>
    <x v="10"/>
    <x v="0"/>
    <x v="1488"/>
    <n v="989"/>
    <x v="224"/>
    <x v="0"/>
    <x v="481"/>
    <m/>
    <n v="0.19700000000000001"/>
    <m/>
    <x v="45"/>
    <x v="239"/>
    <m/>
  </r>
  <r>
    <x v="1187"/>
    <x v="1523"/>
    <x v="10"/>
    <x v="1"/>
    <x v="1"/>
    <x v="3"/>
    <x v="10"/>
    <x v="0"/>
    <x v="1489"/>
    <n v="487"/>
    <x v="238"/>
    <x v="0"/>
    <x v="534"/>
    <m/>
    <n v="9.1999999999999998E-2"/>
    <m/>
    <x v="84"/>
    <x v="311"/>
    <m/>
  </r>
  <r>
    <x v="1188"/>
    <x v="1524"/>
    <x v="10"/>
    <x v="1"/>
    <x v="1"/>
    <x v="3"/>
    <x v="10"/>
    <x v="0"/>
    <x v="1490"/>
    <n v="447"/>
    <x v="159"/>
    <x v="0"/>
    <x v="507"/>
    <m/>
    <n v="0.1"/>
    <m/>
    <x v="6"/>
    <x v="38"/>
    <m/>
  </r>
  <r>
    <x v="1189"/>
    <x v="1525"/>
    <x v="10"/>
    <x v="1"/>
    <x v="1"/>
    <x v="3"/>
    <x v="10"/>
    <x v="0"/>
    <x v="1491"/>
    <n v="1081"/>
    <x v="109"/>
    <x v="0"/>
    <x v="273"/>
    <m/>
    <n v="0.13800000000000001"/>
    <m/>
    <x v="47"/>
    <x v="201"/>
    <m/>
  </r>
  <r>
    <x v="1190"/>
    <x v="1526"/>
    <x v="10"/>
    <x v="1"/>
    <x v="1"/>
    <x v="3"/>
    <x v="10"/>
    <x v="0"/>
    <x v="1492"/>
    <n v="648"/>
    <x v="65"/>
    <x v="0"/>
    <x v="529"/>
    <m/>
    <n v="0.151"/>
    <m/>
    <x v="3"/>
    <x v="24"/>
    <m/>
  </r>
  <r>
    <x v="1191"/>
    <x v="1527"/>
    <x v="10"/>
    <x v="1"/>
    <x v="1"/>
    <x v="3"/>
    <x v="10"/>
    <x v="0"/>
    <x v="1493"/>
    <n v="811"/>
    <x v="211"/>
    <x v="0"/>
    <x v="349"/>
    <m/>
    <n v="0.153"/>
    <m/>
    <x v="137"/>
    <x v="91"/>
    <m/>
  </r>
  <r>
    <x v="1192"/>
    <x v="1528"/>
    <x v="10"/>
    <x v="1"/>
    <x v="1"/>
    <x v="3"/>
    <x v="10"/>
    <x v="0"/>
    <x v="1494"/>
    <n v="911"/>
    <x v="211"/>
    <x v="0"/>
    <x v="281"/>
    <m/>
    <n v="0.223"/>
    <m/>
    <x v="122"/>
    <x v="92"/>
    <m/>
  </r>
  <r>
    <x v="1193"/>
    <x v="1529"/>
    <x v="10"/>
    <x v="1"/>
    <x v="1"/>
    <x v="3"/>
    <x v="10"/>
    <x v="0"/>
    <x v="1495"/>
    <n v="538"/>
    <x v="250"/>
    <x v="0"/>
    <x v="535"/>
    <m/>
    <n v="8.4000000000000005E-2"/>
    <m/>
    <x v="100"/>
    <x v="14"/>
    <m/>
  </r>
  <r>
    <x v="1194"/>
    <x v="1530"/>
    <x v="19"/>
    <x v="1"/>
    <x v="1"/>
    <x v="3"/>
    <x v="10"/>
    <x v="1"/>
    <x v="1496"/>
    <n v="1430"/>
    <x v="251"/>
    <x v="312"/>
    <x v="536"/>
    <n v="9.4E-2"/>
    <n v="0.71899999999999997"/>
    <n v="0.3"/>
    <x v="47"/>
    <x v="49"/>
    <n v="0.41"/>
  </r>
  <r>
    <x v="1194"/>
    <x v="1531"/>
    <x v="19"/>
    <x v="1"/>
    <x v="1"/>
    <x v="3"/>
    <x v="10"/>
    <x v="1"/>
    <x v="1497"/>
    <n v="1430"/>
    <x v="251"/>
    <x v="313"/>
    <x v="537"/>
    <n v="1.84"/>
    <n v="1.101"/>
    <n v="1.74"/>
    <x v="47"/>
    <x v="49"/>
    <n v="0.41"/>
  </r>
  <r>
    <x v="1195"/>
    <x v="1532"/>
    <x v="10"/>
    <x v="1"/>
    <x v="1"/>
    <x v="3"/>
    <x v="10"/>
    <x v="0"/>
    <x v="1498"/>
    <n v="911"/>
    <x v="65"/>
    <x v="0"/>
    <x v="320"/>
    <m/>
    <n v="0.215"/>
    <m/>
    <x v="34"/>
    <x v="153"/>
    <m/>
  </r>
  <r>
    <x v="1196"/>
    <x v="1533"/>
    <x v="10"/>
    <x v="1"/>
    <x v="1"/>
    <x v="3"/>
    <x v="10"/>
    <x v="0"/>
    <x v="1499"/>
    <n v="615"/>
    <x v="162"/>
    <x v="0"/>
    <x v="176"/>
    <m/>
    <n v="0.22800000000000001"/>
    <m/>
    <x v="201"/>
    <x v="47"/>
    <m/>
  </r>
  <r>
    <x v="1197"/>
    <x v="1534"/>
    <x v="10"/>
    <x v="1"/>
    <x v="1"/>
    <x v="3"/>
    <x v="10"/>
    <x v="0"/>
    <x v="1500"/>
    <n v="1292"/>
    <x v="224"/>
    <x v="0"/>
    <x v="538"/>
    <m/>
    <n v="0.28499999999999998"/>
    <m/>
    <x v="127"/>
    <x v="111"/>
    <m/>
  </r>
  <r>
    <x v="1198"/>
    <x v="1535"/>
    <x v="10"/>
    <x v="1"/>
    <x v="1"/>
    <x v="3"/>
    <x v="10"/>
    <x v="0"/>
    <x v="1501"/>
    <n v="402"/>
    <x v="215"/>
    <x v="0"/>
    <x v="219"/>
    <m/>
    <n v="7.9000000000000001E-2"/>
    <m/>
    <x v="126"/>
    <x v="92"/>
    <m/>
  </r>
  <r>
    <x v="1199"/>
    <x v="1536"/>
    <x v="10"/>
    <x v="1"/>
    <x v="1"/>
    <x v="3"/>
    <x v="10"/>
    <x v="0"/>
    <x v="1502"/>
    <n v="829"/>
    <x v="220"/>
    <x v="0"/>
    <x v="397"/>
    <m/>
    <n v="0.14199999999999999"/>
    <m/>
    <x v="48"/>
    <x v="110"/>
    <m/>
  </r>
  <r>
    <x v="1200"/>
    <x v="1537"/>
    <x v="10"/>
    <x v="1"/>
    <x v="1"/>
    <x v="3"/>
    <x v="10"/>
    <x v="0"/>
    <x v="1503"/>
    <n v="1244"/>
    <x v="212"/>
    <x v="0"/>
    <x v="539"/>
    <m/>
    <n v="0.26700000000000002"/>
    <m/>
    <x v="3"/>
    <x v="24"/>
    <m/>
  </r>
  <r>
    <x v="1201"/>
    <x v="1538"/>
    <x v="10"/>
    <x v="1"/>
    <x v="1"/>
    <x v="3"/>
    <x v="10"/>
    <x v="0"/>
    <x v="1504"/>
    <n v="1023"/>
    <x v="44"/>
    <x v="0"/>
    <x v="378"/>
    <m/>
    <n v="0.219"/>
    <m/>
    <x v="53"/>
    <x v="55"/>
    <m/>
  </r>
  <r>
    <x v="1202"/>
    <x v="1539"/>
    <x v="10"/>
    <x v="1"/>
    <x v="1"/>
    <x v="3"/>
    <x v="10"/>
    <x v="0"/>
    <x v="1505"/>
    <n v="829"/>
    <x v="216"/>
    <x v="0"/>
    <x v="191"/>
    <m/>
    <n v="0.17"/>
    <m/>
    <x v="17"/>
    <x v="193"/>
    <m/>
  </r>
  <r>
    <x v="1203"/>
    <x v="1540"/>
    <x v="10"/>
    <x v="1"/>
    <x v="1"/>
    <x v="3"/>
    <x v="10"/>
    <x v="0"/>
    <x v="1506"/>
    <n v="336"/>
    <x v="207"/>
    <x v="0"/>
    <x v="503"/>
    <m/>
    <n v="9.5000000000000001E-2"/>
    <m/>
    <x v="34"/>
    <x v="91"/>
    <m/>
  </r>
  <r>
    <x v="1204"/>
    <x v="1541"/>
    <x v="10"/>
    <x v="1"/>
    <x v="1"/>
    <x v="3"/>
    <x v="10"/>
    <x v="0"/>
    <x v="1507"/>
    <n v="454"/>
    <x v="65"/>
    <x v="0"/>
    <x v="387"/>
    <m/>
    <n v="0.11799999999999999"/>
    <m/>
    <x v="97"/>
    <x v="130"/>
    <m/>
  </r>
  <r>
    <x v="1205"/>
    <x v="1542"/>
    <x v="19"/>
    <x v="1"/>
    <x v="1"/>
    <x v="3"/>
    <x v="10"/>
    <x v="1"/>
    <x v="1508"/>
    <n v="577"/>
    <x v="0"/>
    <x v="0"/>
    <x v="186"/>
    <m/>
    <n v="0.17499999999999999"/>
    <m/>
    <x v="29"/>
    <x v="121"/>
    <m/>
  </r>
  <r>
    <x v="1205"/>
    <x v="1543"/>
    <x v="19"/>
    <x v="1"/>
    <x v="1"/>
    <x v="3"/>
    <x v="10"/>
    <x v="1"/>
    <x v="1509"/>
    <n v="577"/>
    <x v="0"/>
    <x v="0"/>
    <x v="540"/>
    <m/>
    <n v="0.68500000000000005"/>
    <m/>
    <x v="29"/>
    <x v="121"/>
    <m/>
  </r>
  <r>
    <x v="1206"/>
    <x v="1544"/>
    <x v="10"/>
    <x v="1"/>
    <x v="1"/>
    <x v="3"/>
    <x v="10"/>
    <x v="0"/>
    <x v="1510"/>
    <n v="1284"/>
    <x v="231"/>
    <x v="0"/>
    <x v="236"/>
    <m/>
    <n v="0.17799999999999999"/>
    <m/>
    <x v="25"/>
    <x v="48"/>
    <m/>
  </r>
  <r>
    <x v="1207"/>
    <x v="1545"/>
    <x v="10"/>
    <x v="1"/>
    <x v="1"/>
    <x v="3"/>
    <x v="10"/>
    <x v="0"/>
    <x v="1511"/>
    <n v="867"/>
    <x v="109"/>
    <x v="0"/>
    <x v="220"/>
    <m/>
    <n v="0.14000000000000001"/>
    <m/>
    <x v="63"/>
    <x v="96"/>
    <m/>
  </r>
  <r>
    <x v="1208"/>
    <x v="1546"/>
    <x v="10"/>
    <x v="1"/>
    <x v="1"/>
    <x v="3"/>
    <x v="10"/>
    <x v="0"/>
    <x v="1512"/>
    <n v="1258"/>
    <x v="225"/>
    <x v="0"/>
    <x v="320"/>
    <m/>
    <n v="0.215"/>
    <m/>
    <x v="48"/>
    <x v="133"/>
    <m/>
  </r>
  <r>
    <x v="1209"/>
    <x v="1547"/>
    <x v="10"/>
    <x v="1"/>
    <x v="1"/>
    <x v="3"/>
    <x v="10"/>
    <x v="0"/>
    <x v="1513"/>
    <n v="1378"/>
    <x v="211"/>
    <x v="0"/>
    <x v="366"/>
    <m/>
    <n v="0.252"/>
    <m/>
    <x v="57"/>
    <x v="173"/>
    <m/>
  </r>
  <r>
    <x v="1210"/>
    <x v="1548"/>
    <x v="10"/>
    <x v="1"/>
    <x v="1"/>
    <x v="3"/>
    <x v="10"/>
    <x v="0"/>
    <x v="1514"/>
    <n v="1193"/>
    <x v="220"/>
    <x v="0"/>
    <x v="400"/>
    <m/>
    <n v="0.23899999999999999"/>
    <m/>
    <x v="52"/>
    <x v="88"/>
    <m/>
  </r>
  <r>
    <x v="1211"/>
    <x v="1549"/>
    <x v="10"/>
    <x v="1"/>
    <x v="1"/>
    <x v="3"/>
    <x v="10"/>
    <x v="0"/>
    <x v="1515"/>
    <n v="296"/>
    <x v="252"/>
    <x v="0"/>
    <x v="232"/>
    <m/>
    <n v="0.11899999999999999"/>
    <m/>
    <x v="50"/>
    <x v="90"/>
    <m/>
  </r>
  <r>
    <x v="1212"/>
    <x v="1550"/>
    <x v="10"/>
    <x v="1"/>
    <x v="1"/>
    <x v="3"/>
    <x v="10"/>
    <x v="0"/>
    <x v="1516"/>
    <n v="1112"/>
    <x v="216"/>
    <x v="0"/>
    <x v="256"/>
    <m/>
    <n v="0.19900000000000001"/>
    <m/>
    <x v="44"/>
    <x v="3"/>
    <m/>
  </r>
  <r>
    <x v="1213"/>
    <x v="1551"/>
    <x v="10"/>
    <x v="1"/>
    <x v="1"/>
    <x v="3"/>
    <x v="10"/>
    <x v="0"/>
    <x v="1517"/>
    <n v="1029"/>
    <x v="225"/>
    <x v="0"/>
    <x v="41"/>
    <m/>
    <n v="0.23300000000000001"/>
    <m/>
    <x v="104"/>
    <x v="121"/>
    <m/>
  </r>
  <r>
    <x v="1214"/>
    <x v="1552"/>
    <x v="10"/>
    <x v="1"/>
    <x v="1"/>
    <x v="3"/>
    <x v="10"/>
    <x v="0"/>
    <x v="1518"/>
    <n v="1202"/>
    <x v="212"/>
    <x v="0"/>
    <x v="488"/>
    <m/>
    <n v="0.186"/>
    <m/>
    <x v="48"/>
    <x v="124"/>
    <m/>
  </r>
  <r>
    <x v="1215"/>
    <x v="1553"/>
    <x v="10"/>
    <x v="1"/>
    <x v="1"/>
    <x v="3"/>
    <x v="10"/>
    <x v="0"/>
    <x v="1519"/>
    <n v="883"/>
    <x v="225"/>
    <x v="0"/>
    <x v="541"/>
    <m/>
    <n v="0.158"/>
    <m/>
    <x v="129"/>
    <x v="220"/>
    <m/>
  </r>
  <r>
    <x v="1216"/>
    <x v="1554"/>
    <x v="19"/>
    <x v="1"/>
    <x v="1"/>
    <x v="3"/>
    <x v="10"/>
    <x v="1"/>
    <x v="1520"/>
    <n v="733"/>
    <x v="0"/>
    <x v="0"/>
    <x v="292"/>
    <m/>
    <n v="0.32100000000000001"/>
    <m/>
    <x v="29"/>
    <x v="239"/>
    <m/>
  </r>
  <r>
    <x v="1216"/>
    <x v="1555"/>
    <x v="19"/>
    <x v="1"/>
    <x v="1"/>
    <x v="3"/>
    <x v="10"/>
    <x v="1"/>
    <x v="1521"/>
    <n v="733"/>
    <x v="0"/>
    <x v="0"/>
    <x v="542"/>
    <m/>
    <n v="8.2000000000000003E-2"/>
    <m/>
    <x v="29"/>
    <x v="239"/>
    <m/>
  </r>
  <r>
    <x v="1217"/>
    <x v="1556"/>
    <x v="10"/>
    <x v="1"/>
    <x v="1"/>
    <x v="3"/>
    <x v="10"/>
    <x v="0"/>
    <x v="1522"/>
    <n v="384"/>
    <x v="229"/>
    <x v="0"/>
    <x v="232"/>
    <m/>
    <n v="0.11899999999999999"/>
    <m/>
    <x v="99"/>
    <x v="185"/>
    <m/>
  </r>
  <r>
    <x v="1218"/>
    <x v="1557"/>
    <x v="10"/>
    <x v="1"/>
    <x v="1"/>
    <x v="3"/>
    <x v="10"/>
    <x v="0"/>
    <x v="1523"/>
    <n v="876"/>
    <x v="223"/>
    <x v="0"/>
    <x v="228"/>
    <m/>
    <n v="0.13500000000000001"/>
    <m/>
    <x v="6"/>
    <x v="130"/>
    <m/>
  </r>
  <r>
    <x v="1219"/>
    <x v="1558"/>
    <x v="10"/>
    <x v="1"/>
    <x v="1"/>
    <x v="3"/>
    <x v="10"/>
    <x v="0"/>
    <x v="1524"/>
    <n v="1108"/>
    <x v="216"/>
    <x v="0"/>
    <x v="479"/>
    <m/>
    <n v="0.21099999999999999"/>
    <m/>
    <x v="126"/>
    <x v="56"/>
    <m/>
  </r>
  <r>
    <x v="1220"/>
    <x v="1559"/>
    <x v="10"/>
    <x v="1"/>
    <x v="1"/>
    <x v="3"/>
    <x v="10"/>
    <x v="0"/>
    <x v="1525"/>
    <n v="695"/>
    <x v="227"/>
    <x v="0"/>
    <x v="387"/>
    <m/>
    <n v="0.11799999999999999"/>
    <m/>
    <x v="4"/>
    <x v="42"/>
    <m/>
  </r>
  <r>
    <x v="1221"/>
    <x v="1560"/>
    <x v="10"/>
    <x v="1"/>
    <x v="1"/>
    <x v="3"/>
    <x v="10"/>
    <x v="0"/>
    <x v="1526"/>
    <n v="616"/>
    <x v="215"/>
    <x v="0"/>
    <x v="228"/>
    <m/>
    <n v="0.13500000000000001"/>
    <m/>
    <x v="23"/>
    <x v="94"/>
    <m/>
  </r>
  <r>
    <x v="1222"/>
    <x v="1561"/>
    <x v="10"/>
    <x v="1"/>
    <x v="1"/>
    <x v="3"/>
    <x v="10"/>
    <x v="0"/>
    <x v="1527"/>
    <n v="812"/>
    <x v="216"/>
    <x v="0"/>
    <x v="488"/>
    <m/>
    <n v="0.186"/>
    <m/>
    <x v="36"/>
    <x v="32"/>
    <m/>
  </r>
  <r>
    <x v="1223"/>
    <x v="1562"/>
    <x v="10"/>
    <x v="1"/>
    <x v="1"/>
    <x v="3"/>
    <x v="10"/>
    <x v="0"/>
    <x v="1528"/>
    <n v="946"/>
    <x v="229"/>
    <x v="0"/>
    <x v="256"/>
    <m/>
    <n v="0.19900000000000001"/>
    <m/>
    <x v="17"/>
    <x v="193"/>
    <m/>
  </r>
  <r>
    <x v="1224"/>
    <x v="1563"/>
    <x v="10"/>
    <x v="1"/>
    <x v="1"/>
    <x v="3"/>
    <x v="10"/>
    <x v="0"/>
    <x v="1529"/>
    <n v="505"/>
    <x v="243"/>
    <x v="0"/>
    <x v="211"/>
    <m/>
    <n v="0.112"/>
    <m/>
    <x v="110"/>
    <x v="185"/>
    <m/>
  </r>
  <r>
    <x v="1225"/>
    <x v="1564"/>
    <x v="10"/>
    <x v="1"/>
    <x v="1"/>
    <x v="3"/>
    <x v="10"/>
    <x v="0"/>
    <x v="1530"/>
    <n v="777"/>
    <x v="207"/>
    <x v="0"/>
    <x v="415"/>
    <m/>
    <n v="0.13100000000000001"/>
    <m/>
    <x v="89"/>
    <x v="52"/>
    <m/>
  </r>
  <r>
    <x v="1226"/>
    <x v="1565"/>
    <x v="10"/>
    <x v="1"/>
    <x v="1"/>
    <x v="3"/>
    <x v="10"/>
    <x v="0"/>
    <x v="1531"/>
    <n v="540"/>
    <x v="209"/>
    <x v="0"/>
    <x v="239"/>
    <m/>
    <n v="0.10299999999999999"/>
    <m/>
    <x v="23"/>
    <x v="54"/>
    <m/>
  </r>
  <r>
    <x v="1227"/>
    <x v="1566"/>
    <x v="14"/>
    <x v="1"/>
    <x v="1"/>
    <x v="3"/>
    <x v="10"/>
    <x v="0"/>
    <x v="1532"/>
    <n v="600"/>
    <x v="0"/>
    <x v="314"/>
    <x v="543"/>
    <n v="0.432"/>
    <n v="1.754"/>
    <n v="0.11"/>
    <x v="63"/>
    <x v="129"/>
    <m/>
  </r>
  <r>
    <x v="1228"/>
    <x v="1567"/>
    <x v="19"/>
    <x v="1"/>
    <x v="1"/>
    <x v="3"/>
    <x v="10"/>
    <x v="1"/>
    <x v="1533"/>
    <n v="376"/>
    <x v="0"/>
    <x v="0"/>
    <x v="230"/>
    <m/>
    <n v="0.192"/>
    <m/>
    <x v="29"/>
    <x v="81"/>
    <m/>
  </r>
  <r>
    <x v="1228"/>
    <x v="1568"/>
    <x v="19"/>
    <x v="1"/>
    <x v="1"/>
    <x v="3"/>
    <x v="10"/>
    <x v="1"/>
    <x v="1534"/>
    <n v="376"/>
    <x v="0"/>
    <x v="0"/>
    <x v="544"/>
    <m/>
    <n v="0.13600000000000001"/>
    <m/>
    <x v="29"/>
    <x v="81"/>
    <m/>
  </r>
  <r>
    <x v="1229"/>
    <x v="1569"/>
    <x v="10"/>
    <x v="1"/>
    <x v="1"/>
    <x v="3"/>
    <x v="10"/>
    <x v="0"/>
    <x v="1535"/>
    <n v="579"/>
    <x v="43"/>
    <x v="0"/>
    <x v="545"/>
    <m/>
    <n v="9.5000000000000001E-2"/>
    <m/>
    <x v="36"/>
    <x v="86"/>
    <m/>
  </r>
  <r>
    <x v="1230"/>
    <x v="1570"/>
    <x v="10"/>
    <x v="1"/>
    <x v="1"/>
    <x v="3"/>
    <x v="10"/>
    <x v="0"/>
    <x v="1536"/>
    <n v="1202"/>
    <x v="219"/>
    <x v="0"/>
    <x v="235"/>
    <m/>
    <n v="0.20399999999999999"/>
    <m/>
    <x v="93"/>
    <x v="89"/>
    <m/>
  </r>
  <r>
    <x v="1231"/>
    <x v="1571"/>
    <x v="10"/>
    <x v="1"/>
    <x v="1"/>
    <x v="3"/>
    <x v="10"/>
    <x v="0"/>
    <x v="1537"/>
    <n v="1393"/>
    <x v="212"/>
    <x v="0"/>
    <x v="489"/>
    <m/>
    <n v="0.26200000000000001"/>
    <m/>
    <x v="18"/>
    <x v="110"/>
    <m/>
  </r>
  <r>
    <x v="1232"/>
    <x v="1572"/>
    <x v="10"/>
    <x v="1"/>
    <x v="1"/>
    <x v="3"/>
    <x v="10"/>
    <x v="0"/>
    <x v="1538"/>
    <n v="269"/>
    <x v="242"/>
    <x v="0"/>
    <x v="545"/>
    <m/>
    <n v="9.5000000000000001E-2"/>
    <m/>
    <x v="191"/>
    <x v="74"/>
    <m/>
  </r>
  <r>
    <x v="1233"/>
    <x v="1573"/>
    <x v="10"/>
    <x v="1"/>
    <x v="1"/>
    <x v="3"/>
    <x v="10"/>
    <x v="0"/>
    <x v="1539"/>
    <n v="1282"/>
    <x v="211"/>
    <x v="0"/>
    <x v="546"/>
    <m/>
    <n v="0.27200000000000002"/>
    <m/>
    <x v="18"/>
    <x v="171"/>
    <m/>
  </r>
  <r>
    <x v="1234"/>
    <x v="1574"/>
    <x v="10"/>
    <x v="1"/>
    <x v="1"/>
    <x v="3"/>
    <x v="10"/>
    <x v="0"/>
    <x v="1540"/>
    <n v="766"/>
    <x v="65"/>
    <x v="0"/>
    <x v="353"/>
    <m/>
    <n v="0.126"/>
    <m/>
    <x v="97"/>
    <x v="130"/>
    <m/>
  </r>
  <r>
    <x v="1235"/>
    <x v="1575"/>
    <x v="10"/>
    <x v="1"/>
    <x v="1"/>
    <x v="3"/>
    <x v="10"/>
    <x v="0"/>
    <x v="1541"/>
    <n v="807"/>
    <x v="220"/>
    <x v="0"/>
    <x v="157"/>
    <m/>
    <n v="0.14599999999999999"/>
    <m/>
    <x v="34"/>
    <x v="91"/>
    <m/>
  </r>
  <r>
    <x v="1236"/>
    <x v="1576"/>
    <x v="10"/>
    <x v="1"/>
    <x v="1"/>
    <x v="3"/>
    <x v="10"/>
    <x v="0"/>
    <x v="1542"/>
    <n v="946"/>
    <x v="159"/>
    <x v="0"/>
    <x v="44"/>
    <m/>
    <n v="0.14499999999999999"/>
    <m/>
    <x v="104"/>
    <x v="124"/>
    <m/>
  </r>
  <r>
    <x v="1237"/>
    <x v="1577"/>
    <x v="10"/>
    <x v="1"/>
    <x v="1"/>
    <x v="3"/>
    <x v="10"/>
    <x v="0"/>
    <x v="1543"/>
    <n v="877"/>
    <x v="216"/>
    <x v="0"/>
    <x v="152"/>
    <m/>
    <n v="0.20699999999999999"/>
    <m/>
    <x v="34"/>
    <x v="153"/>
    <m/>
  </r>
  <r>
    <x v="1238"/>
    <x v="1578"/>
    <x v="10"/>
    <x v="1"/>
    <x v="1"/>
    <x v="3"/>
    <x v="10"/>
    <x v="0"/>
    <x v="1544"/>
    <n v="558"/>
    <x v="231"/>
    <x v="0"/>
    <x v="228"/>
    <m/>
    <n v="0.13500000000000001"/>
    <m/>
    <x v="16"/>
    <x v="93"/>
    <m/>
  </r>
  <r>
    <x v="1239"/>
    <x v="1579"/>
    <x v="19"/>
    <x v="1"/>
    <x v="1"/>
    <x v="3"/>
    <x v="10"/>
    <x v="1"/>
    <x v="1545"/>
    <n v="622"/>
    <x v="0"/>
    <x v="0"/>
    <x v="361"/>
    <m/>
    <n v="0.20899999999999999"/>
    <m/>
    <x v="29"/>
    <x v="86"/>
    <m/>
  </r>
  <r>
    <x v="1239"/>
    <x v="1580"/>
    <x v="19"/>
    <x v="1"/>
    <x v="1"/>
    <x v="3"/>
    <x v="10"/>
    <x v="1"/>
    <x v="1546"/>
    <n v="622"/>
    <x v="0"/>
    <x v="0"/>
    <x v="519"/>
    <m/>
    <n v="0.20300000000000001"/>
    <m/>
    <x v="29"/>
    <x v="86"/>
    <m/>
  </r>
  <r>
    <x v="1240"/>
    <x v="1581"/>
    <x v="10"/>
    <x v="1"/>
    <x v="1"/>
    <x v="3"/>
    <x v="10"/>
    <x v="0"/>
    <x v="1547"/>
    <n v="1155"/>
    <x v="228"/>
    <x v="0"/>
    <x v="169"/>
    <m/>
    <n v="0.152"/>
    <m/>
    <x v="23"/>
    <x v="94"/>
    <m/>
  </r>
  <r>
    <x v="1241"/>
    <x v="1582"/>
    <x v="10"/>
    <x v="1"/>
    <x v="1"/>
    <x v="3"/>
    <x v="10"/>
    <x v="0"/>
    <x v="1548"/>
    <n v="1486"/>
    <x v="212"/>
    <x v="0"/>
    <x v="330"/>
    <m/>
    <n v="0.22700000000000001"/>
    <m/>
    <x v="50"/>
    <x v="16"/>
    <m/>
  </r>
  <r>
    <x v="1242"/>
    <x v="1583"/>
    <x v="10"/>
    <x v="1"/>
    <x v="1"/>
    <x v="3"/>
    <x v="10"/>
    <x v="0"/>
    <x v="1549"/>
    <n v="1304"/>
    <x v="109"/>
    <x v="0"/>
    <x v="403"/>
    <m/>
    <n v="0.191"/>
    <m/>
    <x v="32"/>
    <x v="180"/>
    <m/>
  </r>
  <r>
    <x v="1243"/>
    <x v="1584"/>
    <x v="10"/>
    <x v="1"/>
    <x v="1"/>
    <x v="3"/>
    <x v="10"/>
    <x v="0"/>
    <x v="1550"/>
    <n v="685"/>
    <x v="242"/>
    <x v="0"/>
    <x v="451"/>
    <m/>
    <n v="0.106"/>
    <m/>
    <x v="30"/>
    <x v="42"/>
    <m/>
  </r>
  <r>
    <x v="1244"/>
    <x v="1585"/>
    <x v="10"/>
    <x v="1"/>
    <x v="1"/>
    <x v="3"/>
    <x v="10"/>
    <x v="0"/>
    <x v="1551"/>
    <n v="757"/>
    <x v="207"/>
    <x v="0"/>
    <x v="479"/>
    <m/>
    <n v="0.21099999999999999"/>
    <m/>
    <x v="6"/>
    <x v="292"/>
    <m/>
  </r>
  <r>
    <x v="1245"/>
    <x v="1586"/>
    <x v="10"/>
    <x v="1"/>
    <x v="1"/>
    <x v="3"/>
    <x v="10"/>
    <x v="0"/>
    <x v="1552"/>
    <n v="701"/>
    <x v="215"/>
    <x v="0"/>
    <x v="547"/>
    <m/>
    <n v="0.109"/>
    <m/>
    <x v="44"/>
    <x v="3"/>
    <m/>
  </r>
  <r>
    <x v="1246"/>
    <x v="1587"/>
    <x v="10"/>
    <x v="1"/>
    <x v="1"/>
    <x v="3"/>
    <x v="10"/>
    <x v="0"/>
    <x v="1553"/>
    <n v="1124"/>
    <x v="208"/>
    <x v="0"/>
    <x v="548"/>
    <m/>
    <n v="0.124"/>
    <m/>
    <x v="7"/>
    <x v="62"/>
    <m/>
  </r>
  <r>
    <x v="1247"/>
    <x v="1588"/>
    <x v="10"/>
    <x v="1"/>
    <x v="1"/>
    <x v="3"/>
    <x v="10"/>
    <x v="0"/>
    <x v="1554"/>
    <n v="1363"/>
    <x v="44"/>
    <x v="0"/>
    <x v="236"/>
    <m/>
    <n v="0.17799999999999999"/>
    <m/>
    <x v="104"/>
    <x v="29"/>
    <m/>
  </r>
  <r>
    <x v="1248"/>
    <x v="1589"/>
    <x v="10"/>
    <x v="1"/>
    <x v="1"/>
    <x v="3"/>
    <x v="10"/>
    <x v="0"/>
    <x v="1555"/>
    <n v="667"/>
    <x v="44"/>
    <x v="0"/>
    <x v="247"/>
    <m/>
    <n v="0.128"/>
    <m/>
    <x v="104"/>
    <x v="95"/>
    <m/>
  </r>
  <r>
    <x v="1249"/>
    <x v="1590"/>
    <x v="10"/>
    <x v="1"/>
    <x v="1"/>
    <x v="3"/>
    <x v="10"/>
    <x v="0"/>
    <x v="1556"/>
    <n v="622"/>
    <x v="224"/>
    <x v="0"/>
    <x v="333"/>
    <m/>
    <n v="0.189"/>
    <m/>
    <x v="119"/>
    <x v="102"/>
    <m/>
  </r>
  <r>
    <x v="1250"/>
    <x v="1591"/>
    <x v="19"/>
    <x v="1"/>
    <x v="1"/>
    <x v="3"/>
    <x v="10"/>
    <x v="3"/>
    <x v="1557"/>
    <n v="946"/>
    <x v="0"/>
    <x v="0"/>
    <x v="361"/>
    <m/>
    <n v="0.20899999999999999"/>
    <m/>
    <x v="29"/>
    <x v="147"/>
    <m/>
  </r>
  <r>
    <x v="1250"/>
    <x v="1592"/>
    <x v="19"/>
    <x v="1"/>
    <x v="1"/>
    <x v="3"/>
    <x v="10"/>
    <x v="3"/>
    <x v="1558"/>
    <n v="946"/>
    <x v="0"/>
    <x v="0"/>
    <x v="549"/>
    <m/>
    <n v="0.52400000000000002"/>
    <m/>
    <x v="29"/>
    <x v="147"/>
    <m/>
  </r>
  <r>
    <x v="1250"/>
    <x v="1593"/>
    <x v="19"/>
    <x v="1"/>
    <x v="1"/>
    <x v="3"/>
    <x v="10"/>
    <x v="3"/>
    <x v="1559"/>
    <n v="946"/>
    <x v="0"/>
    <x v="0"/>
    <x v="359"/>
    <m/>
    <n v="0.19600000000000001"/>
    <m/>
    <x v="29"/>
    <x v="147"/>
    <m/>
  </r>
  <r>
    <x v="1250"/>
    <x v="1594"/>
    <x v="19"/>
    <x v="1"/>
    <x v="1"/>
    <x v="3"/>
    <x v="10"/>
    <x v="3"/>
    <x v="1560"/>
    <n v="946"/>
    <x v="0"/>
    <x v="0"/>
    <x v="238"/>
    <m/>
    <n v="0.23200000000000001"/>
    <m/>
    <x v="29"/>
    <x v="147"/>
    <m/>
  </r>
  <r>
    <x v="1250"/>
    <x v="1595"/>
    <x v="19"/>
    <x v="1"/>
    <x v="1"/>
    <x v="8"/>
    <x v="10"/>
    <x v="3"/>
    <x v="1561"/>
    <n v="946"/>
    <x v="0"/>
    <x v="315"/>
    <x v="314"/>
    <n v="0.113"/>
    <n v="0.156"/>
    <m/>
    <x v="29"/>
    <x v="147"/>
    <m/>
  </r>
  <r>
    <x v="1251"/>
    <x v="1596"/>
    <x v="10"/>
    <x v="1"/>
    <x v="1"/>
    <x v="3"/>
    <x v="10"/>
    <x v="0"/>
    <x v="1562"/>
    <n v="958"/>
    <x v="159"/>
    <x v="0"/>
    <x v="280"/>
    <m/>
    <n v="0.13600000000000001"/>
    <m/>
    <x v="57"/>
    <x v="173"/>
    <m/>
  </r>
  <r>
    <x v="1252"/>
    <x v="1597"/>
    <x v="10"/>
    <x v="1"/>
    <x v="1"/>
    <x v="3"/>
    <x v="10"/>
    <x v="0"/>
    <x v="1563"/>
    <n v="909"/>
    <x v="223"/>
    <x v="0"/>
    <x v="550"/>
    <m/>
    <n v="0.16800000000000001"/>
    <m/>
    <x v="122"/>
    <x v="92"/>
    <m/>
  </r>
  <r>
    <x v="1253"/>
    <x v="1598"/>
    <x v="10"/>
    <x v="1"/>
    <x v="1"/>
    <x v="3"/>
    <x v="10"/>
    <x v="0"/>
    <x v="1564"/>
    <n v="455"/>
    <x v="224"/>
    <x v="0"/>
    <x v="551"/>
    <m/>
    <n v="7.0000000000000007E-2"/>
    <m/>
    <x v="97"/>
    <x v="292"/>
    <m/>
  </r>
  <r>
    <x v="1254"/>
    <x v="1599"/>
    <x v="10"/>
    <x v="1"/>
    <x v="1"/>
    <x v="3"/>
    <x v="10"/>
    <x v="0"/>
    <x v="1565"/>
    <n v="455"/>
    <x v="159"/>
    <x v="0"/>
    <x v="547"/>
    <m/>
    <n v="0.109"/>
    <m/>
    <x v="34"/>
    <x v="91"/>
    <m/>
  </r>
  <r>
    <x v="1255"/>
    <x v="1600"/>
    <x v="10"/>
    <x v="1"/>
    <x v="1"/>
    <x v="3"/>
    <x v="10"/>
    <x v="0"/>
    <x v="1566"/>
    <n v="578"/>
    <x v="20"/>
    <x v="0"/>
    <x v="232"/>
    <m/>
    <n v="0.11899999999999999"/>
    <m/>
    <x v="112"/>
    <x v="147"/>
    <m/>
  </r>
  <r>
    <x v="1256"/>
    <x v="1601"/>
    <x v="10"/>
    <x v="1"/>
    <x v="1"/>
    <x v="3"/>
    <x v="10"/>
    <x v="0"/>
    <x v="1567"/>
    <n v="1241"/>
    <x v="43"/>
    <x v="0"/>
    <x v="37"/>
    <m/>
    <n v="0.16200000000000001"/>
    <m/>
    <x v="47"/>
    <x v="43"/>
    <m/>
  </r>
  <r>
    <x v="1257"/>
    <x v="1602"/>
    <x v="10"/>
    <x v="1"/>
    <x v="1"/>
    <x v="3"/>
    <x v="10"/>
    <x v="0"/>
    <x v="1568"/>
    <n v="779"/>
    <x v="196"/>
    <x v="0"/>
    <x v="218"/>
    <m/>
    <n v="0.129"/>
    <m/>
    <x v="102"/>
    <x v="55"/>
    <m/>
  </r>
  <r>
    <x v="1258"/>
    <x v="1603"/>
    <x v="10"/>
    <x v="1"/>
    <x v="1"/>
    <x v="3"/>
    <x v="10"/>
    <x v="0"/>
    <x v="1569"/>
    <n v="667"/>
    <x v="212"/>
    <x v="0"/>
    <x v="235"/>
    <m/>
    <n v="0.20399999999999999"/>
    <m/>
    <x v="54"/>
    <x v="105"/>
    <m/>
  </r>
  <r>
    <x v="1259"/>
    <x v="1604"/>
    <x v="10"/>
    <x v="1"/>
    <x v="1"/>
    <x v="3"/>
    <x v="10"/>
    <x v="0"/>
    <x v="1570"/>
    <n v="547"/>
    <x v="228"/>
    <x v="0"/>
    <x v="322"/>
    <m/>
    <n v="0.13700000000000001"/>
    <m/>
    <x v="110"/>
    <x v="36"/>
    <m/>
  </r>
  <r>
    <x v="1260"/>
    <x v="1605"/>
    <x v="10"/>
    <x v="1"/>
    <x v="1"/>
    <x v="3"/>
    <x v="10"/>
    <x v="0"/>
    <x v="1571"/>
    <n v="236"/>
    <x v="196"/>
    <x v="0"/>
    <x v="297"/>
    <m/>
    <n v="0.125"/>
    <m/>
    <x v="77"/>
    <x v="283"/>
    <m/>
  </r>
  <r>
    <x v="1261"/>
    <x v="1606"/>
    <x v="19"/>
    <x v="1"/>
    <x v="1"/>
    <x v="3"/>
    <x v="10"/>
    <x v="1"/>
    <x v="1572"/>
    <n v="934"/>
    <x v="0"/>
    <x v="0"/>
    <x v="489"/>
    <m/>
    <n v="0.26200000000000001"/>
    <m/>
    <x v="29"/>
    <x v="308"/>
    <m/>
  </r>
  <r>
    <x v="1261"/>
    <x v="1607"/>
    <x v="19"/>
    <x v="1"/>
    <x v="1"/>
    <x v="3"/>
    <x v="10"/>
    <x v="1"/>
    <x v="1573"/>
    <n v="934"/>
    <x v="0"/>
    <x v="0"/>
    <x v="493"/>
    <m/>
    <n v="0.13200000000000001"/>
    <m/>
    <x v="29"/>
    <x v="308"/>
    <m/>
  </r>
  <r>
    <x v="1262"/>
    <x v="1608"/>
    <x v="10"/>
    <x v="1"/>
    <x v="1"/>
    <x v="3"/>
    <x v="10"/>
    <x v="0"/>
    <x v="1574"/>
    <n v="1433"/>
    <x v="242"/>
    <x v="0"/>
    <x v="552"/>
    <m/>
    <n v="0.24199999999999999"/>
    <m/>
    <x v="104"/>
    <x v="29"/>
    <m/>
  </r>
  <r>
    <x v="1263"/>
    <x v="1609"/>
    <x v="10"/>
    <x v="1"/>
    <x v="1"/>
    <x v="3"/>
    <x v="10"/>
    <x v="0"/>
    <x v="1575"/>
    <n v="948"/>
    <x v="212"/>
    <x v="0"/>
    <x v="208"/>
    <m/>
    <n v="0.127"/>
    <m/>
    <x v="53"/>
    <x v="45"/>
    <m/>
  </r>
  <r>
    <x v="1264"/>
    <x v="1610"/>
    <x v="10"/>
    <x v="1"/>
    <x v="1"/>
    <x v="3"/>
    <x v="10"/>
    <x v="0"/>
    <x v="1576"/>
    <n v="740"/>
    <x v="215"/>
    <x v="0"/>
    <x v="386"/>
    <m/>
    <n v="0.17199999999999999"/>
    <m/>
    <x v="127"/>
    <x v="111"/>
    <m/>
  </r>
  <r>
    <x v="1265"/>
    <x v="1611"/>
    <x v="10"/>
    <x v="1"/>
    <x v="1"/>
    <x v="3"/>
    <x v="10"/>
    <x v="0"/>
    <x v="1577"/>
    <n v="1281"/>
    <x v="238"/>
    <x v="0"/>
    <x v="238"/>
    <m/>
    <n v="0.23200000000000001"/>
    <m/>
    <x v="56"/>
    <x v="167"/>
    <m/>
  </r>
  <r>
    <x v="1266"/>
    <x v="1612"/>
    <x v="10"/>
    <x v="1"/>
    <x v="1"/>
    <x v="3"/>
    <x v="10"/>
    <x v="0"/>
    <x v="1578"/>
    <n v="866"/>
    <x v="224"/>
    <x v="0"/>
    <x v="224"/>
    <m/>
    <n v="0.251"/>
    <m/>
    <x v="34"/>
    <x v="153"/>
    <m/>
  </r>
  <r>
    <x v="1267"/>
    <x v="1613"/>
    <x v="10"/>
    <x v="1"/>
    <x v="1"/>
    <x v="3"/>
    <x v="10"/>
    <x v="0"/>
    <x v="1579"/>
    <n v="533"/>
    <x v="223"/>
    <x v="0"/>
    <x v="551"/>
    <m/>
    <n v="7.0000000000000007E-2"/>
    <m/>
    <x v="89"/>
    <x v="52"/>
    <m/>
  </r>
  <r>
    <x v="1268"/>
    <x v="1614"/>
    <x v="10"/>
    <x v="1"/>
    <x v="1"/>
    <x v="3"/>
    <x v="10"/>
    <x v="0"/>
    <x v="1580"/>
    <n v="1078"/>
    <x v="208"/>
    <x v="0"/>
    <x v="403"/>
    <m/>
    <n v="0.191"/>
    <m/>
    <x v="126"/>
    <x v="92"/>
    <m/>
  </r>
  <r>
    <x v="1269"/>
    <x v="1615"/>
    <x v="10"/>
    <x v="1"/>
    <x v="1"/>
    <x v="3"/>
    <x v="10"/>
    <x v="0"/>
    <x v="1581"/>
    <n v="1121"/>
    <x v="223"/>
    <x v="0"/>
    <x v="170"/>
    <m/>
    <n v="0.255"/>
    <m/>
    <x v="23"/>
    <x v="52"/>
    <m/>
  </r>
  <r>
    <x v="1270"/>
    <x v="1616"/>
    <x v="10"/>
    <x v="1"/>
    <x v="1"/>
    <x v="3"/>
    <x v="10"/>
    <x v="0"/>
    <x v="1582"/>
    <n v="1533"/>
    <x v="235"/>
    <x v="0"/>
    <x v="386"/>
    <m/>
    <n v="0.17199999999999999"/>
    <m/>
    <x v="123"/>
    <x v="129"/>
    <m/>
  </r>
  <r>
    <x v="1271"/>
    <x v="1617"/>
    <x v="10"/>
    <x v="1"/>
    <x v="1"/>
    <x v="3"/>
    <x v="10"/>
    <x v="0"/>
    <x v="1583"/>
    <n v="2511"/>
    <x v="253"/>
    <x v="0"/>
    <x v="175"/>
    <m/>
    <n v="0.25900000000000001"/>
    <m/>
    <x v="28"/>
    <x v="119"/>
    <m/>
  </r>
  <r>
    <x v="1272"/>
    <x v="1618"/>
    <x v="19"/>
    <x v="1"/>
    <x v="1"/>
    <x v="3"/>
    <x v="10"/>
    <x v="2"/>
    <x v="1584"/>
    <n v="383"/>
    <x v="0"/>
    <x v="0"/>
    <x v="553"/>
    <m/>
    <n v="6.5000000000000002E-2"/>
    <m/>
    <x v="29"/>
    <x v="299"/>
    <m/>
  </r>
  <r>
    <x v="1272"/>
    <x v="1619"/>
    <x v="19"/>
    <x v="1"/>
    <x v="1"/>
    <x v="3"/>
    <x v="10"/>
    <x v="2"/>
    <x v="1585"/>
    <n v="383"/>
    <x v="0"/>
    <x v="0"/>
    <x v="314"/>
    <m/>
    <n v="0.156"/>
    <m/>
    <x v="29"/>
    <x v="299"/>
    <m/>
  </r>
  <r>
    <x v="1272"/>
    <x v="1620"/>
    <x v="19"/>
    <x v="1"/>
    <x v="1"/>
    <x v="3"/>
    <x v="10"/>
    <x v="2"/>
    <x v="1586"/>
    <n v="383"/>
    <x v="0"/>
    <x v="0"/>
    <x v="508"/>
    <m/>
    <n v="9.9000000000000005E-2"/>
    <m/>
    <x v="29"/>
    <x v="299"/>
    <m/>
  </r>
  <r>
    <x v="1273"/>
    <x v="1621"/>
    <x v="10"/>
    <x v="1"/>
    <x v="1"/>
    <x v="3"/>
    <x v="10"/>
    <x v="0"/>
    <x v="1587"/>
    <n v="614"/>
    <x v="208"/>
    <x v="0"/>
    <x v="239"/>
    <m/>
    <n v="0.10299999999999999"/>
    <m/>
    <x v="17"/>
    <x v="18"/>
    <m/>
  </r>
  <r>
    <x v="1274"/>
    <x v="1622"/>
    <x v="10"/>
    <x v="1"/>
    <x v="1"/>
    <x v="3"/>
    <x v="10"/>
    <x v="0"/>
    <x v="1588"/>
    <n v="936"/>
    <x v="207"/>
    <x v="0"/>
    <x v="154"/>
    <m/>
    <n v="0.23499999999999999"/>
    <m/>
    <x v="97"/>
    <x v="292"/>
    <m/>
  </r>
  <r>
    <x v="1275"/>
    <x v="1623"/>
    <x v="10"/>
    <x v="1"/>
    <x v="1"/>
    <x v="3"/>
    <x v="10"/>
    <x v="0"/>
    <x v="1589"/>
    <n v="682"/>
    <x v="254"/>
    <x v="0"/>
    <x v="243"/>
    <m/>
    <n v="0.20200000000000001"/>
    <m/>
    <x v="96"/>
    <x v="36"/>
    <m/>
  </r>
  <r>
    <x v="1276"/>
    <x v="1624"/>
    <x v="10"/>
    <x v="1"/>
    <x v="1"/>
    <x v="3"/>
    <x v="10"/>
    <x v="0"/>
    <x v="1590"/>
    <n v="877"/>
    <x v="224"/>
    <x v="0"/>
    <x v="314"/>
    <m/>
    <n v="0.156"/>
    <m/>
    <x v="50"/>
    <x v="16"/>
    <m/>
  </r>
  <r>
    <x v="1277"/>
    <x v="1625"/>
    <x v="10"/>
    <x v="1"/>
    <x v="1"/>
    <x v="3"/>
    <x v="10"/>
    <x v="0"/>
    <x v="1591"/>
    <n v="764"/>
    <x v="140"/>
    <x v="0"/>
    <x v="278"/>
    <m/>
    <n v="0.12"/>
    <m/>
    <x v="158"/>
    <x v="273"/>
    <m/>
  </r>
  <r>
    <x v="1278"/>
    <x v="1626"/>
    <x v="10"/>
    <x v="1"/>
    <x v="1"/>
    <x v="3"/>
    <x v="10"/>
    <x v="1"/>
    <x v="1592"/>
    <n v="861"/>
    <x v="223"/>
    <x v="0"/>
    <x v="247"/>
    <m/>
    <n v="0.128"/>
    <m/>
    <x v="126"/>
    <x v="56"/>
    <m/>
  </r>
  <r>
    <x v="1278"/>
    <x v="1627"/>
    <x v="10"/>
    <x v="1"/>
    <x v="1"/>
    <x v="3"/>
    <x v="10"/>
    <x v="1"/>
    <x v="1593"/>
    <n v="861"/>
    <x v="223"/>
    <x v="0"/>
    <x v="247"/>
    <m/>
    <n v="0.128"/>
    <m/>
    <x v="126"/>
    <x v="56"/>
    <m/>
  </r>
  <r>
    <x v="1279"/>
    <x v="1628"/>
    <x v="10"/>
    <x v="1"/>
    <x v="1"/>
    <x v="3"/>
    <x v="10"/>
    <x v="0"/>
    <x v="1594"/>
    <n v="435"/>
    <x v="218"/>
    <x v="0"/>
    <x v="554"/>
    <m/>
    <n v="0.121"/>
    <m/>
    <x v="69"/>
    <x v="67"/>
    <m/>
  </r>
  <r>
    <x v="1280"/>
    <x v="1629"/>
    <x v="10"/>
    <x v="1"/>
    <x v="1"/>
    <x v="3"/>
    <x v="10"/>
    <x v="0"/>
    <x v="1595"/>
    <n v="1094"/>
    <x v="207"/>
    <x v="0"/>
    <x v="200"/>
    <m/>
    <n v="0.20799999999999999"/>
    <m/>
    <x v="126"/>
    <x v="92"/>
    <m/>
  </r>
  <r>
    <x v="1281"/>
    <x v="1630"/>
    <x v="10"/>
    <x v="1"/>
    <x v="1"/>
    <x v="3"/>
    <x v="10"/>
    <x v="0"/>
    <x v="1596"/>
    <n v="540"/>
    <x v="255"/>
    <x v="0"/>
    <x v="475"/>
    <m/>
    <n v="0.105"/>
    <m/>
    <x v="49"/>
    <x v="42"/>
    <m/>
  </r>
  <r>
    <x v="1282"/>
    <x v="1631"/>
    <x v="10"/>
    <x v="1"/>
    <x v="1"/>
    <x v="3"/>
    <x v="10"/>
    <x v="0"/>
    <x v="1597"/>
    <n v="1674"/>
    <x v="232"/>
    <x v="0"/>
    <x v="277"/>
    <m/>
    <n v="0.21199999999999999"/>
    <m/>
    <x v="128"/>
    <x v="182"/>
    <m/>
  </r>
  <r>
    <x v="1283"/>
    <x v="1632"/>
    <x v="19"/>
    <x v="1"/>
    <x v="1"/>
    <x v="3"/>
    <x v="10"/>
    <x v="1"/>
    <x v="1598"/>
    <n v="171"/>
    <x v="0"/>
    <x v="0"/>
    <x v="268"/>
    <m/>
    <n v="0.21099999999999999"/>
    <m/>
    <x v="29"/>
    <x v="283"/>
    <m/>
  </r>
  <r>
    <x v="1283"/>
    <x v="1633"/>
    <x v="19"/>
    <x v="1"/>
    <x v="1"/>
    <x v="3"/>
    <x v="10"/>
    <x v="1"/>
    <x v="1599"/>
    <n v="171"/>
    <x v="0"/>
    <x v="0"/>
    <x v="555"/>
    <m/>
    <n v="6.6000000000000003E-2"/>
    <m/>
    <x v="29"/>
    <x v="283"/>
    <m/>
  </r>
  <r>
    <x v="1284"/>
    <x v="1634"/>
    <x v="10"/>
    <x v="1"/>
    <x v="1"/>
    <x v="3"/>
    <x v="10"/>
    <x v="0"/>
    <x v="1600"/>
    <n v="1371"/>
    <x v="223"/>
    <x v="0"/>
    <x v="524"/>
    <m/>
    <n v="0.17100000000000001"/>
    <m/>
    <x v="7"/>
    <x v="62"/>
    <m/>
  </r>
  <r>
    <x v="1285"/>
    <x v="1635"/>
    <x v="10"/>
    <x v="1"/>
    <x v="1"/>
    <x v="3"/>
    <x v="10"/>
    <x v="0"/>
    <x v="1601"/>
    <n v="863"/>
    <x v="215"/>
    <x v="0"/>
    <x v="307"/>
    <m/>
    <n v="0.16400000000000001"/>
    <m/>
    <x v="127"/>
    <x v="111"/>
    <m/>
  </r>
  <r>
    <x v="1286"/>
    <x v="1636"/>
    <x v="10"/>
    <x v="1"/>
    <x v="1"/>
    <x v="3"/>
    <x v="10"/>
    <x v="0"/>
    <x v="1602"/>
    <n v="828"/>
    <x v="218"/>
    <x v="0"/>
    <x v="526"/>
    <m/>
    <n v="0.14899999999999999"/>
    <m/>
    <x v="104"/>
    <x v="121"/>
    <m/>
  </r>
  <r>
    <x v="1287"/>
    <x v="1637"/>
    <x v="10"/>
    <x v="1"/>
    <x v="1"/>
    <x v="3"/>
    <x v="10"/>
    <x v="0"/>
    <x v="1603"/>
    <n v="390"/>
    <x v="256"/>
    <x v="0"/>
    <x v="232"/>
    <m/>
    <n v="0.11899999999999999"/>
    <m/>
    <x v="54"/>
    <x v="95"/>
    <m/>
  </r>
  <r>
    <x v="1288"/>
    <x v="1638"/>
    <x v="10"/>
    <x v="1"/>
    <x v="1"/>
    <x v="3"/>
    <x v="10"/>
    <x v="2"/>
    <x v="1604"/>
    <n v="676"/>
    <x v="254"/>
    <x v="0"/>
    <x v="273"/>
    <m/>
    <n v="0.13800000000000001"/>
    <m/>
    <x v="110"/>
    <x v="91"/>
    <m/>
  </r>
  <r>
    <x v="1288"/>
    <x v="1639"/>
    <x v="10"/>
    <x v="1"/>
    <x v="1"/>
    <x v="3"/>
    <x v="10"/>
    <x v="2"/>
    <x v="1605"/>
    <n v="676"/>
    <x v="254"/>
    <x v="0"/>
    <x v="185"/>
    <m/>
    <n v="0.11600000000000001"/>
    <m/>
    <x v="110"/>
    <x v="91"/>
    <m/>
  </r>
  <r>
    <x v="1288"/>
    <x v="1640"/>
    <x v="10"/>
    <x v="1"/>
    <x v="1"/>
    <x v="3"/>
    <x v="10"/>
    <x v="2"/>
    <x v="1606"/>
    <n v="676"/>
    <x v="254"/>
    <x v="0"/>
    <x v="166"/>
    <m/>
    <n v="0.11700000000000001"/>
    <m/>
    <x v="110"/>
    <x v="91"/>
    <m/>
  </r>
  <r>
    <x v="1289"/>
    <x v="1641"/>
    <x v="10"/>
    <x v="1"/>
    <x v="1"/>
    <x v="3"/>
    <x v="10"/>
    <x v="0"/>
    <x v="1607"/>
    <n v="1344"/>
    <x v="220"/>
    <x v="0"/>
    <x v="152"/>
    <m/>
    <n v="0.20699999999999999"/>
    <m/>
    <x v="4"/>
    <x v="40"/>
    <m/>
  </r>
  <r>
    <x v="1290"/>
    <x v="1642"/>
    <x v="10"/>
    <x v="1"/>
    <x v="1"/>
    <x v="3"/>
    <x v="10"/>
    <x v="0"/>
    <x v="1608"/>
    <n v="862"/>
    <x v="196"/>
    <x v="0"/>
    <x v="234"/>
    <m/>
    <n v="0.13300000000000001"/>
    <m/>
    <x v="63"/>
    <x v="301"/>
    <m/>
  </r>
  <r>
    <x v="1291"/>
    <x v="1643"/>
    <x v="10"/>
    <x v="1"/>
    <x v="1"/>
    <x v="3"/>
    <x v="10"/>
    <x v="0"/>
    <x v="1609"/>
    <n v="1081"/>
    <x v="224"/>
    <x v="0"/>
    <x v="280"/>
    <m/>
    <n v="0.13600000000000001"/>
    <m/>
    <x v="3"/>
    <x v="90"/>
    <m/>
  </r>
  <r>
    <x v="1292"/>
    <x v="1644"/>
    <x v="10"/>
    <x v="1"/>
    <x v="1"/>
    <x v="3"/>
    <x v="10"/>
    <x v="0"/>
    <x v="1610"/>
    <n v="651"/>
    <x v="218"/>
    <x v="0"/>
    <x v="556"/>
    <m/>
    <n v="7.6999999999999999E-2"/>
    <m/>
    <x v="7"/>
    <x v="173"/>
    <m/>
  </r>
  <r>
    <x v="1293"/>
    <x v="1645"/>
    <x v="10"/>
    <x v="1"/>
    <x v="1"/>
    <x v="3"/>
    <x v="10"/>
    <x v="0"/>
    <x v="1611"/>
    <n v="704"/>
    <x v="221"/>
    <x v="0"/>
    <x v="557"/>
    <m/>
    <n v="0.128"/>
    <m/>
    <x v="34"/>
    <x v="57"/>
    <m/>
  </r>
  <r>
    <x v="1294"/>
    <x v="1646"/>
    <x v="19"/>
    <x v="1"/>
    <x v="1"/>
    <x v="3"/>
    <x v="10"/>
    <x v="2"/>
    <x v="1612"/>
    <n v="231"/>
    <x v="0"/>
    <x v="0"/>
    <x v="280"/>
    <m/>
    <n v="0.13600000000000001"/>
    <m/>
    <x v="29"/>
    <x v="301"/>
    <m/>
  </r>
  <r>
    <x v="1294"/>
    <x v="1647"/>
    <x v="19"/>
    <x v="1"/>
    <x v="1"/>
    <x v="3"/>
    <x v="10"/>
    <x v="2"/>
    <x v="1613"/>
    <n v="231"/>
    <x v="0"/>
    <x v="0"/>
    <x v="406"/>
    <m/>
    <n v="0.14099999999999999"/>
    <m/>
    <x v="29"/>
    <x v="301"/>
    <m/>
  </r>
  <r>
    <x v="1294"/>
    <x v="1648"/>
    <x v="19"/>
    <x v="1"/>
    <x v="1"/>
    <x v="3"/>
    <x v="10"/>
    <x v="2"/>
    <x v="1614"/>
    <n v="231"/>
    <x v="0"/>
    <x v="0"/>
    <x v="281"/>
    <m/>
    <n v="0.223"/>
    <m/>
    <x v="29"/>
    <x v="301"/>
    <m/>
  </r>
  <r>
    <x v="1295"/>
    <x v="1649"/>
    <x v="10"/>
    <x v="1"/>
    <x v="1"/>
    <x v="3"/>
    <x v="10"/>
    <x v="0"/>
    <x v="1615"/>
    <n v="1041"/>
    <x v="44"/>
    <x v="0"/>
    <x v="541"/>
    <m/>
    <n v="0.158"/>
    <m/>
    <x v="104"/>
    <x v="29"/>
    <m/>
  </r>
  <r>
    <x v="1296"/>
    <x v="1650"/>
    <x v="10"/>
    <x v="1"/>
    <x v="1"/>
    <x v="3"/>
    <x v="10"/>
    <x v="0"/>
    <x v="1616"/>
    <n v="795"/>
    <x v="216"/>
    <x v="0"/>
    <x v="243"/>
    <m/>
    <n v="0.20200000000000001"/>
    <m/>
    <x v="58"/>
    <x v="57"/>
    <m/>
  </r>
  <r>
    <x v="1297"/>
    <x v="1651"/>
    <x v="10"/>
    <x v="1"/>
    <x v="1"/>
    <x v="3"/>
    <x v="10"/>
    <x v="0"/>
    <x v="1617"/>
    <n v="1153"/>
    <x v="211"/>
    <x v="0"/>
    <x v="37"/>
    <m/>
    <n v="0.16200000000000001"/>
    <m/>
    <x v="7"/>
    <x v="62"/>
    <m/>
  </r>
  <r>
    <x v="1298"/>
    <x v="1652"/>
    <x v="10"/>
    <x v="1"/>
    <x v="1"/>
    <x v="3"/>
    <x v="10"/>
    <x v="0"/>
    <x v="1618"/>
    <n v="695"/>
    <x v="65"/>
    <x v="0"/>
    <x v="284"/>
    <m/>
    <n v="0.10199999999999999"/>
    <m/>
    <x v="97"/>
    <x v="292"/>
    <m/>
  </r>
  <r>
    <x v="1299"/>
    <x v="1653"/>
    <x v="10"/>
    <x v="1"/>
    <x v="1"/>
    <x v="3"/>
    <x v="10"/>
    <x v="0"/>
    <x v="1619"/>
    <n v="814"/>
    <x v="212"/>
    <x v="0"/>
    <x v="475"/>
    <m/>
    <n v="0.105"/>
    <m/>
    <x v="7"/>
    <x v="62"/>
    <m/>
  </r>
  <r>
    <x v="1300"/>
    <x v="1654"/>
    <x v="10"/>
    <x v="1"/>
    <x v="1"/>
    <x v="3"/>
    <x v="10"/>
    <x v="0"/>
    <x v="1620"/>
    <n v="581"/>
    <x v="221"/>
    <x v="0"/>
    <x v="278"/>
    <m/>
    <n v="0.12"/>
    <m/>
    <x v="159"/>
    <x v="67"/>
    <m/>
  </r>
  <r>
    <x v="1301"/>
    <x v="1655"/>
    <x v="10"/>
    <x v="1"/>
    <x v="1"/>
    <x v="3"/>
    <x v="10"/>
    <x v="0"/>
    <x v="1621"/>
    <n v="901"/>
    <x v="228"/>
    <x v="0"/>
    <x v="471"/>
    <m/>
    <n v="0.23"/>
    <m/>
    <x v="34"/>
    <x v="153"/>
    <m/>
  </r>
  <r>
    <x v="1302"/>
    <x v="1656"/>
    <x v="10"/>
    <x v="1"/>
    <x v="1"/>
    <x v="3"/>
    <x v="10"/>
    <x v="0"/>
    <x v="1622"/>
    <n v="1628"/>
    <x v="109"/>
    <x v="0"/>
    <x v="383"/>
    <m/>
    <n v="0.26900000000000002"/>
    <m/>
    <x v="93"/>
    <x v="15"/>
    <m/>
  </r>
  <r>
    <x v="1303"/>
    <x v="1657"/>
    <x v="10"/>
    <x v="1"/>
    <x v="1"/>
    <x v="3"/>
    <x v="10"/>
    <x v="0"/>
    <x v="1623"/>
    <n v="1406"/>
    <x v="211"/>
    <x v="0"/>
    <x v="196"/>
    <m/>
    <n v="0.18099999999999999"/>
    <m/>
    <x v="104"/>
    <x v="121"/>
    <m/>
  </r>
  <r>
    <x v="1304"/>
    <x v="1658"/>
    <x v="10"/>
    <x v="1"/>
    <x v="1"/>
    <x v="3"/>
    <x v="10"/>
    <x v="0"/>
    <x v="1624"/>
    <n v="710"/>
    <x v="220"/>
    <x v="0"/>
    <x v="341"/>
    <m/>
    <n v="0.14499999999999999"/>
    <m/>
    <x v="32"/>
    <x v="180"/>
    <m/>
  </r>
  <r>
    <x v="1305"/>
    <x v="1659"/>
    <x v="19"/>
    <x v="1"/>
    <x v="1"/>
    <x v="3"/>
    <x v="10"/>
    <x v="2"/>
    <x v="1625"/>
    <n v="353"/>
    <x v="0"/>
    <x v="0"/>
    <x v="297"/>
    <m/>
    <n v="0.125"/>
    <m/>
    <x v="29"/>
    <x v="301"/>
    <m/>
  </r>
  <r>
    <x v="1305"/>
    <x v="1660"/>
    <x v="19"/>
    <x v="1"/>
    <x v="1"/>
    <x v="3"/>
    <x v="10"/>
    <x v="2"/>
    <x v="1626"/>
    <n v="353"/>
    <x v="0"/>
    <x v="0"/>
    <x v="222"/>
    <m/>
    <n v="0.23699999999999999"/>
    <m/>
    <x v="29"/>
    <x v="301"/>
    <m/>
  </r>
  <r>
    <x v="1305"/>
    <x v="1661"/>
    <x v="19"/>
    <x v="1"/>
    <x v="1"/>
    <x v="3"/>
    <x v="10"/>
    <x v="2"/>
    <x v="1627"/>
    <n v="353"/>
    <x v="0"/>
    <x v="0"/>
    <x v="241"/>
    <m/>
    <n v="0.23599999999999999"/>
    <m/>
    <x v="29"/>
    <x v="301"/>
    <m/>
  </r>
  <r>
    <x v="1306"/>
    <x v="1662"/>
    <x v="10"/>
    <x v="1"/>
    <x v="1"/>
    <x v="3"/>
    <x v="10"/>
    <x v="0"/>
    <x v="1628"/>
    <n v="1204"/>
    <x v="224"/>
    <x v="0"/>
    <x v="558"/>
    <m/>
    <n v="0.29599999999999999"/>
    <m/>
    <x v="114"/>
    <x v="313"/>
    <m/>
  </r>
  <r>
    <x v="1307"/>
    <x v="1663"/>
    <x v="10"/>
    <x v="1"/>
    <x v="1"/>
    <x v="3"/>
    <x v="10"/>
    <x v="0"/>
    <x v="1629"/>
    <n v="885"/>
    <x v="159"/>
    <x v="0"/>
    <x v="493"/>
    <m/>
    <n v="0.13200000000000001"/>
    <m/>
    <x v="47"/>
    <x v="14"/>
    <m/>
  </r>
  <r>
    <x v="1308"/>
    <x v="1664"/>
    <x v="10"/>
    <x v="1"/>
    <x v="1"/>
    <x v="3"/>
    <x v="10"/>
    <x v="0"/>
    <x v="1630"/>
    <n v="896"/>
    <x v="218"/>
    <x v="0"/>
    <x v="268"/>
    <m/>
    <n v="0.21099999999999999"/>
    <m/>
    <x v="104"/>
    <x v="121"/>
    <m/>
  </r>
  <r>
    <x v="1309"/>
    <x v="1665"/>
    <x v="10"/>
    <x v="1"/>
    <x v="1"/>
    <x v="3"/>
    <x v="10"/>
    <x v="0"/>
    <x v="1631"/>
    <n v="1355"/>
    <x v="216"/>
    <x v="0"/>
    <x v="308"/>
    <m/>
    <n v="0.222"/>
    <m/>
    <x v="23"/>
    <x v="33"/>
    <m/>
  </r>
  <r>
    <x v="1310"/>
    <x v="1666"/>
    <x v="10"/>
    <x v="1"/>
    <x v="1"/>
    <x v="3"/>
    <x v="10"/>
    <x v="0"/>
    <x v="1632"/>
    <n v="609"/>
    <x v="238"/>
    <x v="0"/>
    <x v="208"/>
    <m/>
    <n v="0.127"/>
    <m/>
    <x v="103"/>
    <x v="314"/>
    <m/>
  </r>
  <r>
    <x v="1311"/>
    <x v="1667"/>
    <x v="10"/>
    <x v="1"/>
    <x v="1"/>
    <x v="3"/>
    <x v="10"/>
    <x v="0"/>
    <x v="1633"/>
    <n v="1280"/>
    <x v="257"/>
    <x v="0"/>
    <x v="493"/>
    <m/>
    <n v="0.13200000000000001"/>
    <m/>
    <x v="16"/>
    <x v="301"/>
    <m/>
  </r>
  <r>
    <x v="1312"/>
    <x v="1668"/>
    <x v="10"/>
    <x v="1"/>
    <x v="1"/>
    <x v="3"/>
    <x v="10"/>
    <x v="0"/>
    <x v="1634"/>
    <n v="587"/>
    <x v="231"/>
    <x v="0"/>
    <x v="451"/>
    <m/>
    <n v="0.106"/>
    <m/>
    <x v="30"/>
    <x v="42"/>
    <m/>
  </r>
  <r>
    <x v="1313"/>
    <x v="1669"/>
    <x v="10"/>
    <x v="1"/>
    <x v="1"/>
    <x v="3"/>
    <x v="10"/>
    <x v="0"/>
    <x v="1635"/>
    <n v="606"/>
    <x v="227"/>
    <x v="0"/>
    <x v="492"/>
    <m/>
    <n v="0.14299999999999999"/>
    <m/>
    <x v="23"/>
    <x v="94"/>
    <m/>
  </r>
  <r>
    <x v="1314"/>
    <x v="1670"/>
    <x v="10"/>
    <x v="1"/>
    <x v="1"/>
    <x v="3"/>
    <x v="10"/>
    <x v="0"/>
    <x v="1636"/>
    <n v="743"/>
    <x v="222"/>
    <x v="0"/>
    <x v="410"/>
    <m/>
    <n v="0.09"/>
    <m/>
    <x v="129"/>
    <x v="220"/>
    <m/>
  </r>
  <r>
    <x v="1315"/>
    <x v="1671"/>
    <x v="10"/>
    <x v="1"/>
    <x v="1"/>
    <x v="3"/>
    <x v="10"/>
    <x v="0"/>
    <x v="1637"/>
    <n v="1017"/>
    <x v="232"/>
    <x v="0"/>
    <x v="314"/>
    <m/>
    <n v="0.156"/>
    <m/>
    <x v="49"/>
    <x v="216"/>
    <m/>
  </r>
  <r>
    <x v="1316"/>
    <x v="1672"/>
    <x v="7"/>
    <x v="1"/>
    <x v="1"/>
    <x v="3"/>
    <x v="10"/>
    <x v="1"/>
    <x v="1638"/>
    <n v="399"/>
    <x v="0"/>
    <x v="316"/>
    <x v="559"/>
    <n v="9.7000000000000003E-2"/>
    <n v="0.10100000000000001"/>
    <m/>
    <x v="141"/>
    <x v="155"/>
    <m/>
  </r>
  <r>
    <x v="1316"/>
    <x v="1673"/>
    <x v="7"/>
    <x v="1"/>
    <x v="1"/>
    <x v="3"/>
    <x v="10"/>
    <x v="1"/>
    <x v="1639"/>
    <n v="399"/>
    <x v="0"/>
    <x v="317"/>
    <x v="559"/>
    <n v="0.105"/>
    <n v="0.10100000000000001"/>
    <m/>
    <x v="141"/>
    <x v="155"/>
    <m/>
  </r>
  <r>
    <x v="1317"/>
    <x v="1674"/>
    <x v="10"/>
    <x v="1"/>
    <x v="1"/>
    <x v="3"/>
    <x v="10"/>
    <x v="0"/>
    <x v="1640"/>
    <n v="1006"/>
    <x v="232"/>
    <x v="0"/>
    <x v="294"/>
    <m/>
    <n v="0.16700000000000001"/>
    <m/>
    <x v="141"/>
    <x v="106"/>
    <m/>
  </r>
  <r>
    <x v="1318"/>
    <x v="1675"/>
    <x v="10"/>
    <x v="1"/>
    <x v="1"/>
    <x v="3"/>
    <x v="10"/>
    <x v="0"/>
    <x v="1641"/>
    <n v="1090"/>
    <x v="224"/>
    <x v="0"/>
    <x v="157"/>
    <m/>
    <n v="0.14599999999999999"/>
    <m/>
    <x v="122"/>
    <x v="56"/>
    <m/>
  </r>
  <r>
    <x v="1319"/>
    <x v="1676"/>
    <x v="10"/>
    <x v="1"/>
    <x v="1"/>
    <x v="3"/>
    <x v="10"/>
    <x v="0"/>
    <x v="1642"/>
    <n v="1126"/>
    <x v="223"/>
    <x v="0"/>
    <x v="273"/>
    <m/>
    <n v="0.13800000000000001"/>
    <m/>
    <x v="127"/>
    <x v="111"/>
    <m/>
  </r>
  <r>
    <x v="1320"/>
    <x v="1677"/>
    <x v="10"/>
    <x v="1"/>
    <x v="1"/>
    <x v="3"/>
    <x v="10"/>
    <x v="0"/>
    <x v="1643"/>
    <n v="1452"/>
    <x v="238"/>
    <x v="0"/>
    <x v="3"/>
    <m/>
    <n v="0.17"/>
    <m/>
    <x v="56"/>
    <x v="167"/>
    <m/>
  </r>
  <r>
    <x v="1321"/>
    <x v="1678"/>
    <x v="10"/>
    <x v="1"/>
    <x v="1"/>
    <x v="3"/>
    <x v="10"/>
    <x v="0"/>
    <x v="1644"/>
    <n v="852"/>
    <x v="216"/>
    <x v="0"/>
    <x v="203"/>
    <m/>
    <n v="0.108"/>
    <m/>
    <x v="97"/>
    <x v="38"/>
    <m/>
  </r>
  <r>
    <x v="1322"/>
    <x v="1679"/>
    <x v="10"/>
    <x v="1"/>
    <x v="1"/>
    <x v="3"/>
    <x v="10"/>
    <x v="0"/>
    <x v="1645"/>
    <n v="364"/>
    <x v="237"/>
    <x v="0"/>
    <x v="560"/>
    <m/>
    <n v="8.6999999999999994E-2"/>
    <m/>
    <x v="141"/>
    <x v="182"/>
    <m/>
  </r>
  <r>
    <x v="1323"/>
    <x v="1680"/>
    <x v="10"/>
    <x v="1"/>
    <x v="1"/>
    <x v="3"/>
    <x v="10"/>
    <x v="0"/>
    <x v="1646"/>
    <n v="1150"/>
    <x v="212"/>
    <x v="0"/>
    <x v="230"/>
    <m/>
    <n v="0.192"/>
    <m/>
    <x v="57"/>
    <x v="62"/>
    <m/>
  </r>
  <r>
    <x v="1324"/>
    <x v="1681"/>
    <x v="10"/>
    <x v="1"/>
    <x v="1"/>
    <x v="3"/>
    <x v="10"/>
    <x v="0"/>
    <x v="1647"/>
    <n v="1027"/>
    <x v="208"/>
    <x v="0"/>
    <x v="322"/>
    <m/>
    <n v="0.13700000000000001"/>
    <m/>
    <x v="50"/>
    <x v="16"/>
    <m/>
  </r>
  <r>
    <x v="1325"/>
    <x v="1682"/>
    <x v="10"/>
    <x v="1"/>
    <x v="1"/>
    <x v="3"/>
    <x v="10"/>
    <x v="0"/>
    <x v="1648"/>
    <n v="715"/>
    <x v="238"/>
    <x v="0"/>
    <x v="507"/>
    <m/>
    <n v="0.1"/>
    <m/>
    <x v="141"/>
    <x v="145"/>
    <m/>
  </r>
  <r>
    <x v="1326"/>
    <x v="1683"/>
    <x v="10"/>
    <x v="1"/>
    <x v="1"/>
    <x v="3"/>
    <x v="10"/>
    <x v="0"/>
    <x v="1649"/>
    <n v="1059"/>
    <x v="219"/>
    <x v="0"/>
    <x v="280"/>
    <m/>
    <n v="0.13600000000000001"/>
    <m/>
    <x v="32"/>
    <x v="54"/>
    <m/>
  </r>
  <r>
    <x v="1327"/>
    <x v="1684"/>
    <x v="19"/>
    <x v="1"/>
    <x v="1"/>
    <x v="3"/>
    <x v="10"/>
    <x v="1"/>
    <x v="1650"/>
    <n v="371"/>
    <x v="0"/>
    <x v="0"/>
    <x v="268"/>
    <m/>
    <n v="0.21099999999999999"/>
    <m/>
    <x v="29"/>
    <x v="229"/>
    <m/>
  </r>
  <r>
    <x v="1327"/>
    <x v="1685"/>
    <x v="19"/>
    <x v="1"/>
    <x v="1"/>
    <x v="3"/>
    <x v="10"/>
    <x v="1"/>
    <x v="1651"/>
    <n v="371"/>
    <x v="0"/>
    <x v="0"/>
    <x v="330"/>
    <m/>
    <n v="0.22700000000000001"/>
    <m/>
    <x v="29"/>
    <x v="229"/>
    <m/>
  </r>
  <r>
    <x v="1328"/>
    <x v="1686"/>
    <x v="10"/>
    <x v="1"/>
    <x v="1"/>
    <x v="3"/>
    <x v="10"/>
    <x v="0"/>
    <x v="1652"/>
    <n v="1321"/>
    <x v="208"/>
    <x v="0"/>
    <x v="208"/>
    <m/>
    <n v="0.127"/>
    <m/>
    <x v="44"/>
    <x v="3"/>
    <m/>
  </r>
  <r>
    <x v="1329"/>
    <x v="1687"/>
    <x v="10"/>
    <x v="1"/>
    <x v="1"/>
    <x v="3"/>
    <x v="10"/>
    <x v="0"/>
    <x v="1653"/>
    <n v="982"/>
    <x v="65"/>
    <x v="0"/>
    <x v="379"/>
    <m/>
    <n v="0.14799999999999999"/>
    <m/>
    <x v="97"/>
    <x v="292"/>
    <m/>
  </r>
  <r>
    <x v="1330"/>
    <x v="1688"/>
    <x v="10"/>
    <x v="1"/>
    <x v="1"/>
    <x v="3"/>
    <x v="10"/>
    <x v="0"/>
    <x v="1654"/>
    <n v="1406"/>
    <x v="207"/>
    <x v="0"/>
    <x v="37"/>
    <m/>
    <n v="0.16200000000000001"/>
    <m/>
    <x v="44"/>
    <x v="3"/>
    <m/>
  </r>
  <r>
    <x v="1331"/>
    <x v="1689"/>
    <x v="10"/>
    <x v="1"/>
    <x v="1"/>
    <x v="3"/>
    <x v="10"/>
    <x v="0"/>
    <x v="1655"/>
    <n v="770"/>
    <x v="232"/>
    <x v="0"/>
    <x v="560"/>
    <m/>
    <n v="8.6999999999999994E-2"/>
    <m/>
    <x v="112"/>
    <x v="182"/>
    <m/>
  </r>
  <r>
    <x v="1332"/>
    <x v="1690"/>
    <x v="10"/>
    <x v="1"/>
    <x v="1"/>
    <x v="3"/>
    <x v="10"/>
    <x v="0"/>
    <x v="1656"/>
    <n v="1120"/>
    <x v="229"/>
    <x v="0"/>
    <x v="561"/>
    <m/>
    <n v="0.28499999999999998"/>
    <m/>
    <x v="7"/>
    <x v="193"/>
    <m/>
  </r>
  <r>
    <x v="1333"/>
    <x v="1691"/>
    <x v="10"/>
    <x v="1"/>
    <x v="1"/>
    <x v="3"/>
    <x v="10"/>
    <x v="0"/>
    <x v="1657"/>
    <n v="1257"/>
    <x v="207"/>
    <x v="0"/>
    <x v="273"/>
    <m/>
    <n v="0.13800000000000001"/>
    <m/>
    <x v="127"/>
    <x v="111"/>
    <m/>
  </r>
  <r>
    <x v="1334"/>
    <x v="1692"/>
    <x v="10"/>
    <x v="1"/>
    <x v="1"/>
    <x v="3"/>
    <x v="10"/>
    <x v="0"/>
    <x v="1658"/>
    <n v="631"/>
    <x v="212"/>
    <x v="0"/>
    <x v="562"/>
    <m/>
    <n v="8.1000000000000003E-2"/>
    <m/>
    <x v="122"/>
    <x v="56"/>
    <m/>
  </r>
  <r>
    <x v="1335"/>
    <x v="1693"/>
    <x v="10"/>
    <x v="1"/>
    <x v="1"/>
    <x v="3"/>
    <x v="10"/>
    <x v="0"/>
    <x v="1659"/>
    <n v="996"/>
    <x v="212"/>
    <x v="0"/>
    <x v="560"/>
    <m/>
    <n v="8.6999999999999994E-2"/>
    <m/>
    <x v="7"/>
    <x v="173"/>
    <m/>
  </r>
  <r>
    <x v="1336"/>
    <x v="1694"/>
    <x v="10"/>
    <x v="1"/>
    <x v="1"/>
    <x v="3"/>
    <x v="10"/>
    <x v="0"/>
    <x v="1660"/>
    <n v="498"/>
    <x v="258"/>
    <x v="0"/>
    <x v="166"/>
    <m/>
    <n v="0.11700000000000001"/>
    <m/>
    <x v="103"/>
    <x v="118"/>
    <m/>
  </r>
  <r>
    <x v="1337"/>
    <x v="1695"/>
    <x v="10"/>
    <x v="1"/>
    <x v="1"/>
    <x v="3"/>
    <x v="10"/>
    <x v="0"/>
    <x v="1661"/>
    <n v="1352"/>
    <x v="224"/>
    <x v="0"/>
    <x v="363"/>
    <m/>
    <n v="0.26600000000000001"/>
    <m/>
    <x v="23"/>
    <x v="33"/>
    <m/>
  </r>
  <r>
    <x v="1338"/>
    <x v="1696"/>
    <x v="19"/>
    <x v="1"/>
    <x v="1"/>
    <x v="3"/>
    <x v="10"/>
    <x v="2"/>
    <x v="1662"/>
    <n v="330"/>
    <x v="0"/>
    <x v="0"/>
    <x v="531"/>
    <m/>
    <n v="9.0999999999999998E-2"/>
    <m/>
    <x v="29"/>
    <x v="4"/>
    <m/>
  </r>
  <r>
    <x v="1338"/>
    <x v="1697"/>
    <x v="19"/>
    <x v="1"/>
    <x v="1"/>
    <x v="3"/>
    <x v="10"/>
    <x v="2"/>
    <x v="1663"/>
    <n v="330"/>
    <x v="0"/>
    <x v="0"/>
    <x v="175"/>
    <m/>
    <n v="0.25900000000000001"/>
    <m/>
    <x v="29"/>
    <x v="4"/>
    <m/>
  </r>
  <r>
    <x v="1338"/>
    <x v="1698"/>
    <x v="19"/>
    <x v="1"/>
    <x v="1"/>
    <x v="3"/>
    <x v="10"/>
    <x v="2"/>
    <x v="1664"/>
    <n v="330"/>
    <x v="0"/>
    <x v="0"/>
    <x v="157"/>
    <m/>
    <n v="0.14599999999999999"/>
    <m/>
    <x v="29"/>
    <x v="4"/>
    <m/>
  </r>
  <r>
    <x v="1339"/>
    <x v="1699"/>
    <x v="10"/>
    <x v="1"/>
    <x v="1"/>
    <x v="3"/>
    <x v="10"/>
    <x v="0"/>
    <x v="1665"/>
    <n v="757"/>
    <x v="220"/>
    <x v="0"/>
    <x v="563"/>
    <m/>
    <n v="0.122"/>
    <m/>
    <x v="51"/>
    <x v="50"/>
    <m/>
  </r>
  <r>
    <x v="1340"/>
    <x v="1700"/>
    <x v="10"/>
    <x v="1"/>
    <x v="1"/>
    <x v="3"/>
    <x v="10"/>
    <x v="0"/>
    <x v="1666"/>
    <n v="816"/>
    <x v="65"/>
    <x v="0"/>
    <x v="297"/>
    <m/>
    <n v="0.125"/>
    <m/>
    <x v="6"/>
    <x v="130"/>
    <m/>
  </r>
  <r>
    <x v="1341"/>
    <x v="1701"/>
    <x v="10"/>
    <x v="1"/>
    <x v="1"/>
    <x v="3"/>
    <x v="10"/>
    <x v="0"/>
    <x v="1667"/>
    <n v="727"/>
    <x v="207"/>
    <x v="0"/>
    <x v="557"/>
    <m/>
    <n v="0.128"/>
    <m/>
    <x v="126"/>
    <x v="92"/>
    <m/>
  </r>
  <r>
    <x v="1342"/>
    <x v="1702"/>
    <x v="10"/>
    <x v="1"/>
    <x v="1"/>
    <x v="3"/>
    <x v="10"/>
    <x v="0"/>
    <x v="1668"/>
    <n v="905"/>
    <x v="216"/>
    <x v="0"/>
    <x v="208"/>
    <m/>
    <n v="0.127"/>
    <m/>
    <x v="53"/>
    <x v="45"/>
    <m/>
  </r>
  <r>
    <x v="1343"/>
    <x v="1703"/>
    <x v="10"/>
    <x v="1"/>
    <x v="1"/>
    <x v="3"/>
    <x v="10"/>
    <x v="0"/>
    <x v="1669"/>
    <n v="682"/>
    <x v="207"/>
    <x v="0"/>
    <x v="235"/>
    <m/>
    <n v="0.20399999999999999"/>
    <m/>
    <x v="6"/>
    <x v="130"/>
    <m/>
  </r>
  <r>
    <x v="1344"/>
    <x v="1704"/>
    <x v="10"/>
    <x v="1"/>
    <x v="1"/>
    <x v="3"/>
    <x v="10"/>
    <x v="0"/>
    <x v="1670"/>
    <n v="1343"/>
    <x v="224"/>
    <x v="0"/>
    <x v="550"/>
    <m/>
    <n v="0.16800000000000001"/>
    <m/>
    <x v="54"/>
    <x v="18"/>
    <m/>
  </r>
  <r>
    <x v="1345"/>
    <x v="1705"/>
    <x v="10"/>
    <x v="1"/>
    <x v="1"/>
    <x v="3"/>
    <x v="10"/>
    <x v="0"/>
    <x v="1671"/>
    <n v="1130"/>
    <x v="223"/>
    <x v="0"/>
    <x v="3"/>
    <m/>
    <n v="0.17"/>
    <m/>
    <x v="17"/>
    <x v="193"/>
    <m/>
  </r>
  <r>
    <x v="1346"/>
    <x v="1706"/>
    <x v="10"/>
    <x v="1"/>
    <x v="1"/>
    <x v="3"/>
    <x v="10"/>
    <x v="0"/>
    <x v="1672"/>
    <n v="1396"/>
    <x v="208"/>
    <x v="0"/>
    <x v="518"/>
    <m/>
    <n v="0.22"/>
    <m/>
    <x v="104"/>
    <x v="29"/>
    <m/>
  </r>
  <r>
    <x v="1347"/>
    <x v="1707"/>
    <x v="10"/>
    <x v="1"/>
    <x v="1"/>
    <x v="3"/>
    <x v="10"/>
    <x v="0"/>
    <x v="1673"/>
    <n v="73"/>
    <x v="196"/>
    <x v="0"/>
    <x v="564"/>
    <m/>
    <n v="4.5999999999999999E-2"/>
    <m/>
    <x v="43"/>
    <x v="312"/>
    <m/>
  </r>
  <r>
    <x v="1348"/>
    <x v="1708"/>
    <x v="10"/>
    <x v="1"/>
    <x v="1"/>
    <x v="3"/>
    <x v="10"/>
    <x v="0"/>
    <x v="1674"/>
    <n v="845"/>
    <x v="211"/>
    <x v="0"/>
    <x v="268"/>
    <m/>
    <n v="0.21099999999999999"/>
    <m/>
    <x v="6"/>
    <x v="292"/>
    <m/>
  </r>
  <r>
    <x v="1349"/>
    <x v="1709"/>
    <x v="19"/>
    <x v="1"/>
    <x v="1"/>
    <x v="3"/>
    <x v="10"/>
    <x v="1"/>
    <x v="1675"/>
    <n v="235"/>
    <x v="259"/>
    <x v="318"/>
    <x v="320"/>
    <n v="5.0999999999999997E-2"/>
    <n v="0.215"/>
    <n v="6"/>
    <x v="102"/>
    <x v="171"/>
    <n v="1.44"/>
  </r>
  <r>
    <x v="1349"/>
    <x v="1710"/>
    <x v="19"/>
    <x v="1"/>
    <x v="1"/>
    <x v="3"/>
    <x v="10"/>
    <x v="1"/>
    <x v="1676"/>
    <n v="235"/>
    <x v="259"/>
    <x v="319"/>
    <x v="565"/>
    <n v="2.5999999999999999E-2"/>
    <n v="7.4999999999999997E-2"/>
    <n v="77.7"/>
    <x v="102"/>
    <x v="171"/>
    <n v="1.44"/>
  </r>
  <r>
    <x v="1350"/>
    <x v="1711"/>
    <x v="10"/>
    <x v="1"/>
    <x v="1"/>
    <x v="3"/>
    <x v="10"/>
    <x v="0"/>
    <x v="1677"/>
    <n v="583"/>
    <x v="212"/>
    <x v="0"/>
    <x v="247"/>
    <m/>
    <n v="0.128"/>
    <m/>
    <x v="21"/>
    <x v="100"/>
    <m/>
  </r>
  <r>
    <x v="1351"/>
    <x v="1712"/>
    <x v="10"/>
    <x v="1"/>
    <x v="1"/>
    <x v="3"/>
    <x v="10"/>
    <x v="1"/>
    <x v="1678"/>
    <n v="705"/>
    <x v="149"/>
    <x v="0"/>
    <x v="513"/>
    <m/>
    <n v="0.111"/>
    <m/>
    <x v="52"/>
    <x v="107"/>
    <m/>
  </r>
  <r>
    <x v="1351"/>
    <x v="1713"/>
    <x v="10"/>
    <x v="1"/>
    <x v="1"/>
    <x v="3"/>
    <x v="10"/>
    <x v="1"/>
    <x v="1679"/>
    <n v="705"/>
    <x v="149"/>
    <x v="0"/>
    <x v="547"/>
    <m/>
    <n v="0.109"/>
    <m/>
    <x v="52"/>
    <x v="107"/>
    <m/>
  </r>
  <r>
    <x v="1352"/>
    <x v="1714"/>
    <x v="10"/>
    <x v="1"/>
    <x v="1"/>
    <x v="3"/>
    <x v="10"/>
    <x v="0"/>
    <x v="1680"/>
    <n v="305"/>
    <x v="24"/>
    <x v="0"/>
    <x v="371"/>
    <m/>
    <n v="0.187"/>
    <m/>
    <x v="7"/>
    <x v="94"/>
    <m/>
  </r>
  <r>
    <x v="1353"/>
    <x v="1715"/>
    <x v="10"/>
    <x v="1"/>
    <x v="1"/>
    <x v="3"/>
    <x v="10"/>
    <x v="0"/>
    <x v="1681"/>
    <n v="187"/>
    <x v="243"/>
    <x v="0"/>
    <x v="498"/>
    <m/>
    <n v="0.157"/>
    <m/>
    <x v="127"/>
    <x v="131"/>
    <m/>
  </r>
  <r>
    <x v="1354"/>
    <x v="1716"/>
    <x v="10"/>
    <x v="1"/>
    <x v="1"/>
    <x v="3"/>
    <x v="10"/>
    <x v="0"/>
    <x v="1682"/>
    <n v="462"/>
    <x v="260"/>
    <x v="0"/>
    <x v="566"/>
    <m/>
    <n v="0.45600000000000002"/>
    <m/>
    <x v="14"/>
    <x v="285"/>
    <m/>
  </r>
  <r>
    <x v="1355"/>
    <x v="1717"/>
    <x v="10"/>
    <x v="1"/>
    <x v="1"/>
    <x v="3"/>
    <x v="10"/>
    <x v="0"/>
    <x v="1683"/>
    <n v="505"/>
    <x v="242"/>
    <x v="0"/>
    <x v="231"/>
    <m/>
    <n v="0.123"/>
    <m/>
    <x v="34"/>
    <x v="91"/>
    <m/>
  </r>
  <r>
    <x v="1356"/>
    <x v="1718"/>
    <x v="10"/>
    <x v="1"/>
    <x v="1"/>
    <x v="3"/>
    <x v="10"/>
    <x v="0"/>
    <x v="1684"/>
    <n v="753"/>
    <x v="228"/>
    <x v="0"/>
    <x v="567"/>
    <m/>
    <n v="0.316"/>
    <m/>
    <x v="48"/>
    <x v="40"/>
    <m/>
  </r>
  <r>
    <x v="1357"/>
    <x v="1719"/>
    <x v="10"/>
    <x v="1"/>
    <x v="1"/>
    <x v="3"/>
    <x v="10"/>
    <x v="0"/>
    <x v="1685"/>
    <n v="734"/>
    <x v="215"/>
    <x v="0"/>
    <x v="319"/>
    <m/>
    <n v="0.13900000000000001"/>
    <m/>
    <x v="134"/>
    <x v="38"/>
    <m/>
  </r>
  <r>
    <x v="1358"/>
    <x v="1720"/>
    <x v="10"/>
    <x v="1"/>
    <x v="1"/>
    <x v="3"/>
    <x v="10"/>
    <x v="0"/>
    <x v="1686"/>
    <n v="475"/>
    <x v="223"/>
    <x v="0"/>
    <x v="568"/>
    <m/>
    <n v="0.27700000000000002"/>
    <m/>
    <x v="69"/>
    <x v="86"/>
    <m/>
  </r>
  <r>
    <x v="1359"/>
    <x v="1721"/>
    <x v="10"/>
    <x v="1"/>
    <x v="1"/>
    <x v="3"/>
    <x v="10"/>
    <x v="0"/>
    <x v="1687"/>
    <n v="114"/>
    <x v="233"/>
    <x v="0"/>
    <x v="212"/>
    <m/>
    <n v="0.12"/>
    <m/>
    <x v="92"/>
    <x v="80"/>
    <m/>
  </r>
  <r>
    <x v="1360"/>
    <x v="1722"/>
    <x v="19"/>
    <x v="1"/>
    <x v="1"/>
    <x v="3"/>
    <x v="10"/>
    <x v="4"/>
    <x v="1688"/>
    <n v="303"/>
    <x v="0"/>
    <x v="0"/>
    <x v="203"/>
    <m/>
    <n v="0.108"/>
    <m/>
    <x v="29"/>
    <x v="201"/>
    <m/>
  </r>
  <r>
    <x v="1360"/>
    <x v="1723"/>
    <x v="19"/>
    <x v="1"/>
    <x v="1"/>
    <x v="3"/>
    <x v="10"/>
    <x v="4"/>
    <x v="1689"/>
    <n v="303"/>
    <x v="0"/>
    <x v="0"/>
    <x v="242"/>
    <m/>
    <n v="0.114"/>
    <m/>
    <x v="29"/>
    <x v="201"/>
    <m/>
  </r>
  <r>
    <x v="1360"/>
    <x v="1724"/>
    <x v="19"/>
    <x v="1"/>
    <x v="1"/>
    <x v="3"/>
    <x v="10"/>
    <x v="4"/>
    <x v="1690"/>
    <n v="303"/>
    <x v="0"/>
    <x v="0"/>
    <x v="273"/>
    <m/>
    <n v="0.13800000000000001"/>
    <m/>
    <x v="29"/>
    <x v="201"/>
    <m/>
  </r>
  <r>
    <x v="1360"/>
    <x v="1725"/>
    <x v="10"/>
    <x v="1"/>
    <x v="1"/>
    <x v="3"/>
    <x v="10"/>
    <x v="4"/>
    <x v="1691"/>
    <n v="303"/>
    <x v="0"/>
    <x v="0"/>
    <x v="475"/>
    <m/>
    <n v="0.105"/>
    <m/>
    <x v="29"/>
    <x v="201"/>
    <m/>
  </r>
  <r>
    <x v="1361"/>
    <x v="1726"/>
    <x v="10"/>
    <x v="1"/>
    <x v="1"/>
    <x v="3"/>
    <x v="10"/>
    <x v="0"/>
    <x v="1692"/>
    <n v="771"/>
    <x v="204"/>
    <x v="0"/>
    <x v="169"/>
    <m/>
    <n v="0.152"/>
    <m/>
    <x v="34"/>
    <x v="36"/>
    <m/>
  </r>
  <r>
    <x v="1362"/>
    <x v="1727"/>
    <x v="10"/>
    <x v="1"/>
    <x v="1"/>
    <x v="3"/>
    <x v="10"/>
    <x v="1"/>
    <x v="1693"/>
    <n v="547"/>
    <x v="212"/>
    <x v="0"/>
    <x v="569"/>
    <m/>
    <n v="0.439"/>
    <m/>
    <x v="77"/>
    <x v="81"/>
    <m/>
  </r>
  <r>
    <x v="1362"/>
    <x v="1728"/>
    <x v="10"/>
    <x v="1"/>
    <x v="1"/>
    <x v="3"/>
    <x v="10"/>
    <x v="1"/>
    <x v="1694"/>
    <n v="547"/>
    <x v="212"/>
    <x v="0"/>
    <x v="445"/>
    <m/>
    <n v="0.214"/>
    <m/>
    <x v="77"/>
    <x v="81"/>
    <m/>
  </r>
  <r>
    <x v="1363"/>
    <x v="1729"/>
    <x v="10"/>
    <x v="1"/>
    <x v="1"/>
    <x v="3"/>
    <x v="10"/>
    <x v="0"/>
    <x v="1695"/>
    <n v="1217"/>
    <x v="216"/>
    <x v="0"/>
    <x v="165"/>
    <m/>
    <n v="0.14399999999999999"/>
    <m/>
    <x v="3"/>
    <x v="90"/>
    <m/>
  </r>
  <r>
    <x v="1364"/>
    <x v="1730"/>
    <x v="10"/>
    <x v="1"/>
    <x v="1"/>
    <x v="3"/>
    <x v="10"/>
    <x v="0"/>
    <x v="1696"/>
    <n v="530"/>
    <x v="220"/>
    <x v="0"/>
    <x v="280"/>
    <m/>
    <n v="0.13600000000000001"/>
    <m/>
    <x v="112"/>
    <x v="107"/>
    <m/>
  </r>
  <r>
    <x v="1365"/>
    <x v="1731"/>
    <x v="10"/>
    <x v="1"/>
    <x v="1"/>
    <x v="3"/>
    <x v="10"/>
    <x v="0"/>
    <x v="1697"/>
    <n v="522"/>
    <x v="238"/>
    <x v="0"/>
    <x v="228"/>
    <m/>
    <n v="0.13500000000000001"/>
    <m/>
    <x v="110"/>
    <x v="142"/>
    <m/>
  </r>
  <r>
    <x v="1366"/>
    <x v="1732"/>
    <x v="10"/>
    <x v="1"/>
    <x v="1"/>
    <x v="3"/>
    <x v="10"/>
    <x v="0"/>
    <x v="1698"/>
    <n v="955"/>
    <x v="215"/>
    <x v="0"/>
    <x v="170"/>
    <m/>
    <n v="0.255"/>
    <m/>
    <x v="89"/>
    <x v="33"/>
    <m/>
  </r>
  <r>
    <x v="1367"/>
    <x v="1733"/>
    <x v="10"/>
    <x v="1"/>
    <x v="1"/>
    <x v="3"/>
    <x v="10"/>
    <x v="0"/>
    <x v="1699"/>
    <n v="910"/>
    <x v="140"/>
    <x v="0"/>
    <x v="570"/>
    <m/>
    <n v="0.373"/>
    <m/>
    <x v="103"/>
    <x v="123"/>
    <m/>
  </r>
  <r>
    <x v="1368"/>
    <x v="1734"/>
    <x v="10"/>
    <x v="1"/>
    <x v="1"/>
    <x v="3"/>
    <x v="10"/>
    <x v="0"/>
    <x v="1700"/>
    <n v="688"/>
    <x v="208"/>
    <x v="0"/>
    <x v="237"/>
    <m/>
    <n v="0.161"/>
    <m/>
    <x v="102"/>
    <x v="171"/>
    <m/>
  </r>
  <r>
    <x v="1369"/>
    <x v="1735"/>
    <x v="10"/>
    <x v="1"/>
    <x v="1"/>
    <x v="3"/>
    <x v="10"/>
    <x v="0"/>
    <x v="1701"/>
    <n v="630"/>
    <x v="223"/>
    <x v="0"/>
    <x v="495"/>
    <m/>
    <n v="8.6999999999999994E-2"/>
    <m/>
    <x v="57"/>
    <x v="173"/>
    <m/>
  </r>
  <r>
    <x v="1370"/>
    <x v="1736"/>
    <x v="10"/>
    <x v="1"/>
    <x v="1"/>
    <x v="3"/>
    <x v="10"/>
    <x v="0"/>
    <x v="1702"/>
    <n v="624"/>
    <x v="254"/>
    <x v="0"/>
    <x v="331"/>
    <m/>
    <n v="0.19400000000000001"/>
    <m/>
    <x v="145"/>
    <x v="67"/>
    <m/>
  </r>
  <r>
    <x v="1371"/>
    <x v="1737"/>
    <x v="19"/>
    <x v="1"/>
    <x v="1"/>
    <x v="3"/>
    <x v="10"/>
    <x v="1"/>
    <x v="1703"/>
    <n v="530"/>
    <x v="0"/>
    <x v="0"/>
    <x v="498"/>
    <m/>
    <n v="0.157"/>
    <m/>
    <x v="29"/>
    <x v="126"/>
    <m/>
  </r>
  <r>
    <x v="1371"/>
    <x v="1738"/>
    <x v="19"/>
    <x v="1"/>
    <x v="1"/>
    <x v="3"/>
    <x v="10"/>
    <x v="1"/>
    <x v="1704"/>
    <n v="530"/>
    <x v="0"/>
    <x v="0"/>
    <x v="270"/>
    <m/>
    <n v="0.253"/>
    <m/>
    <x v="29"/>
    <x v="126"/>
    <m/>
  </r>
  <r>
    <x v="1372"/>
    <x v="1739"/>
    <x v="10"/>
    <x v="1"/>
    <x v="1"/>
    <x v="3"/>
    <x v="10"/>
    <x v="0"/>
    <x v="1705"/>
    <n v="939"/>
    <x v="65"/>
    <x v="0"/>
    <x v="520"/>
    <m/>
    <n v="0.14699999999999999"/>
    <m/>
    <x v="54"/>
    <x v="16"/>
    <m/>
  </r>
  <r>
    <x v="1373"/>
    <x v="1740"/>
    <x v="10"/>
    <x v="1"/>
    <x v="1"/>
    <x v="3"/>
    <x v="10"/>
    <x v="0"/>
    <x v="1706"/>
    <n v="365"/>
    <x v="212"/>
    <x v="0"/>
    <x v="571"/>
    <m/>
    <n v="9.4E-2"/>
    <m/>
    <x v="145"/>
    <x v="67"/>
    <m/>
  </r>
  <r>
    <x v="1374"/>
    <x v="1741"/>
    <x v="10"/>
    <x v="1"/>
    <x v="1"/>
    <x v="3"/>
    <x v="10"/>
    <x v="0"/>
    <x v="1707"/>
    <n v="515"/>
    <x v="109"/>
    <x v="0"/>
    <x v="563"/>
    <m/>
    <n v="0.122"/>
    <m/>
    <x v="44"/>
    <x v="52"/>
    <m/>
  </r>
  <r>
    <x v="1375"/>
    <x v="1742"/>
    <x v="10"/>
    <x v="1"/>
    <x v="1"/>
    <x v="3"/>
    <x v="10"/>
    <x v="0"/>
    <x v="1708"/>
    <n v="958"/>
    <x v="223"/>
    <x v="0"/>
    <x v="224"/>
    <m/>
    <n v="0.251"/>
    <m/>
    <x v="23"/>
    <x v="94"/>
    <m/>
  </r>
  <r>
    <x v="1376"/>
    <x v="1743"/>
    <x v="10"/>
    <x v="1"/>
    <x v="1"/>
    <x v="3"/>
    <x v="10"/>
    <x v="0"/>
    <x v="1709"/>
    <n v="1047"/>
    <x v="211"/>
    <x v="0"/>
    <x v="235"/>
    <m/>
    <n v="0.20399999999999999"/>
    <m/>
    <x v="23"/>
    <x v="33"/>
    <m/>
  </r>
  <r>
    <x v="1377"/>
    <x v="1744"/>
    <x v="10"/>
    <x v="1"/>
    <x v="1"/>
    <x v="3"/>
    <x v="10"/>
    <x v="0"/>
    <x v="1710"/>
    <n v="628"/>
    <x v="65"/>
    <x v="0"/>
    <x v="218"/>
    <m/>
    <n v="0.129"/>
    <m/>
    <x v="96"/>
    <x v="36"/>
    <m/>
  </r>
  <r>
    <x v="1378"/>
    <x v="1745"/>
    <x v="10"/>
    <x v="1"/>
    <x v="1"/>
    <x v="3"/>
    <x v="10"/>
    <x v="1"/>
    <x v="1711"/>
    <n v="822"/>
    <x v="261"/>
    <x v="0"/>
    <x v="35"/>
    <m/>
    <n v="0.17699999999999999"/>
    <m/>
    <x v="23"/>
    <x v="96"/>
    <m/>
  </r>
  <r>
    <x v="1378"/>
    <x v="1746"/>
    <x v="10"/>
    <x v="1"/>
    <x v="1"/>
    <x v="3"/>
    <x v="10"/>
    <x v="1"/>
    <x v="1712"/>
    <n v="822"/>
    <x v="261"/>
    <x v="0"/>
    <x v="349"/>
    <m/>
    <n v="0.153"/>
    <m/>
    <x v="23"/>
    <x v="96"/>
    <m/>
  </r>
  <r>
    <x v="1379"/>
    <x v="1747"/>
    <x v="10"/>
    <x v="1"/>
    <x v="1"/>
    <x v="3"/>
    <x v="10"/>
    <x v="0"/>
    <x v="1713"/>
    <n v="588"/>
    <x v="211"/>
    <x v="0"/>
    <x v="320"/>
    <m/>
    <n v="0.215"/>
    <m/>
    <x v="37"/>
    <x v="282"/>
    <m/>
  </r>
  <r>
    <x v="1380"/>
    <x v="1748"/>
    <x v="10"/>
    <x v="1"/>
    <x v="1"/>
    <x v="3"/>
    <x v="10"/>
    <x v="0"/>
    <x v="1714"/>
    <n v="619"/>
    <x v="44"/>
    <x v="0"/>
    <x v="542"/>
    <m/>
    <n v="8.2000000000000003E-2"/>
    <m/>
    <x v="48"/>
    <x v="133"/>
    <m/>
  </r>
  <r>
    <x v="1381"/>
    <x v="1749"/>
    <x v="10"/>
    <x v="1"/>
    <x v="1"/>
    <x v="3"/>
    <x v="10"/>
    <x v="0"/>
    <x v="1715"/>
    <n v="267"/>
    <x v="254"/>
    <x v="0"/>
    <x v="572"/>
    <m/>
    <n v="6.3E-2"/>
    <m/>
    <x v="23"/>
    <x v="3"/>
    <m/>
  </r>
  <r>
    <x v="1382"/>
    <x v="1750"/>
    <x v="19"/>
    <x v="1"/>
    <x v="1"/>
    <x v="3"/>
    <x v="10"/>
    <x v="1"/>
    <x v="1716"/>
    <n v="369"/>
    <x v="0"/>
    <x v="0"/>
    <x v="184"/>
    <m/>
    <n v="0.17799999999999999"/>
    <m/>
    <x v="29"/>
    <x v="201"/>
    <m/>
  </r>
  <r>
    <x v="1382"/>
    <x v="1751"/>
    <x v="19"/>
    <x v="1"/>
    <x v="1"/>
    <x v="3"/>
    <x v="10"/>
    <x v="1"/>
    <x v="1717"/>
    <n v="369"/>
    <x v="0"/>
    <x v="0"/>
    <x v="482"/>
    <m/>
    <n v="0.112"/>
    <m/>
    <x v="29"/>
    <x v="201"/>
    <m/>
  </r>
  <r>
    <x v="1383"/>
    <x v="1752"/>
    <x v="10"/>
    <x v="1"/>
    <x v="1"/>
    <x v="3"/>
    <x v="10"/>
    <x v="0"/>
    <x v="1718"/>
    <n v="1421"/>
    <x v="155"/>
    <x v="0"/>
    <x v="273"/>
    <m/>
    <n v="0.13800000000000001"/>
    <m/>
    <x v="46"/>
    <x v="212"/>
    <m/>
  </r>
  <r>
    <x v="1384"/>
    <x v="1753"/>
    <x v="10"/>
    <x v="1"/>
    <x v="1"/>
    <x v="3"/>
    <x v="10"/>
    <x v="0"/>
    <x v="1719"/>
    <n v="466"/>
    <x v="262"/>
    <x v="0"/>
    <x v="539"/>
    <m/>
    <n v="0.26700000000000002"/>
    <m/>
    <x v="137"/>
    <x v="185"/>
    <m/>
  </r>
  <r>
    <x v="1385"/>
    <x v="1754"/>
    <x v="10"/>
    <x v="1"/>
    <x v="1"/>
    <x v="3"/>
    <x v="10"/>
    <x v="0"/>
    <x v="1720"/>
    <n v="941"/>
    <x v="224"/>
    <x v="0"/>
    <x v="379"/>
    <m/>
    <n v="0.14799999999999999"/>
    <m/>
    <x v="89"/>
    <x v="52"/>
    <m/>
  </r>
  <r>
    <x v="1386"/>
    <x v="1755"/>
    <x v="10"/>
    <x v="1"/>
    <x v="1"/>
    <x v="3"/>
    <x v="10"/>
    <x v="0"/>
    <x v="1721"/>
    <n v="1307"/>
    <x v="229"/>
    <x v="0"/>
    <x v="386"/>
    <m/>
    <n v="0.17199999999999999"/>
    <m/>
    <x v="44"/>
    <x v="3"/>
    <m/>
  </r>
  <r>
    <x v="1387"/>
    <x v="1756"/>
    <x v="10"/>
    <x v="1"/>
    <x v="1"/>
    <x v="3"/>
    <x v="10"/>
    <x v="0"/>
    <x v="1722"/>
    <n v="851"/>
    <x v="159"/>
    <x v="0"/>
    <x v="307"/>
    <m/>
    <n v="0.16400000000000001"/>
    <m/>
    <x v="25"/>
    <x v="4"/>
    <m/>
  </r>
  <r>
    <x v="1388"/>
    <x v="1757"/>
    <x v="10"/>
    <x v="1"/>
    <x v="1"/>
    <x v="3"/>
    <x v="10"/>
    <x v="0"/>
    <x v="1723"/>
    <n v="1164"/>
    <x v="177"/>
    <x v="0"/>
    <x v="479"/>
    <m/>
    <n v="0.21099999999999999"/>
    <m/>
    <x v="64"/>
    <x v="155"/>
    <m/>
  </r>
  <r>
    <x v="1389"/>
    <x v="1758"/>
    <x v="10"/>
    <x v="1"/>
    <x v="1"/>
    <x v="3"/>
    <x v="10"/>
    <x v="0"/>
    <x v="1724"/>
    <n v="1123"/>
    <x v="231"/>
    <x v="0"/>
    <x v="406"/>
    <m/>
    <n v="0.14099999999999999"/>
    <m/>
    <x v="30"/>
    <x v="42"/>
    <m/>
  </r>
  <r>
    <x v="1390"/>
    <x v="1759"/>
    <x v="10"/>
    <x v="1"/>
    <x v="1"/>
    <x v="3"/>
    <x v="10"/>
    <x v="0"/>
    <x v="1725"/>
    <n v="321"/>
    <x v="254"/>
    <x v="0"/>
    <x v="534"/>
    <m/>
    <n v="9.1999999999999998E-2"/>
    <m/>
    <x v="58"/>
    <x v="38"/>
    <m/>
  </r>
  <r>
    <x v="1391"/>
    <x v="1760"/>
    <x v="10"/>
    <x v="1"/>
    <x v="1"/>
    <x v="3"/>
    <x v="10"/>
    <x v="0"/>
    <x v="1726"/>
    <n v="1033"/>
    <x v="196"/>
    <x v="0"/>
    <x v="573"/>
    <m/>
    <n v="0.17299999999999999"/>
    <m/>
    <x v="48"/>
    <x v="110"/>
    <m/>
  </r>
  <r>
    <x v="1392"/>
    <x v="1761"/>
    <x v="10"/>
    <x v="1"/>
    <x v="1"/>
    <x v="3"/>
    <x v="10"/>
    <x v="0"/>
    <x v="1727"/>
    <n v="260"/>
    <x v="238"/>
    <x v="0"/>
    <x v="574"/>
    <m/>
    <n v="6.2E-2"/>
    <m/>
    <x v="56"/>
    <x v="182"/>
    <m/>
  </r>
  <r>
    <x v="1393"/>
    <x v="1762"/>
    <x v="19"/>
    <x v="1"/>
    <x v="1"/>
    <x v="3"/>
    <x v="10"/>
    <x v="1"/>
    <x v="1728"/>
    <n v="604"/>
    <x v="0"/>
    <x v="0"/>
    <x v="502"/>
    <m/>
    <n v="0.161"/>
    <m/>
    <x v="29"/>
    <x v="223"/>
    <m/>
  </r>
  <r>
    <x v="1393"/>
    <x v="1763"/>
    <x v="19"/>
    <x v="1"/>
    <x v="1"/>
    <x v="3"/>
    <x v="10"/>
    <x v="1"/>
    <x v="1729"/>
    <n v="604"/>
    <x v="0"/>
    <x v="0"/>
    <x v="409"/>
    <m/>
    <n v="0.10299999999999999"/>
    <m/>
    <x v="29"/>
    <x v="223"/>
    <m/>
  </r>
  <r>
    <x v="1394"/>
    <x v="1764"/>
    <x v="10"/>
    <x v="1"/>
    <x v="1"/>
    <x v="3"/>
    <x v="10"/>
    <x v="1"/>
    <x v="1730"/>
    <n v="350"/>
    <x v="223"/>
    <x v="0"/>
    <x v="221"/>
    <m/>
    <n v="0.22500000000000001"/>
    <m/>
    <x v="87"/>
    <x v="81"/>
    <m/>
  </r>
  <r>
    <x v="1394"/>
    <x v="1765"/>
    <x v="10"/>
    <x v="1"/>
    <x v="1"/>
    <x v="3"/>
    <x v="10"/>
    <x v="1"/>
    <x v="1731"/>
    <n v="350"/>
    <x v="223"/>
    <x v="0"/>
    <x v="215"/>
    <m/>
    <n v="0.154"/>
    <m/>
    <x v="87"/>
    <x v="81"/>
    <m/>
  </r>
  <r>
    <x v="1395"/>
    <x v="1766"/>
    <x v="10"/>
    <x v="1"/>
    <x v="1"/>
    <x v="3"/>
    <x v="10"/>
    <x v="0"/>
    <x v="1732"/>
    <n v="241"/>
    <x v="212"/>
    <x v="0"/>
    <x v="575"/>
    <m/>
    <n v="5.8000000000000003E-2"/>
    <m/>
    <x v="37"/>
    <x v="282"/>
    <m/>
  </r>
  <r>
    <x v="1396"/>
    <x v="1767"/>
    <x v="10"/>
    <x v="1"/>
    <x v="1"/>
    <x v="3"/>
    <x v="10"/>
    <x v="0"/>
    <x v="1733"/>
    <n v="637"/>
    <x v="204"/>
    <x v="0"/>
    <x v="219"/>
    <m/>
    <n v="7.9000000000000001E-2"/>
    <m/>
    <x v="129"/>
    <x v="220"/>
    <m/>
  </r>
  <r>
    <x v="1397"/>
    <x v="1768"/>
    <x v="10"/>
    <x v="1"/>
    <x v="1"/>
    <x v="3"/>
    <x v="10"/>
    <x v="0"/>
    <x v="1734"/>
    <n v="596"/>
    <x v="207"/>
    <x v="0"/>
    <x v="237"/>
    <m/>
    <n v="0.161"/>
    <m/>
    <x v="99"/>
    <x v="185"/>
    <m/>
  </r>
  <r>
    <x v="1398"/>
    <x v="1769"/>
    <x v="10"/>
    <x v="1"/>
    <x v="1"/>
    <x v="3"/>
    <x v="10"/>
    <x v="0"/>
    <x v="1735"/>
    <n v="1057"/>
    <x v="219"/>
    <x v="0"/>
    <x v="576"/>
    <m/>
    <n v="0.26500000000000001"/>
    <m/>
    <x v="56"/>
    <x v="89"/>
    <m/>
  </r>
  <r>
    <x v="1399"/>
    <x v="1770"/>
    <x v="10"/>
    <x v="1"/>
    <x v="1"/>
    <x v="3"/>
    <x v="10"/>
    <x v="0"/>
    <x v="1736"/>
    <n v="963"/>
    <x v="211"/>
    <x v="0"/>
    <x v="472"/>
    <m/>
    <n v="0.13"/>
    <m/>
    <x v="59"/>
    <x v="56"/>
    <m/>
  </r>
  <r>
    <x v="1400"/>
    <x v="1771"/>
    <x v="10"/>
    <x v="1"/>
    <x v="1"/>
    <x v="3"/>
    <x v="10"/>
    <x v="0"/>
    <x v="1737"/>
    <n v="881"/>
    <x v="65"/>
    <x v="0"/>
    <x v="544"/>
    <m/>
    <n v="0.13600000000000001"/>
    <m/>
    <x v="58"/>
    <x v="202"/>
    <m/>
  </r>
  <r>
    <x v="1401"/>
    <x v="1772"/>
    <x v="10"/>
    <x v="1"/>
    <x v="1"/>
    <x v="3"/>
    <x v="10"/>
    <x v="0"/>
    <x v="1738"/>
    <n v="1026"/>
    <x v="223"/>
    <x v="0"/>
    <x v="242"/>
    <m/>
    <n v="0.114"/>
    <m/>
    <x v="89"/>
    <x v="52"/>
    <m/>
  </r>
  <r>
    <x v="1402"/>
    <x v="1773"/>
    <x v="10"/>
    <x v="1"/>
    <x v="1"/>
    <x v="3"/>
    <x v="10"/>
    <x v="0"/>
    <x v="1739"/>
    <n v="558"/>
    <x v="228"/>
    <x v="0"/>
    <x v="507"/>
    <m/>
    <n v="0.1"/>
    <m/>
    <x v="58"/>
    <x v="38"/>
    <m/>
  </r>
  <r>
    <x v="1403"/>
    <x v="1774"/>
    <x v="10"/>
    <x v="1"/>
    <x v="1"/>
    <x v="3"/>
    <x v="10"/>
    <x v="0"/>
    <x v="1740"/>
    <n v="669"/>
    <x v="20"/>
    <x v="0"/>
    <x v="279"/>
    <m/>
    <n v="0.252"/>
    <m/>
    <x v="110"/>
    <x v="185"/>
    <m/>
  </r>
  <r>
    <x v="1404"/>
    <x v="1775"/>
    <x v="19"/>
    <x v="1"/>
    <x v="1"/>
    <x v="3"/>
    <x v="10"/>
    <x v="1"/>
    <x v="1741"/>
    <n v="366"/>
    <x v="0"/>
    <x v="0"/>
    <x v="396"/>
    <m/>
    <n v="0.183"/>
    <m/>
    <x v="29"/>
    <x v="311"/>
    <m/>
  </r>
  <r>
    <x v="1404"/>
    <x v="1776"/>
    <x v="19"/>
    <x v="1"/>
    <x v="1"/>
    <x v="3"/>
    <x v="10"/>
    <x v="1"/>
    <x v="1742"/>
    <n v="366"/>
    <x v="0"/>
    <x v="0"/>
    <x v="236"/>
    <m/>
    <n v="0.17799999999999999"/>
    <m/>
    <x v="29"/>
    <x v="311"/>
    <m/>
  </r>
  <r>
    <x v="1405"/>
    <x v="1777"/>
    <x v="10"/>
    <x v="1"/>
    <x v="1"/>
    <x v="3"/>
    <x v="10"/>
    <x v="0"/>
    <x v="1743"/>
    <n v="1405"/>
    <x v="252"/>
    <x v="0"/>
    <x v="494"/>
    <m/>
    <n v="0.30299999999999999"/>
    <m/>
    <x v="156"/>
    <x v="293"/>
    <m/>
  </r>
  <r>
    <x v="1406"/>
    <x v="1778"/>
    <x v="10"/>
    <x v="1"/>
    <x v="1"/>
    <x v="3"/>
    <x v="10"/>
    <x v="0"/>
    <x v="1744"/>
    <n v="404"/>
    <x v="65"/>
    <x v="0"/>
    <x v="556"/>
    <m/>
    <n v="7.6999999999999999E-2"/>
    <m/>
    <x v="134"/>
    <x v="38"/>
    <m/>
  </r>
  <r>
    <x v="1407"/>
    <x v="1779"/>
    <x v="10"/>
    <x v="1"/>
    <x v="1"/>
    <x v="3"/>
    <x v="10"/>
    <x v="0"/>
    <x v="1745"/>
    <n v="767"/>
    <x v="231"/>
    <x v="0"/>
    <x v="238"/>
    <m/>
    <n v="0.23200000000000001"/>
    <m/>
    <x v="34"/>
    <x v="36"/>
    <m/>
  </r>
  <r>
    <x v="1408"/>
    <x v="1780"/>
    <x v="10"/>
    <x v="1"/>
    <x v="1"/>
    <x v="3"/>
    <x v="10"/>
    <x v="0"/>
    <x v="1746"/>
    <n v="559"/>
    <x v="212"/>
    <x v="0"/>
    <x v="211"/>
    <m/>
    <n v="0.112"/>
    <m/>
    <x v="99"/>
    <x v="185"/>
    <m/>
  </r>
  <r>
    <x v="1409"/>
    <x v="1781"/>
    <x v="10"/>
    <x v="1"/>
    <x v="1"/>
    <x v="3"/>
    <x v="10"/>
    <x v="0"/>
    <x v="1747"/>
    <n v="1149"/>
    <x v="217"/>
    <x v="0"/>
    <x v="230"/>
    <m/>
    <n v="0.192"/>
    <m/>
    <x v="144"/>
    <x v="50"/>
    <m/>
  </r>
  <r>
    <x v="1410"/>
    <x v="1782"/>
    <x v="10"/>
    <x v="1"/>
    <x v="1"/>
    <x v="3"/>
    <x v="10"/>
    <x v="1"/>
    <x v="1748"/>
    <n v="541"/>
    <x v="260"/>
    <x v="0"/>
    <x v="542"/>
    <m/>
    <n v="8.2000000000000003E-2"/>
    <m/>
    <x v="57"/>
    <x v="133"/>
    <m/>
  </r>
  <r>
    <x v="1410"/>
    <x v="1783"/>
    <x v="10"/>
    <x v="1"/>
    <x v="1"/>
    <x v="3"/>
    <x v="10"/>
    <x v="1"/>
    <x v="1749"/>
    <n v="541"/>
    <x v="260"/>
    <x v="0"/>
    <x v="500"/>
    <m/>
    <n v="7.0999999999999994E-2"/>
    <m/>
    <x v="57"/>
    <x v="133"/>
    <m/>
  </r>
  <r>
    <x v="1411"/>
    <x v="1784"/>
    <x v="10"/>
    <x v="1"/>
    <x v="1"/>
    <x v="3"/>
    <x v="10"/>
    <x v="0"/>
    <x v="1750"/>
    <n v="395"/>
    <x v="229"/>
    <x v="0"/>
    <x v="557"/>
    <m/>
    <n v="0.128"/>
    <m/>
    <x v="138"/>
    <x v="284"/>
    <m/>
  </r>
  <r>
    <x v="1412"/>
    <x v="1785"/>
    <x v="10"/>
    <x v="1"/>
    <x v="1"/>
    <x v="3"/>
    <x v="10"/>
    <x v="0"/>
    <x v="1751"/>
    <n v="357"/>
    <x v="218"/>
    <x v="0"/>
    <x v="542"/>
    <m/>
    <n v="8.2000000000000003E-2"/>
    <m/>
    <x v="138"/>
    <x v="284"/>
    <m/>
  </r>
  <r>
    <x v="1413"/>
    <x v="1786"/>
    <x v="10"/>
    <x v="1"/>
    <x v="1"/>
    <x v="3"/>
    <x v="10"/>
    <x v="0"/>
    <x v="1752"/>
    <n v="1750"/>
    <x v="242"/>
    <x v="0"/>
    <x v="520"/>
    <m/>
    <n v="0.14699999999999999"/>
    <m/>
    <x v="154"/>
    <x v="29"/>
    <m/>
  </r>
  <r>
    <x v="1414"/>
    <x v="1787"/>
    <x v="10"/>
    <x v="1"/>
    <x v="1"/>
    <x v="3"/>
    <x v="10"/>
    <x v="0"/>
    <x v="1753"/>
    <n v="1236"/>
    <x v="208"/>
    <x v="0"/>
    <x v="354"/>
    <m/>
    <n v="0.24"/>
    <m/>
    <x v="7"/>
    <x v="173"/>
    <m/>
  </r>
  <r>
    <x v="1415"/>
    <x v="1788"/>
    <x v="19"/>
    <x v="1"/>
    <x v="1"/>
    <x v="3"/>
    <x v="10"/>
    <x v="1"/>
    <x v="1754"/>
    <n v="289"/>
    <x v="0"/>
    <x v="0"/>
    <x v="415"/>
    <m/>
    <n v="0.13100000000000001"/>
    <m/>
    <x v="29"/>
    <x v="292"/>
    <m/>
  </r>
  <r>
    <x v="1415"/>
    <x v="1789"/>
    <x v="19"/>
    <x v="1"/>
    <x v="1"/>
    <x v="3"/>
    <x v="10"/>
    <x v="1"/>
    <x v="1755"/>
    <n v="289"/>
    <x v="0"/>
    <x v="0"/>
    <x v="550"/>
    <m/>
    <n v="0.16800000000000001"/>
    <m/>
    <x v="29"/>
    <x v="292"/>
    <m/>
  </r>
  <r>
    <x v="1416"/>
    <x v="1790"/>
    <x v="10"/>
    <x v="1"/>
    <x v="1"/>
    <x v="3"/>
    <x v="10"/>
    <x v="1"/>
    <x v="1756"/>
    <n v="878"/>
    <x v="238"/>
    <x v="0"/>
    <x v="307"/>
    <m/>
    <n v="0.16400000000000001"/>
    <m/>
    <x v="128"/>
    <x v="145"/>
    <m/>
  </r>
  <r>
    <x v="1416"/>
    <x v="1791"/>
    <x v="10"/>
    <x v="1"/>
    <x v="1"/>
    <x v="3"/>
    <x v="10"/>
    <x v="1"/>
    <x v="1757"/>
    <n v="878"/>
    <x v="238"/>
    <x v="0"/>
    <x v="577"/>
    <m/>
    <n v="0.113"/>
    <m/>
    <x v="128"/>
    <x v="145"/>
    <m/>
  </r>
  <r>
    <x v="1417"/>
    <x v="1792"/>
    <x v="10"/>
    <x v="1"/>
    <x v="1"/>
    <x v="3"/>
    <x v="10"/>
    <x v="1"/>
    <x v="1758"/>
    <n v="450"/>
    <x v="224"/>
    <x v="0"/>
    <x v="553"/>
    <m/>
    <n v="6.5000000000000002E-2"/>
    <m/>
    <x v="122"/>
    <x v="56"/>
    <m/>
  </r>
  <r>
    <x v="1417"/>
    <x v="1793"/>
    <x v="10"/>
    <x v="1"/>
    <x v="1"/>
    <x v="3"/>
    <x v="10"/>
    <x v="1"/>
    <x v="1759"/>
    <n v="450"/>
    <x v="224"/>
    <x v="0"/>
    <x v="578"/>
    <m/>
    <n v="5.7000000000000002E-2"/>
    <m/>
    <x v="122"/>
    <x v="56"/>
    <m/>
  </r>
  <r>
    <x v="1418"/>
    <x v="1794"/>
    <x v="10"/>
    <x v="1"/>
    <x v="1"/>
    <x v="3"/>
    <x v="10"/>
    <x v="0"/>
    <x v="1760"/>
    <n v="1161"/>
    <x v="227"/>
    <x v="0"/>
    <x v="577"/>
    <m/>
    <n v="0.113"/>
    <m/>
    <x v="17"/>
    <x v="193"/>
    <m/>
  </r>
  <r>
    <x v="1419"/>
    <x v="1795"/>
    <x v="10"/>
    <x v="1"/>
    <x v="1"/>
    <x v="3"/>
    <x v="10"/>
    <x v="0"/>
    <x v="1761"/>
    <n v="1112"/>
    <x v="257"/>
    <x v="0"/>
    <x v="409"/>
    <m/>
    <n v="0.10299999999999999"/>
    <m/>
    <x v="84"/>
    <x v="216"/>
    <m/>
  </r>
  <r>
    <x v="1420"/>
    <x v="1796"/>
    <x v="10"/>
    <x v="1"/>
    <x v="1"/>
    <x v="3"/>
    <x v="10"/>
    <x v="0"/>
    <x v="1762"/>
    <n v="1135"/>
    <x v="216"/>
    <x v="0"/>
    <x v="235"/>
    <m/>
    <n v="0.20399999999999999"/>
    <m/>
    <x v="6"/>
    <x v="130"/>
    <m/>
  </r>
  <r>
    <x v="1421"/>
    <x v="1797"/>
    <x v="10"/>
    <x v="1"/>
    <x v="1"/>
    <x v="3"/>
    <x v="10"/>
    <x v="0"/>
    <x v="1763"/>
    <n v="1238"/>
    <x v="263"/>
    <x v="0"/>
    <x v="339"/>
    <m/>
    <n v="0.155"/>
    <m/>
    <x v="39"/>
    <x v="51"/>
    <m/>
  </r>
  <r>
    <x v="1422"/>
    <x v="1798"/>
    <x v="10"/>
    <x v="1"/>
    <x v="1"/>
    <x v="3"/>
    <x v="10"/>
    <x v="0"/>
    <x v="1764"/>
    <n v="864"/>
    <x v="207"/>
    <x v="0"/>
    <x v="571"/>
    <m/>
    <n v="9.4E-2"/>
    <m/>
    <x v="17"/>
    <x v="193"/>
    <m/>
  </r>
  <r>
    <x v="1423"/>
    <x v="1799"/>
    <x v="10"/>
    <x v="1"/>
    <x v="1"/>
    <x v="3"/>
    <x v="10"/>
    <x v="0"/>
    <x v="1765"/>
    <n v="1019"/>
    <x v="227"/>
    <x v="0"/>
    <x v="211"/>
    <m/>
    <n v="0.112"/>
    <m/>
    <x v="126"/>
    <x v="92"/>
    <m/>
  </r>
  <r>
    <x v="1424"/>
    <x v="1800"/>
    <x v="10"/>
    <x v="1"/>
    <x v="1"/>
    <x v="3"/>
    <x v="10"/>
    <x v="0"/>
    <x v="1766"/>
    <n v="562"/>
    <x v="205"/>
    <x v="0"/>
    <x v="359"/>
    <m/>
    <n v="0.19600000000000001"/>
    <m/>
    <x v="37"/>
    <x v="282"/>
    <m/>
  </r>
  <r>
    <x v="1425"/>
    <x v="1801"/>
    <x v="10"/>
    <x v="1"/>
    <x v="1"/>
    <x v="3"/>
    <x v="10"/>
    <x v="0"/>
    <x v="1767"/>
    <n v="951"/>
    <x v="227"/>
    <x v="0"/>
    <x v="185"/>
    <m/>
    <n v="0.11600000000000001"/>
    <m/>
    <x v="134"/>
    <x v="38"/>
    <m/>
  </r>
  <r>
    <x v="1426"/>
    <x v="1802"/>
    <x v="19"/>
    <x v="1"/>
    <x v="1"/>
    <x v="3"/>
    <x v="10"/>
    <x v="2"/>
    <x v="1768"/>
    <n v="52.4"/>
    <x v="0"/>
    <x v="320"/>
    <x v="579"/>
    <n v="2.1000000000000001E-4"/>
    <n v="4.7E-2"/>
    <n v="2.6"/>
    <x v="85"/>
    <x v="71"/>
    <n v="9.5"/>
  </r>
  <r>
    <x v="1426"/>
    <x v="1803"/>
    <x v="19"/>
    <x v="1"/>
    <x v="1"/>
    <x v="3"/>
    <x v="10"/>
    <x v="2"/>
    <x v="1769"/>
    <n v="52.4"/>
    <x v="0"/>
    <x v="321"/>
    <x v="580"/>
    <n v="6.1999999999999998E-3"/>
    <n v="0.107"/>
    <n v="6.2"/>
    <x v="85"/>
    <x v="71"/>
    <n v="9.5"/>
  </r>
  <r>
    <x v="1426"/>
    <x v="1804"/>
    <x v="19"/>
    <x v="1"/>
    <x v="1"/>
    <x v="3"/>
    <x v="10"/>
    <x v="2"/>
    <x v="1770"/>
    <n v="52.4"/>
    <x v="0"/>
    <x v="322"/>
    <x v="581"/>
    <n v="2.0100000000000001E-3"/>
    <n v="0.108"/>
    <n v="2.1"/>
    <x v="85"/>
    <x v="71"/>
    <n v="9.5"/>
  </r>
  <r>
    <x v="1427"/>
    <x v="1805"/>
    <x v="10"/>
    <x v="1"/>
    <x v="1"/>
    <x v="3"/>
    <x v="10"/>
    <x v="0"/>
    <x v="1771"/>
    <n v="1209"/>
    <x v="215"/>
    <x v="0"/>
    <x v="557"/>
    <m/>
    <n v="0.128"/>
    <m/>
    <x v="50"/>
    <x v="16"/>
    <m/>
  </r>
  <r>
    <x v="1428"/>
    <x v="1806"/>
    <x v="10"/>
    <x v="1"/>
    <x v="1"/>
    <x v="3"/>
    <x v="10"/>
    <x v="0"/>
    <x v="1772"/>
    <n v="1306"/>
    <x v="208"/>
    <x v="0"/>
    <x v="422"/>
    <m/>
    <n v="0.20100000000000001"/>
    <m/>
    <x v="50"/>
    <x v="16"/>
    <m/>
  </r>
  <r>
    <x v="1429"/>
    <x v="1807"/>
    <x v="10"/>
    <x v="1"/>
    <x v="1"/>
    <x v="3"/>
    <x v="10"/>
    <x v="0"/>
    <x v="1773"/>
    <n v="730"/>
    <x v="237"/>
    <x v="0"/>
    <x v="550"/>
    <m/>
    <n v="0.16800000000000001"/>
    <m/>
    <x v="169"/>
    <x v="191"/>
    <m/>
  </r>
  <r>
    <x v="1430"/>
    <x v="1808"/>
    <x v="10"/>
    <x v="1"/>
    <x v="1"/>
    <x v="3"/>
    <x v="10"/>
    <x v="0"/>
    <x v="1774"/>
    <n v="961"/>
    <x v="177"/>
    <x v="0"/>
    <x v="353"/>
    <m/>
    <n v="0.126"/>
    <m/>
    <x v="113"/>
    <x v="132"/>
    <m/>
  </r>
  <r>
    <x v="1431"/>
    <x v="1809"/>
    <x v="10"/>
    <x v="1"/>
    <x v="1"/>
    <x v="3"/>
    <x v="10"/>
    <x v="0"/>
    <x v="1775"/>
    <n v="618"/>
    <x v="223"/>
    <x v="0"/>
    <x v="573"/>
    <m/>
    <n v="0.17299999999999999"/>
    <m/>
    <x v="110"/>
    <x v="36"/>
    <m/>
  </r>
  <r>
    <x v="1432"/>
    <x v="1810"/>
    <x v="10"/>
    <x v="1"/>
    <x v="1"/>
    <x v="3"/>
    <x v="10"/>
    <x v="0"/>
    <x v="1776"/>
    <n v="527"/>
    <x v="224"/>
    <x v="0"/>
    <x v="582"/>
    <m/>
    <n v="7.5999999999999998E-2"/>
    <m/>
    <x v="93"/>
    <x v="145"/>
    <m/>
  </r>
  <r>
    <x v="1433"/>
    <x v="1811"/>
    <x v="10"/>
    <x v="1"/>
    <x v="1"/>
    <x v="3"/>
    <x v="10"/>
    <x v="0"/>
    <x v="1777"/>
    <n v="838"/>
    <x v="227"/>
    <x v="0"/>
    <x v="513"/>
    <m/>
    <n v="0.111"/>
    <m/>
    <x v="102"/>
    <x v="171"/>
    <m/>
  </r>
  <r>
    <x v="1434"/>
    <x v="1812"/>
    <x v="10"/>
    <x v="1"/>
    <x v="1"/>
    <x v="3"/>
    <x v="10"/>
    <x v="0"/>
    <x v="1778"/>
    <n v="491"/>
    <x v="224"/>
    <x v="0"/>
    <x v="583"/>
    <m/>
    <n v="8.3000000000000004E-2"/>
    <m/>
    <x v="58"/>
    <x v="57"/>
    <m/>
  </r>
  <r>
    <x v="1435"/>
    <x v="1813"/>
    <x v="10"/>
    <x v="1"/>
    <x v="1"/>
    <x v="3"/>
    <x v="10"/>
    <x v="4"/>
    <x v="1779"/>
    <n v="492"/>
    <x v="216"/>
    <x v="0"/>
    <x v="368"/>
    <m/>
    <n v="0.23100000000000001"/>
    <m/>
    <x v="80"/>
    <x v="74"/>
    <m/>
  </r>
  <r>
    <x v="1435"/>
    <x v="1814"/>
    <x v="10"/>
    <x v="1"/>
    <x v="1"/>
    <x v="3"/>
    <x v="10"/>
    <x v="4"/>
    <x v="1780"/>
    <n v="492"/>
    <x v="216"/>
    <x v="0"/>
    <x v="243"/>
    <m/>
    <n v="0.20200000000000001"/>
    <m/>
    <x v="80"/>
    <x v="74"/>
    <m/>
  </r>
  <r>
    <x v="1435"/>
    <x v="1815"/>
    <x v="10"/>
    <x v="1"/>
    <x v="1"/>
    <x v="3"/>
    <x v="10"/>
    <x v="4"/>
    <x v="1781"/>
    <n v="492"/>
    <x v="216"/>
    <x v="0"/>
    <x v="170"/>
    <m/>
    <n v="0.255"/>
    <m/>
    <x v="80"/>
    <x v="74"/>
    <m/>
  </r>
  <r>
    <x v="1435"/>
    <x v="1816"/>
    <x v="10"/>
    <x v="1"/>
    <x v="1"/>
    <x v="3"/>
    <x v="10"/>
    <x v="4"/>
    <x v="1782"/>
    <n v="492"/>
    <x v="216"/>
    <x v="0"/>
    <x v="584"/>
    <m/>
    <n v="0.219"/>
    <m/>
    <x v="80"/>
    <x v="74"/>
    <m/>
  </r>
  <r>
    <x v="1436"/>
    <x v="1817"/>
    <x v="10"/>
    <x v="1"/>
    <x v="1"/>
    <x v="3"/>
    <x v="10"/>
    <x v="0"/>
    <x v="1783"/>
    <n v="521"/>
    <x v="246"/>
    <x v="0"/>
    <x v="541"/>
    <m/>
    <n v="0.158"/>
    <m/>
    <x v="94"/>
    <x v="36"/>
    <m/>
  </r>
  <r>
    <x v="1437"/>
    <x v="1818"/>
    <x v="19"/>
    <x v="1"/>
    <x v="1"/>
    <x v="3"/>
    <x v="10"/>
    <x v="1"/>
    <x v="1784"/>
    <n v="417"/>
    <x v="0"/>
    <x v="0"/>
    <x v="489"/>
    <m/>
    <n v="0.26200000000000001"/>
    <m/>
    <x v="29"/>
    <x v="96"/>
    <m/>
  </r>
  <r>
    <x v="1437"/>
    <x v="1819"/>
    <x v="19"/>
    <x v="1"/>
    <x v="1"/>
    <x v="3"/>
    <x v="10"/>
    <x v="1"/>
    <x v="1785"/>
    <n v="417"/>
    <x v="0"/>
    <x v="0"/>
    <x v="585"/>
    <m/>
    <n v="0.30199999999999999"/>
    <m/>
    <x v="29"/>
    <x v="96"/>
    <m/>
  </r>
  <r>
    <x v="1438"/>
    <x v="1820"/>
    <x v="10"/>
    <x v="1"/>
    <x v="1"/>
    <x v="3"/>
    <x v="10"/>
    <x v="0"/>
    <x v="1786"/>
    <n v="760"/>
    <x v="216"/>
    <x v="0"/>
    <x v="475"/>
    <m/>
    <n v="0.105"/>
    <m/>
    <x v="17"/>
    <x v="62"/>
    <m/>
  </r>
  <r>
    <x v="1439"/>
    <x v="1821"/>
    <x v="10"/>
    <x v="1"/>
    <x v="1"/>
    <x v="3"/>
    <x v="10"/>
    <x v="0"/>
    <x v="1787"/>
    <n v="721"/>
    <x v="73"/>
    <x v="0"/>
    <x v="586"/>
    <m/>
    <n v="0.15"/>
    <m/>
    <x v="18"/>
    <x v="95"/>
    <m/>
  </r>
  <r>
    <x v="1440"/>
    <x v="1822"/>
    <x v="10"/>
    <x v="1"/>
    <x v="1"/>
    <x v="3"/>
    <x v="10"/>
    <x v="0"/>
    <x v="1788"/>
    <n v="1117"/>
    <x v="207"/>
    <x v="0"/>
    <x v="186"/>
    <m/>
    <n v="0.17499999999999999"/>
    <m/>
    <x v="59"/>
    <x v="131"/>
    <m/>
  </r>
  <r>
    <x v="1441"/>
    <x v="1823"/>
    <x v="10"/>
    <x v="1"/>
    <x v="1"/>
    <x v="3"/>
    <x v="10"/>
    <x v="0"/>
    <x v="1789"/>
    <n v="462"/>
    <x v="242"/>
    <x v="0"/>
    <x v="500"/>
    <m/>
    <n v="7.0999999999999994E-2"/>
    <m/>
    <x v="44"/>
    <x v="94"/>
    <m/>
  </r>
  <r>
    <x v="1442"/>
    <x v="1824"/>
    <x v="10"/>
    <x v="1"/>
    <x v="1"/>
    <x v="3"/>
    <x v="10"/>
    <x v="0"/>
    <x v="1790"/>
    <n v="820"/>
    <x v="264"/>
    <x v="0"/>
    <x v="548"/>
    <m/>
    <n v="0.124"/>
    <m/>
    <x v="120"/>
    <x v="117"/>
    <m/>
  </r>
  <r>
    <x v="1443"/>
    <x v="1825"/>
    <x v="10"/>
    <x v="1"/>
    <x v="1"/>
    <x v="3"/>
    <x v="10"/>
    <x v="0"/>
    <x v="1791"/>
    <n v="507"/>
    <x v="238"/>
    <x v="0"/>
    <x v="500"/>
    <m/>
    <n v="7.0999999999999994E-2"/>
    <m/>
    <x v="63"/>
    <x v="14"/>
    <m/>
  </r>
  <r>
    <x v="1444"/>
    <x v="1826"/>
    <x v="10"/>
    <x v="1"/>
    <x v="1"/>
    <x v="3"/>
    <x v="10"/>
    <x v="0"/>
    <x v="1792"/>
    <n v="1236"/>
    <x v="237"/>
    <x v="0"/>
    <x v="46"/>
    <m/>
    <n v="0.185"/>
    <m/>
    <x v="112"/>
    <x v="223"/>
    <m/>
  </r>
  <r>
    <x v="1445"/>
    <x v="1827"/>
    <x v="10"/>
    <x v="1"/>
    <x v="1"/>
    <x v="3"/>
    <x v="10"/>
    <x v="0"/>
    <x v="1793"/>
    <n v="770"/>
    <x v="220"/>
    <x v="0"/>
    <x v="587"/>
    <m/>
    <n v="0.153"/>
    <m/>
    <x v="25"/>
    <x v="40"/>
    <m/>
  </r>
  <r>
    <x v="1446"/>
    <x v="1828"/>
    <x v="10"/>
    <x v="1"/>
    <x v="1"/>
    <x v="3"/>
    <x v="10"/>
    <x v="1"/>
    <x v="1794"/>
    <n v="793"/>
    <x v="231"/>
    <x v="0"/>
    <x v="588"/>
    <m/>
    <n v="0.08"/>
    <m/>
    <x v="47"/>
    <x v="201"/>
    <m/>
  </r>
  <r>
    <x v="1446"/>
    <x v="1829"/>
    <x v="10"/>
    <x v="1"/>
    <x v="1"/>
    <x v="3"/>
    <x v="10"/>
    <x v="1"/>
    <x v="1795"/>
    <n v="793"/>
    <x v="231"/>
    <x v="0"/>
    <x v="534"/>
    <m/>
    <n v="9.1999999999999998E-2"/>
    <m/>
    <x v="47"/>
    <x v="201"/>
    <m/>
  </r>
  <r>
    <x v="1447"/>
    <x v="1830"/>
    <x v="10"/>
    <x v="1"/>
    <x v="1"/>
    <x v="3"/>
    <x v="10"/>
    <x v="0"/>
    <x v="1796"/>
    <n v="1256"/>
    <x v="224"/>
    <x v="0"/>
    <x v="211"/>
    <m/>
    <n v="0.112"/>
    <m/>
    <x v="54"/>
    <x v="18"/>
    <m/>
  </r>
  <r>
    <x v="1448"/>
    <x v="1831"/>
    <x v="14"/>
    <x v="1"/>
    <x v="1"/>
    <x v="3"/>
    <x v="10"/>
    <x v="0"/>
    <x v="1797"/>
    <n v="980"/>
    <x v="39"/>
    <x v="323"/>
    <x v="589"/>
    <n v="8.4"/>
    <n v="1.1359999999999999"/>
    <n v="7.1"/>
    <x v="156"/>
    <x v="103"/>
    <m/>
  </r>
  <r>
    <x v="1449"/>
    <x v="1832"/>
    <x v="19"/>
    <x v="1"/>
    <x v="1"/>
    <x v="3"/>
    <x v="10"/>
    <x v="1"/>
    <x v="1798"/>
    <n v="572"/>
    <x v="0"/>
    <x v="0"/>
    <x v="165"/>
    <m/>
    <n v="0.14399999999999999"/>
    <m/>
    <x v="29"/>
    <x v="145"/>
    <m/>
  </r>
  <r>
    <x v="1449"/>
    <x v="1833"/>
    <x v="19"/>
    <x v="1"/>
    <x v="1"/>
    <x v="3"/>
    <x v="10"/>
    <x v="1"/>
    <x v="1799"/>
    <n v="572"/>
    <x v="0"/>
    <x v="0"/>
    <x v="237"/>
    <m/>
    <n v="0.161"/>
    <m/>
    <x v="29"/>
    <x v="145"/>
    <m/>
  </r>
  <r>
    <x v="1450"/>
    <x v="1834"/>
    <x v="10"/>
    <x v="1"/>
    <x v="1"/>
    <x v="3"/>
    <x v="10"/>
    <x v="0"/>
    <x v="1800"/>
    <n v="879"/>
    <x v="223"/>
    <x v="0"/>
    <x v="44"/>
    <m/>
    <n v="0.14499999999999999"/>
    <m/>
    <x v="134"/>
    <x v="202"/>
    <m/>
  </r>
  <r>
    <x v="1451"/>
    <x v="1835"/>
    <x v="10"/>
    <x v="1"/>
    <x v="1"/>
    <x v="3"/>
    <x v="10"/>
    <x v="0"/>
    <x v="1801"/>
    <n v="1242"/>
    <x v="220"/>
    <x v="0"/>
    <x v="586"/>
    <m/>
    <n v="0.15"/>
    <m/>
    <x v="154"/>
    <x v="95"/>
    <m/>
  </r>
  <r>
    <x v="1452"/>
    <x v="1836"/>
    <x v="10"/>
    <x v="1"/>
    <x v="1"/>
    <x v="3"/>
    <x v="10"/>
    <x v="0"/>
    <x v="1802"/>
    <n v="681"/>
    <x v="223"/>
    <x v="0"/>
    <x v="590"/>
    <m/>
    <n v="6.8000000000000005E-2"/>
    <m/>
    <x v="3"/>
    <x v="90"/>
    <m/>
  </r>
  <r>
    <x v="1453"/>
    <x v="1837"/>
    <x v="10"/>
    <x v="1"/>
    <x v="1"/>
    <x v="3"/>
    <x v="10"/>
    <x v="0"/>
    <x v="1803"/>
    <n v="1801"/>
    <x v="222"/>
    <x v="0"/>
    <x v="403"/>
    <m/>
    <n v="0.191"/>
    <m/>
    <x v="129"/>
    <x v="180"/>
    <m/>
  </r>
  <r>
    <x v="1454"/>
    <x v="1838"/>
    <x v="10"/>
    <x v="1"/>
    <x v="1"/>
    <x v="3"/>
    <x v="10"/>
    <x v="0"/>
    <x v="1804"/>
    <n v="946"/>
    <x v="223"/>
    <x v="0"/>
    <x v="201"/>
    <m/>
    <n v="0.17899999999999999"/>
    <m/>
    <x v="97"/>
    <x v="292"/>
    <m/>
  </r>
  <r>
    <x v="1455"/>
    <x v="1839"/>
    <x v="10"/>
    <x v="1"/>
    <x v="1"/>
    <x v="3"/>
    <x v="10"/>
    <x v="0"/>
    <x v="1805"/>
    <n v="1605"/>
    <x v="159"/>
    <x v="0"/>
    <x v="177"/>
    <m/>
    <n v="0.35299999999999998"/>
    <m/>
    <x v="52"/>
    <x v="88"/>
    <m/>
  </r>
  <r>
    <x v="1456"/>
    <x v="1840"/>
    <x v="10"/>
    <x v="1"/>
    <x v="1"/>
    <x v="3"/>
    <x v="10"/>
    <x v="0"/>
    <x v="1806"/>
    <n v="587"/>
    <x v="227"/>
    <x v="0"/>
    <x v="327"/>
    <m/>
    <n v="9.8000000000000004E-2"/>
    <m/>
    <x v="52"/>
    <x v="40"/>
    <m/>
  </r>
  <r>
    <x v="1457"/>
    <x v="1841"/>
    <x v="10"/>
    <x v="1"/>
    <x v="1"/>
    <x v="3"/>
    <x v="10"/>
    <x v="0"/>
    <x v="1807"/>
    <n v="1275"/>
    <x v="109"/>
    <x v="0"/>
    <x v="422"/>
    <m/>
    <n v="0.20100000000000001"/>
    <m/>
    <x v="32"/>
    <x v="180"/>
    <m/>
  </r>
  <r>
    <x v="1458"/>
    <x v="1842"/>
    <x v="10"/>
    <x v="1"/>
    <x v="1"/>
    <x v="3"/>
    <x v="10"/>
    <x v="0"/>
    <x v="1808"/>
    <n v="426"/>
    <x v="258"/>
    <x v="0"/>
    <x v="219"/>
    <m/>
    <n v="7.9000000000000001E-2"/>
    <m/>
    <x v="49"/>
    <x v="311"/>
    <m/>
  </r>
  <r>
    <x v="1459"/>
    <x v="1843"/>
    <x v="10"/>
    <x v="1"/>
    <x v="1"/>
    <x v="3"/>
    <x v="10"/>
    <x v="0"/>
    <x v="1809"/>
    <n v="722"/>
    <x v="215"/>
    <x v="0"/>
    <x v="209"/>
    <m/>
    <n v="9.2999999999999999E-2"/>
    <m/>
    <x v="134"/>
    <x v="38"/>
    <m/>
  </r>
  <r>
    <x v="1460"/>
    <x v="1844"/>
    <x v="19"/>
    <x v="1"/>
    <x v="1"/>
    <x v="3"/>
    <x v="10"/>
    <x v="1"/>
    <x v="1810"/>
    <n v="301"/>
    <x v="0"/>
    <x v="0"/>
    <x v="195"/>
    <m/>
    <n v="6.2E-2"/>
    <m/>
    <x v="29"/>
    <x v="38"/>
    <m/>
  </r>
  <r>
    <x v="1460"/>
    <x v="1845"/>
    <x v="19"/>
    <x v="1"/>
    <x v="1"/>
    <x v="3"/>
    <x v="10"/>
    <x v="1"/>
    <x v="1811"/>
    <n v="301"/>
    <x v="0"/>
    <x v="0"/>
    <x v="353"/>
    <m/>
    <n v="0.126"/>
    <m/>
    <x v="29"/>
    <x v="38"/>
    <m/>
  </r>
  <r>
    <x v="1461"/>
    <x v="1846"/>
    <x v="10"/>
    <x v="1"/>
    <x v="1"/>
    <x v="3"/>
    <x v="10"/>
    <x v="0"/>
    <x v="1812"/>
    <n v="367"/>
    <x v="208"/>
    <x v="0"/>
    <x v="465"/>
    <m/>
    <n v="0.159"/>
    <m/>
    <x v="80"/>
    <x v="284"/>
    <m/>
  </r>
  <r>
    <x v="1462"/>
    <x v="1847"/>
    <x v="10"/>
    <x v="1"/>
    <x v="1"/>
    <x v="3"/>
    <x v="10"/>
    <x v="0"/>
    <x v="1813"/>
    <n v="1431"/>
    <x v="212"/>
    <x v="0"/>
    <x v="366"/>
    <m/>
    <n v="0.252"/>
    <m/>
    <x v="44"/>
    <x v="94"/>
    <m/>
  </r>
  <r>
    <x v="1463"/>
    <x v="1848"/>
    <x v="10"/>
    <x v="1"/>
    <x v="1"/>
    <x v="3"/>
    <x v="10"/>
    <x v="0"/>
    <x v="1814"/>
    <n v="639"/>
    <x v="265"/>
    <x v="0"/>
    <x v="342"/>
    <m/>
    <n v="7.3999999999999996E-2"/>
    <m/>
    <x v="104"/>
    <x v="223"/>
    <m/>
  </r>
  <r>
    <x v="1464"/>
    <x v="1849"/>
    <x v="10"/>
    <x v="1"/>
    <x v="1"/>
    <x v="3"/>
    <x v="10"/>
    <x v="0"/>
    <x v="1815"/>
    <n v="1162"/>
    <x v="207"/>
    <x v="0"/>
    <x v="37"/>
    <m/>
    <n v="0.16200000000000001"/>
    <m/>
    <x v="97"/>
    <x v="292"/>
    <m/>
  </r>
  <r>
    <x v="1465"/>
    <x v="1850"/>
    <x v="10"/>
    <x v="1"/>
    <x v="1"/>
    <x v="3"/>
    <x v="10"/>
    <x v="0"/>
    <x v="1816"/>
    <n v="534"/>
    <x v="207"/>
    <x v="0"/>
    <x v="420"/>
    <m/>
    <n v="0.11"/>
    <m/>
    <x v="34"/>
    <x v="91"/>
    <m/>
  </r>
  <r>
    <x v="1466"/>
    <x v="1851"/>
    <x v="10"/>
    <x v="1"/>
    <x v="1"/>
    <x v="3"/>
    <x v="10"/>
    <x v="0"/>
    <x v="1817"/>
    <n v="1066"/>
    <x v="212"/>
    <x v="0"/>
    <x v="411"/>
    <m/>
    <n v="0.115"/>
    <m/>
    <x v="45"/>
    <x v="239"/>
    <m/>
  </r>
  <r>
    <x v="1467"/>
    <x v="1852"/>
    <x v="10"/>
    <x v="1"/>
    <x v="1"/>
    <x v="3"/>
    <x v="10"/>
    <x v="0"/>
    <x v="1818"/>
    <n v="807"/>
    <x v="219"/>
    <x v="0"/>
    <x v="477"/>
    <m/>
    <n v="7.9000000000000001E-2"/>
    <m/>
    <x v="25"/>
    <x v="180"/>
    <m/>
  </r>
  <r>
    <x v="1468"/>
    <x v="1853"/>
    <x v="10"/>
    <x v="1"/>
    <x v="1"/>
    <x v="3"/>
    <x v="10"/>
    <x v="0"/>
    <x v="1819"/>
    <n v="656"/>
    <x v="208"/>
    <x v="0"/>
    <x v="328"/>
    <m/>
    <n v="8.8999999999999996E-2"/>
    <m/>
    <x v="102"/>
    <x v="55"/>
    <m/>
  </r>
  <r>
    <x v="1469"/>
    <x v="1854"/>
    <x v="10"/>
    <x v="1"/>
    <x v="1"/>
    <x v="3"/>
    <x v="10"/>
    <x v="0"/>
    <x v="1820"/>
    <n v="499"/>
    <x v="159"/>
    <x v="0"/>
    <x v="379"/>
    <m/>
    <n v="0.14799999999999999"/>
    <m/>
    <x v="96"/>
    <x v="185"/>
    <m/>
  </r>
  <r>
    <x v="1470"/>
    <x v="1855"/>
    <x v="10"/>
    <x v="1"/>
    <x v="1"/>
    <x v="3"/>
    <x v="10"/>
    <x v="0"/>
    <x v="1821"/>
    <n v="1444"/>
    <x v="224"/>
    <x v="0"/>
    <x v="170"/>
    <m/>
    <n v="0.255"/>
    <m/>
    <x v="53"/>
    <x v="41"/>
    <m/>
  </r>
  <r>
    <x v="1471"/>
    <x v="1856"/>
    <x v="19"/>
    <x v="1"/>
    <x v="1"/>
    <x v="3"/>
    <x v="10"/>
    <x v="2"/>
    <x v="1822"/>
    <n v="583"/>
    <x v="0"/>
    <x v="0"/>
    <x v="236"/>
    <m/>
    <n v="0.17799999999999999"/>
    <m/>
    <x v="29"/>
    <x v="223"/>
    <m/>
  </r>
  <r>
    <x v="1471"/>
    <x v="1857"/>
    <x v="19"/>
    <x v="1"/>
    <x v="1"/>
    <x v="3"/>
    <x v="10"/>
    <x v="2"/>
    <x v="1823"/>
    <n v="583"/>
    <x v="0"/>
    <x v="0"/>
    <x v="170"/>
    <m/>
    <n v="0.255"/>
    <m/>
    <x v="29"/>
    <x v="223"/>
    <m/>
  </r>
  <r>
    <x v="1471"/>
    <x v="1858"/>
    <x v="19"/>
    <x v="1"/>
    <x v="1"/>
    <x v="3"/>
    <x v="10"/>
    <x v="2"/>
    <x v="1824"/>
    <n v="583"/>
    <x v="0"/>
    <x v="0"/>
    <x v="591"/>
    <m/>
    <n v="0.193"/>
    <m/>
    <x v="29"/>
    <x v="223"/>
    <m/>
  </r>
  <r>
    <x v="1472"/>
    <x v="1859"/>
    <x v="10"/>
    <x v="1"/>
    <x v="1"/>
    <x v="3"/>
    <x v="10"/>
    <x v="0"/>
    <x v="1825"/>
    <n v="923"/>
    <x v="65"/>
    <x v="0"/>
    <x v="242"/>
    <m/>
    <n v="0.114"/>
    <m/>
    <x v="58"/>
    <x v="38"/>
    <m/>
  </r>
  <r>
    <x v="1473"/>
    <x v="1860"/>
    <x v="10"/>
    <x v="1"/>
    <x v="1"/>
    <x v="3"/>
    <x v="10"/>
    <x v="0"/>
    <x v="1826"/>
    <n v="675"/>
    <x v="237"/>
    <x v="0"/>
    <x v="583"/>
    <m/>
    <n v="8.3000000000000004E-2"/>
    <m/>
    <x v="119"/>
    <x v="212"/>
    <m/>
  </r>
  <r>
    <x v="1474"/>
    <x v="1861"/>
    <x v="10"/>
    <x v="1"/>
    <x v="1"/>
    <x v="3"/>
    <x v="10"/>
    <x v="0"/>
    <x v="1827"/>
    <n v="2081"/>
    <x v="43"/>
    <x v="0"/>
    <x v="244"/>
    <m/>
    <n v="0.18"/>
    <m/>
    <x v="93"/>
    <x v="14"/>
    <m/>
  </r>
  <r>
    <x v="1475"/>
    <x v="1862"/>
    <x v="10"/>
    <x v="1"/>
    <x v="1"/>
    <x v="3"/>
    <x v="10"/>
    <x v="0"/>
    <x v="1828"/>
    <n v="449"/>
    <x v="207"/>
    <x v="0"/>
    <x v="545"/>
    <m/>
    <n v="9.5000000000000001E-2"/>
    <m/>
    <x v="137"/>
    <x v="91"/>
    <m/>
  </r>
  <r>
    <x v="1476"/>
    <x v="1863"/>
    <x v="10"/>
    <x v="1"/>
    <x v="1"/>
    <x v="3"/>
    <x v="10"/>
    <x v="0"/>
    <x v="1829"/>
    <n v="620"/>
    <x v="221"/>
    <x v="0"/>
    <x v="409"/>
    <m/>
    <n v="0.10299999999999999"/>
    <m/>
    <x v="102"/>
    <x v="88"/>
    <m/>
  </r>
  <r>
    <x v="1477"/>
    <x v="1864"/>
    <x v="10"/>
    <x v="1"/>
    <x v="1"/>
    <x v="3"/>
    <x v="10"/>
    <x v="0"/>
    <x v="1830"/>
    <n v="499"/>
    <x v="208"/>
    <x v="0"/>
    <x v="535"/>
    <m/>
    <n v="8.4000000000000005E-2"/>
    <m/>
    <x v="54"/>
    <x v="105"/>
    <m/>
  </r>
  <r>
    <x v="1478"/>
    <x v="1865"/>
    <x v="10"/>
    <x v="1"/>
    <x v="1"/>
    <x v="3"/>
    <x v="10"/>
    <x v="0"/>
    <x v="1831"/>
    <n v="1211"/>
    <x v="208"/>
    <x v="0"/>
    <x v="319"/>
    <m/>
    <n v="0.13900000000000001"/>
    <m/>
    <x v="102"/>
    <x v="55"/>
    <m/>
  </r>
  <r>
    <x v="1479"/>
    <x v="1866"/>
    <x v="10"/>
    <x v="1"/>
    <x v="1"/>
    <x v="3"/>
    <x v="10"/>
    <x v="0"/>
    <x v="1832"/>
    <n v="1220"/>
    <x v="208"/>
    <x v="0"/>
    <x v="327"/>
    <m/>
    <n v="9.8000000000000004E-2"/>
    <m/>
    <x v="53"/>
    <x v="41"/>
    <m/>
  </r>
  <r>
    <x v="1480"/>
    <x v="1867"/>
    <x v="10"/>
    <x v="1"/>
    <x v="1"/>
    <x v="3"/>
    <x v="10"/>
    <x v="0"/>
    <x v="1833"/>
    <n v="802"/>
    <x v="244"/>
    <x v="0"/>
    <x v="157"/>
    <m/>
    <n v="0.14599999999999999"/>
    <m/>
    <x v="114"/>
    <x v="301"/>
    <m/>
  </r>
  <r>
    <x v="1481"/>
    <x v="1868"/>
    <x v="10"/>
    <x v="1"/>
    <x v="1"/>
    <x v="3"/>
    <x v="10"/>
    <x v="0"/>
    <x v="1834"/>
    <n v="1156"/>
    <x v="212"/>
    <x v="0"/>
    <x v="411"/>
    <m/>
    <n v="0.115"/>
    <m/>
    <x v="52"/>
    <x v="88"/>
    <m/>
  </r>
  <r>
    <x v="1482"/>
    <x v="1869"/>
    <x v="19"/>
    <x v="1"/>
    <x v="1"/>
    <x v="3"/>
    <x v="10"/>
    <x v="1"/>
    <x v="1835"/>
    <n v="746"/>
    <x v="0"/>
    <x v="0"/>
    <x v="320"/>
    <m/>
    <n v="0.215"/>
    <m/>
    <x v="29"/>
    <x v="301"/>
    <m/>
  </r>
  <r>
    <x v="1482"/>
    <x v="1870"/>
    <x v="19"/>
    <x v="1"/>
    <x v="1"/>
    <x v="3"/>
    <x v="10"/>
    <x v="1"/>
    <x v="1836"/>
    <n v="746"/>
    <x v="0"/>
    <x v="0"/>
    <x v="187"/>
    <m/>
    <n v="0.30099999999999999"/>
    <m/>
    <x v="29"/>
    <x v="301"/>
    <m/>
  </r>
  <r>
    <x v="1483"/>
    <x v="1871"/>
    <x v="10"/>
    <x v="1"/>
    <x v="1"/>
    <x v="3"/>
    <x v="10"/>
    <x v="0"/>
    <x v="1837"/>
    <n v="541"/>
    <x v="246"/>
    <x v="0"/>
    <x v="475"/>
    <m/>
    <n v="0.105"/>
    <m/>
    <x v="96"/>
    <x v="185"/>
    <m/>
  </r>
  <r>
    <x v="1484"/>
    <x v="1872"/>
    <x v="10"/>
    <x v="1"/>
    <x v="1"/>
    <x v="3"/>
    <x v="10"/>
    <x v="0"/>
    <x v="1838"/>
    <n v="1270"/>
    <x v="211"/>
    <x v="0"/>
    <x v="415"/>
    <m/>
    <n v="0.13100000000000001"/>
    <m/>
    <x v="18"/>
    <x v="171"/>
    <m/>
  </r>
  <r>
    <x v="1485"/>
    <x v="1873"/>
    <x v="10"/>
    <x v="1"/>
    <x v="1"/>
    <x v="3"/>
    <x v="10"/>
    <x v="0"/>
    <x v="1839"/>
    <n v="1552"/>
    <x v="242"/>
    <x v="0"/>
    <x v="476"/>
    <m/>
    <n v="0.19800000000000001"/>
    <m/>
    <x v="25"/>
    <x v="4"/>
    <m/>
  </r>
  <r>
    <x v="1486"/>
    <x v="1874"/>
    <x v="10"/>
    <x v="1"/>
    <x v="1"/>
    <x v="3"/>
    <x v="10"/>
    <x v="0"/>
    <x v="1840"/>
    <n v="1328"/>
    <x v="43"/>
    <x v="0"/>
    <x v="319"/>
    <m/>
    <n v="0.13900000000000001"/>
    <m/>
    <x v="30"/>
    <x v="43"/>
    <m/>
  </r>
  <r>
    <x v="1487"/>
    <x v="1875"/>
    <x v="10"/>
    <x v="1"/>
    <x v="1"/>
    <x v="3"/>
    <x v="10"/>
    <x v="0"/>
    <x v="1841"/>
    <n v="680"/>
    <x v="258"/>
    <x v="0"/>
    <x v="508"/>
    <m/>
    <n v="9.9000000000000005E-2"/>
    <m/>
    <x v="39"/>
    <x v="122"/>
    <m/>
  </r>
  <r>
    <x v="1488"/>
    <x v="1876"/>
    <x v="10"/>
    <x v="1"/>
    <x v="1"/>
    <x v="3"/>
    <x v="10"/>
    <x v="0"/>
    <x v="1842"/>
    <n v="681"/>
    <x v="266"/>
    <x v="0"/>
    <x v="556"/>
    <m/>
    <n v="7.6999999999999999E-2"/>
    <m/>
    <x v="49"/>
    <x v="106"/>
    <m/>
  </r>
  <r>
    <x v="1489"/>
    <x v="1877"/>
    <x v="10"/>
    <x v="1"/>
    <x v="1"/>
    <x v="3"/>
    <x v="10"/>
    <x v="0"/>
    <x v="1843"/>
    <n v="1142"/>
    <x v="44"/>
    <x v="0"/>
    <x v="166"/>
    <m/>
    <n v="0.11700000000000001"/>
    <m/>
    <x v="104"/>
    <x v="121"/>
    <m/>
  </r>
  <r>
    <x v="1490"/>
    <x v="1878"/>
    <x v="10"/>
    <x v="1"/>
    <x v="1"/>
    <x v="3"/>
    <x v="10"/>
    <x v="0"/>
    <x v="1844"/>
    <n v="1182"/>
    <x v="223"/>
    <x v="0"/>
    <x v="563"/>
    <m/>
    <n v="0.122"/>
    <m/>
    <x v="89"/>
    <x v="52"/>
    <m/>
  </r>
  <r>
    <x v="1491"/>
    <x v="1879"/>
    <x v="10"/>
    <x v="1"/>
    <x v="1"/>
    <x v="3"/>
    <x v="10"/>
    <x v="0"/>
    <x v="1845"/>
    <n v="866"/>
    <x v="233"/>
    <x v="0"/>
    <x v="535"/>
    <m/>
    <n v="8.4000000000000005E-2"/>
    <m/>
    <x v="54"/>
    <x v="18"/>
    <m/>
  </r>
  <r>
    <x v="1492"/>
    <x v="1880"/>
    <x v="10"/>
    <x v="1"/>
    <x v="1"/>
    <x v="3"/>
    <x v="10"/>
    <x v="0"/>
    <x v="1846"/>
    <n v="215"/>
    <x v="208"/>
    <x v="0"/>
    <x v="472"/>
    <m/>
    <n v="0.13"/>
    <m/>
    <x v="188"/>
    <x v="73"/>
    <m/>
  </r>
  <r>
    <x v="1493"/>
    <x v="1881"/>
    <x v="19"/>
    <x v="1"/>
    <x v="1"/>
    <x v="3"/>
    <x v="10"/>
    <x v="1"/>
    <x v="1847"/>
    <n v="487"/>
    <x v="0"/>
    <x v="0"/>
    <x v="232"/>
    <m/>
    <n v="0.11899999999999999"/>
    <m/>
    <x v="29"/>
    <x v="89"/>
    <m/>
  </r>
  <r>
    <x v="1493"/>
    <x v="1882"/>
    <x v="19"/>
    <x v="1"/>
    <x v="1"/>
    <x v="3"/>
    <x v="10"/>
    <x v="1"/>
    <x v="1848"/>
    <n v="487"/>
    <x v="0"/>
    <x v="0"/>
    <x v="278"/>
    <m/>
    <n v="0.12"/>
    <m/>
    <x v="29"/>
    <x v="89"/>
    <m/>
  </r>
  <r>
    <x v="1494"/>
    <x v="1883"/>
    <x v="10"/>
    <x v="1"/>
    <x v="1"/>
    <x v="3"/>
    <x v="10"/>
    <x v="0"/>
    <x v="1849"/>
    <n v="685"/>
    <x v="216"/>
    <x v="0"/>
    <x v="482"/>
    <m/>
    <n v="0.112"/>
    <m/>
    <x v="17"/>
    <x v="18"/>
    <m/>
  </r>
  <r>
    <x v="1495"/>
    <x v="1884"/>
    <x v="10"/>
    <x v="1"/>
    <x v="1"/>
    <x v="3"/>
    <x v="10"/>
    <x v="0"/>
    <x v="1850"/>
    <n v="751"/>
    <x v="218"/>
    <x v="0"/>
    <x v="166"/>
    <m/>
    <n v="0.11700000000000001"/>
    <m/>
    <x v="57"/>
    <x v="45"/>
    <m/>
  </r>
  <r>
    <x v="1496"/>
    <x v="1885"/>
    <x v="10"/>
    <x v="1"/>
    <x v="1"/>
    <x v="3"/>
    <x v="10"/>
    <x v="0"/>
    <x v="1851"/>
    <n v="525"/>
    <x v="140"/>
    <x v="0"/>
    <x v="592"/>
    <m/>
    <n v="0.35099999999999998"/>
    <m/>
    <x v="151"/>
    <x v="132"/>
    <m/>
  </r>
  <r>
    <x v="1497"/>
    <x v="1886"/>
    <x v="10"/>
    <x v="1"/>
    <x v="1"/>
    <x v="3"/>
    <x v="10"/>
    <x v="0"/>
    <x v="1852"/>
    <n v="475"/>
    <x v="266"/>
    <x v="0"/>
    <x v="560"/>
    <m/>
    <n v="8.6999999999999994E-2"/>
    <m/>
    <x v="128"/>
    <x v="223"/>
    <m/>
  </r>
  <r>
    <x v="1498"/>
    <x v="1887"/>
    <x v="10"/>
    <x v="1"/>
    <x v="1"/>
    <x v="3"/>
    <x v="10"/>
    <x v="0"/>
    <x v="1853"/>
    <n v="340"/>
    <x v="215"/>
    <x v="0"/>
    <x v="205"/>
    <m/>
    <n v="0.19400000000000001"/>
    <m/>
    <x v="18"/>
    <x v="133"/>
    <m/>
  </r>
  <r>
    <x v="1499"/>
    <x v="1888"/>
    <x v="10"/>
    <x v="1"/>
    <x v="1"/>
    <x v="3"/>
    <x v="10"/>
    <x v="0"/>
    <x v="1854"/>
    <n v="482"/>
    <x v="44"/>
    <x v="0"/>
    <x v="593"/>
    <m/>
    <n v="8.5999999999999993E-2"/>
    <m/>
    <x v="47"/>
    <x v="308"/>
    <m/>
  </r>
  <r>
    <x v="1500"/>
    <x v="1889"/>
    <x v="10"/>
    <x v="1"/>
    <x v="1"/>
    <x v="3"/>
    <x v="10"/>
    <x v="0"/>
    <x v="1855"/>
    <n v="162"/>
    <x v="266"/>
    <x v="0"/>
    <x v="497"/>
    <m/>
    <n v="7.2999999999999995E-2"/>
    <m/>
    <x v="94"/>
    <x v="91"/>
    <m/>
  </r>
  <r>
    <x v="1501"/>
    <x v="1890"/>
    <x v="10"/>
    <x v="1"/>
    <x v="1"/>
    <x v="3"/>
    <x v="10"/>
    <x v="0"/>
    <x v="1856"/>
    <n v="871"/>
    <x v="212"/>
    <x v="0"/>
    <x v="175"/>
    <m/>
    <n v="0.25900000000000001"/>
    <m/>
    <x v="54"/>
    <x v="105"/>
    <m/>
  </r>
  <r>
    <x v="1502"/>
    <x v="1891"/>
    <x v="10"/>
    <x v="1"/>
    <x v="1"/>
    <x v="3"/>
    <x v="10"/>
    <x v="0"/>
    <x v="1857"/>
    <n v="786"/>
    <x v="220"/>
    <x v="0"/>
    <x v="165"/>
    <m/>
    <n v="0.14399999999999999"/>
    <m/>
    <x v="44"/>
    <x v="3"/>
    <m/>
  </r>
  <r>
    <x v="1503"/>
    <x v="1892"/>
    <x v="10"/>
    <x v="1"/>
    <x v="1"/>
    <x v="3"/>
    <x v="10"/>
    <x v="0"/>
    <x v="1858"/>
    <n v="1321"/>
    <x v="242"/>
    <x v="0"/>
    <x v="586"/>
    <m/>
    <n v="0.15"/>
    <m/>
    <x v="4"/>
    <x v="95"/>
    <m/>
  </r>
  <r>
    <x v="1504"/>
    <x v="1893"/>
    <x v="7"/>
    <x v="1"/>
    <x v="1"/>
    <x v="3"/>
    <x v="10"/>
    <x v="1"/>
    <x v="1859"/>
    <n v="577"/>
    <x v="0"/>
    <x v="324"/>
    <x v="594"/>
    <n v="0.11700000000000001"/>
    <n v="0.23599999999999999"/>
    <m/>
    <x v="114"/>
    <x v="315"/>
    <m/>
  </r>
  <r>
    <x v="1504"/>
    <x v="1894"/>
    <x v="7"/>
    <x v="1"/>
    <x v="1"/>
    <x v="3"/>
    <x v="10"/>
    <x v="1"/>
    <x v="1860"/>
    <n v="577"/>
    <x v="0"/>
    <x v="325"/>
    <x v="458"/>
    <n v="0.25"/>
    <n v="0.38500000000000001"/>
    <m/>
    <x v="114"/>
    <x v="315"/>
    <m/>
  </r>
  <r>
    <x v="1505"/>
    <x v="1895"/>
    <x v="10"/>
    <x v="1"/>
    <x v="1"/>
    <x v="3"/>
    <x v="10"/>
    <x v="0"/>
    <x v="1861"/>
    <n v="490"/>
    <x v="224"/>
    <x v="0"/>
    <x v="349"/>
    <m/>
    <n v="0.153"/>
    <m/>
    <x v="159"/>
    <x v="85"/>
    <m/>
  </r>
  <r>
    <x v="1506"/>
    <x v="1896"/>
    <x v="10"/>
    <x v="1"/>
    <x v="1"/>
    <x v="3"/>
    <x v="10"/>
    <x v="0"/>
    <x v="1862"/>
    <n v="1159"/>
    <x v="212"/>
    <x v="0"/>
    <x v="595"/>
    <m/>
    <n v="0.29899999999999999"/>
    <m/>
    <x v="57"/>
    <x v="173"/>
    <m/>
  </r>
  <r>
    <x v="1507"/>
    <x v="1897"/>
    <x v="10"/>
    <x v="1"/>
    <x v="1"/>
    <x v="3"/>
    <x v="10"/>
    <x v="0"/>
    <x v="1863"/>
    <n v="974"/>
    <x v="109"/>
    <x v="0"/>
    <x v="596"/>
    <m/>
    <n v="0.24099999999999999"/>
    <m/>
    <x v="130"/>
    <x v="108"/>
    <m/>
  </r>
  <r>
    <x v="1508"/>
    <x v="1898"/>
    <x v="10"/>
    <x v="1"/>
    <x v="1"/>
    <x v="3"/>
    <x v="10"/>
    <x v="0"/>
    <x v="1864"/>
    <n v="1284"/>
    <x v="211"/>
    <x v="0"/>
    <x v="344"/>
    <m/>
    <n v="0.23799999999999999"/>
    <m/>
    <x v="54"/>
    <x v="16"/>
    <m/>
  </r>
  <r>
    <x v="1509"/>
    <x v="1899"/>
    <x v="10"/>
    <x v="1"/>
    <x v="1"/>
    <x v="3"/>
    <x v="10"/>
    <x v="0"/>
    <x v="1865"/>
    <n v="795"/>
    <x v="223"/>
    <x v="0"/>
    <x v="550"/>
    <m/>
    <n v="0.16800000000000001"/>
    <m/>
    <x v="3"/>
    <x v="24"/>
    <m/>
  </r>
  <r>
    <x v="1510"/>
    <x v="1900"/>
    <x v="10"/>
    <x v="1"/>
    <x v="1"/>
    <x v="3"/>
    <x v="10"/>
    <x v="0"/>
    <x v="1866"/>
    <n v="392"/>
    <x v="212"/>
    <x v="0"/>
    <x v="591"/>
    <m/>
    <n v="0.193"/>
    <m/>
    <x v="138"/>
    <x v="284"/>
    <m/>
  </r>
  <r>
    <x v="1511"/>
    <x v="1901"/>
    <x v="10"/>
    <x v="1"/>
    <x v="1"/>
    <x v="3"/>
    <x v="10"/>
    <x v="0"/>
    <x v="1867"/>
    <n v="379"/>
    <x v="196"/>
    <x v="0"/>
    <x v="284"/>
    <m/>
    <n v="0.10199999999999999"/>
    <m/>
    <x v="191"/>
    <x v="112"/>
    <m/>
  </r>
  <r>
    <x v="1512"/>
    <x v="1902"/>
    <x v="10"/>
    <x v="1"/>
    <x v="1"/>
    <x v="3"/>
    <x v="10"/>
    <x v="0"/>
    <x v="1868"/>
    <n v="728"/>
    <x v="196"/>
    <x v="0"/>
    <x v="236"/>
    <m/>
    <n v="0.17799999999999999"/>
    <m/>
    <x v="53"/>
    <x v="41"/>
    <m/>
  </r>
  <r>
    <x v="1513"/>
    <x v="1903"/>
    <x v="10"/>
    <x v="1"/>
    <x v="1"/>
    <x v="3"/>
    <x v="10"/>
    <x v="0"/>
    <x v="1869"/>
    <n v="642"/>
    <x v="212"/>
    <x v="0"/>
    <x v="204"/>
    <m/>
    <n v="0.246"/>
    <m/>
    <x v="50"/>
    <x v="16"/>
    <m/>
  </r>
  <r>
    <x v="1514"/>
    <x v="1904"/>
    <x v="10"/>
    <x v="1"/>
    <x v="1"/>
    <x v="3"/>
    <x v="10"/>
    <x v="0"/>
    <x v="1870"/>
    <n v="435"/>
    <x v="218"/>
    <x v="0"/>
    <x v="554"/>
    <m/>
    <n v="0.121"/>
    <m/>
    <x v="110"/>
    <x v="36"/>
    <m/>
  </r>
  <r>
    <x v="1515"/>
    <x v="1905"/>
    <x v="19"/>
    <x v="1"/>
    <x v="1"/>
    <x v="3"/>
    <x v="10"/>
    <x v="1"/>
    <x v="1871"/>
    <n v="799"/>
    <x v="0"/>
    <x v="0"/>
    <x v="597"/>
    <m/>
    <n v="0.33100000000000002"/>
    <m/>
    <x v="29"/>
    <x v="42"/>
    <m/>
  </r>
  <r>
    <x v="1515"/>
    <x v="1906"/>
    <x v="19"/>
    <x v="1"/>
    <x v="1"/>
    <x v="3"/>
    <x v="10"/>
    <x v="1"/>
    <x v="1872"/>
    <n v="799"/>
    <x v="0"/>
    <x v="0"/>
    <x v="290"/>
    <m/>
    <n v="0.27900000000000003"/>
    <m/>
    <x v="29"/>
    <x v="42"/>
    <m/>
  </r>
  <r>
    <x v="1516"/>
    <x v="1907"/>
    <x v="10"/>
    <x v="1"/>
    <x v="1"/>
    <x v="3"/>
    <x v="10"/>
    <x v="0"/>
    <x v="1873"/>
    <n v="574"/>
    <x v="229"/>
    <x v="0"/>
    <x v="186"/>
    <m/>
    <n v="0.17499999999999999"/>
    <m/>
    <x v="37"/>
    <x v="282"/>
    <m/>
  </r>
  <r>
    <x v="1517"/>
    <x v="1908"/>
    <x v="10"/>
    <x v="1"/>
    <x v="1"/>
    <x v="3"/>
    <x v="10"/>
    <x v="0"/>
    <x v="1874"/>
    <n v="752"/>
    <x v="109"/>
    <x v="0"/>
    <x v="196"/>
    <m/>
    <n v="0.18099999999999999"/>
    <m/>
    <x v="137"/>
    <x v="36"/>
    <m/>
  </r>
  <r>
    <x v="1518"/>
    <x v="1909"/>
    <x v="10"/>
    <x v="1"/>
    <x v="1"/>
    <x v="3"/>
    <x v="10"/>
    <x v="0"/>
    <x v="1875"/>
    <n v="1368"/>
    <x v="208"/>
    <x v="0"/>
    <x v="399"/>
    <m/>
    <n v="0.34100000000000003"/>
    <m/>
    <x v="57"/>
    <x v="45"/>
    <m/>
  </r>
  <r>
    <x v="1519"/>
    <x v="1910"/>
    <x v="10"/>
    <x v="1"/>
    <x v="1"/>
    <x v="3"/>
    <x v="10"/>
    <x v="0"/>
    <x v="1876"/>
    <n v="1341"/>
    <x v="215"/>
    <x v="0"/>
    <x v="598"/>
    <m/>
    <n v="0.16600000000000001"/>
    <m/>
    <x v="50"/>
    <x v="105"/>
    <m/>
  </r>
  <r>
    <x v="1520"/>
    <x v="1911"/>
    <x v="10"/>
    <x v="1"/>
    <x v="1"/>
    <x v="3"/>
    <x v="10"/>
    <x v="1"/>
    <x v="1877"/>
    <n v="692"/>
    <x v="218"/>
    <x v="0"/>
    <x v="379"/>
    <m/>
    <n v="0.14799999999999999"/>
    <m/>
    <x v="102"/>
    <x v="41"/>
    <m/>
  </r>
  <r>
    <x v="1520"/>
    <x v="1912"/>
    <x v="10"/>
    <x v="1"/>
    <x v="1"/>
    <x v="3"/>
    <x v="10"/>
    <x v="1"/>
    <x v="1878"/>
    <n v="692"/>
    <x v="218"/>
    <x v="0"/>
    <x v="328"/>
    <m/>
    <n v="8.8999999999999996E-2"/>
    <m/>
    <x v="102"/>
    <x v="41"/>
    <m/>
  </r>
  <r>
    <x v="1521"/>
    <x v="1913"/>
    <x v="10"/>
    <x v="1"/>
    <x v="1"/>
    <x v="3"/>
    <x v="10"/>
    <x v="0"/>
    <x v="1879"/>
    <n v="350"/>
    <x v="196"/>
    <x v="0"/>
    <x v="541"/>
    <m/>
    <n v="0.158"/>
    <m/>
    <x v="174"/>
    <x v="32"/>
    <m/>
  </r>
  <r>
    <x v="1522"/>
    <x v="1914"/>
    <x v="10"/>
    <x v="1"/>
    <x v="1"/>
    <x v="3"/>
    <x v="10"/>
    <x v="0"/>
    <x v="1880"/>
    <n v="686"/>
    <x v="218"/>
    <x v="0"/>
    <x v="273"/>
    <m/>
    <n v="0.13800000000000001"/>
    <m/>
    <x v="53"/>
    <x v="55"/>
    <m/>
  </r>
  <r>
    <x v="1523"/>
    <x v="1915"/>
    <x v="10"/>
    <x v="1"/>
    <x v="1"/>
    <x v="3"/>
    <x v="10"/>
    <x v="0"/>
    <x v="1881"/>
    <n v="890"/>
    <x v="224"/>
    <x v="0"/>
    <x v="350"/>
    <m/>
    <n v="0.29399999999999998"/>
    <m/>
    <x v="126"/>
    <x v="92"/>
    <m/>
  </r>
  <r>
    <x v="1524"/>
    <x v="1916"/>
    <x v="10"/>
    <x v="1"/>
    <x v="1"/>
    <x v="3"/>
    <x v="10"/>
    <x v="1"/>
    <x v="1882"/>
    <n v="1130"/>
    <x v="220"/>
    <x v="0"/>
    <x v="215"/>
    <m/>
    <n v="0.154"/>
    <m/>
    <x v="48"/>
    <x v="133"/>
    <m/>
  </r>
  <r>
    <x v="1524"/>
    <x v="1917"/>
    <x v="10"/>
    <x v="1"/>
    <x v="1"/>
    <x v="3"/>
    <x v="10"/>
    <x v="1"/>
    <x v="1883"/>
    <n v="1130"/>
    <x v="220"/>
    <x v="0"/>
    <x v="239"/>
    <m/>
    <n v="0.10299999999999999"/>
    <m/>
    <x v="48"/>
    <x v="133"/>
    <m/>
  </r>
  <r>
    <x v="1525"/>
    <x v="1918"/>
    <x v="10"/>
    <x v="1"/>
    <x v="1"/>
    <x v="3"/>
    <x v="10"/>
    <x v="0"/>
    <x v="1884"/>
    <n v="1255"/>
    <x v="216"/>
    <x v="0"/>
    <x v="388"/>
    <m/>
    <n v="0.25"/>
    <m/>
    <x v="127"/>
    <x v="111"/>
    <m/>
  </r>
  <r>
    <x v="1526"/>
    <x v="1919"/>
    <x v="19"/>
    <x v="1"/>
    <x v="1"/>
    <x v="3"/>
    <x v="10"/>
    <x v="1"/>
    <x v="1885"/>
    <n v="902"/>
    <x v="0"/>
    <x v="0"/>
    <x v="544"/>
    <m/>
    <n v="0.13600000000000001"/>
    <m/>
    <x v="29"/>
    <x v="113"/>
    <m/>
  </r>
  <r>
    <x v="1526"/>
    <x v="1920"/>
    <x v="19"/>
    <x v="1"/>
    <x v="1"/>
    <x v="3"/>
    <x v="10"/>
    <x v="1"/>
    <x v="1886"/>
    <n v="902"/>
    <x v="0"/>
    <x v="0"/>
    <x v="312"/>
    <m/>
    <n v="0.217"/>
    <m/>
    <x v="29"/>
    <x v="113"/>
    <m/>
  </r>
  <r>
    <x v="1527"/>
    <x v="1921"/>
    <x v="10"/>
    <x v="1"/>
    <x v="1"/>
    <x v="3"/>
    <x v="10"/>
    <x v="0"/>
    <x v="1887"/>
    <n v="569"/>
    <x v="223"/>
    <x v="0"/>
    <x v="503"/>
    <m/>
    <n v="9.5000000000000001E-2"/>
    <m/>
    <x v="34"/>
    <x v="153"/>
    <m/>
  </r>
  <r>
    <x v="1528"/>
    <x v="1922"/>
    <x v="10"/>
    <x v="1"/>
    <x v="1"/>
    <x v="3"/>
    <x v="10"/>
    <x v="0"/>
    <x v="1888"/>
    <n v="1059"/>
    <x v="223"/>
    <x v="0"/>
    <x v="353"/>
    <m/>
    <n v="0.126"/>
    <m/>
    <x v="44"/>
    <x v="3"/>
    <m/>
  </r>
  <r>
    <x v="1529"/>
    <x v="1923"/>
    <x v="10"/>
    <x v="1"/>
    <x v="1"/>
    <x v="3"/>
    <x v="10"/>
    <x v="0"/>
    <x v="1889"/>
    <n v="1269"/>
    <x v="231"/>
    <x v="0"/>
    <x v="191"/>
    <m/>
    <n v="0.17"/>
    <m/>
    <x v="56"/>
    <x v="167"/>
    <m/>
  </r>
  <r>
    <x v="1530"/>
    <x v="1924"/>
    <x v="10"/>
    <x v="1"/>
    <x v="1"/>
    <x v="3"/>
    <x v="10"/>
    <x v="0"/>
    <x v="1890"/>
    <n v="625"/>
    <x v="266"/>
    <x v="0"/>
    <x v="451"/>
    <m/>
    <n v="0.106"/>
    <m/>
    <x v="25"/>
    <x v="121"/>
    <m/>
  </r>
  <r>
    <x v="1531"/>
    <x v="1925"/>
    <x v="10"/>
    <x v="1"/>
    <x v="1"/>
    <x v="3"/>
    <x v="10"/>
    <x v="0"/>
    <x v="1891"/>
    <n v="1214"/>
    <x v="44"/>
    <x v="0"/>
    <x v="591"/>
    <m/>
    <n v="0.193"/>
    <m/>
    <x v="48"/>
    <x v="110"/>
    <m/>
  </r>
  <r>
    <x v="1532"/>
    <x v="1926"/>
    <x v="10"/>
    <x v="1"/>
    <x v="1"/>
    <x v="3"/>
    <x v="10"/>
    <x v="0"/>
    <x v="1892"/>
    <n v="1714"/>
    <x v="232"/>
    <x v="0"/>
    <x v="599"/>
    <m/>
    <n v="0.26100000000000001"/>
    <m/>
    <x v="112"/>
    <x v="182"/>
    <m/>
  </r>
  <r>
    <x v="1533"/>
    <x v="1927"/>
    <x v="10"/>
    <x v="1"/>
    <x v="1"/>
    <x v="3"/>
    <x v="10"/>
    <x v="0"/>
    <x v="1893"/>
    <n v="1218"/>
    <x v="223"/>
    <x v="0"/>
    <x v="526"/>
    <m/>
    <n v="0.14899999999999999"/>
    <m/>
    <x v="17"/>
    <x v="18"/>
    <m/>
  </r>
  <r>
    <x v="1534"/>
    <x v="1928"/>
    <x v="10"/>
    <x v="1"/>
    <x v="1"/>
    <x v="3"/>
    <x v="10"/>
    <x v="0"/>
    <x v="1894"/>
    <n v="525"/>
    <x v="207"/>
    <x v="0"/>
    <x v="475"/>
    <m/>
    <n v="0.105"/>
    <m/>
    <x v="94"/>
    <x v="202"/>
    <m/>
  </r>
  <r>
    <x v="1535"/>
    <x v="1929"/>
    <x v="10"/>
    <x v="1"/>
    <x v="1"/>
    <x v="3"/>
    <x v="10"/>
    <x v="0"/>
    <x v="1895"/>
    <n v="1405"/>
    <x v="229"/>
    <x v="0"/>
    <x v="215"/>
    <m/>
    <n v="0.154"/>
    <m/>
    <x v="48"/>
    <x v="124"/>
    <m/>
  </r>
  <r>
    <x v="1536"/>
    <x v="1930"/>
    <x v="10"/>
    <x v="1"/>
    <x v="1"/>
    <x v="3"/>
    <x v="10"/>
    <x v="0"/>
    <x v="1896"/>
    <n v="619"/>
    <x v="211"/>
    <x v="0"/>
    <x v="511"/>
    <m/>
    <n v="0.16300000000000001"/>
    <m/>
    <x v="7"/>
    <x v="62"/>
    <m/>
  </r>
  <r>
    <x v="1537"/>
    <x v="1931"/>
    <x v="19"/>
    <x v="1"/>
    <x v="1"/>
    <x v="3"/>
    <x v="10"/>
    <x v="2"/>
    <x v="1897"/>
    <n v="796"/>
    <x v="0"/>
    <x v="0"/>
    <x v="237"/>
    <m/>
    <n v="0.161"/>
    <m/>
    <x v="29"/>
    <x v="131"/>
    <m/>
  </r>
  <r>
    <x v="1537"/>
    <x v="1932"/>
    <x v="19"/>
    <x v="1"/>
    <x v="1"/>
    <x v="3"/>
    <x v="10"/>
    <x v="2"/>
    <x v="1898"/>
    <n v="796"/>
    <x v="0"/>
    <x v="0"/>
    <x v="292"/>
    <m/>
    <n v="0.32100000000000001"/>
    <m/>
    <x v="29"/>
    <x v="131"/>
    <m/>
  </r>
  <r>
    <x v="1537"/>
    <x v="1933"/>
    <x v="10"/>
    <x v="1"/>
    <x v="1"/>
    <x v="3"/>
    <x v="10"/>
    <x v="2"/>
    <x v="1899"/>
    <n v="796"/>
    <x v="0"/>
    <x v="0"/>
    <x v="600"/>
    <m/>
    <n v="0.77400000000000002"/>
    <m/>
    <x v="29"/>
    <x v="131"/>
    <m/>
  </r>
  <r>
    <x v="1538"/>
    <x v="1934"/>
    <x v="10"/>
    <x v="1"/>
    <x v="1"/>
    <x v="3"/>
    <x v="10"/>
    <x v="0"/>
    <x v="1900"/>
    <n v="540"/>
    <x v="215"/>
    <x v="0"/>
    <x v="526"/>
    <m/>
    <n v="0.14899999999999999"/>
    <m/>
    <x v="6"/>
    <x v="130"/>
    <m/>
  </r>
  <r>
    <x v="1539"/>
    <x v="1935"/>
    <x v="10"/>
    <x v="1"/>
    <x v="1"/>
    <x v="3"/>
    <x v="10"/>
    <x v="0"/>
    <x v="1901"/>
    <n v="493"/>
    <x v="218"/>
    <x v="0"/>
    <x v="420"/>
    <m/>
    <n v="0.11"/>
    <m/>
    <x v="34"/>
    <x v="91"/>
    <m/>
  </r>
  <r>
    <x v="1540"/>
    <x v="1936"/>
    <x v="10"/>
    <x v="1"/>
    <x v="1"/>
    <x v="3"/>
    <x v="10"/>
    <x v="0"/>
    <x v="1902"/>
    <n v="442"/>
    <x v="216"/>
    <x v="0"/>
    <x v="410"/>
    <m/>
    <n v="0.09"/>
    <m/>
    <x v="59"/>
    <x v="239"/>
    <m/>
  </r>
  <r>
    <x v="1541"/>
    <x v="1937"/>
    <x v="10"/>
    <x v="1"/>
    <x v="1"/>
    <x v="3"/>
    <x v="10"/>
    <x v="0"/>
    <x v="1903"/>
    <n v="1327"/>
    <x v="155"/>
    <x v="0"/>
    <x v="280"/>
    <m/>
    <n v="0.13600000000000001"/>
    <m/>
    <x v="119"/>
    <x v="107"/>
    <m/>
  </r>
  <r>
    <x v="1542"/>
    <x v="1938"/>
    <x v="10"/>
    <x v="1"/>
    <x v="1"/>
    <x v="3"/>
    <x v="10"/>
    <x v="0"/>
    <x v="1904"/>
    <n v="1095"/>
    <x v="229"/>
    <x v="0"/>
    <x v="601"/>
    <m/>
    <n v="0.188"/>
    <m/>
    <x v="23"/>
    <x v="94"/>
    <m/>
  </r>
  <r>
    <x v="1543"/>
    <x v="1939"/>
    <x v="10"/>
    <x v="1"/>
    <x v="1"/>
    <x v="3"/>
    <x v="10"/>
    <x v="0"/>
    <x v="1905"/>
    <n v="550"/>
    <x v="257"/>
    <x v="0"/>
    <x v="415"/>
    <m/>
    <n v="0.13100000000000001"/>
    <m/>
    <x v="129"/>
    <x v="40"/>
    <m/>
  </r>
  <r>
    <x v="1544"/>
    <x v="1940"/>
    <x v="10"/>
    <x v="1"/>
    <x v="1"/>
    <x v="3"/>
    <x v="10"/>
    <x v="0"/>
    <x v="1906"/>
    <n v="1465"/>
    <x v="220"/>
    <x v="0"/>
    <x v="152"/>
    <m/>
    <n v="0.20699999999999999"/>
    <m/>
    <x v="4"/>
    <x v="40"/>
    <m/>
  </r>
  <r>
    <x v="1545"/>
    <x v="1941"/>
    <x v="10"/>
    <x v="1"/>
    <x v="1"/>
    <x v="3"/>
    <x v="10"/>
    <x v="0"/>
    <x v="1907"/>
    <n v="1094"/>
    <x v="267"/>
    <x v="0"/>
    <x v="533"/>
    <m/>
    <n v="0.19"/>
    <m/>
    <x v="124"/>
    <x v="204"/>
    <m/>
  </r>
  <r>
    <x v="1546"/>
    <x v="1942"/>
    <x v="10"/>
    <x v="1"/>
    <x v="1"/>
    <x v="3"/>
    <x v="10"/>
    <x v="0"/>
    <x v="1908"/>
    <n v="618"/>
    <x v="2"/>
    <x v="0"/>
    <x v="598"/>
    <m/>
    <n v="0.16600000000000001"/>
    <m/>
    <x v="52"/>
    <x v="97"/>
    <m/>
  </r>
  <r>
    <x v="1547"/>
    <x v="1943"/>
    <x v="10"/>
    <x v="1"/>
    <x v="1"/>
    <x v="3"/>
    <x v="10"/>
    <x v="0"/>
    <x v="1909"/>
    <n v="870"/>
    <x v="208"/>
    <x v="0"/>
    <x v="541"/>
    <m/>
    <n v="0.158"/>
    <m/>
    <x v="89"/>
    <x v="52"/>
    <m/>
  </r>
  <r>
    <x v="1548"/>
    <x v="1944"/>
    <x v="19"/>
    <x v="1"/>
    <x v="1"/>
    <x v="3"/>
    <x v="10"/>
    <x v="2"/>
    <x v="1910"/>
    <n v="521"/>
    <x v="0"/>
    <x v="0"/>
    <x v="602"/>
    <m/>
    <n v="0.376"/>
    <m/>
    <x v="29"/>
    <x v="105"/>
    <m/>
  </r>
  <r>
    <x v="1548"/>
    <x v="1945"/>
    <x v="19"/>
    <x v="1"/>
    <x v="1"/>
    <x v="3"/>
    <x v="10"/>
    <x v="2"/>
    <x v="1911"/>
    <n v="521"/>
    <x v="0"/>
    <x v="0"/>
    <x v="165"/>
    <m/>
    <n v="0.14399999999999999"/>
    <m/>
    <x v="29"/>
    <x v="105"/>
    <m/>
  </r>
  <r>
    <x v="1548"/>
    <x v="1946"/>
    <x v="19"/>
    <x v="1"/>
    <x v="1"/>
    <x v="3"/>
    <x v="10"/>
    <x v="2"/>
    <x v="1912"/>
    <n v="521"/>
    <x v="0"/>
    <x v="0"/>
    <x v="177"/>
    <m/>
    <n v="0.35299999999999998"/>
    <m/>
    <x v="29"/>
    <x v="105"/>
    <m/>
  </r>
  <r>
    <x v="1549"/>
    <x v="1947"/>
    <x v="10"/>
    <x v="1"/>
    <x v="1"/>
    <x v="3"/>
    <x v="10"/>
    <x v="0"/>
    <x v="1913"/>
    <n v="968"/>
    <x v="223"/>
    <x v="0"/>
    <x v="603"/>
    <m/>
    <n v="0.27100000000000002"/>
    <m/>
    <x v="3"/>
    <x v="90"/>
    <m/>
  </r>
  <r>
    <x v="1550"/>
    <x v="1948"/>
    <x v="10"/>
    <x v="1"/>
    <x v="1"/>
    <x v="3"/>
    <x v="10"/>
    <x v="0"/>
    <x v="1914"/>
    <n v="1312"/>
    <x v="223"/>
    <x v="0"/>
    <x v="228"/>
    <m/>
    <n v="0.13500000000000001"/>
    <m/>
    <x v="57"/>
    <x v="173"/>
    <m/>
  </r>
  <r>
    <x v="1551"/>
    <x v="1949"/>
    <x v="10"/>
    <x v="1"/>
    <x v="1"/>
    <x v="3"/>
    <x v="10"/>
    <x v="0"/>
    <x v="1915"/>
    <n v="371"/>
    <x v="232"/>
    <x v="0"/>
    <x v="234"/>
    <m/>
    <n v="0.13300000000000001"/>
    <m/>
    <x v="96"/>
    <x v="185"/>
    <m/>
  </r>
  <r>
    <x v="1552"/>
    <x v="1950"/>
    <x v="10"/>
    <x v="1"/>
    <x v="1"/>
    <x v="3"/>
    <x v="10"/>
    <x v="0"/>
    <x v="1916"/>
    <n v="572"/>
    <x v="205"/>
    <x v="0"/>
    <x v="353"/>
    <m/>
    <n v="0.126"/>
    <m/>
    <x v="104"/>
    <x v="145"/>
    <m/>
  </r>
  <r>
    <x v="1553"/>
    <x v="1951"/>
    <x v="10"/>
    <x v="1"/>
    <x v="1"/>
    <x v="3"/>
    <x v="10"/>
    <x v="0"/>
    <x v="1917"/>
    <n v="1059"/>
    <x v="224"/>
    <x v="0"/>
    <x v="604"/>
    <m/>
    <n v="0.27400000000000002"/>
    <m/>
    <x v="50"/>
    <x v="16"/>
    <m/>
  </r>
  <r>
    <x v="1554"/>
    <x v="1952"/>
    <x v="10"/>
    <x v="1"/>
    <x v="1"/>
    <x v="3"/>
    <x v="10"/>
    <x v="0"/>
    <x v="1918"/>
    <n v="1307"/>
    <x v="212"/>
    <x v="0"/>
    <x v="489"/>
    <m/>
    <n v="0.26200000000000001"/>
    <m/>
    <x v="18"/>
    <x v="110"/>
    <m/>
  </r>
  <r>
    <x v="1555"/>
    <x v="1953"/>
    <x v="10"/>
    <x v="1"/>
    <x v="1"/>
    <x v="3"/>
    <x v="10"/>
    <x v="0"/>
    <x v="1919"/>
    <n v="1293"/>
    <x v="219"/>
    <x v="0"/>
    <x v="476"/>
    <m/>
    <n v="0.19800000000000001"/>
    <m/>
    <x v="112"/>
    <x v="223"/>
    <m/>
  </r>
  <r>
    <x v="1556"/>
    <x v="1954"/>
    <x v="10"/>
    <x v="1"/>
    <x v="1"/>
    <x v="3"/>
    <x v="10"/>
    <x v="0"/>
    <x v="1920"/>
    <n v="1122"/>
    <x v="211"/>
    <x v="0"/>
    <x v="379"/>
    <m/>
    <n v="0.14799999999999999"/>
    <m/>
    <x v="50"/>
    <x v="105"/>
    <m/>
  </r>
  <r>
    <x v="1557"/>
    <x v="1955"/>
    <x v="10"/>
    <x v="1"/>
    <x v="1"/>
    <x v="3"/>
    <x v="10"/>
    <x v="0"/>
    <x v="1921"/>
    <n v="740"/>
    <x v="212"/>
    <x v="0"/>
    <x v="232"/>
    <m/>
    <n v="0.11899999999999999"/>
    <m/>
    <x v="126"/>
    <x v="130"/>
    <m/>
  </r>
  <r>
    <x v="1558"/>
    <x v="1956"/>
    <x v="10"/>
    <x v="1"/>
    <x v="1"/>
    <x v="3"/>
    <x v="10"/>
    <x v="0"/>
    <x v="1922"/>
    <n v="310"/>
    <x v="207"/>
    <x v="0"/>
    <x v="451"/>
    <m/>
    <n v="0.106"/>
    <m/>
    <x v="58"/>
    <x v="202"/>
    <m/>
  </r>
  <r>
    <x v="1559"/>
    <x v="1957"/>
    <x v="14"/>
    <x v="1"/>
    <x v="1"/>
    <x v="3"/>
    <x v="10"/>
    <x v="0"/>
    <x v="1923"/>
    <n v="598"/>
    <x v="268"/>
    <x v="326"/>
    <x v="605"/>
    <n v="0.66"/>
    <n v="0.96"/>
    <n v="0.93"/>
    <x v="102"/>
    <x v="173"/>
    <n v="1.47"/>
  </r>
  <r>
    <x v="1560"/>
    <x v="1958"/>
    <x v="19"/>
    <x v="1"/>
    <x v="1"/>
    <x v="3"/>
    <x v="10"/>
    <x v="3"/>
    <x v="1924"/>
    <n v="927"/>
    <x v="0"/>
    <x v="0"/>
    <x v="211"/>
    <m/>
    <n v="0.112"/>
    <m/>
    <x v="29"/>
    <x v="16"/>
    <m/>
  </r>
  <r>
    <x v="1560"/>
    <x v="1959"/>
    <x v="19"/>
    <x v="1"/>
    <x v="1"/>
    <x v="3"/>
    <x v="10"/>
    <x v="3"/>
    <x v="1925"/>
    <n v="927"/>
    <x v="0"/>
    <x v="0"/>
    <x v="413"/>
    <m/>
    <n v="0.32900000000000001"/>
    <m/>
    <x v="29"/>
    <x v="16"/>
    <m/>
  </r>
  <r>
    <x v="1560"/>
    <x v="1960"/>
    <x v="19"/>
    <x v="1"/>
    <x v="1"/>
    <x v="3"/>
    <x v="10"/>
    <x v="3"/>
    <x v="1926"/>
    <n v="927"/>
    <x v="0"/>
    <x v="0"/>
    <x v="335"/>
    <m/>
    <n v="0.249"/>
    <m/>
    <x v="29"/>
    <x v="16"/>
    <m/>
  </r>
  <r>
    <x v="1560"/>
    <x v="1961"/>
    <x v="19"/>
    <x v="1"/>
    <x v="1"/>
    <x v="3"/>
    <x v="10"/>
    <x v="3"/>
    <x v="1927"/>
    <n v="927"/>
    <x v="0"/>
    <x v="0"/>
    <x v="515"/>
    <m/>
    <n v="0.27800000000000002"/>
    <m/>
    <x v="29"/>
    <x v="16"/>
    <m/>
  </r>
  <r>
    <x v="1560"/>
    <x v="1962"/>
    <x v="17"/>
    <x v="1"/>
    <x v="1"/>
    <x v="3"/>
    <x v="10"/>
    <x v="3"/>
    <x v="1928"/>
    <n v="927"/>
    <x v="0"/>
    <x v="0"/>
    <x v="606"/>
    <m/>
    <n v="0.32500000000000001"/>
    <m/>
    <x v="29"/>
    <x v="16"/>
    <m/>
  </r>
  <r>
    <x v="1561"/>
    <x v="1963"/>
    <x v="10"/>
    <x v="1"/>
    <x v="1"/>
    <x v="3"/>
    <x v="10"/>
    <x v="0"/>
    <x v="1929"/>
    <n v="904"/>
    <x v="208"/>
    <x v="0"/>
    <x v="607"/>
    <m/>
    <n v="0.107"/>
    <m/>
    <x v="57"/>
    <x v="45"/>
    <m/>
  </r>
  <r>
    <x v="1562"/>
    <x v="1964"/>
    <x v="10"/>
    <x v="1"/>
    <x v="1"/>
    <x v="3"/>
    <x v="10"/>
    <x v="0"/>
    <x v="1930"/>
    <n v="888"/>
    <x v="237"/>
    <x v="0"/>
    <x v="319"/>
    <m/>
    <n v="0.13900000000000001"/>
    <m/>
    <x v="141"/>
    <x v="96"/>
    <m/>
  </r>
  <r>
    <x v="1563"/>
    <x v="1965"/>
    <x v="10"/>
    <x v="1"/>
    <x v="1"/>
    <x v="3"/>
    <x v="10"/>
    <x v="0"/>
    <x v="1931"/>
    <n v="1540"/>
    <x v="140"/>
    <x v="0"/>
    <x v="512"/>
    <m/>
    <n v="0.28399999999999997"/>
    <m/>
    <x v="22"/>
    <x v="191"/>
    <m/>
  </r>
  <r>
    <x v="1564"/>
    <x v="1966"/>
    <x v="10"/>
    <x v="1"/>
    <x v="1"/>
    <x v="3"/>
    <x v="10"/>
    <x v="0"/>
    <x v="1932"/>
    <n v="850"/>
    <x v="228"/>
    <x v="0"/>
    <x v="519"/>
    <m/>
    <n v="0.20300000000000001"/>
    <m/>
    <x v="96"/>
    <x v="36"/>
    <m/>
  </r>
  <r>
    <x v="1565"/>
    <x v="1967"/>
    <x v="10"/>
    <x v="1"/>
    <x v="1"/>
    <x v="3"/>
    <x v="10"/>
    <x v="0"/>
    <x v="1933"/>
    <n v="1029"/>
    <x v="216"/>
    <x v="0"/>
    <x v="533"/>
    <m/>
    <n v="0.19"/>
    <m/>
    <x v="6"/>
    <x v="130"/>
    <m/>
  </r>
  <r>
    <x v="1566"/>
    <x v="1968"/>
    <x v="10"/>
    <x v="1"/>
    <x v="1"/>
    <x v="3"/>
    <x v="10"/>
    <x v="0"/>
    <x v="1934"/>
    <n v="359"/>
    <x v="140"/>
    <x v="0"/>
    <x v="583"/>
    <m/>
    <n v="8.3000000000000004E-2"/>
    <m/>
    <x v="89"/>
    <x v="24"/>
    <m/>
  </r>
  <r>
    <x v="1567"/>
    <x v="1969"/>
    <x v="10"/>
    <x v="1"/>
    <x v="1"/>
    <x v="3"/>
    <x v="10"/>
    <x v="0"/>
    <x v="1935"/>
    <n v="1318"/>
    <x v="229"/>
    <x v="0"/>
    <x v="387"/>
    <m/>
    <n v="0.11799999999999999"/>
    <m/>
    <x v="44"/>
    <x v="3"/>
    <m/>
  </r>
  <r>
    <x v="1568"/>
    <x v="1970"/>
    <x v="10"/>
    <x v="1"/>
    <x v="1"/>
    <x v="3"/>
    <x v="10"/>
    <x v="0"/>
    <x v="1936"/>
    <n v="342"/>
    <x v="223"/>
    <x v="0"/>
    <x v="565"/>
    <m/>
    <n v="7.4999999999999997E-2"/>
    <m/>
    <x v="45"/>
    <x v="131"/>
    <m/>
  </r>
  <r>
    <x v="1569"/>
    <x v="1971"/>
    <x v="10"/>
    <x v="1"/>
    <x v="1"/>
    <x v="3"/>
    <x v="10"/>
    <x v="0"/>
    <x v="1937"/>
    <n v="892"/>
    <x v="243"/>
    <x v="0"/>
    <x v="232"/>
    <m/>
    <n v="0.11899999999999999"/>
    <m/>
    <x v="30"/>
    <x v="147"/>
    <m/>
  </r>
  <r>
    <x v="1570"/>
    <x v="1972"/>
    <x v="10"/>
    <x v="1"/>
    <x v="1"/>
    <x v="3"/>
    <x v="10"/>
    <x v="0"/>
    <x v="1938"/>
    <n v="1277"/>
    <x v="229"/>
    <x v="0"/>
    <x v="381"/>
    <m/>
    <n v="0.16500000000000001"/>
    <m/>
    <x v="57"/>
    <x v="173"/>
    <m/>
  </r>
  <r>
    <x v="1571"/>
    <x v="1973"/>
    <x v="19"/>
    <x v="1"/>
    <x v="1"/>
    <x v="3"/>
    <x v="10"/>
    <x v="1"/>
    <x v="1939"/>
    <n v="661"/>
    <x v="0"/>
    <x v="0"/>
    <x v="375"/>
    <m/>
    <n v="0.27300000000000002"/>
    <m/>
    <x v="29"/>
    <x v="56"/>
    <m/>
  </r>
  <r>
    <x v="1571"/>
    <x v="1974"/>
    <x v="19"/>
    <x v="1"/>
    <x v="1"/>
    <x v="3"/>
    <x v="10"/>
    <x v="1"/>
    <x v="1940"/>
    <n v="661"/>
    <x v="0"/>
    <x v="0"/>
    <x v="490"/>
    <m/>
    <n v="0.186"/>
    <m/>
    <x v="29"/>
    <x v="56"/>
    <m/>
  </r>
  <r>
    <x v="1572"/>
    <x v="1975"/>
    <x v="10"/>
    <x v="1"/>
    <x v="1"/>
    <x v="3"/>
    <x v="10"/>
    <x v="0"/>
    <x v="1941"/>
    <n v="1615"/>
    <x v="237"/>
    <x v="0"/>
    <x v="496"/>
    <m/>
    <n v="0.3"/>
    <m/>
    <x v="128"/>
    <x v="182"/>
    <m/>
  </r>
  <r>
    <x v="1573"/>
    <x v="1976"/>
    <x v="10"/>
    <x v="1"/>
    <x v="1"/>
    <x v="3"/>
    <x v="10"/>
    <x v="0"/>
    <x v="1942"/>
    <n v="897"/>
    <x v="222"/>
    <x v="0"/>
    <x v="586"/>
    <m/>
    <n v="0.15"/>
    <m/>
    <x v="63"/>
    <x v="145"/>
    <m/>
  </r>
  <r>
    <x v="1574"/>
    <x v="1977"/>
    <x v="10"/>
    <x v="1"/>
    <x v="1"/>
    <x v="3"/>
    <x v="10"/>
    <x v="0"/>
    <x v="1943"/>
    <n v="162"/>
    <x v="94"/>
    <x v="0"/>
    <x v="475"/>
    <m/>
    <n v="0.105"/>
    <m/>
    <x v="69"/>
    <x v="282"/>
    <m/>
  </r>
  <r>
    <x v="1575"/>
    <x v="1978"/>
    <x v="10"/>
    <x v="1"/>
    <x v="1"/>
    <x v="3"/>
    <x v="10"/>
    <x v="0"/>
    <x v="1944"/>
    <n v="384"/>
    <x v="229"/>
    <x v="0"/>
    <x v="608"/>
    <m/>
    <n v="0.755"/>
    <m/>
    <x v="7"/>
    <x v="193"/>
    <m/>
  </r>
  <r>
    <x v="1576"/>
    <x v="1979"/>
    <x v="10"/>
    <x v="1"/>
    <x v="1"/>
    <x v="3"/>
    <x v="10"/>
    <x v="0"/>
    <x v="1945"/>
    <n v="379"/>
    <x v="217"/>
    <x v="0"/>
    <x v="609"/>
    <m/>
    <n v="1.0549999999999999"/>
    <m/>
    <x v="49"/>
    <x v="147"/>
    <m/>
  </r>
  <r>
    <x v="1577"/>
    <x v="1980"/>
    <x v="10"/>
    <x v="1"/>
    <x v="1"/>
    <x v="3"/>
    <x v="10"/>
    <x v="0"/>
    <x v="1946"/>
    <n v="504"/>
    <x v="262"/>
    <x v="0"/>
    <x v="610"/>
    <m/>
    <n v="0.85199999999999998"/>
    <m/>
    <x v="123"/>
    <x v="11"/>
    <m/>
  </r>
  <r>
    <x v="1578"/>
    <x v="1981"/>
    <x v="10"/>
    <x v="1"/>
    <x v="1"/>
    <x v="3"/>
    <x v="10"/>
    <x v="0"/>
    <x v="1947"/>
    <n v="872"/>
    <x v="208"/>
    <x v="0"/>
    <x v="314"/>
    <m/>
    <n v="0.156"/>
    <m/>
    <x v="48"/>
    <x v="88"/>
    <m/>
  </r>
  <r>
    <x v="1579"/>
    <x v="1982"/>
    <x v="10"/>
    <x v="1"/>
    <x v="1"/>
    <x v="3"/>
    <x v="10"/>
    <x v="0"/>
    <x v="1948"/>
    <n v="869"/>
    <x v="250"/>
    <x v="0"/>
    <x v="611"/>
    <m/>
    <n v="0.871"/>
    <m/>
    <x v="201"/>
    <x v="47"/>
    <m/>
  </r>
  <r>
    <x v="1580"/>
    <x v="1983"/>
    <x v="10"/>
    <x v="1"/>
    <x v="1"/>
    <x v="3"/>
    <x v="10"/>
    <x v="0"/>
    <x v="1949"/>
    <n v="1140"/>
    <x v="269"/>
    <x v="0"/>
    <x v="546"/>
    <m/>
    <n v="0.27200000000000002"/>
    <m/>
    <x v="8"/>
    <x v="116"/>
    <m/>
  </r>
  <r>
    <x v="1581"/>
    <x v="1984"/>
    <x v="10"/>
    <x v="1"/>
    <x v="1"/>
    <x v="3"/>
    <x v="10"/>
    <x v="0"/>
    <x v="1950"/>
    <n v="858"/>
    <x v="229"/>
    <x v="0"/>
    <x v="612"/>
    <m/>
    <n v="0.63"/>
    <m/>
    <x v="23"/>
    <x v="33"/>
    <m/>
  </r>
  <r>
    <x v="1582"/>
    <x v="1985"/>
    <x v="19"/>
    <x v="1"/>
    <x v="1"/>
    <x v="3"/>
    <x v="10"/>
    <x v="1"/>
    <x v="1951"/>
    <n v="459"/>
    <x v="0"/>
    <x v="0"/>
    <x v="335"/>
    <m/>
    <n v="0.249"/>
    <m/>
    <x v="29"/>
    <x v="185"/>
    <m/>
  </r>
  <r>
    <x v="1582"/>
    <x v="1986"/>
    <x v="19"/>
    <x v="1"/>
    <x v="1"/>
    <x v="3"/>
    <x v="10"/>
    <x v="1"/>
    <x v="1952"/>
    <n v="459"/>
    <x v="0"/>
    <x v="0"/>
    <x v="158"/>
    <m/>
    <n v="0.21299999999999999"/>
    <m/>
    <x v="29"/>
    <x v="185"/>
    <m/>
  </r>
  <r>
    <x v="1583"/>
    <x v="1987"/>
    <x v="10"/>
    <x v="1"/>
    <x v="1"/>
    <x v="3"/>
    <x v="10"/>
    <x v="0"/>
    <x v="1953"/>
    <n v="636"/>
    <x v="216"/>
    <x v="0"/>
    <x v="468"/>
    <m/>
    <n v="0.51500000000000001"/>
    <m/>
    <x v="99"/>
    <x v="32"/>
    <m/>
  </r>
  <r>
    <x v="1584"/>
    <x v="1988"/>
    <x v="10"/>
    <x v="1"/>
    <x v="1"/>
    <x v="3"/>
    <x v="10"/>
    <x v="0"/>
    <x v="1954"/>
    <n v="227"/>
    <x v="216"/>
    <x v="0"/>
    <x v="281"/>
    <m/>
    <n v="0.223"/>
    <m/>
    <x v="94"/>
    <x v="153"/>
    <m/>
  </r>
  <r>
    <x v="1585"/>
    <x v="1989"/>
    <x v="10"/>
    <x v="1"/>
    <x v="1"/>
    <x v="3"/>
    <x v="10"/>
    <x v="0"/>
    <x v="1955"/>
    <n v="690"/>
    <x v="218"/>
    <x v="0"/>
    <x v="215"/>
    <m/>
    <n v="0.154"/>
    <m/>
    <x v="50"/>
    <x v="3"/>
    <m/>
  </r>
  <r>
    <x v="1586"/>
    <x v="1990"/>
    <x v="10"/>
    <x v="1"/>
    <x v="1"/>
    <x v="3"/>
    <x v="10"/>
    <x v="0"/>
    <x v="1956"/>
    <n v="918"/>
    <x v="224"/>
    <x v="0"/>
    <x v="406"/>
    <m/>
    <n v="0.14099999999999999"/>
    <m/>
    <x v="54"/>
    <x v="18"/>
    <m/>
  </r>
  <r>
    <x v="1587"/>
    <x v="1991"/>
    <x v="10"/>
    <x v="1"/>
    <x v="1"/>
    <x v="3"/>
    <x v="10"/>
    <x v="0"/>
    <x v="1957"/>
    <n v="506"/>
    <x v="238"/>
    <x v="0"/>
    <x v="567"/>
    <m/>
    <n v="0.316"/>
    <m/>
    <x v="63"/>
    <x v="167"/>
    <m/>
  </r>
  <r>
    <x v="1588"/>
    <x v="1992"/>
    <x v="10"/>
    <x v="1"/>
    <x v="1"/>
    <x v="3"/>
    <x v="10"/>
    <x v="0"/>
    <x v="1958"/>
    <n v="396"/>
    <x v="232"/>
    <x v="0"/>
    <x v="562"/>
    <m/>
    <n v="8.1000000000000003E-2"/>
    <m/>
    <x v="154"/>
    <x v="110"/>
    <m/>
  </r>
  <r>
    <x v="1589"/>
    <x v="1993"/>
    <x v="10"/>
    <x v="1"/>
    <x v="1"/>
    <x v="3"/>
    <x v="10"/>
    <x v="0"/>
    <x v="1959"/>
    <n v="576"/>
    <x v="207"/>
    <x v="0"/>
    <x v="312"/>
    <m/>
    <n v="0.217"/>
    <m/>
    <x v="69"/>
    <x v="67"/>
    <m/>
  </r>
  <r>
    <x v="1590"/>
    <x v="1994"/>
    <x v="10"/>
    <x v="1"/>
    <x v="1"/>
    <x v="3"/>
    <x v="10"/>
    <x v="0"/>
    <x v="1960"/>
    <n v="1560"/>
    <x v="232"/>
    <x v="0"/>
    <x v="613"/>
    <m/>
    <n v="0.42599999999999999"/>
    <m/>
    <x v="49"/>
    <x v="106"/>
    <m/>
  </r>
  <r>
    <x v="1591"/>
    <x v="1995"/>
    <x v="10"/>
    <x v="1"/>
    <x v="1"/>
    <x v="3"/>
    <x v="10"/>
    <x v="0"/>
    <x v="1961"/>
    <n v="916"/>
    <x v="218"/>
    <x v="0"/>
    <x v="472"/>
    <m/>
    <n v="0.13"/>
    <m/>
    <x v="18"/>
    <x v="171"/>
    <m/>
  </r>
  <r>
    <x v="1592"/>
    <x v="1996"/>
    <x v="10"/>
    <x v="1"/>
    <x v="1"/>
    <x v="3"/>
    <x v="10"/>
    <x v="0"/>
    <x v="1962"/>
    <n v="683"/>
    <x v="215"/>
    <x v="0"/>
    <x v="371"/>
    <m/>
    <n v="0.187"/>
    <m/>
    <x v="94"/>
    <x v="57"/>
    <m/>
  </r>
  <r>
    <x v="1593"/>
    <x v="1997"/>
    <x v="19"/>
    <x v="1"/>
    <x v="1"/>
    <x v="3"/>
    <x v="10"/>
    <x v="1"/>
    <x v="1963"/>
    <n v="504"/>
    <x v="0"/>
    <x v="0"/>
    <x v="599"/>
    <m/>
    <n v="0.26100000000000001"/>
    <m/>
    <x v="29"/>
    <x v="111"/>
    <m/>
  </r>
  <r>
    <x v="1593"/>
    <x v="1998"/>
    <x v="19"/>
    <x v="1"/>
    <x v="1"/>
    <x v="3"/>
    <x v="10"/>
    <x v="1"/>
    <x v="1964"/>
    <n v="504"/>
    <x v="0"/>
    <x v="0"/>
    <x v="199"/>
    <m/>
    <n v="0.22600000000000001"/>
    <m/>
    <x v="29"/>
    <x v="111"/>
    <m/>
  </r>
  <r>
    <x v="1594"/>
    <x v="1999"/>
    <x v="10"/>
    <x v="1"/>
    <x v="1"/>
    <x v="3"/>
    <x v="10"/>
    <x v="1"/>
    <x v="1965"/>
    <n v="552"/>
    <x v="211"/>
    <x v="0"/>
    <x v="157"/>
    <m/>
    <n v="0.14599999999999999"/>
    <m/>
    <x v="127"/>
    <x v="100"/>
    <m/>
  </r>
  <r>
    <x v="1594"/>
    <x v="2000"/>
    <x v="10"/>
    <x v="1"/>
    <x v="1"/>
    <x v="3"/>
    <x v="10"/>
    <x v="1"/>
    <x v="1966"/>
    <n v="552"/>
    <x v="211"/>
    <x v="0"/>
    <x v="520"/>
    <m/>
    <n v="0.14699999999999999"/>
    <m/>
    <x v="127"/>
    <x v="100"/>
    <m/>
  </r>
  <r>
    <x v="1595"/>
    <x v="2001"/>
    <x v="10"/>
    <x v="1"/>
    <x v="1"/>
    <x v="3"/>
    <x v="10"/>
    <x v="0"/>
    <x v="1967"/>
    <n v="670"/>
    <x v="232"/>
    <x v="0"/>
    <x v="508"/>
    <m/>
    <n v="9.9000000000000005E-2"/>
    <m/>
    <x v="56"/>
    <x v="223"/>
    <m/>
  </r>
  <r>
    <x v="1596"/>
    <x v="2002"/>
    <x v="10"/>
    <x v="1"/>
    <x v="1"/>
    <x v="3"/>
    <x v="10"/>
    <x v="0"/>
    <x v="1968"/>
    <n v="824"/>
    <x v="211"/>
    <x v="0"/>
    <x v="278"/>
    <m/>
    <n v="0.12"/>
    <m/>
    <x v="21"/>
    <x v="100"/>
    <m/>
  </r>
  <r>
    <x v="1597"/>
    <x v="2003"/>
    <x v="10"/>
    <x v="1"/>
    <x v="1"/>
    <x v="3"/>
    <x v="10"/>
    <x v="0"/>
    <x v="1969"/>
    <n v="852"/>
    <x v="270"/>
    <x v="0"/>
    <x v="614"/>
    <m/>
    <n v="0.309"/>
    <m/>
    <x v="106"/>
    <x v="195"/>
    <m/>
  </r>
  <r>
    <x v="1598"/>
    <x v="2004"/>
    <x v="10"/>
    <x v="1"/>
    <x v="1"/>
    <x v="3"/>
    <x v="10"/>
    <x v="0"/>
    <x v="1970"/>
    <n v="1107"/>
    <x v="223"/>
    <x v="0"/>
    <x v="210"/>
    <m/>
    <n v="0.16900000000000001"/>
    <m/>
    <x v="3"/>
    <x v="24"/>
    <m/>
  </r>
  <r>
    <x v="1599"/>
    <x v="2005"/>
    <x v="10"/>
    <x v="1"/>
    <x v="1"/>
    <x v="3"/>
    <x v="10"/>
    <x v="0"/>
    <x v="1971"/>
    <n v="879"/>
    <x v="242"/>
    <x v="0"/>
    <x v="330"/>
    <m/>
    <n v="0.22700000000000001"/>
    <m/>
    <x v="4"/>
    <x v="37"/>
    <m/>
  </r>
  <r>
    <x v="1600"/>
    <x v="2006"/>
    <x v="10"/>
    <x v="1"/>
    <x v="1"/>
    <x v="3"/>
    <x v="10"/>
    <x v="0"/>
    <x v="1972"/>
    <n v="401"/>
    <x v="219"/>
    <x v="0"/>
    <x v="615"/>
    <m/>
    <n v="0.28000000000000003"/>
    <m/>
    <x v="159"/>
    <x v="282"/>
    <m/>
  </r>
  <r>
    <x v="1601"/>
    <x v="2007"/>
    <x v="10"/>
    <x v="1"/>
    <x v="1"/>
    <x v="3"/>
    <x v="10"/>
    <x v="0"/>
    <x v="1973"/>
    <n v="503"/>
    <x v="227"/>
    <x v="0"/>
    <x v="475"/>
    <m/>
    <n v="0.105"/>
    <m/>
    <x v="94"/>
    <x v="57"/>
    <m/>
  </r>
  <r>
    <x v="1602"/>
    <x v="2008"/>
    <x v="10"/>
    <x v="1"/>
    <x v="1"/>
    <x v="3"/>
    <x v="10"/>
    <x v="0"/>
    <x v="1974"/>
    <n v="1291"/>
    <x v="224"/>
    <x v="0"/>
    <x v="366"/>
    <m/>
    <n v="0.252"/>
    <m/>
    <x v="18"/>
    <x v="171"/>
    <m/>
  </r>
  <r>
    <x v="1603"/>
    <x v="2009"/>
    <x v="10"/>
    <x v="1"/>
    <x v="1"/>
    <x v="3"/>
    <x v="10"/>
    <x v="0"/>
    <x v="1975"/>
    <n v="788"/>
    <x v="215"/>
    <x v="0"/>
    <x v="596"/>
    <m/>
    <n v="0.24099999999999999"/>
    <m/>
    <x v="97"/>
    <x v="292"/>
    <m/>
  </r>
  <r>
    <x v="1604"/>
    <x v="2010"/>
    <x v="19"/>
    <x v="1"/>
    <x v="1"/>
    <x v="3"/>
    <x v="10"/>
    <x v="3"/>
    <x v="1976"/>
    <n v="855"/>
    <x v="0"/>
    <x v="0"/>
    <x v="243"/>
    <m/>
    <n v="0.20200000000000001"/>
    <m/>
    <x v="29"/>
    <x v="45"/>
    <m/>
  </r>
  <r>
    <x v="1604"/>
    <x v="2011"/>
    <x v="19"/>
    <x v="1"/>
    <x v="1"/>
    <x v="3"/>
    <x v="10"/>
    <x v="3"/>
    <x v="1977"/>
    <n v="855"/>
    <x v="0"/>
    <x v="0"/>
    <x v="356"/>
    <m/>
    <n v="0.26300000000000001"/>
    <m/>
    <x v="29"/>
    <x v="45"/>
    <m/>
  </r>
  <r>
    <x v="1604"/>
    <x v="2012"/>
    <x v="10"/>
    <x v="1"/>
    <x v="1"/>
    <x v="3"/>
    <x v="10"/>
    <x v="3"/>
    <x v="1978"/>
    <n v="855"/>
    <x v="0"/>
    <x v="0"/>
    <x v="182"/>
    <m/>
    <n v="0.34300000000000003"/>
    <m/>
    <x v="29"/>
    <x v="45"/>
    <m/>
  </r>
  <r>
    <x v="1604"/>
    <x v="2013"/>
    <x v="10"/>
    <x v="1"/>
    <x v="1"/>
    <x v="3"/>
    <x v="10"/>
    <x v="3"/>
    <x v="1979"/>
    <n v="855"/>
    <x v="0"/>
    <x v="0"/>
    <x v="467"/>
    <m/>
    <n v="0.13400000000000001"/>
    <m/>
    <x v="29"/>
    <x v="45"/>
    <m/>
  </r>
  <r>
    <x v="1604"/>
    <x v="2014"/>
    <x v="10"/>
    <x v="1"/>
    <x v="1"/>
    <x v="3"/>
    <x v="10"/>
    <x v="3"/>
    <x v="1980"/>
    <n v="855"/>
    <x v="0"/>
    <x v="0"/>
    <x v="467"/>
    <m/>
    <n v="0.13400000000000001"/>
    <m/>
    <x v="29"/>
    <x v="45"/>
    <m/>
  </r>
  <r>
    <x v="1605"/>
    <x v="2015"/>
    <x v="10"/>
    <x v="1"/>
    <x v="1"/>
    <x v="3"/>
    <x v="10"/>
    <x v="0"/>
    <x v="1981"/>
    <n v="262"/>
    <x v="257"/>
    <x v="0"/>
    <x v="308"/>
    <m/>
    <n v="0.222"/>
    <m/>
    <x v="36"/>
    <x v="67"/>
    <m/>
  </r>
  <r>
    <x v="1606"/>
    <x v="2016"/>
    <x v="10"/>
    <x v="1"/>
    <x v="1"/>
    <x v="3"/>
    <x v="10"/>
    <x v="0"/>
    <x v="1982"/>
    <n v="414"/>
    <x v="216"/>
    <x v="0"/>
    <x v="409"/>
    <m/>
    <n v="0.10299999999999999"/>
    <m/>
    <x v="126"/>
    <x v="130"/>
    <m/>
  </r>
  <r>
    <x v="1607"/>
    <x v="2017"/>
    <x v="10"/>
    <x v="1"/>
    <x v="1"/>
    <x v="3"/>
    <x v="10"/>
    <x v="4"/>
    <x v="1983"/>
    <n v="336"/>
    <x v="271"/>
    <x v="0"/>
    <x v="590"/>
    <m/>
    <n v="6.8000000000000005E-2"/>
    <m/>
    <x v="23"/>
    <x v="173"/>
    <m/>
  </r>
  <r>
    <x v="1607"/>
    <x v="2018"/>
    <x v="10"/>
    <x v="1"/>
    <x v="1"/>
    <x v="3"/>
    <x v="10"/>
    <x v="4"/>
    <x v="1984"/>
    <n v="336"/>
    <x v="271"/>
    <x v="0"/>
    <x v="575"/>
    <m/>
    <n v="5.8000000000000003E-2"/>
    <m/>
    <x v="23"/>
    <x v="173"/>
    <m/>
  </r>
  <r>
    <x v="1607"/>
    <x v="2019"/>
    <x v="10"/>
    <x v="1"/>
    <x v="1"/>
    <x v="3"/>
    <x v="10"/>
    <x v="4"/>
    <x v="1985"/>
    <n v="336"/>
    <x v="271"/>
    <x v="0"/>
    <x v="484"/>
    <m/>
    <n v="7.8E-2"/>
    <m/>
    <x v="23"/>
    <x v="173"/>
    <m/>
  </r>
  <r>
    <x v="1607"/>
    <x v="2020"/>
    <x v="10"/>
    <x v="1"/>
    <x v="1"/>
    <x v="3"/>
    <x v="10"/>
    <x v="4"/>
    <x v="1986"/>
    <n v="336"/>
    <x v="271"/>
    <x v="0"/>
    <x v="590"/>
    <m/>
    <n v="6.8000000000000005E-2"/>
    <m/>
    <x v="23"/>
    <x v="173"/>
    <m/>
  </r>
  <r>
    <x v="1608"/>
    <x v="2021"/>
    <x v="10"/>
    <x v="1"/>
    <x v="1"/>
    <x v="3"/>
    <x v="10"/>
    <x v="0"/>
    <x v="1987"/>
    <n v="1114"/>
    <x v="264"/>
    <x v="0"/>
    <x v="552"/>
    <m/>
    <n v="0.24199999999999999"/>
    <m/>
    <x v="139"/>
    <x v="46"/>
    <m/>
  </r>
  <r>
    <x v="1609"/>
    <x v="2022"/>
    <x v="10"/>
    <x v="1"/>
    <x v="1"/>
    <x v="3"/>
    <x v="10"/>
    <x v="0"/>
    <x v="1988"/>
    <n v="349"/>
    <x v="20"/>
    <x v="0"/>
    <x v="465"/>
    <m/>
    <n v="0.159"/>
    <m/>
    <x v="94"/>
    <x v="36"/>
    <m/>
  </r>
  <r>
    <x v="1610"/>
    <x v="2023"/>
    <x v="10"/>
    <x v="1"/>
    <x v="1"/>
    <x v="3"/>
    <x v="10"/>
    <x v="0"/>
    <x v="1989"/>
    <n v="688"/>
    <x v="216"/>
    <x v="0"/>
    <x v="596"/>
    <m/>
    <n v="0.24099999999999999"/>
    <m/>
    <x v="97"/>
    <x v="292"/>
    <m/>
  </r>
  <r>
    <x v="1611"/>
    <x v="2024"/>
    <x v="10"/>
    <x v="1"/>
    <x v="1"/>
    <x v="3"/>
    <x v="10"/>
    <x v="0"/>
    <x v="1990"/>
    <n v="994"/>
    <x v="196"/>
    <x v="0"/>
    <x v="290"/>
    <m/>
    <n v="0.27900000000000003"/>
    <m/>
    <x v="44"/>
    <x v="3"/>
    <m/>
  </r>
  <r>
    <x v="1612"/>
    <x v="2025"/>
    <x v="10"/>
    <x v="1"/>
    <x v="1"/>
    <x v="3"/>
    <x v="10"/>
    <x v="0"/>
    <x v="1991"/>
    <n v="665"/>
    <x v="225"/>
    <x v="0"/>
    <x v="588"/>
    <m/>
    <n v="0.08"/>
    <m/>
    <x v="20"/>
    <x v="201"/>
    <m/>
  </r>
  <r>
    <x v="1613"/>
    <x v="2026"/>
    <x v="10"/>
    <x v="1"/>
    <x v="1"/>
    <x v="3"/>
    <x v="10"/>
    <x v="0"/>
    <x v="1992"/>
    <n v="1150"/>
    <x v="224"/>
    <x v="0"/>
    <x v="241"/>
    <m/>
    <n v="0.23599999999999999"/>
    <m/>
    <x v="7"/>
    <x v="193"/>
    <m/>
  </r>
  <r>
    <x v="1614"/>
    <x v="2027"/>
    <x v="10"/>
    <x v="1"/>
    <x v="1"/>
    <x v="3"/>
    <x v="10"/>
    <x v="0"/>
    <x v="1993"/>
    <n v="792"/>
    <x v="215"/>
    <x v="0"/>
    <x v="334"/>
    <m/>
    <n v="0.22900000000000001"/>
    <m/>
    <x v="59"/>
    <x v="239"/>
    <m/>
  </r>
  <r>
    <x v="1615"/>
    <x v="2028"/>
    <x v="19"/>
    <x v="1"/>
    <x v="1"/>
    <x v="3"/>
    <x v="10"/>
    <x v="1"/>
    <x v="1994"/>
    <n v="293"/>
    <x v="0"/>
    <x v="0"/>
    <x v="490"/>
    <m/>
    <n v="0.186"/>
    <m/>
    <x v="29"/>
    <x v="112"/>
    <m/>
  </r>
  <r>
    <x v="1615"/>
    <x v="2029"/>
    <x v="19"/>
    <x v="1"/>
    <x v="1"/>
    <x v="3"/>
    <x v="10"/>
    <x v="1"/>
    <x v="1995"/>
    <n v="293"/>
    <x v="0"/>
    <x v="0"/>
    <x v="360"/>
    <m/>
    <n v="0.2"/>
    <m/>
    <x v="29"/>
    <x v="112"/>
    <m/>
  </r>
  <r>
    <x v="1616"/>
    <x v="2030"/>
    <x v="10"/>
    <x v="1"/>
    <x v="1"/>
    <x v="3"/>
    <x v="10"/>
    <x v="0"/>
    <x v="1996"/>
    <n v="1202"/>
    <x v="220"/>
    <x v="0"/>
    <x v="522"/>
    <m/>
    <n v="0.26900000000000002"/>
    <m/>
    <x v="154"/>
    <x v="37"/>
    <m/>
  </r>
  <r>
    <x v="1617"/>
    <x v="2031"/>
    <x v="10"/>
    <x v="1"/>
    <x v="1"/>
    <x v="3"/>
    <x v="10"/>
    <x v="0"/>
    <x v="1997"/>
    <n v="1560"/>
    <x v="238"/>
    <x v="0"/>
    <x v="222"/>
    <m/>
    <n v="0.23699999999999999"/>
    <m/>
    <x v="30"/>
    <x v="147"/>
    <m/>
  </r>
  <r>
    <x v="1618"/>
    <x v="2032"/>
    <x v="10"/>
    <x v="1"/>
    <x v="1"/>
    <x v="3"/>
    <x v="10"/>
    <x v="0"/>
    <x v="1998"/>
    <n v="618"/>
    <x v="222"/>
    <x v="0"/>
    <x v="518"/>
    <m/>
    <n v="0.22"/>
    <m/>
    <x v="6"/>
    <x v="202"/>
    <m/>
  </r>
  <r>
    <x v="1619"/>
    <x v="2033"/>
    <x v="10"/>
    <x v="1"/>
    <x v="1"/>
    <x v="3"/>
    <x v="10"/>
    <x v="0"/>
    <x v="1999"/>
    <n v="719"/>
    <x v="223"/>
    <x v="0"/>
    <x v="239"/>
    <m/>
    <n v="0.10299999999999999"/>
    <m/>
    <x v="6"/>
    <x v="130"/>
    <m/>
  </r>
  <r>
    <x v="1620"/>
    <x v="2034"/>
    <x v="10"/>
    <x v="1"/>
    <x v="1"/>
    <x v="3"/>
    <x v="10"/>
    <x v="0"/>
    <x v="2000"/>
    <n v="982"/>
    <x v="207"/>
    <x v="0"/>
    <x v="175"/>
    <m/>
    <n v="0.25900000000000001"/>
    <m/>
    <x v="97"/>
    <x v="130"/>
    <m/>
  </r>
  <r>
    <x v="1621"/>
    <x v="2035"/>
    <x v="10"/>
    <x v="1"/>
    <x v="1"/>
    <x v="3"/>
    <x v="10"/>
    <x v="0"/>
    <x v="2001"/>
    <n v="1382"/>
    <x v="224"/>
    <x v="0"/>
    <x v="165"/>
    <m/>
    <n v="0.14399999999999999"/>
    <m/>
    <x v="48"/>
    <x v="124"/>
    <m/>
  </r>
  <r>
    <x v="1622"/>
    <x v="2036"/>
    <x v="10"/>
    <x v="1"/>
    <x v="1"/>
    <x v="3"/>
    <x v="10"/>
    <x v="0"/>
    <x v="2002"/>
    <n v="1060"/>
    <x v="65"/>
    <x v="0"/>
    <x v="186"/>
    <m/>
    <n v="0.17499999999999999"/>
    <m/>
    <x v="54"/>
    <x v="105"/>
    <m/>
  </r>
  <r>
    <x v="1623"/>
    <x v="2037"/>
    <x v="10"/>
    <x v="1"/>
    <x v="1"/>
    <x v="3"/>
    <x v="10"/>
    <x v="0"/>
    <x v="2003"/>
    <n v="1532"/>
    <x v="222"/>
    <x v="0"/>
    <x v="544"/>
    <m/>
    <n v="0.13600000000000001"/>
    <m/>
    <x v="129"/>
    <x v="54"/>
    <m/>
  </r>
  <r>
    <x v="1624"/>
    <x v="2038"/>
    <x v="10"/>
    <x v="1"/>
    <x v="1"/>
    <x v="3"/>
    <x v="10"/>
    <x v="0"/>
    <x v="2004"/>
    <n v="343"/>
    <x v="65"/>
    <x v="0"/>
    <x v="616"/>
    <m/>
    <n v="6.0999999999999999E-2"/>
    <m/>
    <x v="134"/>
    <x v="38"/>
    <m/>
  </r>
  <r>
    <x v="1625"/>
    <x v="2039"/>
    <x v="10"/>
    <x v="1"/>
    <x v="1"/>
    <x v="3"/>
    <x v="10"/>
    <x v="0"/>
    <x v="2005"/>
    <n v="580"/>
    <x v="211"/>
    <x v="0"/>
    <x v="617"/>
    <m/>
    <n v="6.4000000000000001E-2"/>
    <m/>
    <x v="126"/>
    <x v="92"/>
    <m/>
  </r>
  <r>
    <x v="1626"/>
    <x v="2040"/>
    <x v="19"/>
    <x v="1"/>
    <x v="1"/>
    <x v="3"/>
    <x v="10"/>
    <x v="1"/>
    <x v="2006"/>
    <n v="439"/>
    <x v="0"/>
    <x v="0"/>
    <x v="401"/>
    <m/>
    <n v="0.20499999999999999"/>
    <m/>
    <x v="29"/>
    <x v="130"/>
    <m/>
  </r>
  <r>
    <x v="1626"/>
    <x v="2041"/>
    <x v="19"/>
    <x v="1"/>
    <x v="1"/>
    <x v="3"/>
    <x v="10"/>
    <x v="1"/>
    <x v="2007"/>
    <n v="439"/>
    <x v="0"/>
    <x v="0"/>
    <x v="330"/>
    <m/>
    <n v="0.22700000000000001"/>
    <m/>
    <x v="29"/>
    <x v="130"/>
    <m/>
  </r>
  <r>
    <x v="1627"/>
    <x v="2042"/>
    <x v="10"/>
    <x v="1"/>
    <x v="1"/>
    <x v="3"/>
    <x v="10"/>
    <x v="0"/>
    <x v="2008"/>
    <n v="529"/>
    <x v="212"/>
    <x v="0"/>
    <x v="219"/>
    <m/>
    <n v="7.9000000000000001E-2"/>
    <m/>
    <x v="102"/>
    <x v="55"/>
    <m/>
  </r>
  <r>
    <x v="1628"/>
    <x v="2043"/>
    <x v="10"/>
    <x v="1"/>
    <x v="1"/>
    <x v="3"/>
    <x v="10"/>
    <x v="0"/>
    <x v="2009"/>
    <n v="993"/>
    <x v="225"/>
    <x v="0"/>
    <x v="530"/>
    <m/>
    <n v="9.7000000000000003E-2"/>
    <m/>
    <x v="154"/>
    <x v="37"/>
    <m/>
  </r>
  <r>
    <x v="1629"/>
    <x v="2044"/>
    <x v="10"/>
    <x v="1"/>
    <x v="1"/>
    <x v="3"/>
    <x v="10"/>
    <x v="0"/>
    <x v="2010"/>
    <n v="1315"/>
    <x v="215"/>
    <x v="0"/>
    <x v="469"/>
    <m/>
    <n v="0.317"/>
    <m/>
    <x v="102"/>
    <x v="133"/>
    <m/>
  </r>
  <r>
    <x v="1630"/>
    <x v="2045"/>
    <x v="10"/>
    <x v="1"/>
    <x v="1"/>
    <x v="3"/>
    <x v="10"/>
    <x v="0"/>
    <x v="2011"/>
    <n v="547"/>
    <x v="208"/>
    <x v="0"/>
    <x v="618"/>
    <m/>
    <n v="6.7000000000000004E-2"/>
    <m/>
    <x v="57"/>
    <x v="173"/>
    <m/>
  </r>
  <r>
    <x v="1631"/>
    <x v="2046"/>
    <x v="10"/>
    <x v="1"/>
    <x v="1"/>
    <x v="3"/>
    <x v="10"/>
    <x v="0"/>
    <x v="2012"/>
    <n v="872"/>
    <x v="223"/>
    <x v="0"/>
    <x v="415"/>
    <m/>
    <n v="0.13100000000000001"/>
    <m/>
    <x v="89"/>
    <x v="52"/>
    <m/>
  </r>
  <r>
    <x v="1632"/>
    <x v="2047"/>
    <x v="10"/>
    <x v="1"/>
    <x v="1"/>
    <x v="3"/>
    <x v="10"/>
    <x v="0"/>
    <x v="2013"/>
    <n v="657"/>
    <x v="254"/>
    <x v="0"/>
    <x v="451"/>
    <m/>
    <n v="0.106"/>
    <m/>
    <x v="99"/>
    <x v="142"/>
    <m/>
  </r>
  <r>
    <x v="1633"/>
    <x v="2048"/>
    <x v="10"/>
    <x v="1"/>
    <x v="1"/>
    <x v="3"/>
    <x v="10"/>
    <x v="0"/>
    <x v="2014"/>
    <n v="511"/>
    <x v="227"/>
    <x v="0"/>
    <x v="551"/>
    <m/>
    <n v="7.0000000000000007E-2"/>
    <m/>
    <x v="97"/>
    <x v="130"/>
    <m/>
  </r>
  <r>
    <x v="1634"/>
    <x v="2049"/>
    <x v="10"/>
    <x v="1"/>
    <x v="1"/>
    <x v="3"/>
    <x v="10"/>
    <x v="0"/>
    <x v="2015"/>
    <n v="1226"/>
    <x v="212"/>
    <x v="0"/>
    <x v="38"/>
    <m/>
    <n v="0.24399999999999999"/>
    <m/>
    <x v="44"/>
    <x v="3"/>
    <m/>
  </r>
  <r>
    <x v="1635"/>
    <x v="2050"/>
    <x v="10"/>
    <x v="1"/>
    <x v="1"/>
    <x v="3"/>
    <x v="10"/>
    <x v="0"/>
    <x v="2016"/>
    <n v="883"/>
    <x v="223"/>
    <x v="0"/>
    <x v="185"/>
    <m/>
    <n v="0.11600000000000001"/>
    <m/>
    <x v="25"/>
    <x v="43"/>
    <m/>
  </r>
  <r>
    <x v="1636"/>
    <x v="2051"/>
    <x v="10"/>
    <x v="1"/>
    <x v="1"/>
    <x v="3"/>
    <x v="10"/>
    <x v="0"/>
    <x v="2017"/>
    <n v="1050"/>
    <x v="236"/>
    <x v="0"/>
    <x v="586"/>
    <m/>
    <n v="0.15"/>
    <m/>
    <x v="119"/>
    <x v="107"/>
    <m/>
  </r>
  <r>
    <x v="1637"/>
    <x v="2052"/>
    <x v="19"/>
    <x v="1"/>
    <x v="1"/>
    <x v="3"/>
    <x v="10"/>
    <x v="2"/>
    <x v="2018"/>
    <n v="749"/>
    <x v="0"/>
    <x v="0"/>
    <x v="387"/>
    <m/>
    <n v="0.11799999999999999"/>
    <m/>
    <x v="29"/>
    <x v="110"/>
    <m/>
  </r>
  <r>
    <x v="1637"/>
    <x v="2053"/>
    <x v="19"/>
    <x v="1"/>
    <x v="1"/>
    <x v="3"/>
    <x v="10"/>
    <x v="2"/>
    <x v="2019"/>
    <n v="749"/>
    <x v="0"/>
    <x v="0"/>
    <x v="360"/>
    <m/>
    <n v="0.2"/>
    <m/>
    <x v="29"/>
    <x v="110"/>
    <m/>
  </r>
  <r>
    <x v="1637"/>
    <x v="2054"/>
    <x v="10"/>
    <x v="1"/>
    <x v="1"/>
    <x v="3"/>
    <x v="10"/>
    <x v="2"/>
    <x v="2020"/>
    <n v="749"/>
    <x v="0"/>
    <x v="0"/>
    <x v="472"/>
    <m/>
    <n v="0.13"/>
    <m/>
    <x v="29"/>
    <x v="110"/>
    <m/>
  </r>
  <r>
    <x v="1638"/>
    <x v="2055"/>
    <x v="10"/>
    <x v="1"/>
    <x v="1"/>
    <x v="3"/>
    <x v="10"/>
    <x v="0"/>
    <x v="2021"/>
    <n v="463"/>
    <x v="212"/>
    <x v="0"/>
    <x v="503"/>
    <m/>
    <n v="9.5000000000000001E-2"/>
    <m/>
    <x v="127"/>
    <x v="111"/>
    <m/>
  </r>
  <r>
    <x v="1639"/>
    <x v="2056"/>
    <x v="10"/>
    <x v="1"/>
    <x v="1"/>
    <x v="3"/>
    <x v="10"/>
    <x v="0"/>
    <x v="2022"/>
    <n v="802"/>
    <x v="20"/>
    <x v="0"/>
    <x v="280"/>
    <m/>
    <n v="0.13600000000000001"/>
    <m/>
    <x v="16"/>
    <x v="61"/>
    <m/>
  </r>
  <r>
    <x v="1640"/>
    <x v="2057"/>
    <x v="10"/>
    <x v="1"/>
    <x v="1"/>
    <x v="3"/>
    <x v="10"/>
    <x v="0"/>
    <x v="2023"/>
    <n v="600"/>
    <x v="215"/>
    <x v="0"/>
    <x v="535"/>
    <m/>
    <n v="8.4000000000000005E-2"/>
    <m/>
    <x v="54"/>
    <x v="105"/>
    <m/>
  </r>
  <r>
    <x v="1641"/>
    <x v="2058"/>
    <x v="10"/>
    <x v="1"/>
    <x v="1"/>
    <x v="3"/>
    <x v="10"/>
    <x v="0"/>
    <x v="2024"/>
    <n v="1180"/>
    <x v="208"/>
    <x v="0"/>
    <x v="607"/>
    <m/>
    <n v="0.107"/>
    <m/>
    <x v="53"/>
    <x v="45"/>
    <m/>
  </r>
  <r>
    <x v="1642"/>
    <x v="2059"/>
    <x v="10"/>
    <x v="1"/>
    <x v="1"/>
    <x v="3"/>
    <x v="10"/>
    <x v="0"/>
    <x v="2025"/>
    <n v="1275"/>
    <x v="44"/>
    <x v="0"/>
    <x v="411"/>
    <m/>
    <n v="0.115"/>
    <m/>
    <x v="104"/>
    <x v="29"/>
    <m/>
  </r>
  <r>
    <x v="1643"/>
    <x v="2060"/>
    <x v="10"/>
    <x v="1"/>
    <x v="1"/>
    <x v="3"/>
    <x v="10"/>
    <x v="0"/>
    <x v="2026"/>
    <n v="1170"/>
    <x v="212"/>
    <x v="0"/>
    <x v="166"/>
    <m/>
    <n v="0.11700000000000001"/>
    <m/>
    <x v="44"/>
    <x v="94"/>
    <m/>
  </r>
  <r>
    <x v="1644"/>
    <x v="2061"/>
    <x v="10"/>
    <x v="1"/>
    <x v="1"/>
    <x v="3"/>
    <x v="10"/>
    <x v="0"/>
    <x v="2027"/>
    <n v="539"/>
    <x v="208"/>
    <x v="0"/>
    <x v="209"/>
    <m/>
    <n v="9.2999999999999999E-2"/>
    <m/>
    <x v="52"/>
    <x v="124"/>
    <m/>
  </r>
  <r>
    <x v="1645"/>
    <x v="2062"/>
    <x v="10"/>
    <x v="1"/>
    <x v="1"/>
    <x v="3"/>
    <x v="10"/>
    <x v="0"/>
    <x v="2028"/>
    <n v="543"/>
    <x v="211"/>
    <x v="0"/>
    <x v="559"/>
    <m/>
    <n v="0.10100000000000001"/>
    <m/>
    <x v="110"/>
    <x v="36"/>
    <m/>
  </r>
  <r>
    <x v="1646"/>
    <x v="2063"/>
    <x v="10"/>
    <x v="1"/>
    <x v="1"/>
    <x v="3"/>
    <x v="10"/>
    <x v="0"/>
    <x v="2029"/>
    <n v="1016"/>
    <x v="211"/>
    <x v="0"/>
    <x v="209"/>
    <m/>
    <n v="9.2999999999999999E-2"/>
    <m/>
    <x v="3"/>
    <x v="24"/>
    <m/>
  </r>
  <r>
    <x v="1647"/>
    <x v="2064"/>
    <x v="10"/>
    <x v="1"/>
    <x v="1"/>
    <x v="3"/>
    <x v="10"/>
    <x v="0"/>
    <x v="2030"/>
    <n v="466"/>
    <x v="177"/>
    <x v="0"/>
    <x v="565"/>
    <m/>
    <n v="7.4999999999999997E-2"/>
    <m/>
    <x v="174"/>
    <x v="86"/>
    <m/>
  </r>
  <r>
    <x v="1648"/>
    <x v="2065"/>
    <x v="19"/>
    <x v="1"/>
    <x v="1"/>
    <x v="3"/>
    <x v="10"/>
    <x v="1"/>
    <x v="2031"/>
    <n v="351"/>
    <x v="0"/>
    <x v="0"/>
    <x v="333"/>
    <m/>
    <n v="0.189"/>
    <m/>
    <x v="29"/>
    <x v="112"/>
    <m/>
  </r>
  <r>
    <x v="1648"/>
    <x v="2066"/>
    <x v="19"/>
    <x v="1"/>
    <x v="1"/>
    <x v="3"/>
    <x v="10"/>
    <x v="1"/>
    <x v="2032"/>
    <n v="351"/>
    <x v="0"/>
    <x v="0"/>
    <x v="191"/>
    <m/>
    <n v="0.17"/>
    <m/>
    <x v="29"/>
    <x v="112"/>
    <m/>
  </r>
  <r>
    <x v="1649"/>
    <x v="2067"/>
    <x v="10"/>
    <x v="1"/>
    <x v="1"/>
    <x v="3"/>
    <x v="10"/>
    <x v="0"/>
    <x v="2033"/>
    <n v="872"/>
    <x v="237"/>
    <x v="0"/>
    <x v="601"/>
    <m/>
    <n v="0.188"/>
    <m/>
    <x v="39"/>
    <x v="316"/>
    <m/>
  </r>
  <r>
    <x v="1650"/>
    <x v="2068"/>
    <x v="10"/>
    <x v="1"/>
    <x v="1"/>
    <x v="3"/>
    <x v="10"/>
    <x v="0"/>
    <x v="2034"/>
    <n v="443"/>
    <x v="212"/>
    <x v="0"/>
    <x v="500"/>
    <m/>
    <n v="7.0999999999999994E-2"/>
    <m/>
    <x v="20"/>
    <x v="14"/>
    <m/>
  </r>
  <r>
    <x v="1651"/>
    <x v="2069"/>
    <x v="10"/>
    <x v="1"/>
    <x v="1"/>
    <x v="3"/>
    <x v="10"/>
    <x v="0"/>
    <x v="2035"/>
    <n v="112"/>
    <x v="209"/>
    <x v="0"/>
    <x v="234"/>
    <m/>
    <n v="0.13300000000000001"/>
    <m/>
    <x v="200"/>
    <x v="82"/>
    <m/>
  </r>
  <r>
    <x v="1652"/>
    <x v="2070"/>
    <x v="10"/>
    <x v="1"/>
    <x v="1"/>
    <x v="3"/>
    <x v="10"/>
    <x v="0"/>
    <x v="2036"/>
    <n v="357"/>
    <x v="211"/>
    <x v="0"/>
    <x v="619"/>
    <m/>
    <n v="5.3999999999999999E-2"/>
    <m/>
    <x v="23"/>
    <x v="33"/>
    <m/>
  </r>
  <r>
    <x v="1653"/>
    <x v="2071"/>
    <x v="10"/>
    <x v="1"/>
    <x v="1"/>
    <x v="3"/>
    <x v="10"/>
    <x v="0"/>
    <x v="2037"/>
    <n v="1325"/>
    <x v="222"/>
    <x v="0"/>
    <x v="165"/>
    <m/>
    <n v="0.14399999999999999"/>
    <m/>
    <x v="32"/>
    <x v="4"/>
    <m/>
  </r>
  <r>
    <x v="1654"/>
    <x v="2072"/>
    <x v="10"/>
    <x v="1"/>
    <x v="1"/>
    <x v="3"/>
    <x v="10"/>
    <x v="0"/>
    <x v="2038"/>
    <n v="1269"/>
    <x v="224"/>
    <x v="0"/>
    <x v="620"/>
    <m/>
    <n v="0.16"/>
    <m/>
    <x v="23"/>
    <x v="33"/>
    <m/>
  </r>
  <r>
    <x v="1655"/>
    <x v="2073"/>
    <x v="10"/>
    <x v="1"/>
    <x v="1"/>
    <x v="3"/>
    <x v="10"/>
    <x v="0"/>
    <x v="2039"/>
    <n v="864"/>
    <x v="140"/>
    <x v="0"/>
    <x v="280"/>
    <m/>
    <n v="0.13600000000000001"/>
    <m/>
    <x v="103"/>
    <x v="138"/>
    <m/>
  </r>
  <r>
    <x v="1656"/>
    <x v="2074"/>
    <x v="10"/>
    <x v="1"/>
    <x v="1"/>
    <x v="3"/>
    <x v="10"/>
    <x v="0"/>
    <x v="2040"/>
    <n v="907"/>
    <x v="227"/>
    <x v="0"/>
    <x v="232"/>
    <m/>
    <n v="0.11899999999999999"/>
    <m/>
    <x v="4"/>
    <x v="147"/>
    <m/>
  </r>
  <r>
    <x v="1657"/>
    <x v="2075"/>
    <x v="10"/>
    <x v="1"/>
    <x v="1"/>
    <x v="3"/>
    <x v="10"/>
    <x v="0"/>
    <x v="2041"/>
    <n v="658"/>
    <x v="73"/>
    <x v="0"/>
    <x v="590"/>
    <m/>
    <n v="6.8000000000000005E-2"/>
    <m/>
    <x v="50"/>
    <x v="173"/>
    <m/>
  </r>
  <r>
    <x v="1658"/>
    <x v="2076"/>
    <x v="10"/>
    <x v="1"/>
    <x v="1"/>
    <x v="3"/>
    <x v="10"/>
    <x v="0"/>
    <x v="2042"/>
    <n v="1418"/>
    <x v="237"/>
    <x v="0"/>
    <x v="530"/>
    <m/>
    <n v="9.7000000000000003E-2"/>
    <m/>
    <x v="112"/>
    <x v="167"/>
    <m/>
  </r>
  <r>
    <x v="1659"/>
    <x v="2077"/>
    <x v="19"/>
    <x v="1"/>
    <x v="1"/>
    <x v="3"/>
    <x v="10"/>
    <x v="1"/>
    <x v="2043"/>
    <n v="397"/>
    <x v="0"/>
    <x v="0"/>
    <x v="277"/>
    <m/>
    <n v="0.21199999999999999"/>
    <m/>
    <x v="29"/>
    <x v="286"/>
    <m/>
  </r>
  <r>
    <x v="1659"/>
    <x v="2078"/>
    <x v="19"/>
    <x v="1"/>
    <x v="1"/>
    <x v="3"/>
    <x v="10"/>
    <x v="1"/>
    <x v="2044"/>
    <n v="397"/>
    <x v="0"/>
    <x v="0"/>
    <x v="621"/>
    <m/>
    <n v="0.30399999999999999"/>
    <m/>
    <x v="29"/>
    <x v="286"/>
    <m/>
  </r>
  <r>
    <x v="1660"/>
    <x v="2079"/>
    <x v="10"/>
    <x v="1"/>
    <x v="1"/>
    <x v="3"/>
    <x v="10"/>
    <x v="0"/>
    <x v="2045"/>
    <n v="900"/>
    <x v="225"/>
    <x v="0"/>
    <x v="284"/>
    <m/>
    <n v="0.10199999999999999"/>
    <m/>
    <x v="129"/>
    <x v="220"/>
    <m/>
  </r>
  <r>
    <x v="1661"/>
    <x v="2080"/>
    <x v="10"/>
    <x v="1"/>
    <x v="1"/>
    <x v="3"/>
    <x v="10"/>
    <x v="0"/>
    <x v="2046"/>
    <n v="1090"/>
    <x v="109"/>
    <x v="0"/>
    <x v="577"/>
    <m/>
    <n v="0.113"/>
    <m/>
    <x v="32"/>
    <x v="220"/>
    <m/>
  </r>
  <r>
    <x v="1662"/>
    <x v="2081"/>
    <x v="10"/>
    <x v="1"/>
    <x v="1"/>
    <x v="3"/>
    <x v="10"/>
    <x v="0"/>
    <x v="2047"/>
    <n v="1349"/>
    <x v="243"/>
    <x v="0"/>
    <x v="322"/>
    <m/>
    <n v="0.13700000000000001"/>
    <m/>
    <x v="112"/>
    <x v="182"/>
    <m/>
  </r>
  <r>
    <x v="1663"/>
    <x v="2082"/>
    <x v="10"/>
    <x v="1"/>
    <x v="1"/>
    <x v="3"/>
    <x v="10"/>
    <x v="0"/>
    <x v="2048"/>
    <n v="755"/>
    <x v="159"/>
    <x v="0"/>
    <x v="276"/>
    <m/>
    <n v="0.28299999999999997"/>
    <m/>
    <x v="94"/>
    <x v="57"/>
    <m/>
  </r>
  <r>
    <x v="1664"/>
    <x v="2083"/>
    <x v="10"/>
    <x v="1"/>
    <x v="1"/>
    <x v="3"/>
    <x v="10"/>
    <x v="0"/>
    <x v="2049"/>
    <n v="1100"/>
    <x v="218"/>
    <x v="0"/>
    <x v="545"/>
    <m/>
    <n v="9.5000000000000001E-2"/>
    <m/>
    <x v="104"/>
    <x v="29"/>
    <m/>
  </r>
  <r>
    <x v="1665"/>
    <x v="2084"/>
    <x v="10"/>
    <x v="1"/>
    <x v="1"/>
    <x v="3"/>
    <x v="10"/>
    <x v="0"/>
    <x v="2050"/>
    <n v="841"/>
    <x v="207"/>
    <x v="0"/>
    <x v="420"/>
    <m/>
    <n v="0.11"/>
    <m/>
    <x v="97"/>
    <x v="292"/>
    <m/>
  </r>
  <r>
    <x v="1666"/>
    <x v="2085"/>
    <x v="10"/>
    <x v="1"/>
    <x v="1"/>
    <x v="3"/>
    <x v="10"/>
    <x v="0"/>
    <x v="2051"/>
    <n v="1166"/>
    <x v="218"/>
    <x v="0"/>
    <x v="191"/>
    <m/>
    <n v="0.17"/>
    <m/>
    <x v="44"/>
    <x v="94"/>
    <m/>
  </r>
  <r>
    <x v="1667"/>
    <x v="2086"/>
    <x v="10"/>
    <x v="1"/>
    <x v="1"/>
    <x v="3"/>
    <x v="10"/>
    <x v="0"/>
    <x v="2052"/>
    <n v="1255"/>
    <x v="155"/>
    <x v="0"/>
    <x v="545"/>
    <m/>
    <n v="9.5000000000000001E-2"/>
    <m/>
    <x v="119"/>
    <x v="61"/>
    <m/>
  </r>
  <r>
    <x v="1668"/>
    <x v="2087"/>
    <x v="10"/>
    <x v="1"/>
    <x v="1"/>
    <x v="3"/>
    <x v="10"/>
    <x v="0"/>
    <x v="2053"/>
    <n v="734"/>
    <x v="44"/>
    <x v="0"/>
    <x v="491"/>
    <m/>
    <n v="8.5000000000000006E-2"/>
    <m/>
    <x v="154"/>
    <x v="121"/>
    <m/>
  </r>
  <r>
    <x v="1669"/>
    <x v="2088"/>
    <x v="10"/>
    <x v="1"/>
    <x v="1"/>
    <x v="3"/>
    <x v="10"/>
    <x v="0"/>
    <x v="2054"/>
    <n v="1004"/>
    <x v="211"/>
    <x v="0"/>
    <x v="44"/>
    <m/>
    <n v="0.14499999999999999"/>
    <m/>
    <x v="7"/>
    <x v="173"/>
    <m/>
  </r>
  <r>
    <x v="1670"/>
    <x v="2089"/>
    <x v="14"/>
    <x v="1"/>
    <x v="1"/>
    <x v="3"/>
    <x v="10"/>
    <x v="0"/>
    <x v="2055"/>
    <n v="61"/>
    <x v="0"/>
    <x v="327"/>
    <x v="622"/>
    <n v="0.33300000000000002"/>
    <n v="0.754"/>
    <n v="0.96399999999999997"/>
    <x v="74"/>
    <x v="272"/>
    <n v="3.5630000000000002"/>
  </r>
  <r>
    <x v="1671"/>
    <x v="2090"/>
    <x v="19"/>
    <x v="1"/>
    <x v="1"/>
    <x v="3"/>
    <x v="10"/>
    <x v="1"/>
    <x v="2056"/>
    <n v="841"/>
    <x v="0"/>
    <x v="0"/>
    <x v="322"/>
    <m/>
    <n v="0.13700000000000001"/>
    <m/>
    <x v="29"/>
    <x v="100"/>
    <m/>
  </r>
  <r>
    <x v="1671"/>
    <x v="2091"/>
    <x v="19"/>
    <x v="1"/>
    <x v="1"/>
    <x v="3"/>
    <x v="10"/>
    <x v="1"/>
    <x v="2057"/>
    <n v="841"/>
    <x v="0"/>
    <x v="0"/>
    <x v="623"/>
    <m/>
    <n v="0.32200000000000001"/>
    <m/>
    <x v="29"/>
    <x v="100"/>
    <m/>
  </r>
  <r>
    <x v="1672"/>
    <x v="2092"/>
    <x v="10"/>
    <x v="1"/>
    <x v="1"/>
    <x v="3"/>
    <x v="10"/>
    <x v="0"/>
    <x v="2058"/>
    <n v="992"/>
    <x v="207"/>
    <x v="0"/>
    <x v="290"/>
    <m/>
    <n v="0.27900000000000003"/>
    <m/>
    <x v="126"/>
    <x v="92"/>
    <m/>
  </r>
  <r>
    <x v="1673"/>
    <x v="2093"/>
    <x v="10"/>
    <x v="1"/>
    <x v="1"/>
    <x v="3"/>
    <x v="10"/>
    <x v="0"/>
    <x v="2059"/>
    <n v="660"/>
    <x v="211"/>
    <x v="0"/>
    <x v="497"/>
    <m/>
    <n v="7.2999999999999995E-2"/>
    <m/>
    <x v="48"/>
    <x v="88"/>
    <m/>
  </r>
  <r>
    <x v="1674"/>
    <x v="2094"/>
    <x v="10"/>
    <x v="1"/>
    <x v="1"/>
    <x v="3"/>
    <x v="10"/>
    <x v="0"/>
    <x v="2060"/>
    <n v="815"/>
    <x v="257"/>
    <x v="0"/>
    <x v="212"/>
    <m/>
    <n v="0.12"/>
    <m/>
    <x v="84"/>
    <x v="301"/>
    <m/>
  </r>
  <r>
    <x v="1675"/>
    <x v="2095"/>
    <x v="10"/>
    <x v="1"/>
    <x v="1"/>
    <x v="3"/>
    <x v="10"/>
    <x v="0"/>
    <x v="2061"/>
    <n v="1751"/>
    <x v="232"/>
    <x v="0"/>
    <x v="411"/>
    <m/>
    <n v="0.115"/>
    <m/>
    <x v="49"/>
    <x v="97"/>
    <m/>
  </r>
  <r>
    <x v="1676"/>
    <x v="2096"/>
    <x v="10"/>
    <x v="1"/>
    <x v="1"/>
    <x v="3"/>
    <x v="10"/>
    <x v="0"/>
    <x v="2062"/>
    <n v="562"/>
    <x v="212"/>
    <x v="0"/>
    <x v="353"/>
    <m/>
    <n v="0.126"/>
    <m/>
    <x v="94"/>
    <x v="153"/>
    <m/>
  </r>
  <r>
    <x v="1677"/>
    <x v="2097"/>
    <x v="10"/>
    <x v="1"/>
    <x v="1"/>
    <x v="3"/>
    <x v="10"/>
    <x v="0"/>
    <x v="2063"/>
    <n v="224"/>
    <x v="207"/>
    <x v="0"/>
    <x v="408"/>
    <m/>
    <n v="9.6000000000000002E-2"/>
    <m/>
    <x v="126"/>
    <x v="92"/>
    <m/>
  </r>
  <r>
    <x v="1678"/>
    <x v="2098"/>
    <x v="10"/>
    <x v="1"/>
    <x v="1"/>
    <x v="3"/>
    <x v="10"/>
    <x v="0"/>
    <x v="2064"/>
    <n v="880"/>
    <x v="211"/>
    <x v="0"/>
    <x v="46"/>
    <m/>
    <n v="0.185"/>
    <m/>
    <x v="3"/>
    <x v="24"/>
    <m/>
  </r>
  <r>
    <x v="1679"/>
    <x v="2099"/>
    <x v="10"/>
    <x v="1"/>
    <x v="1"/>
    <x v="3"/>
    <x v="10"/>
    <x v="0"/>
    <x v="2065"/>
    <n v="735"/>
    <x v="204"/>
    <x v="0"/>
    <x v="542"/>
    <m/>
    <n v="8.2000000000000003E-2"/>
    <m/>
    <x v="30"/>
    <x v="42"/>
    <m/>
  </r>
  <r>
    <x v="1680"/>
    <x v="2100"/>
    <x v="10"/>
    <x v="1"/>
    <x v="1"/>
    <x v="3"/>
    <x v="10"/>
    <x v="0"/>
    <x v="2066"/>
    <n v="832"/>
    <x v="228"/>
    <x v="0"/>
    <x v="215"/>
    <m/>
    <n v="0.154"/>
    <m/>
    <x v="174"/>
    <x v="185"/>
    <m/>
  </r>
  <r>
    <x v="1681"/>
    <x v="2101"/>
    <x v="10"/>
    <x v="1"/>
    <x v="1"/>
    <x v="3"/>
    <x v="10"/>
    <x v="0"/>
    <x v="2067"/>
    <n v="1483"/>
    <x v="43"/>
    <x v="0"/>
    <x v="476"/>
    <m/>
    <n v="0.19800000000000001"/>
    <m/>
    <x v="112"/>
    <x v="223"/>
    <m/>
  </r>
  <r>
    <x v="1682"/>
    <x v="2102"/>
    <x v="19"/>
    <x v="1"/>
    <x v="1"/>
    <x v="3"/>
    <x v="10"/>
    <x v="1"/>
    <x v="2068"/>
    <n v="464"/>
    <x v="0"/>
    <x v="0"/>
    <x v="333"/>
    <m/>
    <n v="0.189"/>
    <m/>
    <x v="29"/>
    <x v="130"/>
    <m/>
  </r>
  <r>
    <x v="1682"/>
    <x v="2103"/>
    <x v="19"/>
    <x v="1"/>
    <x v="1"/>
    <x v="3"/>
    <x v="10"/>
    <x v="1"/>
    <x v="2069"/>
    <n v="464"/>
    <x v="0"/>
    <x v="0"/>
    <x v="396"/>
    <m/>
    <n v="0.183"/>
    <m/>
    <x v="29"/>
    <x v="130"/>
    <m/>
  </r>
  <r>
    <x v="1683"/>
    <x v="2104"/>
    <x v="10"/>
    <x v="1"/>
    <x v="1"/>
    <x v="3"/>
    <x v="10"/>
    <x v="0"/>
    <x v="2070"/>
    <n v="1063"/>
    <x v="207"/>
    <x v="0"/>
    <x v="165"/>
    <m/>
    <n v="0.14399999999999999"/>
    <m/>
    <x v="21"/>
    <x v="90"/>
    <m/>
  </r>
  <r>
    <x v="1684"/>
    <x v="2105"/>
    <x v="10"/>
    <x v="1"/>
    <x v="1"/>
    <x v="3"/>
    <x v="10"/>
    <x v="0"/>
    <x v="2071"/>
    <n v="686"/>
    <x v="227"/>
    <x v="0"/>
    <x v="624"/>
    <m/>
    <n v="7.1999999999999995E-2"/>
    <m/>
    <x v="23"/>
    <x v="3"/>
    <m/>
  </r>
  <r>
    <x v="1685"/>
    <x v="2106"/>
    <x v="10"/>
    <x v="1"/>
    <x v="1"/>
    <x v="3"/>
    <x v="10"/>
    <x v="0"/>
    <x v="2072"/>
    <n v="837"/>
    <x v="223"/>
    <x v="0"/>
    <x v="534"/>
    <m/>
    <n v="9.1999999999999998E-2"/>
    <m/>
    <x v="50"/>
    <x v="16"/>
    <m/>
  </r>
  <r>
    <x v="1686"/>
    <x v="2107"/>
    <x v="10"/>
    <x v="1"/>
    <x v="1"/>
    <x v="3"/>
    <x v="10"/>
    <x v="0"/>
    <x v="2073"/>
    <n v="855"/>
    <x v="220"/>
    <x v="0"/>
    <x v="488"/>
    <m/>
    <n v="0.186"/>
    <m/>
    <x v="4"/>
    <x v="40"/>
    <m/>
  </r>
  <r>
    <x v="1687"/>
    <x v="2108"/>
    <x v="10"/>
    <x v="1"/>
    <x v="1"/>
    <x v="3"/>
    <x v="10"/>
    <x v="0"/>
    <x v="2074"/>
    <n v="982"/>
    <x v="73"/>
    <x v="0"/>
    <x v="234"/>
    <m/>
    <n v="0.13300000000000001"/>
    <m/>
    <x v="137"/>
    <x v="153"/>
    <m/>
  </r>
  <r>
    <x v="1688"/>
    <x v="2109"/>
    <x v="10"/>
    <x v="1"/>
    <x v="1"/>
    <x v="3"/>
    <x v="10"/>
    <x v="0"/>
    <x v="2075"/>
    <n v="940"/>
    <x v="218"/>
    <x v="0"/>
    <x v="197"/>
    <m/>
    <n v="0.184"/>
    <m/>
    <x v="48"/>
    <x v="133"/>
    <m/>
  </r>
  <r>
    <x v="1689"/>
    <x v="2110"/>
    <x v="10"/>
    <x v="1"/>
    <x v="1"/>
    <x v="3"/>
    <x v="10"/>
    <x v="0"/>
    <x v="2076"/>
    <n v="862"/>
    <x v="237"/>
    <x v="0"/>
    <x v="531"/>
    <m/>
    <n v="9.0999999999999998E-2"/>
    <m/>
    <x v="49"/>
    <x v="156"/>
    <m/>
  </r>
  <r>
    <x v="1690"/>
    <x v="2111"/>
    <x v="10"/>
    <x v="1"/>
    <x v="1"/>
    <x v="3"/>
    <x v="10"/>
    <x v="0"/>
    <x v="2077"/>
    <n v="813"/>
    <x v="43"/>
    <x v="0"/>
    <x v="607"/>
    <m/>
    <n v="0.107"/>
    <m/>
    <x v="93"/>
    <x v="147"/>
    <m/>
  </r>
  <r>
    <x v="1691"/>
    <x v="2112"/>
    <x v="10"/>
    <x v="1"/>
    <x v="1"/>
    <x v="3"/>
    <x v="10"/>
    <x v="0"/>
    <x v="2078"/>
    <n v="1238"/>
    <x v="94"/>
    <x v="0"/>
    <x v="482"/>
    <m/>
    <n v="0.112"/>
    <m/>
    <x v="130"/>
    <x v="46"/>
    <m/>
  </r>
  <r>
    <x v="1692"/>
    <x v="2113"/>
    <x v="10"/>
    <x v="1"/>
    <x v="1"/>
    <x v="3"/>
    <x v="10"/>
    <x v="0"/>
    <x v="2079"/>
    <n v="520"/>
    <x v="211"/>
    <x v="0"/>
    <x v="590"/>
    <m/>
    <n v="6.8000000000000005E-2"/>
    <m/>
    <x v="57"/>
    <x v="45"/>
    <m/>
  </r>
  <r>
    <x v="1693"/>
    <x v="2114"/>
    <x v="19"/>
    <x v="1"/>
    <x v="1"/>
    <x v="3"/>
    <x v="10"/>
    <x v="1"/>
    <x v="2080"/>
    <n v="905"/>
    <x v="0"/>
    <x v="0"/>
    <x v="482"/>
    <m/>
    <n v="0.112"/>
    <m/>
    <x v="29"/>
    <x v="18"/>
    <m/>
  </r>
  <r>
    <x v="1693"/>
    <x v="2115"/>
    <x v="19"/>
    <x v="1"/>
    <x v="1"/>
    <x v="3"/>
    <x v="10"/>
    <x v="1"/>
    <x v="2081"/>
    <n v="905"/>
    <x v="0"/>
    <x v="0"/>
    <x v="625"/>
    <m/>
    <n v="0.27"/>
    <m/>
    <x v="29"/>
    <x v="18"/>
    <m/>
  </r>
  <r>
    <x v="1694"/>
    <x v="2116"/>
    <x v="10"/>
    <x v="1"/>
    <x v="1"/>
    <x v="3"/>
    <x v="10"/>
    <x v="0"/>
    <x v="2082"/>
    <n v="773"/>
    <x v="43"/>
    <x v="0"/>
    <x v="165"/>
    <m/>
    <n v="0.14399999999999999"/>
    <m/>
    <x v="93"/>
    <x v="14"/>
    <m/>
  </r>
  <r>
    <x v="1695"/>
    <x v="2117"/>
    <x v="10"/>
    <x v="1"/>
    <x v="1"/>
    <x v="3"/>
    <x v="10"/>
    <x v="0"/>
    <x v="2083"/>
    <n v="1461"/>
    <x v="243"/>
    <x v="0"/>
    <x v="591"/>
    <m/>
    <n v="0.193"/>
    <m/>
    <x v="93"/>
    <x v="89"/>
    <m/>
  </r>
  <r>
    <x v="1696"/>
    <x v="2118"/>
    <x v="10"/>
    <x v="1"/>
    <x v="1"/>
    <x v="3"/>
    <x v="10"/>
    <x v="0"/>
    <x v="2084"/>
    <n v="927"/>
    <x v="270"/>
    <x v="0"/>
    <x v="415"/>
    <m/>
    <n v="0.13100000000000001"/>
    <m/>
    <x v="106"/>
    <x v="151"/>
    <m/>
  </r>
  <r>
    <x v="1697"/>
    <x v="2119"/>
    <x v="10"/>
    <x v="1"/>
    <x v="1"/>
    <x v="3"/>
    <x v="10"/>
    <x v="0"/>
    <x v="2085"/>
    <n v="986"/>
    <x v="211"/>
    <x v="0"/>
    <x v="166"/>
    <m/>
    <n v="0.11700000000000001"/>
    <m/>
    <x v="57"/>
    <x v="45"/>
    <m/>
  </r>
  <r>
    <x v="1698"/>
    <x v="2120"/>
    <x v="10"/>
    <x v="1"/>
    <x v="1"/>
    <x v="3"/>
    <x v="10"/>
    <x v="0"/>
    <x v="2086"/>
    <n v="199"/>
    <x v="216"/>
    <x v="0"/>
    <x v="626"/>
    <m/>
    <n v="0.50900000000000001"/>
    <m/>
    <x v="38"/>
    <x v="296"/>
    <m/>
  </r>
  <r>
    <x v="1699"/>
    <x v="2121"/>
    <x v="10"/>
    <x v="1"/>
    <x v="1"/>
    <x v="3"/>
    <x v="10"/>
    <x v="0"/>
    <x v="2087"/>
    <n v="1213"/>
    <x v="224"/>
    <x v="0"/>
    <x v="627"/>
    <m/>
    <n v="0.54100000000000004"/>
    <m/>
    <x v="50"/>
    <x v="16"/>
    <m/>
  </r>
  <r>
    <x v="1700"/>
    <x v="2122"/>
    <x v="10"/>
    <x v="1"/>
    <x v="1"/>
    <x v="3"/>
    <x v="10"/>
    <x v="0"/>
    <x v="2088"/>
    <n v="1718"/>
    <x v="252"/>
    <x v="0"/>
    <x v="244"/>
    <m/>
    <n v="0.18"/>
    <m/>
    <x v="156"/>
    <x v="114"/>
    <m/>
  </r>
  <r>
    <x v="1701"/>
    <x v="2123"/>
    <x v="10"/>
    <x v="1"/>
    <x v="1"/>
    <x v="3"/>
    <x v="10"/>
    <x v="0"/>
    <x v="2089"/>
    <n v="311"/>
    <x v="207"/>
    <x v="0"/>
    <x v="413"/>
    <m/>
    <n v="0.32900000000000001"/>
    <m/>
    <x v="122"/>
    <x v="239"/>
    <m/>
  </r>
  <r>
    <x v="1702"/>
    <x v="2124"/>
    <x v="10"/>
    <x v="1"/>
    <x v="1"/>
    <x v="3"/>
    <x v="10"/>
    <x v="0"/>
    <x v="2090"/>
    <n v="352"/>
    <x v="228"/>
    <x v="0"/>
    <x v="628"/>
    <m/>
    <n v="0.57399999999999995"/>
    <m/>
    <x v="87"/>
    <x v="34"/>
    <m/>
  </r>
  <r>
    <x v="1703"/>
    <x v="2125"/>
    <x v="10"/>
    <x v="1"/>
    <x v="1"/>
    <x v="3"/>
    <x v="10"/>
    <x v="0"/>
    <x v="2091"/>
    <n v="390"/>
    <x v="211"/>
    <x v="0"/>
    <x v="629"/>
    <m/>
    <n v="6.9000000000000006E-2"/>
    <m/>
    <x v="53"/>
    <x v="41"/>
    <m/>
  </r>
  <r>
    <x v="1704"/>
    <x v="2126"/>
    <x v="19"/>
    <x v="1"/>
    <x v="1"/>
    <x v="3"/>
    <x v="10"/>
    <x v="1"/>
    <x v="2092"/>
    <n v="750"/>
    <x v="0"/>
    <x v="0"/>
    <x v="571"/>
    <m/>
    <n v="9.4E-2"/>
    <m/>
    <x v="29"/>
    <x v="94"/>
    <m/>
  </r>
  <r>
    <x v="1704"/>
    <x v="2127"/>
    <x v="19"/>
    <x v="1"/>
    <x v="1"/>
    <x v="3"/>
    <x v="10"/>
    <x v="1"/>
    <x v="2093"/>
    <n v="750"/>
    <x v="0"/>
    <x v="0"/>
    <x v="243"/>
    <m/>
    <n v="0.20200000000000001"/>
    <m/>
    <x v="29"/>
    <x v="94"/>
    <m/>
  </r>
  <r>
    <x v="1705"/>
    <x v="2128"/>
    <x v="10"/>
    <x v="1"/>
    <x v="1"/>
    <x v="3"/>
    <x v="10"/>
    <x v="0"/>
    <x v="2094"/>
    <n v="278"/>
    <x v="227"/>
    <x v="0"/>
    <x v="252"/>
    <m/>
    <n v="0.19500000000000001"/>
    <m/>
    <x v="62"/>
    <x v="290"/>
    <m/>
  </r>
  <r>
    <x v="1706"/>
    <x v="2129"/>
    <x v="10"/>
    <x v="1"/>
    <x v="1"/>
    <x v="3"/>
    <x v="10"/>
    <x v="0"/>
    <x v="2095"/>
    <n v="1190"/>
    <x v="212"/>
    <x v="0"/>
    <x v="278"/>
    <m/>
    <n v="0.12"/>
    <m/>
    <x v="54"/>
    <x v="105"/>
    <m/>
  </r>
  <r>
    <x v="1707"/>
    <x v="2130"/>
    <x v="10"/>
    <x v="1"/>
    <x v="1"/>
    <x v="3"/>
    <x v="10"/>
    <x v="0"/>
    <x v="2096"/>
    <n v="584"/>
    <x v="231"/>
    <x v="0"/>
    <x v="518"/>
    <m/>
    <n v="0.22"/>
    <m/>
    <x v="20"/>
    <x v="43"/>
    <m/>
  </r>
  <r>
    <x v="1708"/>
    <x v="2131"/>
    <x v="10"/>
    <x v="1"/>
    <x v="1"/>
    <x v="3"/>
    <x v="10"/>
    <x v="0"/>
    <x v="2097"/>
    <n v="811"/>
    <x v="232"/>
    <x v="0"/>
    <x v="406"/>
    <m/>
    <n v="0.14099999999999999"/>
    <m/>
    <x v="141"/>
    <x v="106"/>
    <m/>
  </r>
  <r>
    <x v="1709"/>
    <x v="2132"/>
    <x v="10"/>
    <x v="1"/>
    <x v="1"/>
    <x v="3"/>
    <x v="10"/>
    <x v="0"/>
    <x v="2098"/>
    <n v="654"/>
    <x v="216"/>
    <x v="0"/>
    <x v="561"/>
    <m/>
    <n v="0.28499999999999998"/>
    <m/>
    <x v="127"/>
    <x v="111"/>
    <m/>
  </r>
  <r>
    <x v="1710"/>
    <x v="2133"/>
    <x v="10"/>
    <x v="1"/>
    <x v="1"/>
    <x v="3"/>
    <x v="10"/>
    <x v="0"/>
    <x v="2099"/>
    <n v="1084"/>
    <x v="65"/>
    <x v="0"/>
    <x v="606"/>
    <m/>
    <n v="0.32500000000000001"/>
    <m/>
    <x v="45"/>
    <x v="131"/>
    <m/>
  </r>
  <r>
    <x v="1711"/>
    <x v="2134"/>
    <x v="10"/>
    <x v="1"/>
    <x v="1"/>
    <x v="3"/>
    <x v="10"/>
    <x v="0"/>
    <x v="2100"/>
    <n v="1567"/>
    <x v="229"/>
    <x v="0"/>
    <x v="630"/>
    <m/>
    <n v="0.28799999999999998"/>
    <m/>
    <x v="53"/>
    <x v="55"/>
    <m/>
  </r>
  <r>
    <x v="1712"/>
    <x v="2135"/>
    <x v="10"/>
    <x v="1"/>
    <x v="1"/>
    <x v="3"/>
    <x v="10"/>
    <x v="0"/>
    <x v="2101"/>
    <n v="506"/>
    <x v="212"/>
    <x v="0"/>
    <x v="219"/>
    <m/>
    <n v="7.9000000000000001E-2"/>
    <m/>
    <x v="102"/>
    <x v="55"/>
    <m/>
  </r>
  <r>
    <x v="1713"/>
    <x v="2136"/>
    <x v="10"/>
    <x v="1"/>
    <x v="1"/>
    <x v="3"/>
    <x v="10"/>
    <x v="0"/>
    <x v="2102"/>
    <n v="879"/>
    <x v="224"/>
    <x v="0"/>
    <x v="294"/>
    <m/>
    <n v="0.16700000000000001"/>
    <m/>
    <x v="54"/>
    <x v="105"/>
    <m/>
  </r>
  <r>
    <x v="1714"/>
    <x v="2137"/>
    <x v="10"/>
    <x v="1"/>
    <x v="1"/>
    <x v="3"/>
    <x v="10"/>
    <x v="0"/>
    <x v="2103"/>
    <n v="1168"/>
    <x v="204"/>
    <x v="0"/>
    <x v="471"/>
    <m/>
    <n v="0.23"/>
    <m/>
    <x v="20"/>
    <x v="201"/>
    <m/>
  </r>
  <r>
    <x v="1715"/>
    <x v="2138"/>
    <x v="19"/>
    <x v="1"/>
    <x v="1"/>
    <x v="3"/>
    <x v="10"/>
    <x v="2"/>
    <x v="2104"/>
    <n v="991"/>
    <x v="0"/>
    <x v="0"/>
    <x v="353"/>
    <m/>
    <n v="0.126"/>
    <m/>
    <x v="29"/>
    <x v="180"/>
    <m/>
  </r>
  <r>
    <x v="1715"/>
    <x v="2139"/>
    <x v="19"/>
    <x v="1"/>
    <x v="1"/>
    <x v="3"/>
    <x v="10"/>
    <x v="2"/>
    <x v="2105"/>
    <n v="991"/>
    <x v="0"/>
    <x v="0"/>
    <x v="38"/>
    <m/>
    <n v="0.24399999999999999"/>
    <m/>
    <x v="29"/>
    <x v="180"/>
    <m/>
  </r>
  <r>
    <x v="1715"/>
    <x v="2140"/>
    <x v="19"/>
    <x v="1"/>
    <x v="1"/>
    <x v="3"/>
    <x v="10"/>
    <x v="2"/>
    <x v="2106"/>
    <n v="991"/>
    <x v="0"/>
    <x v="0"/>
    <x v="378"/>
    <m/>
    <n v="0.219"/>
    <m/>
    <x v="29"/>
    <x v="180"/>
    <m/>
  </r>
  <r>
    <x v="1716"/>
    <x v="2141"/>
    <x v="10"/>
    <x v="1"/>
    <x v="1"/>
    <x v="3"/>
    <x v="10"/>
    <x v="0"/>
    <x v="2107"/>
    <n v="1379"/>
    <x v="155"/>
    <x v="0"/>
    <x v="631"/>
    <m/>
    <n v="0.43"/>
    <m/>
    <x v="46"/>
    <x v="126"/>
    <m/>
  </r>
  <r>
    <x v="1717"/>
    <x v="2142"/>
    <x v="10"/>
    <x v="1"/>
    <x v="1"/>
    <x v="3"/>
    <x v="10"/>
    <x v="1"/>
    <x v="2108"/>
    <n v="961"/>
    <x v="43"/>
    <x v="0"/>
    <x v="568"/>
    <m/>
    <n v="0.27700000000000002"/>
    <m/>
    <x v="20"/>
    <x v="43"/>
    <m/>
  </r>
  <r>
    <x v="1717"/>
    <x v="2143"/>
    <x v="10"/>
    <x v="1"/>
    <x v="1"/>
    <x v="3"/>
    <x v="10"/>
    <x v="1"/>
    <x v="2109"/>
    <n v="961"/>
    <x v="43"/>
    <x v="0"/>
    <x v="356"/>
    <m/>
    <n v="0.26300000000000001"/>
    <m/>
    <x v="20"/>
    <x v="43"/>
    <m/>
  </r>
  <r>
    <x v="1718"/>
    <x v="2144"/>
    <x v="10"/>
    <x v="1"/>
    <x v="1"/>
    <x v="3"/>
    <x v="10"/>
    <x v="1"/>
    <x v="2110"/>
    <n v="447"/>
    <x v="216"/>
    <x v="0"/>
    <x v="538"/>
    <m/>
    <n v="0.28499999999999998"/>
    <m/>
    <x v="59"/>
    <x v="239"/>
    <m/>
  </r>
  <r>
    <x v="1718"/>
    <x v="2145"/>
    <x v="10"/>
    <x v="1"/>
    <x v="1"/>
    <x v="3"/>
    <x v="10"/>
    <x v="1"/>
    <x v="2111"/>
    <n v="447"/>
    <x v="216"/>
    <x v="0"/>
    <x v="222"/>
    <m/>
    <n v="0.23699999999999999"/>
    <m/>
    <x v="59"/>
    <x v="239"/>
    <m/>
  </r>
  <r>
    <x v="1719"/>
    <x v="2146"/>
    <x v="10"/>
    <x v="1"/>
    <x v="1"/>
    <x v="3"/>
    <x v="10"/>
    <x v="0"/>
    <x v="2112"/>
    <n v="414"/>
    <x v="218"/>
    <x v="0"/>
    <x v="401"/>
    <m/>
    <n v="0.20499999999999999"/>
    <m/>
    <x v="127"/>
    <x v="100"/>
    <m/>
  </r>
  <r>
    <x v="1720"/>
    <x v="2147"/>
    <x v="10"/>
    <x v="1"/>
    <x v="1"/>
    <x v="3"/>
    <x v="10"/>
    <x v="0"/>
    <x v="2113"/>
    <n v="592"/>
    <x v="211"/>
    <x v="0"/>
    <x v="550"/>
    <m/>
    <n v="0.16800000000000001"/>
    <m/>
    <x v="45"/>
    <x v="24"/>
    <m/>
  </r>
  <r>
    <x v="1721"/>
    <x v="2148"/>
    <x v="10"/>
    <x v="1"/>
    <x v="1"/>
    <x v="3"/>
    <x v="10"/>
    <x v="0"/>
    <x v="2114"/>
    <n v="844"/>
    <x v="212"/>
    <x v="0"/>
    <x v="465"/>
    <m/>
    <n v="0.159"/>
    <m/>
    <x v="102"/>
    <x v="55"/>
    <m/>
  </r>
  <r>
    <x v="1722"/>
    <x v="2149"/>
    <x v="10"/>
    <x v="1"/>
    <x v="1"/>
    <x v="3"/>
    <x v="10"/>
    <x v="0"/>
    <x v="2115"/>
    <n v="81"/>
    <x v="207"/>
    <x v="0"/>
    <x v="420"/>
    <m/>
    <n v="0.11"/>
    <m/>
    <x v="202"/>
    <x v="302"/>
    <m/>
  </r>
  <r>
    <x v="1723"/>
    <x v="2150"/>
    <x v="10"/>
    <x v="1"/>
    <x v="1"/>
    <x v="3"/>
    <x v="10"/>
    <x v="0"/>
    <x v="2116"/>
    <n v="1211.54"/>
    <x v="21"/>
    <x v="328"/>
    <x v="632"/>
    <n v="1.5196799999999999"/>
    <n v="1.0589999999999999"/>
    <m/>
    <x v="84"/>
    <x v="50"/>
    <m/>
  </r>
  <r>
    <x v="1724"/>
    <x v="2151"/>
    <x v="17"/>
    <x v="1"/>
    <x v="1"/>
    <x v="3"/>
    <x v="10"/>
    <x v="0"/>
    <x v="2117"/>
    <n v="92.43"/>
    <x v="0"/>
    <x v="0"/>
    <x v="408"/>
    <m/>
    <n v="9.6000000000000002E-2"/>
    <m/>
    <x v="203"/>
    <x v="317"/>
    <m/>
  </r>
  <r>
    <x v="1725"/>
    <x v="2152"/>
    <x v="19"/>
    <x v="1"/>
    <x v="1"/>
    <x v="3"/>
    <x v="10"/>
    <x v="1"/>
    <x v="2118"/>
    <n v="581"/>
    <x v="0"/>
    <x v="0"/>
    <x v="152"/>
    <m/>
    <n v="0.20699999999999999"/>
    <m/>
    <x v="29"/>
    <x v="57"/>
    <m/>
  </r>
  <r>
    <x v="1725"/>
    <x v="2153"/>
    <x v="19"/>
    <x v="1"/>
    <x v="1"/>
    <x v="3"/>
    <x v="10"/>
    <x v="1"/>
    <x v="2119"/>
    <n v="581"/>
    <x v="0"/>
    <x v="0"/>
    <x v="256"/>
    <m/>
    <n v="0.19900000000000001"/>
    <m/>
    <x v="29"/>
    <x v="57"/>
    <m/>
  </r>
  <r>
    <x v="1726"/>
    <x v="2154"/>
    <x v="17"/>
    <x v="1"/>
    <x v="1"/>
    <x v="3"/>
    <x v="10"/>
    <x v="0"/>
    <x v="2120"/>
    <n v="120.5"/>
    <x v="0"/>
    <x v="0"/>
    <x v="593"/>
    <m/>
    <n v="8.5999999999999993E-2"/>
    <m/>
    <x v="61"/>
    <x v="289"/>
    <n v="8.73"/>
  </r>
  <r>
    <x v="1727"/>
    <x v="2155"/>
    <x v="17"/>
    <x v="1"/>
    <x v="1"/>
    <x v="3"/>
    <x v="10"/>
    <x v="0"/>
    <x v="2121"/>
    <n v="69.400000000000006"/>
    <x v="0"/>
    <x v="0"/>
    <x v="307"/>
    <m/>
    <n v="0.16400000000000001"/>
    <m/>
    <x v="85"/>
    <x v="70"/>
    <n v="4.0999999999999996"/>
  </r>
  <r>
    <x v="1728"/>
    <x v="2156"/>
    <x v="17"/>
    <x v="1"/>
    <x v="1"/>
    <x v="3"/>
    <x v="10"/>
    <x v="0"/>
    <x v="2122"/>
    <n v="252"/>
    <x v="74"/>
    <x v="0"/>
    <x v="492"/>
    <m/>
    <n v="0.14299999999999999"/>
    <n v="9.9"/>
    <x v="9"/>
    <x v="68"/>
    <n v="7.05"/>
  </r>
  <r>
    <x v="1729"/>
    <x v="2157"/>
    <x v="17"/>
    <x v="1"/>
    <x v="1"/>
    <x v="3"/>
    <x v="10"/>
    <x v="0"/>
    <x v="2123"/>
    <n v="755"/>
    <x v="77"/>
    <x v="0"/>
    <x v="331"/>
    <m/>
    <n v="0.19400000000000001"/>
    <n v="3.08"/>
    <x v="145"/>
    <x v="67"/>
    <n v="2.16"/>
  </r>
  <r>
    <x v="1730"/>
    <x v="2158"/>
    <x v="5"/>
    <x v="1"/>
    <x v="1"/>
    <x v="3"/>
    <x v="10"/>
    <x v="0"/>
    <x v="2124"/>
    <n v="567.84"/>
    <x v="30"/>
    <x v="211"/>
    <x v="633"/>
    <n v="0.5"/>
    <n v="0.81899999999999995"/>
    <n v="1.2"/>
    <x v="53"/>
    <x v="201"/>
    <n v="0.876"/>
  </r>
  <r>
    <x v="1731"/>
    <x v="2159"/>
    <x v="5"/>
    <x v="1"/>
    <x v="1"/>
    <x v="3"/>
    <x v="10"/>
    <x v="0"/>
    <x v="2125"/>
    <n v="214.58"/>
    <x v="272"/>
    <x v="329"/>
    <x v="634"/>
    <n v="1.5730000000000001E-2"/>
    <n v="0.19700000000000001"/>
    <n v="2.5"/>
    <x v="18"/>
    <x v="171"/>
    <n v="1.3"/>
  </r>
  <r>
    <x v="1732"/>
    <x v="2160"/>
    <x v="5"/>
    <x v="1"/>
    <x v="1"/>
    <x v="3"/>
    <x v="10"/>
    <x v="0"/>
    <x v="2126"/>
    <n v="186.88"/>
    <x v="265"/>
    <x v="330"/>
    <x v="635"/>
    <n v="0.15290999999999999"/>
    <n v="0.44800000000000001"/>
    <n v="2.13"/>
    <x v="18"/>
    <x v="95"/>
    <m/>
  </r>
  <r>
    <x v="1733"/>
    <x v="2161"/>
    <x v="20"/>
    <x v="1"/>
    <x v="1"/>
    <x v="3"/>
    <x v="10"/>
    <x v="0"/>
    <x v="2127"/>
    <n v="806.07"/>
    <x v="0"/>
    <x v="331"/>
    <x v="171"/>
    <n v="5.88"/>
    <n v="1.07"/>
    <n v="6.36"/>
    <x v="103"/>
    <x v="318"/>
    <n v="0.113"/>
  </r>
  <r>
    <x v="1734"/>
    <x v="2162"/>
    <x v="19"/>
    <x v="1"/>
    <x v="1"/>
    <x v="3"/>
    <x v="10"/>
    <x v="2"/>
    <x v="2128"/>
    <n v="655"/>
    <x v="0"/>
    <x v="0"/>
    <x v="519"/>
    <m/>
    <n v="0.20300000000000001"/>
    <m/>
    <x v="29"/>
    <x v="36"/>
    <m/>
  </r>
  <r>
    <x v="1734"/>
    <x v="2163"/>
    <x v="19"/>
    <x v="1"/>
    <x v="1"/>
    <x v="3"/>
    <x v="10"/>
    <x v="2"/>
    <x v="2129"/>
    <n v="655"/>
    <x v="0"/>
    <x v="0"/>
    <x v="277"/>
    <m/>
    <n v="0.21199999999999999"/>
    <m/>
    <x v="29"/>
    <x v="36"/>
    <m/>
  </r>
  <r>
    <x v="1734"/>
    <x v="2164"/>
    <x v="10"/>
    <x v="1"/>
    <x v="1"/>
    <x v="3"/>
    <x v="10"/>
    <x v="2"/>
    <x v="2130"/>
    <n v="655"/>
    <x v="0"/>
    <x v="0"/>
    <x v="215"/>
    <m/>
    <n v="0.154"/>
    <m/>
    <x v="29"/>
    <x v="36"/>
    <m/>
  </r>
  <r>
    <x v="1735"/>
    <x v="2165"/>
    <x v="19"/>
    <x v="1"/>
    <x v="1"/>
    <x v="3"/>
    <x v="10"/>
    <x v="4"/>
    <x v="2131"/>
    <n v="330"/>
    <x v="32"/>
    <x v="0"/>
    <x v="636"/>
    <m/>
    <n v="0.14399999999999999"/>
    <m/>
    <x v="96"/>
    <x v="142"/>
    <n v="2.88"/>
  </r>
  <r>
    <x v="1735"/>
    <x v="2166"/>
    <x v="19"/>
    <x v="1"/>
    <x v="1"/>
    <x v="3"/>
    <x v="10"/>
    <x v="4"/>
    <x v="2132"/>
    <n v="330"/>
    <x v="32"/>
    <x v="0"/>
    <x v="637"/>
    <m/>
    <n v="0.13800000000000001"/>
    <m/>
    <x v="96"/>
    <x v="142"/>
    <n v="2.88"/>
  </r>
  <r>
    <x v="1735"/>
    <x v="2167"/>
    <x v="10"/>
    <x v="1"/>
    <x v="1"/>
    <x v="3"/>
    <x v="10"/>
    <x v="4"/>
    <x v="2133"/>
    <n v="330"/>
    <x v="32"/>
    <x v="0"/>
    <x v="638"/>
    <m/>
    <n v="0.107"/>
    <m/>
    <x v="96"/>
    <x v="142"/>
    <n v="2.88"/>
  </r>
  <r>
    <x v="1735"/>
    <x v="2168"/>
    <x v="10"/>
    <x v="1"/>
    <x v="1"/>
    <x v="3"/>
    <x v="10"/>
    <x v="4"/>
    <x v="2134"/>
    <n v="330"/>
    <x v="32"/>
    <x v="0"/>
    <x v="639"/>
    <m/>
    <n v="0.90600000000000003"/>
    <m/>
    <x v="96"/>
    <x v="142"/>
    <n v="2.88"/>
  </r>
  <r>
    <x v="1736"/>
    <x v="2169"/>
    <x v="19"/>
    <x v="1"/>
    <x v="1"/>
    <x v="3"/>
    <x v="10"/>
    <x v="1"/>
    <x v="2135"/>
    <n v="1476"/>
    <x v="0"/>
    <x v="0"/>
    <x v="472"/>
    <m/>
    <n v="0.13"/>
    <m/>
    <x v="29"/>
    <x v="37"/>
    <m/>
  </r>
  <r>
    <x v="1736"/>
    <x v="2170"/>
    <x v="19"/>
    <x v="1"/>
    <x v="1"/>
    <x v="3"/>
    <x v="10"/>
    <x v="1"/>
    <x v="2136"/>
    <n v="1476"/>
    <x v="0"/>
    <x v="0"/>
    <x v="354"/>
    <m/>
    <n v="0.24"/>
    <m/>
    <x v="29"/>
    <x v="37"/>
    <m/>
  </r>
  <r>
    <x v="1737"/>
    <x v="2171"/>
    <x v="19"/>
    <x v="1"/>
    <x v="1"/>
    <x v="3"/>
    <x v="10"/>
    <x v="3"/>
    <x v="2137"/>
    <n v="434"/>
    <x v="0"/>
    <x v="0"/>
    <x v="559"/>
    <m/>
    <n v="0.10100000000000001"/>
    <m/>
    <x v="29"/>
    <x v="153"/>
    <m/>
  </r>
  <r>
    <x v="1737"/>
    <x v="2172"/>
    <x v="19"/>
    <x v="1"/>
    <x v="1"/>
    <x v="3"/>
    <x v="10"/>
    <x v="3"/>
    <x v="2138"/>
    <n v="434"/>
    <x v="0"/>
    <x v="0"/>
    <x v="203"/>
    <m/>
    <n v="0.108"/>
    <m/>
    <x v="29"/>
    <x v="153"/>
    <m/>
  </r>
  <r>
    <x v="1737"/>
    <x v="2173"/>
    <x v="19"/>
    <x v="1"/>
    <x v="1"/>
    <x v="3"/>
    <x v="10"/>
    <x v="3"/>
    <x v="2139"/>
    <n v="434"/>
    <x v="0"/>
    <x v="0"/>
    <x v="211"/>
    <m/>
    <n v="0.112"/>
    <m/>
    <x v="29"/>
    <x v="153"/>
    <m/>
  </r>
  <r>
    <x v="1737"/>
    <x v="2174"/>
    <x v="19"/>
    <x v="1"/>
    <x v="1"/>
    <x v="3"/>
    <x v="10"/>
    <x v="3"/>
    <x v="2140"/>
    <n v="434"/>
    <x v="0"/>
    <x v="0"/>
    <x v="359"/>
    <m/>
    <n v="0.19600000000000001"/>
    <m/>
    <x v="29"/>
    <x v="153"/>
    <m/>
  </r>
  <r>
    <x v="1737"/>
    <x v="2175"/>
    <x v="19"/>
    <x v="1"/>
    <x v="1"/>
    <x v="3"/>
    <x v="10"/>
    <x v="3"/>
    <x v="2141"/>
    <n v="434"/>
    <x v="0"/>
    <x v="0"/>
    <x v="471"/>
    <m/>
    <n v="0.23"/>
    <m/>
    <x v="29"/>
    <x v="153"/>
    <m/>
  </r>
  <r>
    <x v="1738"/>
    <x v="2176"/>
    <x v="14"/>
    <x v="1"/>
    <x v="1"/>
    <x v="3"/>
    <x v="10"/>
    <x v="0"/>
    <x v="2142"/>
    <n v="800"/>
    <x v="94"/>
    <x v="332"/>
    <x v="14"/>
    <n v="2.4500000000000002"/>
    <n v="1.31"/>
    <n v="1.35"/>
    <x v="56"/>
    <x v="133"/>
    <n v="1.415"/>
  </r>
  <r>
    <x v="1739"/>
    <x v="2177"/>
    <x v="19"/>
    <x v="1"/>
    <x v="1"/>
    <x v="3"/>
    <x v="10"/>
    <x v="1"/>
    <x v="2143"/>
    <n v="743"/>
    <x v="0"/>
    <x v="0"/>
    <x v="538"/>
    <m/>
    <n v="0.28499999999999998"/>
    <m/>
    <x v="29"/>
    <x v="171"/>
    <m/>
  </r>
  <r>
    <x v="1739"/>
    <x v="2178"/>
    <x v="19"/>
    <x v="1"/>
    <x v="1"/>
    <x v="3"/>
    <x v="10"/>
    <x v="1"/>
    <x v="2144"/>
    <n v="743"/>
    <x v="0"/>
    <x v="0"/>
    <x v="170"/>
    <m/>
    <n v="0.255"/>
    <m/>
    <x v="29"/>
    <x v="171"/>
    <m/>
  </r>
  <r>
    <x v="1740"/>
    <x v="2179"/>
    <x v="19"/>
    <x v="1"/>
    <x v="1"/>
    <x v="3"/>
    <x v="10"/>
    <x v="2"/>
    <x v="2145"/>
    <n v="1026"/>
    <x v="0"/>
    <x v="0"/>
    <x v="361"/>
    <m/>
    <n v="0.20899999999999999"/>
    <m/>
    <x v="29"/>
    <x v="239"/>
    <m/>
  </r>
  <r>
    <x v="1740"/>
    <x v="2180"/>
    <x v="19"/>
    <x v="1"/>
    <x v="1"/>
    <x v="3"/>
    <x v="10"/>
    <x v="2"/>
    <x v="2146"/>
    <n v="1026"/>
    <x v="0"/>
    <x v="0"/>
    <x v="176"/>
    <m/>
    <n v="0.22800000000000001"/>
    <m/>
    <x v="29"/>
    <x v="239"/>
    <m/>
  </r>
  <r>
    <x v="1740"/>
    <x v="2181"/>
    <x v="19"/>
    <x v="1"/>
    <x v="1"/>
    <x v="3"/>
    <x v="10"/>
    <x v="2"/>
    <x v="2147"/>
    <n v="1026"/>
    <x v="0"/>
    <x v="0"/>
    <x v="210"/>
    <m/>
    <n v="0.16900000000000001"/>
    <m/>
    <x v="29"/>
    <x v="239"/>
    <m/>
  </r>
  <r>
    <x v="1741"/>
    <x v="2182"/>
    <x v="19"/>
    <x v="1"/>
    <x v="1"/>
    <x v="3"/>
    <x v="10"/>
    <x v="4"/>
    <x v="2148"/>
    <n v="796"/>
    <x v="0"/>
    <x v="0"/>
    <x v="338"/>
    <m/>
    <n v="0.21"/>
    <m/>
    <x v="29"/>
    <x v="29"/>
    <m/>
  </r>
  <r>
    <x v="1741"/>
    <x v="2183"/>
    <x v="19"/>
    <x v="1"/>
    <x v="1"/>
    <x v="3"/>
    <x v="10"/>
    <x v="4"/>
    <x v="2149"/>
    <n v="796"/>
    <x v="0"/>
    <x v="0"/>
    <x v="170"/>
    <m/>
    <n v="0.255"/>
    <m/>
    <x v="29"/>
    <x v="29"/>
    <m/>
  </r>
  <r>
    <x v="1741"/>
    <x v="2184"/>
    <x v="19"/>
    <x v="1"/>
    <x v="1"/>
    <x v="3"/>
    <x v="10"/>
    <x v="4"/>
    <x v="2150"/>
    <n v="796"/>
    <x v="0"/>
    <x v="0"/>
    <x v="422"/>
    <m/>
    <n v="0.20100000000000001"/>
    <m/>
    <x v="29"/>
    <x v="29"/>
    <m/>
  </r>
  <r>
    <x v="1741"/>
    <x v="2185"/>
    <x v="19"/>
    <x v="1"/>
    <x v="1"/>
    <x v="3"/>
    <x v="10"/>
    <x v="4"/>
    <x v="2151"/>
    <n v="796"/>
    <x v="0"/>
    <x v="0"/>
    <x v="204"/>
    <m/>
    <n v="0.246"/>
    <m/>
    <x v="29"/>
    <x v="29"/>
    <m/>
  </r>
  <r>
    <x v="1742"/>
    <x v="2186"/>
    <x v="19"/>
    <x v="1"/>
    <x v="1"/>
    <x v="3"/>
    <x v="10"/>
    <x v="1"/>
    <x v="2152"/>
    <n v="810"/>
    <x v="0"/>
    <x v="0"/>
    <x v="411"/>
    <m/>
    <n v="0.115"/>
    <m/>
    <x v="29"/>
    <x v="105"/>
    <m/>
  </r>
  <r>
    <x v="1742"/>
    <x v="2187"/>
    <x v="19"/>
    <x v="1"/>
    <x v="1"/>
    <x v="3"/>
    <x v="10"/>
    <x v="1"/>
    <x v="2153"/>
    <n v="810"/>
    <x v="0"/>
    <x v="0"/>
    <x v="312"/>
    <m/>
    <n v="0.217"/>
    <m/>
    <x v="29"/>
    <x v="105"/>
    <m/>
  </r>
  <r>
    <x v="1743"/>
    <x v="2188"/>
    <x v="19"/>
    <x v="1"/>
    <x v="1"/>
    <x v="3"/>
    <x v="10"/>
    <x v="2"/>
    <x v="2154"/>
    <n v="371"/>
    <x v="0"/>
    <x v="0"/>
    <x v="186"/>
    <m/>
    <n v="0.17499999999999999"/>
    <m/>
    <x v="29"/>
    <x v="112"/>
    <m/>
  </r>
  <r>
    <x v="1743"/>
    <x v="2189"/>
    <x v="19"/>
    <x v="1"/>
    <x v="1"/>
    <x v="3"/>
    <x v="10"/>
    <x v="2"/>
    <x v="2155"/>
    <n v="371"/>
    <x v="0"/>
    <x v="0"/>
    <x v="234"/>
    <m/>
    <n v="0.13300000000000001"/>
    <m/>
    <x v="29"/>
    <x v="112"/>
    <m/>
  </r>
  <r>
    <x v="1743"/>
    <x v="2190"/>
    <x v="19"/>
    <x v="1"/>
    <x v="1"/>
    <x v="3"/>
    <x v="10"/>
    <x v="2"/>
    <x v="2156"/>
    <n v="371"/>
    <x v="0"/>
    <x v="0"/>
    <x v="252"/>
    <m/>
    <n v="0.19500000000000001"/>
    <m/>
    <x v="29"/>
    <x v="112"/>
    <m/>
  </r>
  <r>
    <x v="1744"/>
    <x v="2191"/>
    <x v="19"/>
    <x v="1"/>
    <x v="1"/>
    <x v="3"/>
    <x v="10"/>
    <x v="1"/>
    <x v="2157"/>
    <n v="1279"/>
    <x v="0"/>
    <x v="0"/>
    <x v="176"/>
    <m/>
    <n v="0.22800000000000001"/>
    <m/>
    <x v="29"/>
    <x v="41"/>
    <m/>
  </r>
  <r>
    <x v="1744"/>
    <x v="2192"/>
    <x v="19"/>
    <x v="1"/>
    <x v="1"/>
    <x v="3"/>
    <x v="10"/>
    <x v="1"/>
    <x v="2158"/>
    <n v="1279"/>
    <x v="0"/>
    <x v="0"/>
    <x v="487"/>
    <m/>
    <n v="0.27700000000000002"/>
    <m/>
    <x v="29"/>
    <x v="41"/>
    <m/>
  </r>
  <r>
    <x v="1745"/>
    <x v="2193"/>
    <x v="19"/>
    <x v="1"/>
    <x v="1"/>
    <x v="3"/>
    <x v="10"/>
    <x v="4"/>
    <x v="2159"/>
    <n v="564"/>
    <x v="0"/>
    <x v="0"/>
    <x v="557"/>
    <m/>
    <n v="0.128"/>
    <m/>
    <x v="29"/>
    <x v="111"/>
    <m/>
  </r>
  <r>
    <x v="1745"/>
    <x v="2194"/>
    <x v="19"/>
    <x v="1"/>
    <x v="1"/>
    <x v="3"/>
    <x v="10"/>
    <x v="4"/>
    <x v="2160"/>
    <n v="564"/>
    <x v="0"/>
    <x v="0"/>
    <x v="238"/>
    <m/>
    <n v="0.23200000000000001"/>
    <m/>
    <x v="29"/>
    <x v="111"/>
    <m/>
  </r>
  <r>
    <x v="1745"/>
    <x v="2195"/>
    <x v="19"/>
    <x v="1"/>
    <x v="1"/>
    <x v="3"/>
    <x v="10"/>
    <x v="4"/>
    <x v="2161"/>
    <n v="564"/>
    <x v="0"/>
    <x v="0"/>
    <x v="485"/>
    <m/>
    <n v="0.224"/>
    <m/>
    <x v="29"/>
    <x v="111"/>
    <m/>
  </r>
  <r>
    <x v="1745"/>
    <x v="2196"/>
    <x v="10"/>
    <x v="1"/>
    <x v="1"/>
    <x v="3"/>
    <x v="10"/>
    <x v="4"/>
    <x v="2162"/>
    <n v="564"/>
    <x v="0"/>
    <x v="0"/>
    <x v="218"/>
    <m/>
    <n v="0.129"/>
    <m/>
    <x v="29"/>
    <x v="111"/>
    <m/>
  </r>
  <r>
    <x v="1746"/>
    <x v="2197"/>
    <x v="7"/>
    <x v="1"/>
    <x v="1"/>
    <x v="3"/>
    <x v="10"/>
    <x v="1"/>
    <x v="2163"/>
    <n v="1068"/>
    <x v="0"/>
    <x v="307"/>
    <x v="175"/>
    <n v="6.0000000000000001E-3"/>
    <n v="0.25900000000000001"/>
    <m/>
    <x v="29"/>
    <x v="133"/>
    <m/>
  </r>
  <r>
    <x v="1746"/>
    <x v="2198"/>
    <x v="7"/>
    <x v="1"/>
    <x v="1"/>
    <x v="3"/>
    <x v="10"/>
    <x v="1"/>
    <x v="2164"/>
    <n v="1068"/>
    <x v="0"/>
    <x v="333"/>
    <x v="640"/>
    <n v="2.4E-2"/>
    <n v="0.63300000000000001"/>
    <m/>
    <x v="29"/>
    <x v="133"/>
    <m/>
  </r>
  <r>
    <x v="1747"/>
    <x v="2199"/>
    <x v="19"/>
    <x v="1"/>
    <x v="1"/>
    <x v="3"/>
    <x v="10"/>
    <x v="2"/>
    <x v="2165"/>
    <n v="741"/>
    <x v="0"/>
    <x v="0"/>
    <x v="175"/>
    <m/>
    <n v="0.25900000000000001"/>
    <m/>
    <x v="29"/>
    <x v="88"/>
    <m/>
  </r>
  <r>
    <x v="1747"/>
    <x v="2200"/>
    <x v="19"/>
    <x v="1"/>
    <x v="1"/>
    <x v="3"/>
    <x v="10"/>
    <x v="2"/>
    <x v="2166"/>
    <n v="741"/>
    <x v="0"/>
    <x v="0"/>
    <x v="452"/>
    <m/>
    <n v="0.25700000000000001"/>
    <m/>
    <x v="29"/>
    <x v="88"/>
    <m/>
  </r>
  <r>
    <x v="1747"/>
    <x v="2201"/>
    <x v="19"/>
    <x v="1"/>
    <x v="1"/>
    <x v="3"/>
    <x v="10"/>
    <x v="2"/>
    <x v="2167"/>
    <n v="741"/>
    <x v="0"/>
    <x v="0"/>
    <x v="288"/>
    <m/>
    <n v="0.35199999999999998"/>
    <m/>
    <x v="29"/>
    <x v="88"/>
    <m/>
  </r>
  <r>
    <x v="1748"/>
    <x v="2202"/>
    <x v="19"/>
    <x v="1"/>
    <x v="1"/>
    <x v="3"/>
    <x v="10"/>
    <x v="1"/>
    <x v="2168"/>
    <n v="660"/>
    <x v="0"/>
    <x v="0"/>
    <x v="157"/>
    <m/>
    <n v="0.14599999999999999"/>
    <m/>
    <x v="29"/>
    <x v="153"/>
    <m/>
  </r>
  <r>
    <x v="1748"/>
    <x v="2203"/>
    <x v="19"/>
    <x v="1"/>
    <x v="1"/>
    <x v="3"/>
    <x v="10"/>
    <x v="1"/>
    <x v="2169"/>
    <n v="660"/>
    <x v="0"/>
    <x v="0"/>
    <x v="184"/>
    <m/>
    <n v="0.17799999999999999"/>
    <m/>
    <x v="29"/>
    <x v="153"/>
    <m/>
  </r>
  <r>
    <x v="1749"/>
    <x v="2204"/>
    <x v="14"/>
    <x v="1"/>
    <x v="1"/>
    <x v="3"/>
    <x v="10"/>
    <x v="2"/>
    <x v="2170"/>
    <n v="507"/>
    <x v="113"/>
    <x v="334"/>
    <x v="184"/>
    <n v="2.1999999999999999E-2"/>
    <n v="0.17799999999999999"/>
    <n v="4.9000000000000004"/>
    <x v="54"/>
    <x v="37"/>
    <n v="1.01"/>
  </r>
  <r>
    <x v="1749"/>
    <x v="2205"/>
    <x v="14"/>
    <x v="1"/>
    <x v="1"/>
    <x v="3"/>
    <x v="10"/>
    <x v="2"/>
    <x v="2171"/>
    <n v="507"/>
    <x v="113"/>
    <x v="335"/>
    <x v="641"/>
    <n v="5.3999999999999999E-2"/>
    <n v="0.49"/>
    <n v="0.59"/>
    <x v="54"/>
    <x v="37"/>
    <n v="1.01"/>
  </r>
  <r>
    <x v="1749"/>
    <x v="2206"/>
    <x v="14"/>
    <x v="1"/>
    <x v="1"/>
    <x v="3"/>
    <x v="10"/>
    <x v="2"/>
    <x v="2172"/>
    <n v="507"/>
    <x v="113"/>
    <x v="336"/>
    <x v="642"/>
    <n v="5.1999999999999998E-2"/>
    <n v="0.623"/>
    <n v="0.27"/>
    <x v="54"/>
    <x v="37"/>
    <n v="1.01"/>
  </r>
  <r>
    <x v="1750"/>
    <x v="2207"/>
    <x v="19"/>
    <x v="1"/>
    <x v="1"/>
    <x v="3"/>
    <x v="10"/>
    <x v="1"/>
    <x v="2173"/>
    <n v="675"/>
    <x v="0"/>
    <x v="0"/>
    <x v="467"/>
    <m/>
    <n v="0.13400000000000001"/>
    <m/>
    <x v="29"/>
    <x v="124"/>
    <m/>
  </r>
  <r>
    <x v="1750"/>
    <x v="2208"/>
    <x v="19"/>
    <x v="1"/>
    <x v="1"/>
    <x v="3"/>
    <x v="10"/>
    <x v="1"/>
    <x v="2174"/>
    <n v="675"/>
    <x v="0"/>
    <x v="0"/>
    <x v="383"/>
    <m/>
    <n v="0.26900000000000002"/>
    <m/>
    <x v="29"/>
    <x v="124"/>
    <m/>
  </r>
  <r>
    <x v="1751"/>
    <x v="2209"/>
    <x v="19"/>
    <x v="1"/>
    <x v="1"/>
    <x v="3"/>
    <x v="10"/>
    <x v="1"/>
    <x v="2175"/>
    <n v="667"/>
    <x v="0"/>
    <x v="0"/>
    <x v="577"/>
    <m/>
    <n v="0.113"/>
    <m/>
    <x v="29"/>
    <x v="91"/>
    <m/>
  </r>
  <r>
    <x v="1751"/>
    <x v="2210"/>
    <x v="19"/>
    <x v="1"/>
    <x v="1"/>
    <x v="3"/>
    <x v="10"/>
    <x v="1"/>
    <x v="2176"/>
    <n v="667"/>
    <x v="0"/>
    <x v="0"/>
    <x v="236"/>
    <m/>
    <n v="0.17799999999999999"/>
    <m/>
    <x v="29"/>
    <x v="91"/>
    <m/>
  </r>
  <r>
    <x v="1752"/>
    <x v="2211"/>
    <x v="19"/>
    <x v="1"/>
    <x v="1"/>
    <x v="3"/>
    <x v="10"/>
    <x v="1"/>
    <x v="2177"/>
    <n v="1409"/>
    <x v="0"/>
    <x v="0"/>
    <x v="471"/>
    <m/>
    <n v="0.23"/>
    <m/>
    <x v="29"/>
    <x v="180"/>
    <m/>
  </r>
  <r>
    <x v="1752"/>
    <x v="2212"/>
    <x v="19"/>
    <x v="1"/>
    <x v="1"/>
    <x v="3"/>
    <x v="10"/>
    <x v="1"/>
    <x v="2178"/>
    <n v="1409"/>
    <x v="0"/>
    <x v="0"/>
    <x v="336"/>
    <m/>
    <n v="0.30599999999999999"/>
    <m/>
    <x v="29"/>
    <x v="180"/>
    <m/>
  </r>
  <r>
    <x v="1753"/>
    <x v="2213"/>
    <x v="19"/>
    <x v="1"/>
    <x v="1"/>
    <x v="3"/>
    <x v="10"/>
    <x v="1"/>
    <x v="2179"/>
    <n v="1015"/>
    <x v="0"/>
    <x v="0"/>
    <x v="197"/>
    <m/>
    <n v="0.184"/>
    <m/>
    <x v="29"/>
    <x v="18"/>
    <m/>
  </r>
  <r>
    <x v="1753"/>
    <x v="2214"/>
    <x v="19"/>
    <x v="1"/>
    <x v="1"/>
    <x v="3"/>
    <x v="10"/>
    <x v="1"/>
    <x v="2180"/>
    <n v="1015"/>
    <x v="0"/>
    <x v="0"/>
    <x v="519"/>
    <m/>
    <n v="0.20300000000000001"/>
    <m/>
    <x v="29"/>
    <x v="18"/>
    <m/>
  </r>
  <r>
    <x v="1754"/>
    <x v="2215"/>
    <x v="19"/>
    <x v="1"/>
    <x v="1"/>
    <x v="3"/>
    <x v="10"/>
    <x v="2"/>
    <x v="2181"/>
    <n v="716"/>
    <x v="0"/>
    <x v="0"/>
    <x v="479"/>
    <m/>
    <n v="0.21099999999999999"/>
    <m/>
    <x v="29"/>
    <x v="90"/>
    <m/>
  </r>
  <r>
    <x v="1754"/>
    <x v="2216"/>
    <x v="19"/>
    <x v="1"/>
    <x v="1"/>
    <x v="3"/>
    <x v="10"/>
    <x v="2"/>
    <x v="2182"/>
    <n v="716"/>
    <x v="0"/>
    <x v="0"/>
    <x v="206"/>
    <m/>
    <n v="0.17599999999999999"/>
    <m/>
    <x v="29"/>
    <x v="90"/>
    <m/>
  </r>
  <r>
    <x v="1754"/>
    <x v="2217"/>
    <x v="19"/>
    <x v="1"/>
    <x v="1"/>
    <x v="3"/>
    <x v="10"/>
    <x v="2"/>
    <x v="2183"/>
    <n v="716"/>
    <x v="0"/>
    <x v="0"/>
    <x v="308"/>
    <m/>
    <n v="0.222"/>
    <m/>
    <x v="29"/>
    <x v="90"/>
    <m/>
  </r>
  <r>
    <x v="1755"/>
    <x v="2218"/>
    <x v="19"/>
    <x v="1"/>
    <x v="1"/>
    <x v="3"/>
    <x v="10"/>
    <x v="1"/>
    <x v="2184"/>
    <n v="511"/>
    <x v="0"/>
    <x v="0"/>
    <x v="486"/>
    <m/>
    <n v="0.104"/>
    <m/>
    <x v="29"/>
    <x v="130"/>
    <m/>
  </r>
  <r>
    <x v="1755"/>
    <x v="2219"/>
    <x v="19"/>
    <x v="1"/>
    <x v="1"/>
    <x v="3"/>
    <x v="10"/>
    <x v="1"/>
    <x v="2185"/>
    <n v="511"/>
    <x v="0"/>
    <x v="0"/>
    <x v="244"/>
    <m/>
    <n v="0.18"/>
    <m/>
    <x v="29"/>
    <x v="130"/>
    <m/>
  </r>
  <r>
    <x v="1756"/>
    <x v="2220"/>
    <x v="19"/>
    <x v="1"/>
    <x v="1"/>
    <x v="3"/>
    <x v="10"/>
    <x v="3"/>
    <x v="2186"/>
    <n v="172"/>
    <x v="12"/>
    <x v="0"/>
    <x v="503"/>
    <m/>
    <n v="9.5000000000000001E-2"/>
    <m/>
    <x v="77"/>
    <x v="34"/>
    <n v="5.29"/>
  </r>
  <r>
    <x v="1756"/>
    <x v="2221"/>
    <x v="19"/>
    <x v="1"/>
    <x v="1"/>
    <x v="3"/>
    <x v="10"/>
    <x v="3"/>
    <x v="2187"/>
    <n v="172"/>
    <x v="12"/>
    <x v="0"/>
    <x v="211"/>
    <m/>
    <n v="0.112"/>
    <m/>
    <x v="77"/>
    <x v="34"/>
    <n v="5.29"/>
  </r>
  <r>
    <x v="1756"/>
    <x v="2222"/>
    <x v="19"/>
    <x v="1"/>
    <x v="1"/>
    <x v="3"/>
    <x v="10"/>
    <x v="3"/>
    <x v="2188"/>
    <n v="172"/>
    <x v="12"/>
    <x v="0"/>
    <x v="297"/>
    <m/>
    <n v="0.125"/>
    <m/>
    <x v="77"/>
    <x v="34"/>
    <n v="5.29"/>
  </r>
  <r>
    <x v="1756"/>
    <x v="2223"/>
    <x v="19"/>
    <x v="1"/>
    <x v="1"/>
    <x v="3"/>
    <x v="10"/>
    <x v="3"/>
    <x v="2189"/>
    <n v="172"/>
    <x v="12"/>
    <x v="0"/>
    <x v="577"/>
    <m/>
    <n v="0.113"/>
    <m/>
    <x v="77"/>
    <x v="34"/>
    <n v="5.29"/>
  </r>
  <r>
    <x v="1756"/>
    <x v="2224"/>
    <x v="19"/>
    <x v="1"/>
    <x v="1"/>
    <x v="3"/>
    <x v="10"/>
    <x v="3"/>
    <x v="2190"/>
    <n v="172"/>
    <x v="12"/>
    <x v="0"/>
    <x v="486"/>
    <m/>
    <n v="0.104"/>
    <m/>
    <x v="77"/>
    <x v="34"/>
    <n v="5.29"/>
  </r>
  <r>
    <x v="1757"/>
    <x v="2225"/>
    <x v="19"/>
    <x v="1"/>
    <x v="1"/>
    <x v="3"/>
    <x v="10"/>
    <x v="1"/>
    <x v="2191"/>
    <n v="867"/>
    <x v="0"/>
    <x v="0"/>
    <x v="353"/>
    <m/>
    <n v="0.126"/>
    <m/>
    <x v="29"/>
    <x v="145"/>
    <m/>
  </r>
  <r>
    <x v="1757"/>
    <x v="2226"/>
    <x v="19"/>
    <x v="1"/>
    <x v="1"/>
    <x v="3"/>
    <x v="10"/>
    <x v="1"/>
    <x v="2192"/>
    <n v="867"/>
    <x v="0"/>
    <x v="0"/>
    <x v="344"/>
    <m/>
    <n v="0.23799999999999999"/>
    <m/>
    <x v="29"/>
    <x v="145"/>
    <m/>
  </r>
  <r>
    <x v="1758"/>
    <x v="2227"/>
    <x v="19"/>
    <x v="1"/>
    <x v="1"/>
    <x v="3"/>
    <x v="10"/>
    <x v="1"/>
    <x v="2193"/>
    <n v="896"/>
    <x v="0"/>
    <x v="0"/>
    <x v="586"/>
    <m/>
    <n v="0.15"/>
    <m/>
    <x v="29"/>
    <x v="48"/>
    <m/>
  </r>
  <r>
    <x v="1758"/>
    <x v="2228"/>
    <x v="19"/>
    <x v="1"/>
    <x v="1"/>
    <x v="3"/>
    <x v="10"/>
    <x v="1"/>
    <x v="2194"/>
    <n v="896"/>
    <x v="0"/>
    <x v="0"/>
    <x v="561"/>
    <m/>
    <n v="0.28499999999999998"/>
    <m/>
    <x v="29"/>
    <x v="48"/>
    <m/>
  </r>
  <r>
    <x v="1759"/>
    <x v="2229"/>
    <x v="19"/>
    <x v="1"/>
    <x v="1"/>
    <x v="3"/>
    <x v="10"/>
    <x v="1"/>
    <x v="2195"/>
    <n v="618"/>
    <x v="0"/>
    <x v="0"/>
    <x v="203"/>
    <m/>
    <n v="0.108"/>
    <m/>
    <x v="29"/>
    <x v="91"/>
    <m/>
  </r>
  <r>
    <x v="1759"/>
    <x v="2230"/>
    <x v="19"/>
    <x v="1"/>
    <x v="1"/>
    <x v="3"/>
    <x v="10"/>
    <x v="1"/>
    <x v="2196"/>
    <n v="618"/>
    <x v="0"/>
    <x v="0"/>
    <x v="277"/>
    <m/>
    <n v="0.21199999999999999"/>
    <m/>
    <x v="29"/>
    <x v="91"/>
    <m/>
  </r>
  <r>
    <x v="1760"/>
    <x v="2231"/>
    <x v="14"/>
    <x v="1"/>
    <x v="1"/>
    <x v="3"/>
    <x v="10"/>
    <x v="2"/>
    <x v="2197"/>
    <n v="2119"/>
    <x v="107"/>
    <x v="46"/>
    <x v="0"/>
    <n v="2.6429999999999999E-2"/>
    <m/>
    <m/>
    <x v="23"/>
    <x v="24"/>
    <m/>
  </r>
  <r>
    <x v="1760"/>
    <x v="2232"/>
    <x v="14"/>
    <x v="1"/>
    <x v="1"/>
    <x v="8"/>
    <x v="10"/>
    <x v="2"/>
    <x v="2198"/>
    <n v="2119"/>
    <x v="107"/>
    <x v="337"/>
    <x v="0"/>
    <n v="4.122E-2"/>
    <m/>
    <m/>
    <x v="23"/>
    <x v="24"/>
    <m/>
  </r>
  <r>
    <x v="1760"/>
    <x v="2233"/>
    <x v="17"/>
    <x v="1"/>
    <x v="0"/>
    <x v="0"/>
    <x v="15"/>
    <x v="2"/>
    <x v="2199"/>
    <n v="2119"/>
    <x v="107"/>
    <x v="338"/>
    <x v="0"/>
    <n v="7.0790000000000006E-2"/>
    <m/>
    <m/>
    <x v="23"/>
    <x v="24"/>
    <m/>
  </r>
  <r>
    <x v="1761"/>
    <x v="2234"/>
    <x v="19"/>
    <x v="1"/>
    <x v="1"/>
    <x v="3"/>
    <x v="10"/>
    <x v="1"/>
    <x v="2200"/>
    <n v="455"/>
    <x v="0"/>
    <x v="0"/>
    <x v="319"/>
    <m/>
    <n v="0.13900000000000001"/>
    <m/>
    <x v="29"/>
    <x v="292"/>
    <m/>
  </r>
  <r>
    <x v="1761"/>
    <x v="2235"/>
    <x v="19"/>
    <x v="1"/>
    <x v="1"/>
    <x v="3"/>
    <x v="10"/>
    <x v="1"/>
    <x v="2201"/>
    <n v="455"/>
    <x v="0"/>
    <x v="0"/>
    <x v="472"/>
    <m/>
    <n v="0.13"/>
    <m/>
    <x v="29"/>
    <x v="292"/>
    <m/>
  </r>
  <r>
    <x v="1762"/>
    <x v="2236"/>
    <x v="19"/>
    <x v="1"/>
    <x v="1"/>
    <x v="3"/>
    <x v="10"/>
    <x v="2"/>
    <x v="2202"/>
    <n v="626"/>
    <x v="0"/>
    <x v="0"/>
    <x v="212"/>
    <m/>
    <n v="0.12"/>
    <m/>
    <x v="29"/>
    <x v="38"/>
    <m/>
  </r>
  <r>
    <x v="1762"/>
    <x v="2237"/>
    <x v="19"/>
    <x v="1"/>
    <x v="1"/>
    <x v="3"/>
    <x v="10"/>
    <x v="2"/>
    <x v="2203"/>
    <n v="626"/>
    <x v="0"/>
    <x v="0"/>
    <x v="598"/>
    <m/>
    <n v="0.16600000000000001"/>
    <m/>
    <x v="29"/>
    <x v="38"/>
    <m/>
  </r>
  <r>
    <x v="1762"/>
    <x v="2238"/>
    <x v="10"/>
    <x v="1"/>
    <x v="1"/>
    <x v="3"/>
    <x v="10"/>
    <x v="2"/>
    <x v="2204"/>
    <n v="626"/>
    <x v="0"/>
    <x v="0"/>
    <x v="478"/>
    <m/>
    <n v="0.20300000000000001"/>
    <m/>
    <x v="29"/>
    <x v="38"/>
    <m/>
  </r>
  <r>
    <x v="1763"/>
    <x v="2239"/>
    <x v="19"/>
    <x v="1"/>
    <x v="1"/>
    <x v="3"/>
    <x v="10"/>
    <x v="2"/>
    <x v="2205"/>
    <n v="616"/>
    <x v="0"/>
    <x v="0"/>
    <x v="523"/>
    <m/>
    <n v="0.24399999999999999"/>
    <m/>
    <x v="29"/>
    <x v="41"/>
    <m/>
  </r>
  <r>
    <x v="1763"/>
    <x v="2240"/>
    <x v="19"/>
    <x v="1"/>
    <x v="1"/>
    <x v="3"/>
    <x v="10"/>
    <x v="2"/>
    <x v="2206"/>
    <n v="616"/>
    <x v="0"/>
    <x v="0"/>
    <x v="335"/>
    <m/>
    <n v="0.249"/>
    <m/>
    <x v="29"/>
    <x v="41"/>
    <m/>
  </r>
  <r>
    <x v="1763"/>
    <x v="2241"/>
    <x v="10"/>
    <x v="1"/>
    <x v="1"/>
    <x v="3"/>
    <x v="10"/>
    <x v="2"/>
    <x v="2207"/>
    <n v="616"/>
    <x v="0"/>
    <x v="0"/>
    <x v="531"/>
    <m/>
    <n v="9.0999999999999998E-2"/>
    <m/>
    <x v="29"/>
    <x v="41"/>
    <m/>
  </r>
  <r>
    <x v="1764"/>
    <x v="2242"/>
    <x v="19"/>
    <x v="1"/>
    <x v="1"/>
    <x v="3"/>
    <x v="10"/>
    <x v="1"/>
    <x v="2208"/>
    <n v="1196"/>
    <x v="0"/>
    <x v="0"/>
    <x v="158"/>
    <m/>
    <n v="0.21299999999999999"/>
    <m/>
    <x v="29"/>
    <x v="180"/>
    <m/>
  </r>
  <r>
    <x v="1764"/>
    <x v="2243"/>
    <x v="19"/>
    <x v="1"/>
    <x v="1"/>
    <x v="3"/>
    <x v="10"/>
    <x v="1"/>
    <x v="2209"/>
    <n v="1196"/>
    <x v="0"/>
    <x v="0"/>
    <x v="389"/>
    <m/>
    <n v="0.245"/>
    <m/>
    <x v="29"/>
    <x v="180"/>
    <m/>
  </r>
  <r>
    <x v="1765"/>
    <x v="2244"/>
    <x v="19"/>
    <x v="1"/>
    <x v="1"/>
    <x v="3"/>
    <x v="10"/>
    <x v="2"/>
    <x v="2210"/>
    <n v="1218"/>
    <x v="0"/>
    <x v="0"/>
    <x v="228"/>
    <m/>
    <n v="0.13500000000000001"/>
    <m/>
    <x v="29"/>
    <x v="55"/>
    <m/>
  </r>
  <r>
    <x v="1765"/>
    <x v="2245"/>
    <x v="19"/>
    <x v="1"/>
    <x v="1"/>
    <x v="3"/>
    <x v="10"/>
    <x v="2"/>
    <x v="2211"/>
    <n v="1218"/>
    <x v="0"/>
    <x v="0"/>
    <x v="368"/>
    <m/>
    <n v="0.23100000000000001"/>
    <m/>
    <x v="29"/>
    <x v="55"/>
    <m/>
  </r>
  <r>
    <x v="1765"/>
    <x v="2246"/>
    <x v="19"/>
    <x v="1"/>
    <x v="1"/>
    <x v="3"/>
    <x v="10"/>
    <x v="2"/>
    <x v="2212"/>
    <n v="1218"/>
    <x v="0"/>
    <x v="0"/>
    <x v="445"/>
    <m/>
    <n v="0.214"/>
    <m/>
    <x v="29"/>
    <x v="55"/>
    <m/>
  </r>
  <r>
    <x v="1766"/>
    <x v="2247"/>
    <x v="19"/>
    <x v="1"/>
    <x v="1"/>
    <x v="3"/>
    <x v="10"/>
    <x v="1"/>
    <x v="2213"/>
    <n v="649"/>
    <x v="0"/>
    <x v="0"/>
    <x v="196"/>
    <m/>
    <n v="0.18099999999999999"/>
    <m/>
    <x v="29"/>
    <x v="202"/>
    <m/>
  </r>
  <r>
    <x v="1766"/>
    <x v="2248"/>
    <x v="19"/>
    <x v="1"/>
    <x v="1"/>
    <x v="3"/>
    <x v="10"/>
    <x v="1"/>
    <x v="2214"/>
    <n v="649"/>
    <x v="0"/>
    <x v="0"/>
    <x v="273"/>
    <m/>
    <n v="0.13800000000000001"/>
    <m/>
    <x v="29"/>
    <x v="202"/>
    <m/>
  </r>
  <r>
    <x v="1767"/>
    <x v="2249"/>
    <x v="19"/>
    <x v="1"/>
    <x v="1"/>
    <x v="3"/>
    <x v="10"/>
    <x v="1"/>
    <x v="2215"/>
    <n v="452"/>
    <x v="0"/>
    <x v="0"/>
    <x v="191"/>
    <m/>
    <n v="0.17"/>
    <m/>
    <x v="29"/>
    <x v="202"/>
    <m/>
  </r>
  <r>
    <x v="1767"/>
    <x v="2250"/>
    <x v="19"/>
    <x v="1"/>
    <x v="1"/>
    <x v="3"/>
    <x v="10"/>
    <x v="1"/>
    <x v="2216"/>
    <n v="452"/>
    <x v="0"/>
    <x v="0"/>
    <x v="360"/>
    <m/>
    <n v="0.2"/>
    <m/>
    <x v="29"/>
    <x v="202"/>
    <m/>
  </r>
  <r>
    <x v="1768"/>
    <x v="2251"/>
    <x v="19"/>
    <x v="1"/>
    <x v="1"/>
    <x v="3"/>
    <x v="10"/>
    <x v="4"/>
    <x v="2217"/>
    <n v="341"/>
    <x v="0"/>
    <x v="0"/>
    <x v="531"/>
    <m/>
    <n v="9.0999999999999998E-2"/>
    <m/>
    <x v="29"/>
    <x v="40"/>
    <m/>
  </r>
  <r>
    <x v="1768"/>
    <x v="2252"/>
    <x v="19"/>
    <x v="1"/>
    <x v="1"/>
    <x v="3"/>
    <x v="10"/>
    <x v="4"/>
    <x v="2218"/>
    <n v="341"/>
    <x v="0"/>
    <x v="0"/>
    <x v="420"/>
    <m/>
    <n v="0.11"/>
    <m/>
    <x v="29"/>
    <x v="40"/>
    <m/>
  </r>
  <r>
    <x v="1768"/>
    <x v="2253"/>
    <x v="19"/>
    <x v="1"/>
    <x v="1"/>
    <x v="3"/>
    <x v="10"/>
    <x v="4"/>
    <x v="2219"/>
    <n v="341"/>
    <x v="0"/>
    <x v="0"/>
    <x v="547"/>
    <m/>
    <n v="0.109"/>
    <m/>
    <x v="29"/>
    <x v="40"/>
    <m/>
  </r>
  <r>
    <x v="1768"/>
    <x v="2254"/>
    <x v="19"/>
    <x v="1"/>
    <x v="1"/>
    <x v="3"/>
    <x v="10"/>
    <x v="4"/>
    <x v="2220"/>
    <n v="341"/>
    <x v="0"/>
    <x v="0"/>
    <x v="562"/>
    <m/>
    <n v="8.1000000000000003E-2"/>
    <m/>
    <x v="29"/>
    <x v="40"/>
    <m/>
  </r>
  <r>
    <x v="1769"/>
    <x v="2255"/>
    <x v="19"/>
    <x v="1"/>
    <x v="1"/>
    <x v="3"/>
    <x v="10"/>
    <x v="2"/>
    <x v="2221"/>
    <n v="512"/>
    <x v="0"/>
    <x v="0"/>
    <x v="366"/>
    <m/>
    <n v="0.252"/>
    <m/>
    <x v="29"/>
    <x v="16"/>
    <m/>
  </r>
  <r>
    <x v="1769"/>
    <x v="2256"/>
    <x v="19"/>
    <x v="1"/>
    <x v="1"/>
    <x v="3"/>
    <x v="10"/>
    <x v="2"/>
    <x v="2222"/>
    <n v="512"/>
    <x v="0"/>
    <x v="0"/>
    <x v="518"/>
    <m/>
    <n v="0.22"/>
    <m/>
    <x v="29"/>
    <x v="16"/>
    <m/>
  </r>
  <r>
    <x v="1769"/>
    <x v="2257"/>
    <x v="10"/>
    <x v="1"/>
    <x v="1"/>
    <x v="3"/>
    <x v="10"/>
    <x v="2"/>
    <x v="2223"/>
    <n v="512"/>
    <x v="0"/>
    <x v="0"/>
    <x v="544"/>
    <m/>
    <n v="0.13600000000000001"/>
    <m/>
    <x v="29"/>
    <x v="16"/>
    <m/>
  </r>
  <r>
    <x v="1770"/>
    <x v="2258"/>
    <x v="19"/>
    <x v="1"/>
    <x v="1"/>
    <x v="3"/>
    <x v="10"/>
    <x v="1"/>
    <x v="2224"/>
    <n v="493"/>
    <x v="0"/>
    <x v="0"/>
    <x v="568"/>
    <m/>
    <n v="0.27700000000000002"/>
    <m/>
    <x v="29"/>
    <x v="193"/>
    <m/>
  </r>
  <r>
    <x v="1770"/>
    <x v="2259"/>
    <x v="19"/>
    <x v="1"/>
    <x v="1"/>
    <x v="3"/>
    <x v="10"/>
    <x v="1"/>
    <x v="2225"/>
    <n v="493"/>
    <x v="0"/>
    <x v="0"/>
    <x v="643"/>
    <m/>
    <n v="0.28999999999999998"/>
    <m/>
    <x v="29"/>
    <x v="193"/>
    <m/>
  </r>
  <r>
    <x v="1771"/>
    <x v="2260"/>
    <x v="14"/>
    <x v="1"/>
    <x v="1"/>
    <x v="3"/>
    <x v="10"/>
    <x v="5"/>
    <x v="2226"/>
    <n v="290"/>
    <x v="148"/>
    <x v="298"/>
    <x v="644"/>
    <n v="3.0519999999999999E-2"/>
    <n v="0.16700000000000001"/>
    <n v="8.1999999999999993"/>
    <x v="44"/>
    <x v="18"/>
    <m/>
  </r>
  <r>
    <x v="1771"/>
    <x v="2261"/>
    <x v="14"/>
    <x v="1"/>
    <x v="1"/>
    <x v="3"/>
    <x v="10"/>
    <x v="5"/>
    <x v="2227"/>
    <n v="290"/>
    <x v="148"/>
    <x v="339"/>
    <x v="645"/>
    <n v="4.0120000000000003E-2"/>
    <n v="0.27200000000000002"/>
    <n v="2.5"/>
    <x v="44"/>
    <x v="18"/>
    <m/>
  </r>
  <r>
    <x v="1771"/>
    <x v="2262"/>
    <x v="14"/>
    <x v="1"/>
    <x v="1"/>
    <x v="3"/>
    <x v="10"/>
    <x v="5"/>
    <x v="2228"/>
    <n v="290"/>
    <x v="148"/>
    <x v="340"/>
    <x v="646"/>
    <n v="3.168E-2"/>
    <n v="0.245"/>
    <n v="2.7"/>
    <x v="44"/>
    <x v="18"/>
    <m/>
  </r>
  <r>
    <x v="1771"/>
    <x v="2263"/>
    <x v="14"/>
    <x v="1"/>
    <x v="1"/>
    <x v="3"/>
    <x v="10"/>
    <x v="5"/>
    <x v="2229"/>
    <n v="290"/>
    <x v="148"/>
    <x v="0"/>
    <x v="647"/>
    <m/>
    <n v="7.6999999999999999E-2"/>
    <m/>
    <x v="44"/>
    <x v="18"/>
    <m/>
  </r>
  <r>
    <x v="1771"/>
    <x v="2264"/>
    <x v="14"/>
    <x v="1"/>
    <x v="1"/>
    <x v="3"/>
    <x v="10"/>
    <x v="5"/>
    <x v="2230"/>
    <n v="290"/>
    <x v="148"/>
    <x v="0"/>
    <x v="648"/>
    <m/>
    <n v="8.8999999999999996E-2"/>
    <m/>
    <x v="44"/>
    <x v="18"/>
    <m/>
  </r>
  <r>
    <x v="1771"/>
    <x v="2265"/>
    <x v="10"/>
    <x v="1"/>
    <x v="0"/>
    <x v="0"/>
    <x v="4"/>
    <x v="5"/>
    <x v="2231"/>
    <n v="290"/>
    <x v="148"/>
    <x v="0"/>
    <x v="0"/>
    <n v="6.2799999999999995E-2"/>
    <m/>
    <m/>
    <x v="44"/>
    <x v="18"/>
    <m/>
  </r>
  <r>
    <x v="1772"/>
    <x v="2266"/>
    <x v="19"/>
    <x v="1"/>
    <x v="1"/>
    <x v="3"/>
    <x v="10"/>
    <x v="1"/>
    <x v="2232"/>
    <n v="658"/>
    <x v="0"/>
    <x v="0"/>
    <x v="533"/>
    <m/>
    <n v="0.19"/>
    <m/>
    <x v="29"/>
    <x v="16"/>
    <m/>
  </r>
  <r>
    <x v="1772"/>
    <x v="2267"/>
    <x v="19"/>
    <x v="1"/>
    <x v="1"/>
    <x v="3"/>
    <x v="10"/>
    <x v="1"/>
    <x v="2233"/>
    <n v="658"/>
    <x v="0"/>
    <x v="0"/>
    <x v="397"/>
    <m/>
    <n v="0.14199999999999999"/>
    <m/>
    <x v="29"/>
    <x v="16"/>
    <m/>
  </r>
  <r>
    <x v="1773"/>
    <x v="2268"/>
    <x v="19"/>
    <x v="1"/>
    <x v="1"/>
    <x v="3"/>
    <x v="10"/>
    <x v="1"/>
    <x v="2234"/>
    <n v="613"/>
    <x v="0"/>
    <x v="0"/>
    <x v="584"/>
    <m/>
    <n v="0.219"/>
    <m/>
    <x v="29"/>
    <x v="14"/>
    <m/>
  </r>
  <r>
    <x v="1773"/>
    <x v="2269"/>
    <x v="19"/>
    <x v="1"/>
    <x v="1"/>
    <x v="3"/>
    <x v="10"/>
    <x v="1"/>
    <x v="2235"/>
    <n v="613"/>
    <x v="0"/>
    <x v="0"/>
    <x v="649"/>
    <m/>
    <n v="0.254"/>
    <m/>
    <x v="29"/>
    <x v="14"/>
    <m/>
  </r>
  <r>
    <x v="1774"/>
    <x v="2270"/>
    <x v="19"/>
    <x v="1"/>
    <x v="1"/>
    <x v="3"/>
    <x v="10"/>
    <x v="1"/>
    <x v="2236"/>
    <n v="302"/>
    <x v="0"/>
    <x v="0"/>
    <x v="341"/>
    <m/>
    <n v="0.14499999999999999"/>
    <m/>
    <x v="29"/>
    <x v="282"/>
    <m/>
  </r>
  <r>
    <x v="1774"/>
    <x v="2271"/>
    <x v="19"/>
    <x v="1"/>
    <x v="1"/>
    <x v="3"/>
    <x v="10"/>
    <x v="1"/>
    <x v="2237"/>
    <n v="302"/>
    <x v="0"/>
    <x v="0"/>
    <x v="381"/>
    <m/>
    <n v="0.16500000000000001"/>
    <m/>
    <x v="29"/>
    <x v="282"/>
    <m/>
  </r>
  <r>
    <x v="1775"/>
    <x v="2272"/>
    <x v="19"/>
    <x v="1"/>
    <x v="1"/>
    <x v="3"/>
    <x v="10"/>
    <x v="2"/>
    <x v="2238"/>
    <n v="697"/>
    <x v="0"/>
    <x v="0"/>
    <x v="334"/>
    <m/>
    <n v="0.22900000000000001"/>
    <m/>
    <x v="29"/>
    <x v="37"/>
    <m/>
  </r>
  <r>
    <x v="1775"/>
    <x v="2273"/>
    <x v="19"/>
    <x v="1"/>
    <x v="1"/>
    <x v="3"/>
    <x v="10"/>
    <x v="2"/>
    <x v="2239"/>
    <n v="697"/>
    <x v="0"/>
    <x v="0"/>
    <x v="518"/>
    <m/>
    <n v="0.22"/>
    <m/>
    <x v="29"/>
    <x v="37"/>
    <m/>
  </r>
  <r>
    <x v="1775"/>
    <x v="2274"/>
    <x v="19"/>
    <x v="1"/>
    <x v="1"/>
    <x v="3"/>
    <x v="10"/>
    <x v="2"/>
    <x v="2240"/>
    <n v="697"/>
    <x v="0"/>
    <x v="0"/>
    <x v="247"/>
    <m/>
    <n v="0.128"/>
    <m/>
    <x v="29"/>
    <x v="37"/>
    <m/>
  </r>
  <r>
    <x v="1776"/>
    <x v="2275"/>
    <x v="19"/>
    <x v="1"/>
    <x v="1"/>
    <x v="3"/>
    <x v="10"/>
    <x v="1"/>
    <x v="2241"/>
    <n v="769"/>
    <x v="0"/>
    <x v="0"/>
    <x v="199"/>
    <m/>
    <n v="0.22600000000000001"/>
    <m/>
    <x v="29"/>
    <x v="89"/>
    <m/>
  </r>
  <r>
    <x v="1776"/>
    <x v="2276"/>
    <x v="19"/>
    <x v="1"/>
    <x v="1"/>
    <x v="3"/>
    <x v="10"/>
    <x v="1"/>
    <x v="2242"/>
    <n v="769"/>
    <x v="0"/>
    <x v="0"/>
    <x v="620"/>
    <m/>
    <n v="0.16"/>
    <m/>
    <x v="29"/>
    <x v="89"/>
    <m/>
  </r>
  <r>
    <x v="1777"/>
    <x v="2277"/>
    <x v="19"/>
    <x v="1"/>
    <x v="1"/>
    <x v="3"/>
    <x v="10"/>
    <x v="1"/>
    <x v="2243"/>
    <n v="150"/>
    <x v="0"/>
    <x v="0"/>
    <x v="228"/>
    <m/>
    <n v="0.13500000000000001"/>
    <m/>
    <x v="29"/>
    <x v="72"/>
    <m/>
  </r>
  <r>
    <x v="1777"/>
    <x v="2278"/>
    <x v="19"/>
    <x v="1"/>
    <x v="1"/>
    <x v="3"/>
    <x v="10"/>
    <x v="1"/>
    <x v="2244"/>
    <n v="150"/>
    <x v="0"/>
    <x v="0"/>
    <x v="157"/>
    <m/>
    <n v="0.14599999999999999"/>
    <m/>
    <x v="29"/>
    <x v="72"/>
    <m/>
  </r>
  <r>
    <x v="1778"/>
    <x v="2279"/>
    <x v="19"/>
    <x v="1"/>
    <x v="1"/>
    <x v="3"/>
    <x v="10"/>
    <x v="2"/>
    <x v="2245"/>
    <n v="617"/>
    <x v="0"/>
    <x v="0"/>
    <x v="607"/>
    <m/>
    <n v="0.107"/>
    <m/>
    <x v="29"/>
    <x v="43"/>
    <m/>
  </r>
  <r>
    <x v="1778"/>
    <x v="2280"/>
    <x v="19"/>
    <x v="1"/>
    <x v="1"/>
    <x v="3"/>
    <x v="10"/>
    <x v="2"/>
    <x v="2246"/>
    <n v="617"/>
    <x v="0"/>
    <x v="0"/>
    <x v="541"/>
    <m/>
    <n v="0.158"/>
    <m/>
    <x v="29"/>
    <x v="43"/>
    <m/>
  </r>
  <r>
    <x v="1778"/>
    <x v="2281"/>
    <x v="19"/>
    <x v="1"/>
    <x v="1"/>
    <x v="3"/>
    <x v="10"/>
    <x v="2"/>
    <x v="2247"/>
    <n v="617"/>
    <x v="0"/>
    <x v="0"/>
    <x v="451"/>
    <m/>
    <n v="0.106"/>
    <m/>
    <x v="29"/>
    <x v="43"/>
    <m/>
  </r>
  <r>
    <x v="1779"/>
    <x v="2282"/>
    <x v="19"/>
    <x v="1"/>
    <x v="1"/>
    <x v="3"/>
    <x v="10"/>
    <x v="2"/>
    <x v="2248"/>
    <n v="760"/>
    <x v="0"/>
    <x v="0"/>
    <x v="220"/>
    <m/>
    <n v="0.14000000000000001"/>
    <m/>
    <x v="29"/>
    <x v="44"/>
    <m/>
  </r>
  <r>
    <x v="1779"/>
    <x v="2283"/>
    <x v="19"/>
    <x v="1"/>
    <x v="1"/>
    <x v="3"/>
    <x v="10"/>
    <x v="2"/>
    <x v="2249"/>
    <n v="760"/>
    <x v="0"/>
    <x v="0"/>
    <x v="467"/>
    <m/>
    <n v="0.13400000000000001"/>
    <m/>
    <x v="29"/>
    <x v="44"/>
    <m/>
  </r>
  <r>
    <x v="1779"/>
    <x v="2284"/>
    <x v="19"/>
    <x v="1"/>
    <x v="1"/>
    <x v="3"/>
    <x v="10"/>
    <x v="2"/>
    <x v="2250"/>
    <n v="760"/>
    <x v="0"/>
    <x v="0"/>
    <x v="650"/>
    <m/>
    <n v="0.29499999999999998"/>
    <m/>
    <x v="29"/>
    <x v="44"/>
    <m/>
  </r>
  <r>
    <x v="1780"/>
    <x v="2285"/>
    <x v="19"/>
    <x v="1"/>
    <x v="1"/>
    <x v="3"/>
    <x v="10"/>
    <x v="4"/>
    <x v="2251"/>
    <n v="856"/>
    <x v="0"/>
    <x v="0"/>
    <x v="341"/>
    <m/>
    <n v="0.14499999999999999"/>
    <m/>
    <x v="29"/>
    <x v="97"/>
    <m/>
  </r>
  <r>
    <x v="1780"/>
    <x v="2286"/>
    <x v="19"/>
    <x v="1"/>
    <x v="1"/>
    <x v="3"/>
    <x v="10"/>
    <x v="4"/>
    <x v="2252"/>
    <n v="856"/>
    <x v="0"/>
    <x v="0"/>
    <x v="548"/>
    <m/>
    <n v="0.124"/>
    <m/>
    <x v="29"/>
    <x v="97"/>
    <m/>
  </r>
  <r>
    <x v="1780"/>
    <x v="2287"/>
    <x v="19"/>
    <x v="1"/>
    <x v="1"/>
    <x v="3"/>
    <x v="10"/>
    <x v="4"/>
    <x v="2253"/>
    <n v="856"/>
    <x v="0"/>
    <x v="0"/>
    <x v="607"/>
    <m/>
    <n v="0.107"/>
    <m/>
    <x v="29"/>
    <x v="97"/>
    <m/>
  </r>
  <r>
    <x v="1780"/>
    <x v="2288"/>
    <x v="19"/>
    <x v="1"/>
    <x v="1"/>
    <x v="3"/>
    <x v="10"/>
    <x v="4"/>
    <x v="2254"/>
    <n v="856"/>
    <x v="0"/>
    <x v="0"/>
    <x v="493"/>
    <m/>
    <n v="0.13200000000000001"/>
    <m/>
    <x v="29"/>
    <x v="97"/>
    <m/>
  </r>
  <r>
    <x v="1781"/>
    <x v="2289"/>
    <x v="19"/>
    <x v="1"/>
    <x v="1"/>
    <x v="3"/>
    <x v="10"/>
    <x v="1"/>
    <x v="2255"/>
    <n v="584"/>
    <x v="0"/>
    <x v="0"/>
    <x v="243"/>
    <m/>
    <n v="0.20200000000000001"/>
    <m/>
    <x v="29"/>
    <x v="16"/>
    <m/>
  </r>
  <r>
    <x v="1781"/>
    <x v="2290"/>
    <x v="19"/>
    <x v="1"/>
    <x v="1"/>
    <x v="3"/>
    <x v="10"/>
    <x v="1"/>
    <x v="2256"/>
    <n v="584"/>
    <x v="0"/>
    <x v="0"/>
    <x v="487"/>
    <m/>
    <n v="0.27700000000000002"/>
    <m/>
    <x v="29"/>
    <x v="16"/>
    <m/>
  </r>
  <r>
    <x v="1782"/>
    <x v="2291"/>
    <x v="15"/>
    <x v="1"/>
    <x v="1"/>
    <x v="3"/>
    <x v="10"/>
    <x v="0"/>
    <x v="2257"/>
    <n v="113"/>
    <x v="273"/>
    <x v="212"/>
    <x v="651"/>
    <n v="1.5980000000000001E-2"/>
    <n v="0.14599999999999999"/>
    <n v="6.4"/>
    <x v="130"/>
    <x v="186"/>
    <n v="0.28699999999999998"/>
  </r>
  <r>
    <x v="1783"/>
    <x v="2292"/>
    <x v="19"/>
    <x v="1"/>
    <x v="1"/>
    <x v="3"/>
    <x v="10"/>
    <x v="1"/>
    <x v="2258"/>
    <n v="242"/>
    <x v="0"/>
    <x v="0"/>
    <x v="489"/>
    <m/>
    <n v="0.26200000000000001"/>
    <m/>
    <x v="29"/>
    <x v="272"/>
    <m/>
  </r>
  <r>
    <x v="1783"/>
    <x v="2293"/>
    <x v="19"/>
    <x v="1"/>
    <x v="1"/>
    <x v="3"/>
    <x v="10"/>
    <x v="1"/>
    <x v="2259"/>
    <n v="242"/>
    <x v="0"/>
    <x v="0"/>
    <x v="652"/>
    <m/>
    <n v="0.32300000000000001"/>
    <m/>
    <x v="29"/>
    <x v="272"/>
    <m/>
  </r>
  <r>
    <x v="1784"/>
    <x v="2294"/>
    <x v="19"/>
    <x v="1"/>
    <x v="1"/>
    <x v="3"/>
    <x v="10"/>
    <x v="1"/>
    <x v="2260"/>
    <n v="322"/>
    <x v="0"/>
    <x v="0"/>
    <x v="482"/>
    <m/>
    <n v="0.112"/>
    <m/>
    <x v="29"/>
    <x v="92"/>
    <m/>
  </r>
  <r>
    <x v="1784"/>
    <x v="2295"/>
    <x v="19"/>
    <x v="1"/>
    <x v="1"/>
    <x v="3"/>
    <x v="10"/>
    <x v="1"/>
    <x v="2261"/>
    <n v="322"/>
    <x v="0"/>
    <x v="0"/>
    <x v="411"/>
    <m/>
    <n v="0.115"/>
    <m/>
    <x v="29"/>
    <x v="92"/>
    <m/>
  </r>
  <r>
    <x v="1785"/>
    <x v="2296"/>
    <x v="19"/>
    <x v="1"/>
    <x v="1"/>
    <x v="3"/>
    <x v="10"/>
    <x v="1"/>
    <x v="2262"/>
    <n v="597"/>
    <x v="0"/>
    <x v="0"/>
    <x v="530"/>
    <m/>
    <n v="9.7000000000000003E-2"/>
    <m/>
    <x v="29"/>
    <x v="134"/>
    <m/>
  </r>
  <r>
    <x v="1785"/>
    <x v="2297"/>
    <x v="19"/>
    <x v="1"/>
    <x v="1"/>
    <x v="3"/>
    <x v="10"/>
    <x v="1"/>
    <x v="2263"/>
    <n v="597"/>
    <x v="0"/>
    <x v="0"/>
    <x v="523"/>
    <m/>
    <n v="0.24399999999999999"/>
    <m/>
    <x v="29"/>
    <x v="134"/>
    <m/>
  </r>
  <r>
    <x v="1786"/>
    <x v="2298"/>
    <x v="19"/>
    <x v="1"/>
    <x v="1"/>
    <x v="3"/>
    <x v="10"/>
    <x v="1"/>
    <x v="2264"/>
    <n v="578"/>
    <x v="0"/>
    <x v="0"/>
    <x v="44"/>
    <m/>
    <n v="0.14499999999999999"/>
    <m/>
    <x v="29"/>
    <x v="15"/>
    <m/>
  </r>
  <r>
    <x v="1786"/>
    <x v="2299"/>
    <x v="19"/>
    <x v="1"/>
    <x v="1"/>
    <x v="3"/>
    <x v="10"/>
    <x v="1"/>
    <x v="2265"/>
    <n v="578"/>
    <x v="0"/>
    <x v="0"/>
    <x v="361"/>
    <m/>
    <n v="0.20899999999999999"/>
    <m/>
    <x v="29"/>
    <x v="15"/>
    <m/>
  </r>
  <r>
    <x v="1787"/>
    <x v="2300"/>
    <x v="19"/>
    <x v="1"/>
    <x v="1"/>
    <x v="3"/>
    <x v="10"/>
    <x v="1"/>
    <x v="2266"/>
    <n v="804"/>
    <x v="0"/>
    <x v="0"/>
    <x v="41"/>
    <m/>
    <n v="0.23300000000000001"/>
    <m/>
    <x v="29"/>
    <x v="311"/>
    <m/>
  </r>
  <r>
    <x v="1787"/>
    <x v="2301"/>
    <x v="19"/>
    <x v="1"/>
    <x v="1"/>
    <x v="3"/>
    <x v="10"/>
    <x v="1"/>
    <x v="2267"/>
    <n v="804"/>
    <x v="0"/>
    <x v="0"/>
    <x v="533"/>
    <m/>
    <n v="0.19"/>
    <m/>
    <x v="29"/>
    <x v="311"/>
    <m/>
  </r>
  <r>
    <x v="1788"/>
    <x v="2302"/>
    <x v="19"/>
    <x v="1"/>
    <x v="1"/>
    <x v="3"/>
    <x v="10"/>
    <x v="4"/>
    <x v="2268"/>
    <n v="467"/>
    <x v="0"/>
    <x v="0"/>
    <x v="44"/>
    <m/>
    <n v="0.14499999999999999"/>
    <m/>
    <x v="29"/>
    <x v="171"/>
    <m/>
  </r>
  <r>
    <x v="1788"/>
    <x v="2303"/>
    <x v="19"/>
    <x v="1"/>
    <x v="1"/>
    <x v="3"/>
    <x v="10"/>
    <x v="4"/>
    <x v="2269"/>
    <n v="467"/>
    <x v="0"/>
    <x v="0"/>
    <x v="541"/>
    <m/>
    <n v="0.158"/>
    <m/>
    <x v="29"/>
    <x v="171"/>
    <m/>
  </r>
  <r>
    <x v="1788"/>
    <x v="2304"/>
    <x v="19"/>
    <x v="1"/>
    <x v="1"/>
    <x v="3"/>
    <x v="10"/>
    <x v="4"/>
    <x v="2270"/>
    <n v="467"/>
    <x v="0"/>
    <x v="0"/>
    <x v="158"/>
    <m/>
    <n v="0.21299999999999999"/>
    <m/>
    <x v="29"/>
    <x v="171"/>
    <m/>
  </r>
  <r>
    <x v="1788"/>
    <x v="2305"/>
    <x v="19"/>
    <x v="1"/>
    <x v="1"/>
    <x v="3"/>
    <x v="10"/>
    <x v="4"/>
    <x v="2271"/>
    <n v="467"/>
    <x v="0"/>
    <x v="0"/>
    <x v="314"/>
    <m/>
    <n v="0.156"/>
    <m/>
    <x v="29"/>
    <x v="171"/>
    <m/>
  </r>
  <r>
    <x v="1789"/>
    <x v="2306"/>
    <x v="19"/>
    <x v="1"/>
    <x v="1"/>
    <x v="3"/>
    <x v="10"/>
    <x v="1"/>
    <x v="2272"/>
    <n v="913"/>
    <x v="0"/>
    <x v="0"/>
    <x v="338"/>
    <m/>
    <n v="0.21"/>
    <m/>
    <x v="29"/>
    <x v="308"/>
    <m/>
  </r>
  <r>
    <x v="1789"/>
    <x v="2307"/>
    <x v="19"/>
    <x v="1"/>
    <x v="1"/>
    <x v="3"/>
    <x v="10"/>
    <x v="1"/>
    <x v="2273"/>
    <n v="913"/>
    <x v="0"/>
    <x v="0"/>
    <x v="603"/>
    <m/>
    <n v="0.27100000000000002"/>
    <m/>
    <x v="29"/>
    <x v="308"/>
    <m/>
  </r>
  <r>
    <x v="1790"/>
    <x v="2308"/>
    <x v="19"/>
    <x v="1"/>
    <x v="1"/>
    <x v="3"/>
    <x v="10"/>
    <x v="2"/>
    <x v="2274"/>
    <n v="1066"/>
    <x v="0"/>
    <x v="0"/>
    <x v="256"/>
    <m/>
    <n v="0.19900000000000001"/>
    <m/>
    <x v="29"/>
    <x v="319"/>
    <m/>
  </r>
  <r>
    <x v="1790"/>
    <x v="2309"/>
    <x v="19"/>
    <x v="1"/>
    <x v="1"/>
    <x v="3"/>
    <x v="10"/>
    <x v="2"/>
    <x v="2275"/>
    <n v="1066"/>
    <x v="0"/>
    <x v="0"/>
    <x v="381"/>
    <m/>
    <n v="0.16500000000000001"/>
    <m/>
    <x v="29"/>
    <x v="319"/>
    <m/>
  </r>
  <r>
    <x v="1790"/>
    <x v="2310"/>
    <x v="10"/>
    <x v="1"/>
    <x v="1"/>
    <x v="3"/>
    <x v="10"/>
    <x v="2"/>
    <x v="2276"/>
    <n v="1066"/>
    <x v="0"/>
    <x v="0"/>
    <x v="387"/>
    <m/>
    <n v="0.11799999999999999"/>
    <m/>
    <x v="29"/>
    <x v="319"/>
    <m/>
  </r>
  <r>
    <x v="1791"/>
    <x v="2311"/>
    <x v="19"/>
    <x v="1"/>
    <x v="1"/>
    <x v="3"/>
    <x v="10"/>
    <x v="2"/>
    <x v="2277"/>
    <n v="636"/>
    <x v="0"/>
    <x v="0"/>
    <x v="493"/>
    <m/>
    <n v="0.13200000000000001"/>
    <m/>
    <x v="29"/>
    <x v="124"/>
    <m/>
  </r>
  <r>
    <x v="1791"/>
    <x v="2312"/>
    <x v="19"/>
    <x v="1"/>
    <x v="1"/>
    <x v="3"/>
    <x v="10"/>
    <x v="2"/>
    <x v="2278"/>
    <n v="636"/>
    <x v="0"/>
    <x v="0"/>
    <x v="615"/>
    <m/>
    <n v="0.28000000000000003"/>
    <m/>
    <x v="29"/>
    <x v="124"/>
    <m/>
  </r>
  <r>
    <x v="1791"/>
    <x v="2313"/>
    <x v="10"/>
    <x v="1"/>
    <x v="1"/>
    <x v="3"/>
    <x v="10"/>
    <x v="2"/>
    <x v="2279"/>
    <n v="636"/>
    <x v="0"/>
    <x v="0"/>
    <x v="222"/>
    <m/>
    <n v="0.23699999999999999"/>
    <m/>
    <x v="29"/>
    <x v="124"/>
    <m/>
  </r>
  <r>
    <x v="1792"/>
    <x v="2314"/>
    <x v="19"/>
    <x v="1"/>
    <x v="1"/>
    <x v="3"/>
    <x v="10"/>
    <x v="2"/>
    <x v="2280"/>
    <n v="946"/>
    <x v="0"/>
    <x v="0"/>
    <x v="356"/>
    <m/>
    <n v="0.26300000000000001"/>
    <m/>
    <x v="29"/>
    <x v="242"/>
    <m/>
  </r>
  <r>
    <x v="1792"/>
    <x v="2315"/>
    <x v="19"/>
    <x v="1"/>
    <x v="1"/>
    <x v="3"/>
    <x v="10"/>
    <x v="2"/>
    <x v="2281"/>
    <n v="946"/>
    <x v="0"/>
    <x v="0"/>
    <x v="414"/>
    <m/>
    <n v="0.31900000000000001"/>
    <m/>
    <x v="29"/>
    <x v="242"/>
    <m/>
  </r>
  <r>
    <x v="1792"/>
    <x v="2316"/>
    <x v="19"/>
    <x v="1"/>
    <x v="1"/>
    <x v="3"/>
    <x v="10"/>
    <x v="2"/>
    <x v="2282"/>
    <n v="946"/>
    <x v="0"/>
    <x v="0"/>
    <x v="224"/>
    <m/>
    <n v="0.251"/>
    <m/>
    <x v="29"/>
    <x v="242"/>
    <m/>
  </r>
  <r>
    <x v="1793"/>
    <x v="2317"/>
    <x v="14"/>
    <x v="1"/>
    <x v="1"/>
    <x v="3"/>
    <x v="10"/>
    <x v="0"/>
    <x v="2283"/>
    <n v="190"/>
    <x v="0"/>
    <x v="315"/>
    <x v="277"/>
    <n v="0.113"/>
    <n v="0.21199999999999999"/>
    <n v="14.7"/>
    <x v="54"/>
    <x v="62"/>
    <n v="1.458"/>
  </r>
  <r>
    <x v="1794"/>
    <x v="2318"/>
    <x v="19"/>
    <x v="1"/>
    <x v="1"/>
    <x v="3"/>
    <x v="10"/>
    <x v="4"/>
    <x v="2284"/>
    <n v="154"/>
    <x v="0"/>
    <x v="0"/>
    <x v="624"/>
    <m/>
    <n v="7.1999999999999995E-2"/>
    <m/>
    <x v="29"/>
    <x v="282"/>
    <m/>
  </r>
  <r>
    <x v="1794"/>
    <x v="2319"/>
    <x v="19"/>
    <x v="1"/>
    <x v="1"/>
    <x v="3"/>
    <x v="10"/>
    <x v="4"/>
    <x v="2285"/>
    <n v="154"/>
    <x v="0"/>
    <x v="0"/>
    <x v="220"/>
    <m/>
    <n v="0.14000000000000001"/>
    <m/>
    <x v="29"/>
    <x v="282"/>
    <m/>
  </r>
  <r>
    <x v="1794"/>
    <x v="2320"/>
    <x v="19"/>
    <x v="1"/>
    <x v="1"/>
    <x v="3"/>
    <x v="10"/>
    <x v="4"/>
    <x v="2286"/>
    <n v="154"/>
    <x v="0"/>
    <x v="0"/>
    <x v="495"/>
    <m/>
    <n v="8.6999999999999994E-2"/>
    <m/>
    <x v="29"/>
    <x v="282"/>
    <m/>
  </r>
  <r>
    <x v="1794"/>
    <x v="2321"/>
    <x v="19"/>
    <x v="1"/>
    <x v="1"/>
    <x v="3"/>
    <x v="10"/>
    <x v="4"/>
    <x v="2287"/>
    <n v="154"/>
    <x v="0"/>
    <x v="0"/>
    <x v="232"/>
    <m/>
    <n v="0.11899999999999999"/>
    <m/>
    <x v="29"/>
    <x v="282"/>
    <m/>
  </r>
  <r>
    <x v="1795"/>
    <x v="2322"/>
    <x v="19"/>
    <x v="1"/>
    <x v="1"/>
    <x v="3"/>
    <x v="10"/>
    <x v="4"/>
    <x v="2288"/>
    <n v="414"/>
    <x v="0"/>
    <x v="0"/>
    <x v="349"/>
    <m/>
    <n v="0.153"/>
    <m/>
    <x v="29"/>
    <x v="92"/>
    <m/>
  </r>
  <r>
    <x v="1795"/>
    <x v="2323"/>
    <x v="19"/>
    <x v="1"/>
    <x v="1"/>
    <x v="3"/>
    <x v="10"/>
    <x v="4"/>
    <x v="2289"/>
    <n v="414"/>
    <x v="0"/>
    <x v="0"/>
    <x v="352"/>
    <m/>
    <n v="0.26100000000000001"/>
    <m/>
    <x v="29"/>
    <x v="92"/>
    <m/>
  </r>
  <r>
    <x v="1795"/>
    <x v="2324"/>
    <x v="19"/>
    <x v="1"/>
    <x v="1"/>
    <x v="3"/>
    <x v="10"/>
    <x v="4"/>
    <x v="2290"/>
    <n v="414"/>
    <x v="0"/>
    <x v="0"/>
    <x v="38"/>
    <m/>
    <n v="0.24399999999999999"/>
    <m/>
    <x v="29"/>
    <x v="92"/>
    <m/>
  </r>
  <r>
    <x v="1795"/>
    <x v="2325"/>
    <x v="19"/>
    <x v="1"/>
    <x v="1"/>
    <x v="3"/>
    <x v="10"/>
    <x v="4"/>
    <x v="2291"/>
    <n v="414"/>
    <x v="0"/>
    <x v="0"/>
    <x v="154"/>
    <m/>
    <n v="0.23499999999999999"/>
    <m/>
    <x v="29"/>
    <x v="92"/>
    <m/>
  </r>
  <r>
    <x v="1796"/>
    <x v="2326"/>
    <x v="19"/>
    <x v="1"/>
    <x v="1"/>
    <x v="3"/>
    <x v="10"/>
    <x v="2"/>
    <x v="2292"/>
    <n v="781"/>
    <x v="0"/>
    <x v="0"/>
    <x v="653"/>
    <m/>
    <n v="0.28199999999999997"/>
    <m/>
    <x v="29"/>
    <x v="90"/>
    <m/>
  </r>
  <r>
    <x v="1796"/>
    <x v="2327"/>
    <x v="19"/>
    <x v="1"/>
    <x v="1"/>
    <x v="3"/>
    <x v="10"/>
    <x v="2"/>
    <x v="2293"/>
    <n v="781"/>
    <x v="0"/>
    <x v="0"/>
    <x v="654"/>
    <m/>
    <n v="0.41399999999999998"/>
    <m/>
    <x v="29"/>
    <x v="90"/>
    <m/>
  </r>
  <r>
    <x v="1796"/>
    <x v="2328"/>
    <x v="19"/>
    <x v="1"/>
    <x v="1"/>
    <x v="3"/>
    <x v="10"/>
    <x v="2"/>
    <x v="2294"/>
    <n v="781"/>
    <x v="0"/>
    <x v="0"/>
    <x v="413"/>
    <m/>
    <n v="0.32900000000000001"/>
    <m/>
    <x v="29"/>
    <x v="90"/>
    <m/>
  </r>
  <r>
    <x v="1797"/>
    <x v="2329"/>
    <x v="19"/>
    <x v="1"/>
    <x v="1"/>
    <x v="3"/>
    <x v="10"/>
    <x v="4"/>
    <x v="2295"/>
    <n v="1135"/>
    <x v="0"/>
    <x v="213"/>
    <x v="539"/>
    <n v="2.3279999999999999E-2"/>
    <n v="0.26700000000000002"/>
    <n v="1.54"/>
    <x v="20"/>
    <x v="191"/>
    <m/>
  </r>
  <r>
    <x v="1797"/>
    <x v="2330"/>
    <x v="19"/>
    <x v="1"/>
    <x v="1"/>
    <x v="3"/>
    <x v="10"/>
    <x v="4"/>
    <x v="2296"/>
    <n v="1135"/>
    <x v="0"/>
    <x v="341"/>
    <x v="655"/>
    <n v="1.6049999999999998E-2"/>
    <n v="0.307"/>
    <n v="0.71"/>
    <x v="20"/>
    <x v="191"/>
    <m/>
  </r>
  <r>
    <x v="1797"/>
    <x v="2331"/>
    <x v="19"/>
    <x v="1"/>
    <x v="1"/>
    <x v="3"/>
    <x v="10"/>
    <x v="4"/>
    <x v="2297"/>
    <n v="1135"/>
    <x v="0"/>
    <x v="215"/>
    <x v="656"/>
    <n v="2.5170000000000001E-2"/>
    <n v="0.46700000000000003"/>
    <n v="0.31"/>
    <x v="20"/>
    <x v="191"/>
    <m/>
  </r>
  <r>
    <x v="1797"/>
    <x v="2332"/>
    <x v="19"/>
    <x v="1"/>
    <x v="1"/>
    <x v="3"/>
    <x v="10"/>
    <x v="4"/>
    <x v="2298"/>
    <n v="1135"/>
    <x v="0"/>
    <x v="342"/>
    <x v="446"/>
    <n v="1.5100000000000001E-2"/>
    <n v="0.41"/>
    <n v="0.28000000000000003"/>
    <x v="20"/>
    <x v="191"/>
    <m/>
  </r>
  <r>
    <x v="1798"/>
    <x v="2333"/>
    <x v="19"/>
    <x v="1"/>
    <x v="1"/>
    <x v="3"/>
    <x v="10"/>
    <x v="4"/>
    <x v="2299"/>
    <n v="783"/>
    <x v="0"/>
    <x v="0"/>
    <x v="548"/>
    <m/>
    <n v="0.124"/>
    <m/>
    <x v="29"/>
    <x v="85"/>
    <m/>
  </r>
  <r>
    <x v="1798"/>
    <x v="2334"/>
    <x v="19"/>
    <x v="1"/>
    <x v="1"/>
    <x v="3"/>
    <x v="10"/>
    <x v="4"/>
    <x v="2300"/>
    <n v="783"/>
    <x v="0"/>
    <x v="0"/>
    <x v="515"/>
    <m/>
    <n v="0.27800000000000002"/>
    <m/>
    <x v="29"/>
    <x v="85"/>
    <m/>
  </r>
  <r>
    <x v="1798"/>
    <x v="2335"/>
    <x v="19"/>
    <x v="1"/>
    <x v="1"/>
    <x v="3"/>
    <x v="10"/>
    <x v="4"/>
    <x v="2301"/>
    <n v="783"/>
    <x v="0"/>
    <x v="0"/>
    <x v="401"/>
    <m/>
    <n v="0.20499999999999999"/>
    <m/>
    <x v="29"/>
    <x v="85"/>
    <m/>
  </r>
  <r>
    <x v="1798"/>
    <x v="2336"/>
    <x v="19"/>
    <x v="1"/>
    <x v="1"/>
    <x v="3"/>
    <x v="10"/>
    <x v="4"/>
    <x v="2302"/>
    <n v="783"/>
    <x v="0"/>
    <x v="0"/>
    <x v="206"/>
    <m/>
    <n v="0.17599999999999999"/>
    <m/>
    <x v="29"/>
    <x v="85"/>
    <m/>
  </r>
  <r>
    <x v="1799"/>
    <x v="2337"/>
    <x v="19"/>
    <x v="1"/>
    <x v="1"/>
    <x v="3"/>
    <x v="10"/>
    <x v="1"/>
    <x v="2303"/>
    <n v="498"/>
    <x v="0"/>
    <x v="0"/>
    <x v="607"/>
    <m/>
    <n v="0.107"/>
    <m/>
    <x v="29"/>
    <x v="320"/>
    <m/>
  </r>
  <r>
    <x v="1799"/>
    <x v="2338"/>
    <x v="19"/>
    <x v="1"/>
    <x v="1"/>
    <x v="3"/>
    <x v="10"/>
    <x v="1"/>
    <x v="2304"/>
    <n v="498"/>
    <x v="0"/>
    <x v="0"/>
    <x v="307"/>
    <m/>
    <n v="0.16400000000000001"/>
    <m/>
    <x v="29"/>
    <x v="320"/>
    <m/>
  </r>
  <r>
    <x v="1800"/>
    <x v="2339"/>
    <x v="19"/>
    <x v="1"/>
    <x v="1"/>
    <x v="3"/>
    <x v="10"/>
    <x v="2"/>
    <x v="2305"/>
    <n v="966"/>
    <x v="0"/>
    <x v="0"/>
    <x v="273"/>
    <m/>
    <n v="0.13800000000000001"/>
    <m/>
    <x v="29"/>
    <x v="292"/>
    <m/>
  </r>
  <r>
    <x v="1800"/>
    <x v="2340"/>
    <x v="19"/>
    <x v="1"/>
    <x v="1"/>
    <x v="3"/>
    <x v="10"/>
    <x v="2"/>
    <x v="2306"/>
    <n v="966"/>
    <x v="0"/>
    <x v="0"/>
    <x v="519"/>
    <m/>
    <n v="0.20300000000000001"/>
    <m/>
    <x v="29"/>
    <x v="292"/>
    <m/>
  </r>
  <r>
    <x v="1800"/>
    <x v="2341"/>
    <x v="19"/>
    <x v="1"/>
    <x v="1"/>
    <x v="3"/>
    <x v="10"/>
    <x v="2"/>
    <x v="2307"/>
    <n v="966"/>
    <x v="0"/>
    <x v="0"/>
    <x v="547"/>
    <m/>
    <n v="0.109"/>
    <m/>
    <x v="29"/>
    <x v="292"/>
    <m/>
  </r>
  <r>
    <x v="1801"/>
    <x v="2342"/>
    <x v="19"/>
    <x v="1"/>
    <x v="1"/>
    <x v="3"/>
    <x v="10"/>
    <x v="1"/>
    <x v="2308"/>
    <n v="1095"/>
    <x v="0"/>
    <x v="0"/>
    <x v="568"/>
    <m/>
    <n v="0.27700000000000002"/>
    <m/>
    <x v="29"/>
    <x v="121"/>
    <m/>
  </r>
  <r>
    <x v="1801"/>
    <x v="2343"/>
    <x v="19"/>
    <x v="1"/>
    <x v="1"/>
    <x v="3"/>
    <x v="10"/>
    <x v="1"/>
    <x v="2309"/>
    <n v="1095"/>
    <x v="0"/>
    <x v="0"/>
    <x v="603"/>
    <m/>
    <n v="0.27100000000000002"/>
    <m/>
    <x v="29"/>
    <x v="121"/>
    <m/>
  </r>
  <r>
    <x v="1802"/>
    <x v="2344"/>
    <x v="19"/>
    <x v="1"/>
    <x v="1"/>
    <x v="3"/>
    <x v="10"/>
    <x v="2"/>
    <x v="2310"/>
    <n v="1307"/>
    <x v="0"/>
    <x v="0"/>
    <x v="544"/>
    <m/>
    <n v="0.13600000000000001"/>
    <m/>
    <x v="29"/>
    <x v="41"/>
    <m/>
  </r>
  <r>
    <x v="1802"/>
    <x v="2345"/>
    <x v="19"/>
    <x v="1"/>
    <x v="1"/>
    <x v="3"/>
    <x v="10"/>
    <x v="2"/>
    <x v="2311"/>
    <n v="1307"/>
    <x v="0"/>
    <x v="0"/>
    <x v="596"/>
    <m/>
    <n v="0.24099999999999999"/>
    <m/>
    <x v="29"/>
    <x v="41"/>
    <m/>
  </r>
  <r>
    <x v="1802"/>
    <x v="2346"/>
    <x v="19"/>
    <x v="1"/>
    <x v="1"/>
    <x v="3"/>
    <x v="10"/>
    <x v="2"/>
    <x v="2312"/>
    <n v="1307"/>
    <x v="0"/>
    <x v="0"/>
    <x v="657"/>
    <m/>
    <n v="0.36"/>
    <m/>
    <x v="29"/>
    <x v="41"/>
    <m/>
  </r>
  <r>
    <x v="1803"/>
    <x v="2347"/>
    <x v="19"/>
    <x v="1"/>
    <x v="1"/>
    <x v="3"/>
    <x v="10"/>
    <x v="2"/>
    <x v="2313"/>
    <n v="877"/>
    <x v="0"/>
    <x v="0"/>
    <x v="359"/>
    <m/>
    <n v="0.19600000000000001"/>
    <m/>
    <x v="29"/>
    <x v="142"/>
    <m/>
  </r>
  <r>
    <x v="1803"/>
    <x v="2348"/>
    <x v="19"/>
    <x v="1"/>
    <x v="1"/>
    <x v="3"/>
    <x v="10"/>
    <x v="2"/>
    <x v="2314"/>
    <n v="877"/>
    <x v="0"/>
    <x v="0"/>
    <x v="569"/>
    <m/>
    <n v="0.439"/>
    <m/>
    <x v="29"/>
    <x v="142"/>
    <m/>
  </r>
  <r>
    <x v="1803"/>
    <x v="2349"/>
    <x v="19"/>
    <x v="1"/>
    <x v="1"/>
    <x v="3"/>
    <x v="10"/>
    <x v="2"/>
    <x v="2315"/>
    <n v="877"/>
    <x v="0"/>
    <x v="0"/>
    <x v="658"/>
    <m/>
    <n v="0.34300000000000003"/>
    <m/>
    <x v="29"/>
    <x v="142"/>
    <m/>
  </r>
  <r>
    <x v="1804"/>
    <x v="2350"/>
    <x v="14"/>
    <x v="1"/>
    <x v="1"/>
    <x v="3"/>
    <x v="10"/>
    <x v="2"/>
    <x v="2316"/>
    <n v="800"/>
    <x v="0"/>
    <x v="343"/>
    <x v="191"/>
    <n v="0.8"/>
    <n v="0.17"/>
    <m/>
    <x v="29"/>
    <x v="155"/>
    <m/>
  </r>
  <r>
    <x v="1804"/>
    <x v="2351"/>
    <x v="14"/>
    <x v="1"/>
    <x v="1"/>
    <x v="3"/>
    <x v="10"/>
    <x v="2"/>
    <x v="2317"/>
    <n v="800"/>
    <x v="0"/>
    <x v="344"/>
    <x v="538"/>
    <n v="2.7"/>
    <n v="0.28499999999999998"/>
    <m/>
    <x v="29"/>
    <x v="155"/>
    <m/>
  </r>
  <r>
    <x v="1804"/>
    <x v="2352"/>
    <x v="19"/>
    <x v="1"/>
    <x v="1"/>
    <x v="3"/>
    <x v="10"/>
    <x v="2"/>
    <x v="2318"/>
    <n v="800"/>
    <x v="0"/>
    <x v="0"/>
    <x v="359"/>
    <m/>
    <n v="0.19600000000000001"/>
    <m/>
    <x v="29"/>
    <x v="155"/>
    <m/>
  </r>
  <r>
    <x v="1805"/>
    <x v="2353"/>
    <x v="19"/>
    <x v="1"/>
    <x v="1"/>
    <x v="3"/>
    <x v="10"/>
    <x v="1"/>
    <x v="2319"/>
    <n v="775"/>
    <x v="0"/>
    <x v="0"/>
    <x v="659"/>
    <m/>
    <n v="0.38"/>
    <m/>
    <x v="29"/>
    <x v="92"/>
    <m/>
  </r>
  <r>
    <x v="1805"/>
    <x v="2354"/>
    <x v="19"/>
    <x v="1"/>
    <x v="1"/>
    <x v="3"/>
    <x v="10"/>
    <x v="1"/>
    <x v="2320"/>
    <n v="775"/>
    <x v="0"/>
    <x v="0"/>
    <x v="525"/>
    <m/>
    <n v="0.182"/>
    <m/>
    <x v="29"/>
    <x v="92"/>
    <m/>
  </r>
  <r>
    <x v="1806"/>
    <x v="2355"/>
    <x v="19"/>
    <x v="1"/>
    <x v="1"/>
    <x v="3"/>
    <x v="10"/>
    <x v="1"/>
    <x v="2321"/>
    <n v="325"/>
    <x v="0"/>
    <x v="0"/>
    <x v="215"/>
    <m/>
    <n v="0.154"/>
    <m/>
    <x v="29"/>
    <x v="75"/>
    <m/>
  </r>
  <r>
    <x v="1806"/>
    <x v="2356"/>
    <x v="19"/>
    <x v="1"/>
    <x v="1"/>
    <x v="3"/>
    <x v="10"/>
    <x v="1"/>
    <x v="2322"/>
    <n v="325"/>
    <x v="0"/>
    <x v="0"/>
    <x v="386"/>
    <m/>
    <n v="0.17199999999999999"/>
    <m/>
    <x v="29"/>
    <x v="75"/>
    <m/>
  </r>
  <r>
    <x v="1807"/>
    <x v="2357"/>
    <x v="19"/>
    <x v="1"/>
    <x v="1"/>
    <x v="3"/>
    <x v="10"/>
    <x v="1"/>
    <x v="2323"/>
    <n v="1155"/>
    <x v="0"/>
    <x v="0"/>
    <x v="660"/>
    <m/>
    <n v="0.27500000000000002"/>
    <m/>
    <x v="29"/>
    <x v="193"/>
    <m/>
  </r>
  <r>
    <x v="1807"/>
    <x v="2358"/>
    <x v="19"/>
    <x v="1"/>
    <x v="1"/>
    <x v="3"/>
    <x v="10"/>
    <x v="1"/>
    <x v="2324"/>
    <n v="1155"/>
    <x v="0"/>
    <x v="0"/>
    <x v="661"/>
    <m/>
    <n v="0.34200000000000003"/>
    <m/>
    <x v="29"/>
    <x v="193"/>
    <m/>
  </r>
  <r>
    <x v="1808"/>
    <x v="2359"/>
    <x v="19"/>
    <x v="1"/>
    <x v="1"/>
    <x v="3"/>
    <x v="10"/>
    <x v="1"/>
    <x v="2325"/>
    <n v="825"/>
    <x v="0"/>
    <x v="0"/>
    <x v="312"/>
    <m/>
    <n v="0.217"/>
    <m/>
    <x v="29"/>
    <x v="153"/>
    <m/>
  </r>
  <r>
    <x v="1808"/>
    <x v="2360"/>
    <x v="19"/>
    <x v="1"/>
    <x v="1"/>
    <x v="3"/>
    <x v="10"/>
    <x v="1"/>
    <x v="2326"/>
    <n v="825"/>
    <x v="0"/>
    <x v="0"/>
    <x v="552"/>
    <m/>
    <n v="0.24199999999999999"/>
    <m/>
    <x v="29"/>
    <x v="153"/>
    <m/>
  </r>
  <r>
    <x v="1809"/>
    <x v="2361"/>
    <x v="19"/>
    <x v="1"/>
    <x v="1"/>
    <x v="3"/>
    <x v="10"/>
    <x v="1"/>
    <x v="2327"/>
    <n v="1651"/>
    <x v="0"/>
    <x v="0"/>
    <x v="20"/>
    <m/>
    <n v="0.33"/>
    <m/>
    <x v="29"/>
    <x v="37"/>
    <m/>
  </r>
  <r>
    <x v="1809"/>
    <x v="2362"/>
    <x v="19"/>
    <x v="1"/>
    <x v="1"/>
    <x v="3"/>
    <x v="10"/>
    <x v="1"/>
    <x v="2328"/>
    <n v="1651"/>
    <x v="0"/>
    <x v="0"/>
    <x v="662"/>
    <m/>
    <n v="0.313"/>
    <m/>
    <x v="29"/>
    <x v="37"/>
    <m/>
  </r>
  <r>
    <x v="1810"/>
    <x v="2363"/>
    <x v="19"/>
    <x v="1"/>
    <x v="1"/>
    <x v="3"/>
    <x v="10"/>
    <x v="4"/>
    <x v="2329"/>
    <n v="369"/>
    <x v="0"/>
    <x v="0"/>
    <x v="256"/>
    <m/>
    <n v="0.19900000000000001"/>
    <m/>
    <x v="29"/>
    <x v="72"/>
    <m/>
  </r>
  <r>
    <x v="1810"/>
    <x v="2364"/>
    <x v="19"/>
    <x v="1"/>
    <x v="1"/>
    <x v="3"/>
    <x v="10"/>
    <x v="4"/>
    <x v="2330"/>
    <n v="369"/>
    <x v="0"/>
    <x v="0"/>
    <x v="242"/>
    <m/>
    <n v="0.114"/>
    <m/>
    <x v="29"/>
    <x v="72"/>
    <m/>
  </r>
  <r>
    <x v="1810"/>
    <x v="2365"/>
    <x v="19"/>
    <x v="1"/>
    <x v="1"/>
    <x v="3"/>
    <x v="10"/>
    <x v="4"/>
    <x v="2331"/>
    <n v="369"/>
    <x v="0"/>
    <x v="0"/>
    <x v="396"/>
    <m/>
    <n v="0.183"/>
    <m/>
    <x v="29"/>
    <x v="72"/>
    <m/>
  </r>
  <r>
    <x v="1810"/>
    <x v="2366"/>
    <x v="19"/>
    <x v="1"/>
    <x v="1"/>
    <x v="3"/>
    <x v="10"/>
    <x v="4"/>
    <x v="2332"/>
    <n v="369"/>
    <x v="0"/>
    <x v="0"/>
    <x v="476"/>
    <m/>
    <n v="0.19800000000000001"/>
    <m/>
    <x v="29"/>
    <x v="72"/>
    <m/>
  </r>
  <r>
    <x v="1811"/>
    <x v="2367"/>
    <x v="19"/>
    <x v="1"/>
    <x v="1"/>
    <x v="3"/>
    <x v="10"/>
    <x v="1"/>
    <x v="2333"/>
    <n v="265"/>
    <x v="0"/>
    <x v="0"/>
    <x v="220"/>
    <m/>
    <n v="0.14000000000000001"/>
    <m/>
    <x v="29"/>
    <x v="283"/>
    <m/>
  </r>
  <r>
    <x v="1811"/>
    <x v="2368"/>
    <x v="19"/>
    <x v="1"/>
    <x v="1"/>
    <x v="3"/>
    <x v="10"/>
    <x v="1"/>
    <x v="2334"/>
    <n v="265"/>
    <x v="0"/>
    <x v="0"/>
    <x v="184"/>
    <m/>
    <n v="0.17799999999999999"/>
    <m/>
    <x v="29"/>
    <x v="283"/>
    <m/>
  </r>
  <r>
    <x v="1812"/>
    <x v="2369"/>
    <x v="19"/>
    <x v="1"/>
    <x v="1"/>
    <x v="3"/>
    <x v="10"/>
    <x v="1"/>
    <x v="2335"/>
    <n v="647"/>
    <x v="0"/>
    <x v="0"/>
    <x v="353"/>
    <m/>
    <n v="0.126"/>
    <m/>
    <x v="29"/>
    <x v="185"/>
    <m/>
  </r>
  <r>
    <x v="1812"/>
    <x v="2370"/>
    <x v="19"/>
    <x v="1"/>
    <x v="1"/>
    <x v="3"/>
    <x v="10"/>
    <x v="1"/>
    <x v="2336"/>
    <n v="647"/>
    <x v="0"/>
    <x v="0"/>
    <x v="488"/>
    <m/>
    <n v="0.186"/>
    <m/>
    <x v="29"/>
    <x v="185"/>
    <m/>
  </r>
  <r>
    <x v="1813"/>
    <x v="2371"/>
    <x v="19"/>
    <x v="1"/>
    <x v="1"/>
    <x v="3"/>
    <x v="10"/>
    <x v="3"/>
    <x v="2337"/>
    <n v="1369"/>
    <x v="0"/>
    <x v="0"/>
    <x v="215"/>
    <m/>
    <n v="0.154"/>
    <m/>
    <x v="29"/>
    <x v="126"/>
    <m/>
  </r>
  <r>
    <x v="1813"/>
    <x v="2372"/>
    <x v="19"/>
    <x v="1"/>
    <x v="1"/>
    <x v="3"/>
    <x v="10"/>
    <x v="3"/>
    <x v="2338"/>
    <n v="1369"/>
    <x v="0"/>
    <x v="0"/>
    <x v="158"/>
    <m/>
    <n v="0.21299999999999999"/>
    <m/>
    <x v="29"/>
    <x v="126"/>
    <m/>
  </r>
  <r>
    <x v="1813"/>
    <x v="2373"/>
    <x v="19"/>
    <x v="1"/>
    <x v="1"/>
    <x v="3"/>
    <x v="10"/>
    <x v="3"/>
    <x v="2339"/>
    <n v="1369"/>
    <x v="0"/>
    <x v="0"/>
    <x v="604"/>
    <m/>
    <n v="0.27400000000000002"/>
    <m/>
    <x v="29"/>
    <x v="126"/>
    <m/>
  </r>
  <r>
    <x v="1813"/>
    <x v="2374"/>
    <x v="7"/>
    <x v="1"/>
    <x v="1"/>
    <x v="3"/>
    <x v="10"/>
    <x v="3"/>
    <x v="2340"/>
    <n v="1369"/>
    <x v="0"/>
    <x v="345"/>
    <x v="663"/>
    <n v="0.53400000000000003"/>
    <n v="0.5"/>
    <m/>
    <x v="29"/>
    <x v="126"/>
    <m/>
  </r>
  <r>
    <x v="1813"/>
    <x v="2375"/>
    <x v="7"/>
    <x v="1"/>
    <x v="1"/>
    <x v="3"/>
    <x v="10"/>
    <x v="3"/>
    <x v="2341"/>
    <n v="1369"/>
    <x v="0"/>
    <x v="346"/>
    <x v="184"/>
    <n v="4.2000000000000003E-2"/>
    <n v="0.17799999999999999"/>
    <m/>
    <x v="29"/>
    <x v="126"/>
    <m/>
  </r>
  <r>
    <x v="1814"/>
    <x v="2376"/>
    <x v="19"/>
    <x v="1"/>
    <x v="1"/>
    <x v="3"/>
    <x v="10"/>
    <x v="1"/>
    <x v="2342"/>
    <n v="658"/>
    <x v="0"/>
    <x v="0"/>
    <x v="200"/>
    <m/>
    <n v="0.20799999999999999"/>
    <m/>
    <x v="29"/>
    <x v="153"/>
    <m/>
  </r>
  <r>
    <x v="1814"/>
    <x v="2377"/>
    <x v="19"/>
    <x v="1"/>
    <x v="1"/>
    <x v="3"/>
    <x v="10"/>
    <x v="1"/>
    <x v="2343"/>
    <n v="658"/>
    <x v="0"/>
    <x v="0"/>
    <x v="485"/>
    <m/>
    <n v="0.224"/>
    <m/>
    <x v="29"/>
    <x v="153"/>
    <m/>
  </r>
  <r>
    <x v="1815"/>
    <x v="2378"/>
    <x v="14"/>
    <x v="1"/>
    <x v="1"/>
    <x v="3"/>
    <x v="10"/>
    <x v="4"/>
    <x v="2344"/>
    <n v="1200"/>
    <x v="0"/>
    <x v="347"/>
    <x v="445"/>
    <n v="1.6"/>
    <n v="0.214"/>
    <m/>
    <x v="29"/>
    <x v="145"/>
    <m/>
  </r>
  <r>
    <x v="1815"/>
    <x v="2379"/>
    <x v="14"/>
    <x v="1"/>
    <x v="1"/>
    <x v="3"/>
    <x v="10"/>
    <x v="4"/>
    <x v="2345"/>
    <n v="1200"/>
    <x v="0"/>
    <x v="347"/>
    <x v="388"/>
    <n v="1.6"/>
    <n v="0.25"/>
    <m/>
    <x v="29"/>
    <x v="145"/>
    <m/>
  </r>
  <r>
    <x v="1815"/>
    <x v="2380"/>
    <x v="19"/>
    <x v="1"/>
    <x v="1"/>
    <x v="3"/>
    <x v="10"/>
    <x v="4"/>
    <x v="2346"/>
    <n v="1200"/>
    <x v="0"/>
    <x v="0"/>
    <x v="526"/>
    <m/>
    <n v="0.14899999999999999"/>
    <m/>
    <x v="29"/>
    <x v="145"/>
    <m/>
  </r>
  <r>
    <x v="1815"/>
    <x v="2381"/>
    <x v="19"/>
    <x v="1"/>
    <x v="1"/>
    <x v="3"/>
    <x v="10"/>
    <x v="4"/>
    <x v="2347"/>
    <n v="1200"/>
    <x v="0"/>
    <x v="0"/>
    <x v="295"/>
    <m/>
    <n v="0.248"/>
    <m/>
    <x v="29"/>
    <x v="145"/>
    <m/>
  </r>
  <r>
    <x v="1816"/>
    <x v="2382"/>
    <x v="19"/>
    <x v="1"/>
    <x v="1"/>
    <x v="3"/>
    <x v="10"/>
    <x v="1"/>
    <x v="2348"/>
    <n v="738"/>
    <x v="0"/>
    <x v="0"/>
    <x v="563"/>
    <m/>
    <n v="0.122"/>
    <m/>
    <x v="29"/>
    <x v="36"/>
    <m/>
  </r>
  <r>
    <x v="1816"/>
    <x v="2383"/>
    <x v="19"/>
    <x v="1"/>
    <x v="1"/>
    <x v="3"/>
    <x v="10"/>
    <x v="1"/>
    <x v="2349"/>
    <n v="738"/>
    <x v="0"/>
    <x v="0"/>
    <x v="359"/>
    <m/>
    <n v="0.19600000000000001"/>
    <m/>
    <x v="29"/>
    <x v="36"/>
    <m/>
  </r>
  <r>
    <x v="1817"/>
    <x v="2384"/>
    <x v="19"/>
    <x v="1"/>
    <x v="1"/>
    <x v="3"/>
    <x v="10"/>
    <x v="1"/>
    <x v="2350"/>
    <n v="512"/>
    <x v="0"/>
    <x v="0"/>
    <x v="200"/>
    <m/>
    <n v="0.20799999999999999"/>
    <m/>
    <x v="29"/>
    <x v="282"/>
    <m/>
  </r>
  <r>
    <x v="1817"/>
    <x v="2385"/>
    <x v="19"/>
    <x v="1"/>
    <x v="1"/>
    <x v="3"/>
    <x v="10"/>
    <x v="1"/>
    <x v="2351"/>
    <n v="512"/>
    <x v="0"/>
    <x v="0"/>
    <x v="334"/>
    <m/>
    <n v="0.22900000000000001"/>
    <m/>
    <x v="29"/>
    <x v="282"/>
    <m/>
  </r>
  <r>
    <x v="1818"/>
    <x v="2386"/>
    <x v="19"/>
    <x v="1"/>
    <x v="1"/>
    <x v="3"/>
    <x v="10"/>
    <x v="1"/>
    <x v="2352"/>
    <n v="670"/>
    <x v="0"/>
    <x v="0"/>
    <x v="41"/>
    <m/>
    <n v="0.23300000000000001"/>
    <m/>
    <x v="29"/>
    <x v="131"/>
    <m/>
  </r>
  <r>
    <x v="1818"/>
    <x v="2387"/>
    <x v="19"/>
    <x v="1"/>
    <x v="1"/>
    <x v="3"/>
    <x v="10"/>
    <x v="1"/>
    <x v="2353"/>
    <n v="670"/>
    <x v="0"/>
    <x v="0"/>
    <x v="184"/>
    <m/>
    <n v="0.17799999999999999"/>
    <m/>
    <x v="29"/>
    <x v="131"/>
    <m/>
  </r>
  <r>
    <x v="1819"/>
    <x v="2388"/>
    <x v="19"/>
    <x v="1"/>
    <x v="1"/>
    <x v="3"/>
    <x v="10"/>
    <x v="1"/>
    <x v="2354"/>
    <n v="669"/>
    <x v="0"/>
    <x v="0"/>
    <x v="378"/>
    <m/>
    <n v="0.219"/>
    <m/>
    <x v="29"/>
    <x v="239"/>
    <m/>
  </r>
  <r>
    <x v="1819"/>
    <x v="2389"/>
    <x v="19"/>
    <x v="1"/>
    <x v="1"/>
    <x v="3"/>
    <x v="10"/>
    <x v="1"/>
    <x v="2355"/>
    <n v="669"/>
    <x v="0"/>
    <x v="0"/>
    <x v="236"/>
    <m/>
    <n v="0.17799999999999999"/>
    <m/>
    <x v="29"/>
    <x v="239"/>
    <m/>
  </r>
  <r>
    <x v="1820"/>
    <x v="2390"/>
    <x v="19"/>
    <x v="1"/>
    <x v="1"/>
    <x v="3"/>
    <x v="10"/>
    <x v="2"/>
    <x v="2356"/>
    <n v="928"/>
    <x v="0"/>
    <x v="0"/>
    <x v="204"/>
    <m/>
    <n v="0.246"/>
    <m/>
    <x v="29"/>
    <x v="292"/>
    <m/>
  </r>
  <r>
    <x v="1820"/>
    <x v="2391"/>
    <x v="19"/>
    <x v="1"/>
    <x v="1"/>
    <x v="3"/>
    <x v="10"/>
    <x v="2"/>
    <x v="2357"/>
    <n v="928"/>
    <x v="0"/>
    <x v="0"/>
    <x v="396"/>
    <m/>
    <n v="0.183"/>
    <m/>
    <x v="29"/>
    <x v="292"/>
    <m/>
  </r>
  <r>
    <x v="1820"/>
    <x v="2392"/>
    <x v="19"/>
    <x v="1"/>
    <x v="1"/>
    <x v="3"/>
    <x v="10"/>
    <x v="2"/>
    <x v="2358"/>
    <n v="928"/>
    <x v="0"/>
    <x v="0"/>
    <x v="269"/>
    <m/>
    <n v="0.20599999999999999"/>
    <m/>
    <x v="29"/>
    <x v="292"/>
    <m/>
  </r>
  <r>
    <x v="1821"/>
    <x v="2393"/>
    <x v="19"/>
    <x v="1"/>
    <x v="1"/>
    <x v="3"/>
    <x v="10"/>
    <x v="4"/>
    <x v="2359"/>
    <n v="866"/>
    <x v="0"/>
    <x v="0"/>
    <x v="334"/>
    <m/>
    <n v="0.22900000000000001"/>
    <m/>
    <x v="29"/>
    <x v="292"/>
    <m/>
  </r>
  <r>
    <x v="1821"/>
    <x v="2394"/>
    <x v="19"/>
    <x v="1"/>
    <x v="1"/>
    <x v="3"/>
    <x v="10"/>
    <x v="4"/>
    <x v="2360"/>
    <n v="866"/>
    <x v="0"/>
    <x v="0"/>
    <x v="205"/>
    <m/>
    <n v="0.19400000000000001"/>
    <m/>
    <x v="29"/>
    <x v="292"/>
    <m/>
  </r>
  <r>
    <x v="1821"/>
    <x v="2395"/>
    <x v="19"/>
    <x v="1"/>
    <x v="1"/>
    <x v="3"/>
    <x v="10"/>
    <x v="4"/>
    <x v="2361"/>
    <n v="866"/>
    <x v="0"/>
    <x v="0"/>
    <x v="625"/>
    <m/>
    <n v="0.27"/>
    <m/>
    <x v="29"/>
    <x v="292"/>
    <m/>
  </r>
  <r>
    <x v="1821"/>
    <x v="2396"/>
    <x v="10"/>
    <x v="1"/>
    <x v="1"/>
    <x v="3"/>
    <x v="10"/>
    <x v="4"/>
    <x v="2362"/>
    <n v="866"/>
    <x v="0"/>
    <x v="0"/>
    <x v="314"/>
    <m/>
    <n v="0.156"/>
    <m/>
    <x v="29"/>
    <x v="292"/>
    <m/>
  </r>
  <r>
    <x v="1822"/>
    <x v="2397"/>
    <x v="19"/>
    <x v="1"/>
    <x v="1"/>
    <x v="3"/>
    <x v="10"/>
    <x v="1"/>
    <x v="2363"/>
    <n v="736"/>
    <x v="0"/>
    <x v="0"/>
    <x v="361"/>
    <m/>
    <n v="0.20899999999999999"/>
    <m/>
    <x v="29"/>
    <x v="56"/>
    <m/>
  </r>
  <r>
    <x v="1822"/>
    <x v="2398"/>
    <x v="19"/>
    <x v="1"/>
    <x v="1"/>
    <x v="3"/>
    <x v="10"/>
    <x v="1"/>
    <x v="2364"/>
    <n v="736"/>
    <x v="0"/>
    <x v="0"/>
    <x v="467"/>
    <m/>
    <n v="0.13400000000000001"/>
    <m/>
    <x v="29"/>
    <x v="56"/>
    <m/>
  </r>
  <r>
    <x v="1823"/>
    <x v="2399"/>
    <x v="19"/>
    <x v="1"/>
    <x v="1"/>
    <x v="3"/>
    <x v="10"/>
    <x v="2"/>
    <x v="2365"/>
    <n v="667"/>
    <x v="0"/>
    <x v="0"/>
    <x v="157"/>
    <m/>
    <n v="0.14599999999999999"/>
    <m/>
    <x v="29"/>
    <x v="57"/>
    <m/>
  </r>
  <r>
    <x v="1823"/>
    <x v="2400"/>
    <x v="19"/>
    <x v="1"/>
    <x v="1"/>
    <x v="3"/>
    <x v="10"/>
    <x v="2"/>
    <x v="2366"/>
    <n v="667"/>
    <x v="0"/>
    <x v="0"/>
    <x v="664"/>
    <m/>
    <n v="0.36499999999999999"/>
    <m/>
    <x v="29"/>
    <x v="57"/>
    <m/>
  </r>
  <r>
    <x v="1823"/>
    <x v="2401"/>
    <x v="19"/>
    <x v="1"/>
    <x v="1"/>
    <x v="3"/>
    <x v="10"/>
    <x v="2"/>
    <x v="2367"/>
    <n v="667"/>
    <x v="0"/>
    <x v="0"/>
    <x v="665"/>
    <m/>
    <n v="0.35199999999999998"/>
    <m/>
    <x v="29"/>
    <x v="57"/>
    <m/>
  </r>
  <r>
    <x v="1824"/>
    <x v="2402"/>
    <x v="19"/>
    <x v="1"/>
    <x v="1"/>
    <x v="3"/>
    <x v="10"/>
    <x v="1"/>
    <x v="2368"/>
    <n v="800"/>
    <x v="0"/>
    <x v="0"/>
    <x v="522"/>
    <m/>
    <n v="0.26900000000000002"/>
    <m/>
    <x v="29"/>
    <x v="56"/>
    <m/>
  </r>
  <r>
    <x v="1824"/>
    <x v="2403"/>
    <x v="19"/>
    <x v="1"/>
    <x v="1"/>
    <x v="3"/>
    <x v="10"/>
    <x v="1"/>
    <x v="2369"/>
    <n v="800"/>
    <x v="0"/>
    <x v="0"/>
    <x v="666"/>
    <m/>
    <n v="0.36299999999999999"/>
    <m/>
    <x v="29"/>
    <x v="56"/>
    <m/>
  </r>
  <r>
    <x v="1825"/>
    <x v="2404"/>
    <x v="19"/>
    <x v="1"/>
    <x v="1"/>
    <x v="3"/>
    <x v="10"/>
    <x v="2"/>
    <x v="2370"/>
    <n v="133"/>
    <x v="0"/>
    <x v="0"/>
    <x v="530"/>
    <m/>
    <n v="9.7000000000000003E-2"/>
    <m/>
    <x v="29"/>
    <x v="320"/>
    <m/>
  </r>
  <r>
    <x v="1825"/>
    <x v="2405"/>
    <x v="19"/>
    <x v="1"/>
    <x v="1"/>
    <x v="3"/>
    <x v="10"/>
    <x v="2"/>
    <x v="2371"/>
    <n v="133"/>
    <x v="0"/>
    <x v="0"/>
    <x v="228"/>
    <m/>
    <n v="0.13500000000000001"/>
    <m/>
    <x v="29"/>
    <x v="320"/>
    <m/>
  </r>
  <r>
    <x v="1825"/>
    <x v="2406"/>
    <x v="19"/>
    <x v="1"/>
    <x v="1"/>
    <x v="3"/>
    <x v="10"/>
    <x v="2"/>
    <x v="2372"/>
    <n v="133"/>
    <x v="0"/>
    <x v="0"/>
    <x v="220"/>
    <m/>
    <n v="0.14000000000000001"/>
    <m/>
    <x v="29"/>
    <x v="320"/>
    <m/>
  </r>
  <r>
    <x v="1826"/>
    <x v="2407"/>
    <x v="14"/>
    <x v="1"/>
    <x v="1"/>
    <x v="3"/>
    <x v="10"/>
    <x v="2"/>
    <x v="2373"/>
    <n v="244.96"/>
    <x v="34"/>
    <x v="348"/>
    <x v="552"/>
    <n v="3.0200000000000001E-2"/>
    <n v="0.24199999999999999"/>
    <n v="2.5"/>
    <x v="128"/>
    <x v="97"/>
    <n v="0.75"/>
  </r>
  <r>
    <x v="1826"/>
    <x v="2408"/>
    <x v="14"/>
    <x v="1"/>
    <x v="1"/>
    <x v="3"/>
    <x v="10"/>
    <x v="2"/>
    <x v="2374"/>
    <n v="244.96"/>
    <x v="34"/>
    <x v="349"/>
    <x v="425"/>
    <n v="7.7399999999999997E-2"/>
    <n v="0.46400000000000002"/>
    <n v="0.9"/>
    <x v="128"/>
    <x v="97"/>
    <n v="0.75"/>
  </r>
  <r>
    <x v="1826"/>
    <x v="2409"/>
    <x v="19"/>
    <x v="1"/>
    <x v="0"/>
    <x v="0"/>
    <x v="3"/>
    <x v="2"/>
    <x v="2375"/>
    <n v="244.96"/>
    <x v="34"/>
    <x v="350"/>
    <x v="0"/>
    <n v="0.28299999999999997"/>
    <m/>
    <m/>
    <x v="128"/>
    <x v="97"/>
    <n v="0.75"/>
  </r>
  <r>
    <x v="1827"/>
    <x v="2410"/>
    <x v="19"/>
    <x v="1"/>
    <x v="1"/>
    <x v="3"/>
    <x v="10"/>
    <x v="2"/>
    <x v="2376"/>
    <n v="788"/>
    <x v="0"/>
    <x v="0"/>
    <x v="559"/>
    <m/>
    <n v="0.10100000000000001"/>
    <m/>
    <x v="29"/>
    <x v="130"/>
    <m/>
  </r>
  <r>
    <x v="1827"/>
    <x v="2411"/>
    <x v="19"/>
    <x v="1"/>
    <x v="1"/>
    <x v="3"/>
    <x v="10"/>
    <x v="2"/>
    <x v="2377"/>
    <n v="788"/>
    <x v="0"/>
    <x v="0"/>
    <x v="478"/>
    <m/>
    <n v="0.20300000000000001"/>
    <m/>
    <x v="29"/>
    <x v="130"/>
    <m/>
  </r>
  <r>
    <x v="1827"/>
    <x v="2412"/>
    <x v="19"/>
    <x v="1"/>
    <x v="1"/>
    <x v="3"/>
    <x v="10"/>
    <x v="2"/>
    <x v="2378"/>
    <n v="788"/>
    <x v="0"/>
    <x v="0"/>
    <x v="205"/>
    <m/>
    <n v="0.19400000000000001"/>
    <m/>
    <x v="29"/>
    <x v="130"/>
    <m/>
  </r>
  <r>
    <x v="1828"/>
    <x v="2413"/>
    <x v="19"/>
    <x v="1"/>
    <x v="1"/>
    <x v="3"/>
    <x v="10"/>
    <x v="4"/>
    <x v="2379"/>
    <n v="1014"/>
    <x v="0"/>
    <x v="0"/>
    <x v="232"/>
    <m/>
    <n v="0.11899999999999999"/>
    <m/>
    <x v="29"/>
    <x v="111"/>
    <m/>
  </r>
  <r>
    <x v="1828"/>
    <x v="2414"/>
    <x v="19"/>
    <x v="1"/>
    <x v="1"/>
    <x v="3"/>
    <x v="10"/>
    <x v="4"/>
    <x v="2380"/>
    <n v="1014"/>
    <x v="0"/>
    <x v="0"/>
    <x v="412"/>
    <m/>
    <n v="0.247"/>
    <m/>
    <x v="29"/>
    <x v="111"/>
    <m/>
  </r>
  <r>
    <x v="1828"/>
    <x v="2415"/>
    <x v="19"/>
    <x v="1"/>
    <x v="1"/>
    <x v="3"/>
    <x v="10"/>
    <x v="4"/>
    <x v="2381"/>
    <n v="1014"/>
    <x v="0"/>
    <x v="0"/>
    <x v="412"/>
    <m/>
    <n v="0.247"/>
    <m/>
    <x v="29"/>
    <x v="111"/>
    <m/>
  </r>
  <r>
    <x v="1828"/>
    <x v="2416"/>
    <x v="19"/>
    <x v="1"/>
    <x v="1"/>
    <x v="3"/>
    <x v="10"/>
    <x v="4"/>
    <x v="2382"/>
    <n v="1014"/>
    <x v="0"/>
    <x v="0"/>
    <x v="412"/>
    <m/>
    <n v="0.247"/>
    <m/>
    <x v="29"/>
    <x v="111"/>
    <m/>
  </r>
  <r>
    <x v="1829"/>
    <x v="2417"/>
    <x v="19"/>
    <x v="1"/>
    <x v="1"/>
    <x v="3"/>
    <x v="10"/>
    <x v="1"/>
    <x v="2383"/>
    <n v="391"/>
    <x v="0"/>
    <x v="0"/>
    <x v="420"/>
    <m/>
    <n v="0.11"/>
    <m/>
    <x v="29"/>
    <x v="72"/>
    <m/>
  </r>
  <r>
    <x v="1829"/>
    <x v="2418"/>
    <x v="19"/>
    <x v="1"/>
    <x v="1"/>
    <x v="3"/>
    <x v="10"/>
    <x v="1"/>
    <x v="2384"/>
    <n v="391"/>
    <x v="0"/>
    <x v="0"/>
    <x v="230"/>
    <m/>
    <n v="0.192"/>
    <m/>
    <x v="29"/>
    <x v="72"/>
    <m/>
  </r>
  <r>
    <x v="1830"/>
    <x v="2419"/>
    <x v="19"/>
    <x v="1"/>
    <x v="1"/>
    <x v="3"/>
    <x v="10"/>
    <x v="2"/>
    <x v="2385"/>
    <n v="849"/>
    <x v="0"/>
    <x v="0"/>
    <x v="341"/>
    <m/>
    <n v="0.14499999999999999"/>
    <m/>
    <x v="29"/>
    <x v="38"/>
    <m/>
  </r>
  <r>
    <x v="1830"/>
    <x v="2420"/>
    <x v="19"/>
    <x v="1"/>
    <x v="1"/>
    <x v="3"/>
    <x v="10"/>
    <x v="2"/>
    <x v="2386"/>
    <n v="849"/>
    <x v="0"/>
    <x v="0"/>
    <x v="594"/>
    <m/>
    <n v="0.23599999999999999"/>
    <m/>
    <x v="29"/>
    <x v="38"/>
    <m/>
  </r>
  <r>
    <x v="1830"/>
    <x v="2421"/>
    <x v="19"/>
    <x v="1"/>
    <x v="1"/>
    <x v="3"/>
    <x v="10"/>
    <x v="2"/>
    <x v="2387"/>
    <n v="849"/>
    <x v="0"/>
    <x v="0"/>
    <x v="276"/>
    <m/>
    <n v="0.28299999999999997"/>
    <m/>
    <x v="29"/>
    <x v="38"/>
    <m/>
  </r>
  <r>
    <x v="1831"/>
    <x v="2422"/>
    <x v="19"/>
    <x v="1"/>
    <x v="1"/>
    <x v="3"/>
    <x v="10"/>
    <x v="2"/>
    <x v="2388"/>
    <n v="1366"/>
    <x v="0"/>
    <x v="0"/>
    <x v="667"/>
    <m/>
    <n v="0.34499999999999997"/>
    <m/>
    <x v="29"/>
    <x v="33"/>
    <m/>
  </r>
  <r>
    <x v="1831"/>
    <x v="2423"/>
    <x v="19"/>
    <x v="1"/>
    <x v="1"/>
    <x v="3"/>
    <x v="10"/>
    <x v="2"/>
    <x v="2389"/>
    <n v="1366"/>
    <x v="0"/>
    <x v="0"/>
    <x v="230"/>
    <m/>
    <n v="0.192"/>
    <m/>
    <x v="29"/>
    <x v="33"/>
    <m/>
  </r>
  <r>
    <x v="1831"/>
    <x v="2424"/>
    <x v="19"/>
    <x v="1"/>
    <x v="1"/>
    <x v="3"/>
    <x v="10"/>
    <x v="2"/>
    <x v="2390"/>
    <n v="1366"/>
    <x v="0"/>
    <x v="0"/>
    <x v="281"/>
    <m/>
    <n v="0.223"/>
    <m/>
    <x v="29"/>
    <x v="33"/>
    <m/>
  </r>
  <r>
    <x v="1832"/>
    <x v="2425"/>
    <x v="19"/>
    <x v="1"/>
    <x v="1"/>
    <x v="3"/>
    <x v="10"/>
    <x v="2"/>
    <x v="2391"/>
    <n v="1011"/>
    <x v="0"/>
    <x v="0"/>
    <x v="273"/>
    <m/>
    <n v="0.13800000000000001"/>
    <m/>
    <x v="29"/>
    <x v="3"/>
    <m/>
  </r>
  <r>
    <x v="1832"/>
    <x v="2426"/>
    <x v="19"/>
    <x v="1"/>
    <x v="1"/>
    <x v="3"/>
    <x v="10"/>
    <x v="2"/>
    <x v="2392"/>
    <n v="1011"/>
    <x v="0"/>
    <x v="0"/>
    <x v="539"/>
    <m/>
    <n v="0.26700000000000002"/>
    <m/>
    <x v="29"/>
    <x v="3"/>
    <m/>
  </r>
  <r>
    <x v="1832"/>
    <x v="2427"/>
    <x v="10"/>
    <x v="1"/>
    <x v="1"/>
    <x v="3"/>
    <x v="10"/>
    <x v="2"/>
    <x v="2393"/>
    <n v="1011"/>
    <x v="0"/>
    <x v="0"/>
    <x v="387"/>
    <m/>
    <n v="0.11799999999999999"/>
    <m/>
    <x v="29"/>
    <x v="3"/>
    <m/>
  </r>
  <r>
    <x v="1833"/>
    <x v="2428"/>
    <x v="19"/>
    <x v="1"/>
    <x v="1"/>
    <x v="3"/>
    <x v="10"/>
    <x v="4"/>
    <x v="2394"/>
    <n v="1181"/>
    <x v="0"/>
    <x v="0"/>
    <x v="397"/>
    <m/>
    <n v="0.14199999999999999"/>
    <m/>
    <x v="29"/>
    <x v="96"/>
    <m/>
  </r>
  <r>
    <x v="1833"/>
    <x v="2429"/>
    <x v="19"/>
    <x v="1"/>
    <x v="1"/>
    <x v="3"/>
    <x v="10"/>
    <x v="4"/>
    <x v="2395"/>
    <n v="1181"/>
    <x v="0"/>
    <x v="0"/>
    <x v="230"/>
    <m/>
    <n v="0.192"/>
    <m/>
    <x v="29"/>
    <x v="96"/>
    <m/>
  </r>
  <r>
    <x v="1833"/>
    <x v="2430"/>
    <x v="19"/>
    <x v="1"/>
    <x v="1"/>
    <x v="3"/>
    <x v="10"/>
    <x v="4"/>
    <x v="2396"/>
    <n v="1181"/>
    <x v="0"/>
    <x v="0"/>
    <x v="233"/>
    <m/>
    <n v="0.221"/>
    <m/>
    <x v="29"/>
    <x v="96"/>
    <m/>
  </r>
  <r>
    <x v="1833"/>
    <x v="2431"/>
    <x v="19"/>
    <x v="1"/>
    <x v="1"/>
    <x v="3"/>
    <x v="10"/>
    <x v="4"/>
    <x v="2397"/>
    <n v="1181"/>
    <x v="0"/>
    <x v="0"/>
    <x v="338"/>
    <m/>
    <n v="0.21"/>
    <m/>
    <x v="29"/>
    <x v="96"/>
    <m/>
  </r>
  <r>
    <x v="1834"/>
    <x v="2432"/>
    <x v="19"/>
    <x v="1"/>
    <x v="1"/>
    <x v="3"/>
    <x v="10"/>
    <x v="2"/>
    <x v="2398"/>
    <n v="775"/>
    <x v="0"/>
    <x v="0"/>
    <x v="41"/>
    <m/>
    <n v="0.23300000000000001"/>
    <m/>
    <x v="29"/>
    <x v="110"/>
    <m/>
  </r>
  <r>
    <x v="1834"/>
    <x v="2433"/>
    <x v="19"/>
    <x v="1"/>
    <x v="1"/>
    <x v="3"/>
    <x v="10"/>
    <x v="2"/>
    <x v="2399"/>
    <n v="775"/>
    <x v="0"/>
    <x v="0"/>
    <x v="668"/>
    <m/>
    <n v="0.48299999999999998"/>
    <m/>
    <x v="29"/>
    <x v="110"/>
    <m/>
  </r>
  <r>
    <x v="1834"/>
    <x v="2434"/>
    <x v="19"/>
    <x v="1"/>
    <x v="1"/>
    <x v="3"/>
    <x v="10"/>
    <x v="2"/>
    <x v="2400"/>
    <n v="775"/>
    <x v="0"/>
    <x v="0"/>
    <x v="669"/>
    <m/>
    <n v="0.442"/>
    <m/>
    <x v="29"/>
    <x v="110"/>
    <m/>
  </r>
  <r>
    <x v="1835"/>
    <x v="2435"/>
    <x v="19"/>
    <x v="1"/>
    <x v="1"/>
    <x v="3"/>
    <x v="10"/>
    <x v="1"/>
    <x v="2401"/>
    <n v="592"/>
    <x v="0"/>
    <x v="0"/>
    <x v="670"/>
    <m/>
    <n v="0.36199999999999999"/>
    <m/>
    <x v="29"/>
    <x v="94"/>
    <m/>
  </r>
  <r>
    <x v="1835"/>
    <x v="2436"/>
    <x v="19"/>
    <x v="1"/>
    <x v="1"/>
    <x v="3"/>
    <x v="10"/>
    <x v="1"/>
    <x v="2402"/>
    <n v="592"/>
    <x v="0"/>
    <x v="0"/>
    <x v="623"/>
    <m/>
    <n v="0.32200000000000001"/>
    <m/>
    <x v="29"/>
    <x v="94"/>
    <m/>
  </r>
  <r>
    <x v="1836"/>
    <x v="2437"/>
    <x v="19"/>
    <x v="1"/>
    <x v="1"/>
    <x v="3"/>
    <x v="10"/>
    <x v="1"/>
    <x v="2403"/>
    <n v="1014"/>
    <x v="0"/>
    <x v="0"/>
    <x v="388"/>
    <m/>
    <n v="0.25"/>
    <m/>
    <x v="29"/>
    <x v="52"/>
    <m/>
  </r>
  <r>
    <x v="1836"/>
    <x v="2438"/>
    <x v="19"/>
    <x v="1"/>
    <x v="1"/>
    <x v="3"/>
    <x v="10"/>
    <x v="1"/>
    <x v="2404"/>
    <n v="1014"/>
    <x v="0"/>
    <x v="0"/>
    <x v="596"/>
    <m/>
    <n v="0.24099999999999999"/>
    <m/>
    <x v="29"/>
    <x v="52"/>
    <m/>
  </r>
  <r>
    <x v="1837"/>
    <x v="2439"/>
    <x v="14"/>
    <x v="1"/>
    <x v="1"/>
    <x v="3"/>
    <x v="10"/>
    <x v="4"/>
    <x v="2405"/>
    <n v="339"/>
    <x v="0"/>
    <x v="351"/>
    <x v="295"/>
    <n v="1.6109999999999999E-2"/>
    <n v="0.248"/>
    <n v="1.26"/>
    <x v="77"/>
    <x v="283"/>
    <m/>
  </r>
  <r>
    <x v="1837"/>
    <x v="2440"/>
    <x v="14"/>
    <x v="1"/>
    <x v="1"/>
    <x v="3"/>
    <x v="10"/>
    <x v="4"/>
    <x v="2406"/>
    <n v="339"/>
    <x v="0"/>
    <x v="352"/>
    <x v="394"/>
    <n v="1.951E-2"/>
    <n v="0.24299999999999999"/>
    <n v="1.61"/>
    <x v="77"/>
    <x v="283"/>
    <m/>
  </r>
  <r>
    <x v="1837"/>
    <x v="2441"/>
    <x v="19"/>
    <x v="1"/>
    <x v="1"/>
    <x v="3"/>
    <x v="10"/>
    <x v="4"/>
    <x v="2407"/>
    <n v="339"/>
    <x v="0"/>
    <x v="0"/>
    <x v="503"/>
    <m/>
    <n v="9.5000000000000001E-2"/>
    <m/>
    <x v="77"/>
    <x v="283"/>
    <m/>
  </r>
  <r>
    <x v="1837"/>
    <x v="2442"/>
    <x v="19"/>
    <x v="1"/>
    <x v="1"/>
    <x v="3"/>
    <x v="10"/>
    <x v="4"/>
    <x v="2408"/>
    <n v="339"/>
    <x v="0"/>
    <x v="0"/>
    <x v="320"/>
    <m/>
    <n v="0.215"/>
    <m/>
    <x v="77"/>
    <x v="283"/>
    <m/>
  </r>
  <r>
    <x v="1838"/>
    <x v="2443"/>
    <x v="19"/>
    <x v="1"/>
    <x v="1"/>
    <x v="3"/>
    <x v="10"/>
    <x v="1"/>
    <x v="2409"/>
    <n v="589"/>
    <x v="0"/>
    <x v="0"/>
    <x v="201"/>
    <m/>
    <n v="0.17899999999999999"/>
    <m/>
    <x v="29"/>
    <x v="24"/>
    <m/>
  </r>
  <r>
    <x v="1838"/>
    <x v="2444"/>
    <x v="19"/>
    <x v="1"/>
    <x v="1"/>
    <x v="3"/>
    <x v="10"/>
    <x v="1"/>
    <x v="2410"/>
    <n v="589"/>
    <x v="0"/>
    <x v="0"/>
    <x v="339"/>
    <m/>
    <n v="0.155"/>
    <m/>
    <x v="29"/>
    <x v="24"/>
    <m/>
  </r>
  <r>
    <x v="1839"/>
    <x v="2445"/>
    <x v="19"/>
    <x v="1"/>
    <x v="1"/>
    <x v="3"/>
    <x v="10"/>
    <x v="1"/>
    <x v="2411"/>
    <n v="338"/>
    <x v="0"/>
    <x v="0"/>
    <x v="205"/>
    <m/>
    <n v="0.19400000000000001"/>
    <m/>
    <x v="29"/>
    <x v="38"/>
    <m/>
  </r>
  <r>
    <x v="1839"/>
    <x v="2446"/>
    <x v="19"/>
    <x v="1"/>
    <x v="1"/>
    <x v="3"/>
    <x v="10"/>
    <x v="1"/>
    <x v="2412"/>
    <n v="338"/>
    <x v="0"/>
    <x v="0"/>
    <x v="184"/>
    <m/>
    <n v="0.17799999999999999"/>
    <m/>
    <x v="29"/>
    <x v="38"/>
    <m/>
  </r>
  <r>
    <x v="1840"/>
    <x v="2447"/>
    <x v="19"/>
    <x v="1"/>
    <x v="1"/>
    <x v="3"/>
    <x v="10"/>
    <x v="1"/>
    <x v="2413"/>
    <n v="810"/>
    <x v="0"/>
    <x v="0"/>
    <x v="554"/>
    <m/>
    <n v="0.121"/>
    <m/>
    <x v="29"/>
    <x v="100"/>
    <m/>
  </r>
  <r>
    <x v="1840"/>
    <x v="2448"/>
    <x v="19"/>
    <x v="1"/>
    <x v="1"/>
    <x v="3"/>
    <x v="10"/>
    <x v="1"/>
    <x v="2414"/>
    <n v="810"/>
    <x v="0"/>
    <x v="0"/>
    <x v="157"/>
    <m/>
    <n v="0.14599999999999999"/>
    <m/>
    <x v="29"/>
    <x v="100"/>
    <m/>
  </r>
  <r>
    <x v="1841"/>
    <x v="2449"/>
    <x v="19"/>
    <x v="1"/>
    <x v="1"/>
    <x v="3"/>
    <x v="10"/>
    <x v="1"/>
    <x v="2415"/>
    <n v="891"/>
    <x v="0"/>
    <x v="0"/>
    <x v="344"/>
    <m/>
    <n v="0.23799999999999999"/>
    <m/>
    <x v="29"/>
    <x v="38"/>
    <m/>
  </r>
  <r>
    <x v="1841"/>
    <x v="2450"/>
    <x v="19"/>
    <x v="1"/>
    <x v="1"/>
    <x v="3"/>
    <x v="10"/>
    <x v="1"/>
    <x v="2416"/>
    <n v="891"/>
    <x v="0"/>
    <x v="0"/>
    <x v="518"/>
    <m/>
    <n v="0.22"/>
    <m/>
    <x v="29"/>
    <x v="38"/>
    <m/>
  </r>
  <r>
    <x v="1842"/>
    <x v="2451"/>
    <x v="19"/>
    <x v="1"/>
    <x v="1"/>
    <x v="3"/>
    <x v="10"/>
    <x v="1"/>
    <x v="2417"/>
    <n v="955"/>
    <x v="0"/>
    <x v="0"/>
    <x v="517"/>
    <m/>
    <n v="0.29699999999999999"/>
    <m/>
    <x v="29"/>
    <x v="155"/>
    <m/>
  </r>
  <r>
    <x v="1842"/>
    <x v="2452"/>
    <x v="19"/>
    <x v="1"/>
    <x v="1"/>
    <x v="3"/>
    <x v="10"/>
    <x v="1"/>
    <x v="2418"/>
    <n v="955"/>
    <x v="0"/>
    <x v="0"/>
    <x v="279"/>
    <m/>
    <n v="0.252"/>
    <m/>
    <x v="29"/>
    <x v="155"/>
    <m/>
  </r>
  <r>
    <x v="1843"/>
    <x v="2453"/>
    <x v="19"/>
    <x v="1"/>
    <x v="1"/>
    <x v="3"/>
    <x v="10"/>
    <x v="4"/>
    <x v="2419"/>
    <n v="1360"/>
    <x v="0"/>
    <x v="0"/>
    <x v="598"/>
    <m/>
    <n v="0.16600000000000001"/>
    <m/>
    <x v="29"/>
    <x v="95"/>
    <m/>
  </r>
  <r>
    <x v="1843"/>
    <x v="2454"/>
    <x v="19"/>
    <x v="1"/>
    <x v="1"/>
    <x v="3"/>
    <x v="10"/>
    <x v="4"/>
    <x v="2420"/>
    <n v="1360"/>
    <x v="0"/>
    <x v="0"/>
    <x v="154"/>
    <m/>
    <n v="0.23499999999999999"/>
    <m/>
    <x v="29"/>
    <x v="95"/>
    <m/>
  </r>
  <r>
    <x v="1843"/>
    <x v="2455"/>
    <x v="19"/>
    <x v="1"/>
    <x v="1"/>
    <x v="3"/>
    <x v="10"/>
    <x v="4"/>
    <x v="2421"/>
    <n v="1360"/>
    <x v="0"/>
    <x v="0"/>
    <x v="308"/>
    <m/>
    <n v="0.222"/>
    <m/>
    <x v="29"/>
    <x v="95"/>
    <m/>
  </r>
  <r>
    <x v="1843"/>
    <x v="2456"/>
    <x v="19"/>
    <x v="1"/>
    <x v="1"/>
    <x v="3"/>
    <x v="10"/>
    <x v="4"/>
    <x v="2422"/>
    <n v="1360"/>
    <x v="0"/>
    <x v="0"/>
    <x v="368"/>
    <m/>
    <n v="0.23100000000000001"/>
    <m/>
    <x v="29"/>
    <x v="95"/>
    <m/>
  </r>
  <r>
    <x v="1844"/>
    <x v="2457"/>
    <x v="19"/>
    <x v="1"/>
    <x v="1"/>
    <x v="3"/>
    <x v="10"/>
    <x v="1"/>
    <x v="2423"/>
    <n v="1090"/>
    <x v="0"/>
    <x v="0"/>
    <x v="233"/>
    <m/>
    <n v="0.221"/>
    <m/>
    <x v="29"/>
    <x v="171"/>
    <m/>
  </r>
  <r>
    <x v="1844"/>
    <x v="2458"/>
    <x v="19"/>
    <x v="1"/>
    <x v="1"/>
    <x v="3"/>
    <x v="10"/>
    <x v="1"/>
    <x v="2424"/>
    <n v="1090"/>
    <x v="0"/>
    <x v="0"/>
    <x v="671"/>
    <m/>
    <n v="0.34699999999999998"/>
    <m/>
    <x v="29"/>
    <x v="171"/>
    <m/>
  </r>
  <r>
    <x v="1845"/>
    <x v="2459"/>
    <x v="19"/>
    <x v="1"/>
    <x v="1"/>
    <x v="3"/>
    <x v="10"/>
    <x v="2"/>
    <x v="2425"/>
    <n v="281"/>
    <x v="0"/>
    <x v="0"/>
    <x v="35"/>
    <m/>
    <n v="0.17699999999999999"/>
    <m/>
    <x v="29"/>
    <x v="83"/>
    <m/>
  </r>
  <r>
    <x v="1845"/>
    <x v="2460"/>
    <x v="19"/>
    <x v="1"/>
    <x v="1"/>
    <x v="3"/>
    <x v="10"/>
    <x v="2"/>
    <x v="2426"/>
    <n v="281"/>
    <x v="0"/>
    <x v="0"/>
    <x v="533"/>
    <m/>
    <n v="0.19"/>
    <m/>
    <x v="29"/>
    <x v="83"/>
    <m/>
  </r>
  <r>
    <x v="1845"/>
    <x v="2461"/>
    <x v="19"/>
    <x v="1"/>
    <x v="1"/>
    <x v="3"/>
    <x v="10"/>
    <x v="2"/>
    <x v="2427"/>
    <n v="281"/>
    <x v="0"/>
    <x v="0"/>
    <x v="519"/>
    <m/>
    <n v="0.20300000000000001"/>
    <m/>
    <x v="29"/>
    <x v="83"/>
    <m/>
  </r>
  <r>
    <x v="1846"/>
    <x v="2462"/>
    <x v="19"/>
    <x v="1"/>
    <x v="1"/>
    <x v="3"/>
    <x v="10"/>
    <x v="1"/>
    <x v="2428"/>
    <n v="818"/>
    <x v="0"/>
    <x v="0"/>
    <x v="330"/>
    <m/>
    <n v="0.22700000000000001"/>
    <m/>
    <x v="29"/>
    <x v="223"/>
    <m/>
  </r>
  <r>
    <x v="1846"/>
    <x v="2463"/>
    <x v="19"/>
    <x v="1"/>
    <x v="1"/>
    <x v="3"/>
    <x v="10"/>
    <x v="1"/>
    <x v="2429"/>
    <n v="818"/>
    <x v="0"/>
    <x v="0"/>
    <x v="585"/>
    <m/>
    <n v="0.30199999999999999"/>
    <m/>
    <x v="29"/>
    <x v="223"/>
    <m/>
  </r>
  <r>
    <x v="1847"/>
    <x v="2464"/>
    <x v="19"/>
    <x v="1"/>
    <x v="1"/>
    <x v="3"/>
    <x v="10"/>
    <x v="1"/>
    <x v="2430"/>
    <n v="1193"/>
    <x v="0"/>
    <x v="0"/>
    <x v="518"/>
    <m/>
    <n v="0.22"/>
    <m/>
    <x v="29"/>
    <x v="18"/>
    <m/>
  </r>
  <r>
    <x v="1847"/>
    <x v="2465"/>
    <x v="19"/>
    <x v="1"/>
    <x v="1"/>
    <x v="3"/>
    <x v="10"/>
    <x v="1"/>
    <x v="2431"/>
    <n v="1193"/>
    <x v="0"/>
    <x v="0"/>
    <x v="529"/>
    <m/>
    <n v="0.151"/>
    <m/>
    <x v="29"/>
    <x v="18"/>
    <m/>
  </r>
  <r>
    <x v="1848"/>
    <x v="2466"/>
    <x v="14"/>
    <x v="1"/>
    <x v="1"/>
    <x v="3"/>
    <x v="10"/>
    <x v="1"/>
    <x v="2432"/>
    <n v="1140"/>
    <x v="0"/>
    <x v="353"/>
    <x v="672"/>
    <n v="9.11"/>
    <n v="0.35699999999999998"/>
    <m/>
    <x v="88"/>
    <x v="285"/>
    <m/>
  </r>
  <r>
    <x v="1848"/>
    <x v="2467"/>
    <x v="14"/>
    <x v="1"/>
    <x v="1"/>
    <x v="3"/>
    <x v="10"/>
    <x v="1"/>
    <x v="2433"/>
    <n v="1140"/>
    <x v="0"/>
    <x v="354"/>
    <x v="673"/>
    <n v="13.8"/>
    <n v="0.437"/>
    <m/>
    <x v="88"/>
    <x v="285"/>
    <m/>
  </r>
  <r>
    <x v="1849"/>
    <x v="2468"/>
    <x v="19"/>
    <x v="1"/>
    <x v="1"/>
    <x v="3"/>
    <x v="10"/>
    <x v="1"/>
    <x v="2434"/>
    <n v="1019"/>
    <x v="0"/>
    <x v="0"/>
    <x v="201"/>
    <m/>
    <n v="0.17899999999999999"/>
    <m/>
    <x v="29"/>
    <x v="134"/>
    <m/>
  </r>
  <r>
    <x v="1849"/>
    <x v="2469"/>
    <x v="19"/>
    <x v="1"/>
    <x v="1"/>
    <x v="3"/>
    <x v="10"/>
    <x v="1"/>
    <x v="2435"/>
    <n v="1019"/>
    <x v="0"/>
    <x v="0"/>
    <x v="541"/>
    <m/>
    <n v="0.158"/>
    <m/>
    <x v="29"/>
    <x v="134"/>
    <m/>
  </r>
  <r>
    <x v="1850"/>
    <x v="2470"/>
    <x v="19"/>
    <x v="1"/>
    <x v="1"/>
    <x v="3"/>
    <x v="10"/>
    <x v="2"/>
    <x v="2436"/>
    <n v="418"/>
    <x v="223"/>
    <x v="0"/>
    <x v="420"/>
    <m/>
    <n v="0.11"/>
    <m/>
    <x v="3"/>
    <x v="90"/>
    <m/>
  </r>
  <r>
    <x v="1850"/>
    <x v="2471"/>
    <x v="19"/>
    <x v="1"/>
    <x v="1"/>
    <x v="3"/>
    <x v="10"/>
    <x v="2"/>
    <x v="2437"/>
    <n v="418"/>
    <x v="223"/>
    <x v="0"/>
    <x v="491"/>
    <m/>
    <n v="8.5000000000000006E-2"/>
    <m/>
    <x v="3"/>
    <x v="90"/>
    <m/>
  </r>
  <r>
    <x v="1850"/>
    <x v="2472"/>
    <x v="10"/>
    <x v="1"/>
    <x v="1"/>
    <x v="3"/>
    <x v="10"/>
    <x v="2"/>
    <x v="2438"/>
    <n v="418"/>
    <x v="223"/>
    <x v="0"/>
    <x v="674"/>
    <m/>
    <n v="5.8999999999999997E-2"/>
    <m/>
    <x v="3"/>
    <x v="90"/>
    <m/>
  </r>
  <r>
    <x v="1851"/>
    <x v="2473"/>
    <x v="19"/>
    <x v="1"/>
    <x v="1"/>
    <x v="3"/>
    <x v="10"/>
    <x v="2"/>
    <x v="2439"/>
    <n v="699"/>
    <x v="0"/>
    <x v="0"/>
    <x v="557"/>
    <m/>
    <n v="0.128"/>
    <m/>
    <x v="29"/>
    <x v="3"/>
    <m/>
  </r>
  <r>
    <x v="1851"/>
    <x v="2474"/>
    <x v="19"/>
    <x v="1"/>
    <x v="1"/>
    <x v="3"/>
    <x v="10"/>
    <x v="2"/>
    <x v="2440"/>
    <n v="699"/>
    <x v="0"/>
    <x v="0"/>
    <x v="620"/>
    <m/>
    <n v="0.16"/>
    <m/>
    <x v="29"/>
    <x v="3"/>
    <m/>
  </r>
  <r>
    <x v="1851"/>
    <x v="2475"/>
    <x v="19"/>
    <x v="1"/>
    <x v="1"/>
    <x v="3"/>
    <x v="10"/>
    <x v="2"/>
    <x v="2441"/>
    <n v="699"/>
    <x v="0"/>
    <x v="0"/>
    <x v="422"/>
    <m/>
    <n v="0.20100000000000001"/>
    <m/>
    <x v="29"/>
    <x v="3"/>
    <m/>
  </r>
  <r>
    <x v="1852"/>
    <x v="2476"/>
    <x v="19"/>
    <x v="1"/>
    <x v="1"/>
    <x v="3"/>
    <x v="10"/>
    <x v="1"/>
    <x v="2442"/>
    <n v="874"/>
    <x v="0"/>
    <x v="0"/>
    <x v="467"/>
    <m/>
    <n v="0.13400000000000001"/>
    <m/>
    <x v="29"/>
    <x v="130"/>
    <m/>
  </r>
  <r>
    <x v="1852"/>
    <x v="2477"/>
    <x v="19"/>
    <x v="1"/>
    <x v="1"/>
    <x v="3"/>
    <x v="10"/>
    <x v="1"/>
    <x v="2443"/>
    <n v="874"/>
    <x v="0"/>
    <x v="0"/>
    <x v="35"/>
    <m/>
    <n v="0.17699999999999999"/>
    <m/>
    <x v="29"/>
    <x v="130"/>
    <m/>
  </r>
  <r>
    <x v="1853"/>
    <x v="2478"/>
    <x v="19"/>
    <x v="1"/>
    <x v="1"/>
    <x v="3"/>
    <x v="10"/>
    <x v="1"/>
    <x v="2444"/>
    <n v="1172"/>
    <x v="0"/>
    <x v="0"/>
    <x v="322"/>
    <m/>
    <n v="0.13700000000000001"/>
    <m/>
    <x v="29"/>
    <x v="41"/>
    <m/>
  </r>
  <r>
    <x v="1853"/>
    <x v="2479"/>
    <x v="19"/>
    <x v="1"/>
    <x v="1"/>
    <x v="3"/>
    <x v="10"/>
    <x v="1"/>
    <x v="2445"/>
    <n v="1172"/>
    <x v="0"/>
    <x v="0"/>
    <x v="307"/>
    <m/>
    <n v="0.16400000000000001"/>
    <m/>
    <x v="29"/>
    <x v="41"/>
    <m/>
  </r>
  <r>
    <x v="1854"/>
    <x v="2480"/>
    <x v="19"/>
    <x v="1"/>
    <x v="1"/>
    <x v="3"/>
    <x v="10"/>
    <x v="2"/>
    <x v="2446"/>
    <n v="1818"/>
    <x v="0"/>
    <x v="0"/>
    <x v="361"/>
    <m/>
    <n v="0.20899999999999999"/>
    <m/>
    <x v="29"/>
    <x v="93"/>
    <m/>
  </r>
  <r>
    <x v="1854"/>
    <x v="2481"/>
    <x v="19"/>
    <x v="1"/>
    <x v="1"/>
    <x v="3"/>
    <x v="10"/>
    <x v="2"/>
    <x v="2447"/>
    <n v="1818"/>
    <x v="0"/>
    <x v="0"/>
    <x v="585"/>
    <m/>
    <n v="0.30199999999999999"/>
    <m/>
    <x v="29"/>
    <x v="93"/>
    <m/>
  </r>
  <r>
    <x v="1854"/>
    <x v="2482"/>
    <x v="19"/>
    <x v="1"/>
    <x v="1"/>
    <x v="3"/>
    <x v="10"/>
    <x v="2"/>
    <x v="2448"/>
    <n v="1818"/>
    <x v="0"/>
    <x v="0"/>
    <x v="517"/>
    <m/>
    <n v="0.29699999999999999"/>
    <m/>
    <x v="29"/>
    <x v="93"/>
    <m/>
  </r>
  <r>
    <x v="1855"/>
    <x v="2483"/>
    <x v="19"/>
    <x v="1"/>
    <x v="1"/>
    <x v="3"/>
    <x v="10"/>
    <x v="2"/>
    <x v="2449"/>
    <n v="1326"/>
    <x v="0"/>
    <x v="0"/>
    <x v="272"/>
    <m/>
    <n v="0.25600000000000001"/>
    <m/>
    <x v="29"/>
    <x v="133"/>
    <m/>
  </r>
  <r>
    <x v="1855"/>
    <x v="2484"/>
    <x v="7"/>
    <x v="1"/>
    <x v="1"/>
    <x v="3"/>
    <x v="10"/>
    <x v="2"/>
    <x v="2450"/>
    <n v="1326"/>
    <x v="0"/>
    <x v="192"/>
    <x v="175"/>
    <n v="5.1999999999999998E-2"/>
    <n v="0.25900000000000001"/>
    <m/>
    <x v="29"/>
    <x v="133"/>
    <m/>
  </r>
  <r>
    <x v="1855"/>
    <x v="2485"/>
    <x v="7"/>
    <x v="1"/>
    <x v="1"/>
    <x v="3"/>
    <x v="10"/>
    <x v="2"/>
    <x v="2451"/>
    <n v="1326"/>
    <x v="0"/>
    <x v="355"/>
    <x v="388"/>
    <n v="5.0999999999999997E-2"/>
    <n v="0.25"/>
    <m/>
    <x v="29"/>
    <x v="133"/>
    <m/>
  </r>
  <r>
    <x v="1856"/>
    <x v="2486"/>
    <x v="7"/>
    <x v="1"/>
    <x v="1"/>
    <x v="3"/>
    <x v="10"/>
    <x v="1"/>
    <x v="2452"/>
    <n v="859"/>
    <x v="0"/>
    <x v="356"/>
    <x v="599"/>
    <n v="0.27500000000000002"/>
    <n v="0.26100000000000001"/>
    <m/>
    <x v="29"/>
    <x v="46"/>
    <m/>
  </r>
  <r>
    <x v="1856"/>
    <x v="2487"/>
    <x v="7"/>
    <x v="1"/>
    <x v="1"/>
    <x v="3"/>
    <x v="10"/>
    <x v="1"/>
    <x v="2453"/>
    <n v="859"/>
    <x v="0"/>
    <x v="357"/>
    <x v="496"/>
    <n v="0.20200000000000001"/>
    <n v="0.3"/>
    <m/>
    <x v="29"/>
    <x v="46"/>
    <m/>
  </r>
  <r>
    <x v="1857"/>
    <x v="2488"/>
    <x v="19"/>
    <x v="1"/>
    <x v="1"/>
    <x v="3"/>
    <x v="10"/>
    <x v="1"/>
    <x v="2454"/>
    <n v="431"/>
    <x v="0"/>
    <x v="0"/>
    <x v="666"/>
    <m/>
    <n v="0.36299999999999999"/>
    <m/>
    <x v="29"/>
    <x v="227"/>
    <m/>
  </r>
  <r>
    <x v="1857"/>
    <x v="2489"/>
    <x v="19"/>
    <x v="1"/>
    <x v="1"/>
    <x v="3"/>
    <x v="10"/>
    <x v="1"/>
    <x v="2455"/>
    <n v="431"/>
    <x v="0"/>
    <x v="0"/>
    <x v="183"/>
    <m/>
    <n v="0.32"/>
    <m/>
    <x v="29"/>
    <x v="227"/>
    <m/>
  </r>
  <r>
    <x v="1858"/>
    <x v="2490"/>
    <x v="19"/>
    <x v="1"/>
    <x v="1"/>
    <x v="3"/>
    <x v="10"/>
    <x v="2"/>
    <x v="2456"/>
    <n v="1223"/>
    <x v="0"/>
    <x v="0"/>
    <x v="652"/>
    <m/>
    <n v="0.32300000000000001"/>
    <m/>
    <x v="29"/>
    <x v="138"/>
    <m/>
  </r>
  <r>
    <x v="1858"/>
    <x v="2491"/>
    <x v="7"/>
    <x v="1"/>
    <x v="1"/>
    <x v="3"/>
    <x v="10"/>
    <x v="2"/>
    <x v="2457"/>
    <n v="1223"/>
    <x v="0"/>
    <x v="358"/>
    <x v="675"/>
    <n v="0.155"/>
    <n v="0.38400000000000001"/>
    <m/>
    <x v="29"/>
    <x v="138"/>
    <m/>
  </r>
  <r>
    <x v="1858"/>
    <x v="2492"/>
    <x v="7"/>
    <x v="1"/>
    <x v="1"/>
    <x v="3"/>
    <x v="10"/>
    <x v="2"/>
    <x v="2458"/>
    <n v="1223"/>
    <x v="0"/>
    <x v="359"/>
    <x v="487"/>
    <n v="0.11799999999999999"/>
    <n v="0.27700000000000002"/>
    <m/>
    <x v="29"/>
    <x v="138"/>
    <m/>
  </r>
  <r>
    <x v="1859"/>
    <x v="2493"/>
    <x v="14"/>
    <x v="1"/>
    <x v="1"/>
    <x v="3"/>
    <x v="10"/>
    <x v="1"/>
    <x v="2459"/>
    <n v="472"/>
    <x v="0"/>
    <x v="360"/>
    <x v="292"/>
    <n v="1.51"/>
    <n v="0.32100000000000001"/>
    <m/>
    <x v="174"/>
    <x v="86"/>
    <m/>
  </r>
  <r>
    <x v="1859"/>
    <x v="2494"/>
    <x v="14"/>
    <x v="1"/>
    <x v="1"/>
    <x v="3"/>
    <x v="10"/>
    <x v="1"/>
    <x v="2460"/>
    <n v="472"/>
    <x v="0"/>
    <x v="361"/>
    <x v="494"/>
    <n v="1.36"/>
    <n v="0.30299999999999999"/>
    <m/>
    <x v="174"/>
    <x v="86"/>
    <m/>
  </r>
  <r>
    <x v="1860"/>
    <x v="2495"/>
    <x v="19"/>
    <x v="1"/>
    <x v="1"/>
    <x v="3"/>
    <x v="10"/>
    <x v="1"/>
    <x v="2461"/>
    <n v="751"/>
    <x v="0"/>
    <x v="0"/>
    <x v="218"/>
    <m/>
    <n v="0.129"/>
    <m/>
    <x v="29"/>
    <x v="111"/>
    <m/>
  </r>
  <r>
    <x v="1860"/>
    <x v="2496"/>
    <x v="19"/>
    <x v="1"/>
    <x v="1"/>
    <x v="3"/>
    <x v="10"/>
    <x v="1"/>
    <x v="2462"/>
    <n v="751"/>
    <x v="0"/>
    <x v="0"/>
    <x v="201"/>
    <m/>
    <n v="0.17899999999999999"/>
    <m/>
    <x v="29"/>
    <x v="111"/>
    <m/>
  </r>
  <r>
    <x v="1861"/>
    <x v="2497"/>
    <x v="19"/>
    <x v="1"/>
    <x v="1"/>
    <x v="3"/>
    <x v="10"/>
    <x v="1"/>
    <x v="2463"/>
    <n v="1276"/>
    <x v="0"/>
    <x v="0"/>
    <x v="366"/>
    <m/>
    <n v="0.252"/>
    <m/>
    <x v="29"/>
    <x v="52"/>
    <m/>
  </r>
  <r>
    <x v="1861"/>
    <x v="2498"/>
    <x v="19"/>
    <x v="1"/>
    <x v="1"/>
    <x v="3"/>
    <x v="10"/>
    <x v="1"/>
    <x v="2464"/>
    <n v="1276"/>
    <x v="0"/>
    <x v="0"/>
    <x v="676"/>
    <m/>
    <n v="0.47399999999999998"/>
    <m/>
    <x v="29"/>
    <x v="52"/>
    <m/>
  </r>
  <r>
    <x v="1862"/>
    <x v="2499"/>
    <x v="19"/>
    <x v="1"/>
    <x v="1"/>
    <x v="3"/>
    <x v="10"/>
    <x v="4"/>
    <x v="2465"/>
    <n v="1048"/>
    <x v="0"/>
    <x v="0"/>
    <x v="410"/>
    <m/>
    <n v="0.09"/>
    <m/>
    <x v="29"/>
    <x v="52"/>
    <m/>
  </r>
  <r>
    <x v="1862"/>
    <x v="2500"/>
    <x v="19"/>
    <x v="1"/>
    <x v="1"/>
    <x v="3"/>
    <x v="10"/>
    <x v="4"/>
    <x v="2466"/>
    <n v="1048"/>
    <x v="0"/>
    <x v="0"/>
    <x v="607"/>
    <m/>
    <n v="0.107"/>
    <m/>
    <x v="29"/>
    <x v="52"/>
    <m/>
  </r>
  <r>
    <x v="1862"/>
    <x v="2501"/>
    <x v="7"/>
    <x v="1"/>
    <x v="1"/>
    <x v="3"/>
    <x v="10"/>
    <x v="4"/>
    <x v="2467"/>
    <n v="1048"/>
    <x v="0"/>
    <x v="362"/>
    <x v="584"/>
    <n v="0.192"/>
    <n v="0.219"/>
    <m/>
    <x v="29"/>
    <x v="52"/>
    <m/>
  </r>
  <r>
    <x v="1862"/>
    <x v="2502"/>
    <x v="7"/>
    <x v="1"/>
    <x v="1"/>
    <x v="3"/>
    <x v="10"/>
    <x v="4"/>
    <x v="2468"/>
    <n v="1048"/>
    <x v="0"/>
    <x v="363"/>
    <x v="487"/>
    <n v="0.17699999999999999"/>
    <n v="0.27700000000000002"/>
    <m/>
    <x v="29"/>
    <x v="52"/>
    <m/>
  </r>
  <r>
    <x v="1863"/>
    <x v="2503"/>
    <x v="19"/>
    <x v="1"/>
    <x v="1"/>
    <x v="3"/>
    <x v="10"/>
    <x v="1"/>
    <x v="2469"/>
    <n v="453"/>
    <x v="0"/>
    <x v="0"/>
    <x v="533"/>
    <m/>
    <n v="0.19"/>
    <m/>
    <x v="29"/>
    <x v="60"/>
    <m/>
  </r>
  <r>
    <x v="1863"/>
    <x v="2504"/>
    <x v="19"/>
    <x v="1"/>
    <x v="1"/>
    <x v="3"/>
    <x v="10"/>
    <x v="1"/>
    <x v="2470"/>
    <n v="453"/>
    <x v="0"/>
    <x v="0"/>
    <x v="37"/>
    <m/>
    <n v="0.16200000000000001"/>
    <m/>
    <x v="29"/>
    <x v="60"/>
    <m/>
  </r>
  <r>
    <x v="1864"/>
    <x v="2505"/>
    <x v="19"/>
    <x v="1"/>
    <x v="1"/>
    <x v="3"/>
    <x v="10"/>
    <x v="1"/>
    <x v="2471"/>
    <n v="1219"/>
    <x v="0"/>
    <x v="0"/>
    <x v="360"/>
    <m/>
    <n v="0.2"/>
    <m/>
    <x v="29"/>
    <x v="130"/>
    <m/>
  </r>
  <r>
    <x v="1864"/>
    <x v="2506"/>
    <x v="19"/>
    <x v="1"/>
    <x v="1"/>
    <x v="3"/>
    <x v="10"/>
    <x v="1"/>
    <x v="2472"/>
    <n v="1219"/>
    <x v="0"/>
    <x v="0"/>
    <x v="41"/>
    <m/>
    <n v="0.23300000000000001"/>
    <m/>
    <x v="29"/>
    <x v="130"/>
    <m/>
  </r>
  <r>
    <x v="1865"/>
    <x v="2507"/>
    <x v="19"/>
    <x v="1"/>
    <x v="1"/>
    <x v="3"/>
    <x v="10"/>
    <x v="1"/>
    <x v="2473"/>
    <n v="789"/>
    <x v="0"/>
    <x v="0"/>
    <x v="212"/>
    <m/>
    <n v="0.12"/>
    <m/>
    <x v="29"/>
    <x v="130"/>
    <m/>
  </r>
  <r>
    <x v="1865"/>
    <x v="2508"/>
    <x v="19"/>
    <x v="1"/>
    <x v="1"/>
    <x v="3"/>
    <x v="10"/>
    <x v="1"/>
    <x v="2474"/>
    <n v="789"/>
    <x v="0"/>
    <x v="0"/>
    <x v="507"/>
    <m/>
    <n v="0.1"/>
    <m/>
    <x v="29"/>
    <x v="130"/>
    <m/>
  </r>
  <r>
    <x v="1866"/>
    <x v="2509"/>
    <x v="19"/>
    <x v="1"/>
    <x v="1"/>
    <x v="3"/>
    <x v="10"/>
    <x v="4"/>
    <x v="2475"/>
    <n v="1281"/>
    <x v="0"/>
    <x v="0"/>
    <x v="513"/>
    <m/>
    <n v="0.111"/>
    <m/>
    <x v="29"/>
    <x v="24"/>
    <m/>
  </r>
  <r>
    <x v="1866"/>
    <x v="2510"/>
    <x v="19"/>
    <x v="1"/>
    <x v="1"/>
    <x v="3"/>
    <x v="10"/>
    <x v="4"/>
    <x v="2476"/>
    <n v="1281"/>
    <x v="0"/>
    <x v="0"/>
    <x v="563"/>
    <m/>
    <n v="0.122"/>
    <m/>
    <x v="29"/>
    <x v="24"/>
    <m/>
  </r>
  <r>
    <x v="1866"/>
    <x v="2511"/>
    <x v="19"/>
    <x v="1"/>
    <x v="1"/>
    <x v="3"/>
    <x v="10"/>
    <x v="4"/>
    <x v="2477"/>
    <n v="1281"/>
    <x v="0"/>
    <x v="0"/>
    <x v="232"/>
    <m/>
    <n v="0.11899999999999999"/>
    <m/>
    <x v="29"/>
    <x v="24"/>
    <m/>
  </r>
  <r>
    <x v="1866"/>
    <x v="2512"/>
    <x v="19"/>
    <x v="1"/>
    <x v="1"/>
    <x v="3"/>
    <x v="10"/>
    <x v="4"/>
    <x v="2478"/>
    <n v="1281"/>
    <x v="0"/>
    <x v="0"/>
    <x v="541"/>
    <m/>
    <n v="0.158"/>
    <m/>
    <x v="29"/>
    <x v="24"/>
    <m/>
  </r>
  <r>
    <x v="1867"/>
    <x v="2513"/>
    <x v="19"/>
    <x v="1"/>
    <x v="1"/>
    <x v="3"/>
    <x v="10"/>
    <x v="1"/>
    <x v="2479"/>
    <n v="866"/>
    <x v="0"/>
    <x v="0"/>
    <x v="200"/>
    <m/>
    <n v="0.20799999999999999"/>
    <m/>
    <x v="29"/>
    <x v="171"/>
    <m/>
  </r>
  <r>
    <x v="1867"/>
    <x v="2514"/>
    <x v="19"/>
    <x v="1"/>
    <x v="1"/>
    <x v="3"/>
    <x v="10"/>
    <x v="1"/>
    <x v="2480"/>
    <n v="866"/>
    <x v="0"/>
    <x v="0"/>
    <x v="514"/>
    <m/>
    <n v="0.29099999999999998"/>
    <m/>
    <x v="29"/>
    <x v="171"/>
    <m/>
  </r>
  <r>
    <x v="1868"/>
    <x v="2515"/>
    <x v="19"/>
    <x v="1"/>
    <x v="1"/>
    <x v="3"/>
    <x v="10"/>
    <x v="2"/>
    <x v="2481"/>
    <n v="1176"/>
    <x v="0"/>
    <x v="0"/>
    <x v="526"/>
    <m/>
    <n v="0.14899999999999999"/>
    <m/>
    <x v="29"/>
    <x v="121"/>
    <m/>
  </r>
  <r>
    <x v="1868"/>
    <x v="2516"/>
    <x v="19"/>
    <x v="1"/>
    <x v="1"/>
    <x v="3"/>
    <x v="10"/>
    <x v="2"/>
    <x v="2482"/>
    <n v="1176"/>
    <x v="0"/>
    <x v="0"/>
    <x v="649"/>
    <m/>
    <n v="0.254"/>
    <m/>
    <x v="29"/>
    <x v="121"/>
    <m/>
  </r>
  <r>
    <x v="1868"/>
    <x v="2517"/>
    <x v="19"/>
    <x v="1"/>
    <x v="1"/>
    <x v="3"/>
    <x v="10"/>
    <x v="2"/>
    <x v="2483"/>
    <n v="1176"/>
    <x v="0"/>
    <x v="0"/>
    <x v="344"/>
    <m/>
    <n v="0.23799999999999999"/>
    <m/>
    <x v="29"/>
    <x v="121"/>
    <m/>
  </r>
  <r>
    <x v="1869"/>
    <x v="2518"/>
    <x v="19"/>
    <x v="1"/>
    <x v="1"/>
    <x v="3"/>
    <x v="10"/>
    <x v="2"/>
    <x v="2484"/>
    <n v="700"/>
    <x v="201"/>
    <x v="191"/>
    <x v="230"/>
    <n v="2.3E-2"/>
    <n v="0.192"/>
    <n v="4.0999999999999996"/>
    <x v="4"/>
    <x v="45"/>
    <n v="1.58"/>
  </r>
  <r>
    <x v="1869"/>
    <x v="2519"/>
    <x v="19"/>
    <x v="1"/>
    <x v="1"/>
    <x v="3"/>
    <x v="10"/>
    <x v="2"/>
    <x v="2485"/>
    <n v="700"/>
    <x v="201"/>
    <x v="364"/>
    <x v="677"/>
    <n v="0.42"/>
    <n v="1.034"/>
    <n v="0.47"/>
    <x v="4"/>
    <x v="45"/>
    <n v="1.58"/>
  </r>
  <r>
    <x v="1869"/>
    <x v="2520"/>
    <x v="19"/>
    <x v="1"/>
    <x v="1"/>
    <x v="3"/>
    <x v="10"/>
    <x v="2"/>
    <x v="2486"/>
    <n v="700"/>
    <x v="201"/>
    <x v="365"/>
    <x v="400"/>
    <n v="1.2999999999999999E-2"/>
    <n v="0.23899999999999999"/>
    <n v="1.2"/>
    <x v="4"/>
    <x v="45"/>
    <n v="1.58"/>
  </r>
  <r>
    <x v="1870"/>
    <x v="2521"/>
    <x v="14"/>
    <x v="1"/>
    <x v="1"/>
    <x v="3"/>
    <x v="10"/>
    <x v="1"/>
    <x v="2487"/>
    <n v="1400"/>
    <x v="0"/>
    <x v="366"/>
    <x v="595"/>
    <n v="1.4189999999999999E-2"/>
    <n v="0.29899999999999999"/>
    <n v="0.65"/>
    <x v="17"/>
    <x v="3"/>
    <m/>
  </r>
  <r>
    <x v="1870"/>
    <x v="2522"/>
    <x v="14"/>
    <x v="1"/>
    <x v="1"/>
    <x v="3"/>
    <x v="10"/>
    <x v="1"/>
    <x v="2488"/>
    <n v="1400"/>
    <x v="0"/>
    <x v="365"/>
    <x v="615"/>
    <n v="1.259E-2"/>
    <n v="0.28000000000000003"/>
    <n v="0.7"/>
    <x v="17"/>
    <x v="3"/>
    <m/>
  </r>
  <r>
    <x v="1871"/>
    <x v="2523"/>
    <x v="19"/>
    <x v="1"/>
    <x v="1"/>
    <x v="3"/>
    <x v="10"/>
    <x v="1"/>
    <x v="2489"/>
    <n v="741"/>
    <x v="0"/>
    <x v="0"/>
    <x v="422"/>
    <m/>
    <n v="0.20100000000000001"/>
    <m/>
    <x v="29"/>
    <x v="36"/>
    <m/>
  </r>
  <r>
    <x v="1871"/>
    <x v="2524"/>
    <x v="19"/>
    <x v="1"/>
    <x v="1"/>
    <x v="3"/>
    <x v="10"/>
    <x v="1"/>
    <x v="2490"/>
    <n v="741"/>
    <x v="0"/>
    <x v="0"/>
    <x v="596"/>
    <m/>
    <n v="0.24099999999999999"/>
    <m/>
    <x v="29"/>
    <x v="36"/>
    <m/>
  </r>
  <r>
    <x v="1872"/>
    <x v="2525"/>
    <x v="19"/>
    <x v="1"/>
    <x v="1"/>
    <x v="3"/>
    <x v="10"/>
    <x v="1"/>
    <x v="2491"/>
    <n v="1296"/>
    <x v="0"/>
    <x v="0"/>
    <x v="591"/>
    <m/>
    <n v="0.193"/>
    <m/>
    <x v="29"/>
    <x v="55"/>
    <m/>
  </r>
  <r>
    <x v="1872"/>
    <x v="2526"/>
    <x v="19"/>
    <x v="1"/>
    <x v="1"/>
    <x v="3"/>
    <x v="10"/>
    <x v="1"/>
    <x v="2492"/>
    <n v="1296"/>
    <x v="0"/>
    <x v="0"/>
    <x v="550"/>
    <m/>
    <n v="0.16800000000000001"/>
    <m/>
    <x v="29"/>
    <x v="55"/>
    <m/>
  </r>
  <r>
    <x v="1873"/>
    <x v="2527"/>
    <x v="19"/>
    <x v="1"/>
    <x v="1"/>
    <x v="3"/>
    <x v="10"/>
    <x v="3"/>
    <x v="2493"/>
    <n v="1051"/>
    <x v="0"/>
    <x v="0"/>
    <x v="387"/>
    <m/>
    <n v="0.11799999999999999"/>
    <m/>
    <x v="29"/>
    <x v="56"/>
    <m/>
  </r>
  <r>
    <x v="1873"/>
    <x v="2528"/>
    <x v="19"/>
    <x v="1"/>
    <x v="1"/>
    <x v="3"/>
    <x v="10"/>
    <x v="3"/>
    <x v="2494"/>
    <n v="1051"/>
    <x v="0"/>
    <x v="0"/>
    <x v="415"/>
    <m/>
    <n v="0.13100000000000001"/>
    <m/>
    <x v="29"/>
    <x v="56"/>
    <m/>
  </r>
  <r>
    <x v="1873"/>
    <x v="2529"/>
    <x v="19"/>
    <x v="1"/>
    <x v="1"/>
    <x v="3"/>
    <x v="10"/>
    <x v="3"/>
    <x v="2495"/>
    <n v="1051"/>
    <x v="0"/>
    <x v="0"/>
    <x v="256"/>
    <m/>
    <n v="0.19900000000000001"/>
    <m/>
    <x v="29"/>
    <x v="56"/>
    <m/>
  </r>
  <r>
    <x v="1873"/>
    <x v="2530"/>
    <x v="19"/>
    <x v="1"/>
    <x v="1"/>
    <x v="3"/>
    <x v="10"/>
    <x v="3"/>
    <x v="2496"/>
    <n v="1051"/>
    <x v="0"/>
    <x v="0"/>
    <x v="344"/>
    <m/>
    <n v="0.23799999999999999"/>
    <m/>
    <x v="29"/>
    <x v="56"/>
    <m/>
  </r>
  <r>
    <x v="1873"/>
    <x v="2531"/>
    <x v="19"/>
    <x v="1"/>
    <x v="1"/>
    <x v="3"/>
    <x v="10"/>
    <x v="3"/>
    <x v="2497"/>
    <n v="1051"/>
    <x v="0"/>
    <x v="0"/>
    <x v="338"/>
    <m/>
    <n v="0.21"/>
    <m/>
    <x v="29"/>
    <x v="56"/>
    <m/>
  </r>
  <r>
    <x v="1874"/>
    <x v="2532"/>
    <x v="19"/>
    <x v="1"/>
    <x v="1"/>
    <x v="3"/>
    <x v="10"/>
    <x v="1"/>
    <x v="2498"/>
    <n v="1068"/>
    <x v="0"/>
    <x v="0"/>
    <x v="604"/>
    <m/>
    <n v="0.27400000000000002"/>
    <m/>
    <x v="29"/>
    <x v="18"/>
    <m/>
  </r>
  <r>
    <x v="1874"/>
    <x v="2533"/>
    <x v="19"/>
    <x v="1"/>
    <x v="1"/>
    <x v="3"/>
    <x v="10"/>
    <x v="1"/>
    <x v="2499"/>
    <n v="1068"/>
    <x v="0"/>
    <x v="0"/>
    <x v="661"/>
    <m/>
    <n v="0.34200000000000003"/>
    <m/>
    <x v="29"/>
    <x v="18"/>
    <m/>
  </r>
  <r>
    <x v="1875"/>
    <x v="2534"/>
    <x v="19"/>
    <x v="1"/>
    <x v="1"/>
    <x v="3"/>
    <x v="10"/>
    <x v="1"/>
    <x v="2500"/>
    <n v="1364"/>
    <x v="0"/>
    <x v="0"/>
    <x v="541"/>
    <m/>
    <n v="0.158"/>
    <m/>
    <x v="29"/>
    <x v="62"/>
    <m/>
  </r>
  <r>
    <x v="1875"/>
    <x v="2535"/>
    <x v="19"/>
    <x v="1"/>
    <x v="1"/>
    <x v="3"/>
    <x v="10"/>
    <x v="1"/>
    <x v="2501"/>
    <n v="1364"/>
    <x v="0"/>
    <x v="0"/>
    <x v="552"/>
    <m/>
    <n v="0.24199999999999999"/>
    <m/>
    <x v="29"/>
    <x v="62"/>
    <m/>
  </r>
  <r>
    <x v="1876"/>
    <x v="2536"/>
    <x v="19"/>
    <x v="1"/>
    <x v="1"/>
    <x v="3"/>
    <x v="10"/>
    <x v="2"/>
    <x v="2502"/>
    <n v="630"/>
    <x v="0"/>
    <x v="0"/>
    <x v="547"/>
    <m/>
    <n v="0.109"/>
    <m/>
    <x v="29"/>
    <x v="52"/>
    <m/>
  </r>
  <r>
    <x v="1876"/>
    <x v="2537"/>
    <x v="19"/>
    <x v="1"/>
    <x v="1"/>
    <x v="3"/>
    <x v="10"/>
    <x v="2"/>
    <x v="2503"/>
    <n v="630"/>
    <x v="0"/>
    <x v="0"/>
    <x v="486"/>
    <m/>
    <n v="0.104"/>
    <m/>
    <x v="29"/>
    <x v="52"/>
    <m/>
  </r>
  <r>
    <x v="1876"/>
    <x v="2538"/>
    <x v="19"/>
    <x v="1"/>
    <x v="1"/>
    <x v="3"/>
    <x v="10"/>
    <x v="2"/>
    <x v="2504"/>
    <n v="630"/>
    <x v="0"/>
    <x v="0"/>
    <x v="554"/>
    <m/>
    <n v="0.121"/>
    <m/>
    <x v="29"/>
    <x v="52"/>
    <m/>
  </r>
  <r>
    <x v="1877"/>
    <x v="2539"/>
    <x v="19"/>
    <x v="1"/>
    <x v="1"/>
    <x v="3"/>
    <x v="10"/>
    <x v="3"/>
    <x v="2505"/>
    <n v="226"/>
    <x v="0"/>
    <x v="0"/>
    <x v="165"/>
    <m/>
    <n v="0.14399999999999999"/>
    <m/>
    <x v="38"/>
    <x v="320"/>
    <n v="6.4"/>
  </r>
  <r>
    <x v="1877"/>
    <x v="2540"/>
    <x v="19"/>
    <x v="1"/>
    <x v="1"/>
    <x v="3"/>
    <x v="10"/>
    <x v="3"/>
    <x v="2506"/>
    <n v="226"/>
    <x v="0"/>
    <x v="0"/>
    <x v="184"/>
    <m/>
    <n v="0.17799999999999999"/>
    <m/>
    <x v="38"/>
    <x v="320"/>
    <n v="6.4"/>
  </r>
  <r>
    <x v="1877"/>
    <x v="2541"/>
    <x v="19"/>
    <x v="1"/>
    <x v="1"/>
    <x v="3"/>
    <x v="10"/>
    <x v="3"/>
    <x v="2507"/>
    <n v="226"/>
    <x v="0"/>
    <x v="0"/>
    <x v="490"/>
    <m/>
    <n v="0.186"/>
    <m/>
    <x v="38"/>
    <x v="320"/>
    <n v="6.4"/>
  </r>
  <r>
    <x v="1877"/>
    <x v="2542"/>
    <x v="19"/>
    <x v="1"/>
    <x v="1"/>
    <x v="3"/>
    <x v="10"/>
    <x v="3"/>
    <x v="2508"/>
    <n v="226"/>
    <x v="0"/>
    <x v="0"/>
    <x v="544"/>
    <m/>
    <n v="0.13600000000000001"/>
    <m/>
    <x v="38"/>
    <x v="320"/>
    <n v="6.4"/>
  </r>
  <r>
    <x v="1877"/>
    <x v="2543"/>
    <x v="19"/>
    <x v="1"/>
    <x v="1"/>
    <x v="3"/>
    <x v="10"/>
    <x v="3"/>
    <x v="2509"/>
    <n v="226"/>
    <x v="0"/>
    <x v="0"/>
    <x v="237"/>
    <m/>
    <n v="0.161"/>
    <m/>
    <x v="38"/>
    <x v="320"/>
    <n v="6.4"/>
  </r>
  <r>
    <x v="1878"/>
    <x v="2544"/>
    <x v="19"/>
    <x v="1"/>
    <x v="1"/>
    <x v="3"/>
    <x v="10"/>
    <x v="1"/>
    <x v="2510"/>
    <n v="745"/>
    <x v="0"/>
    <x v="0"/>
    <x v="272"/>
    <m/>
    <n v="0.25600000000000001"/>
    <m/>
    <x v="29"/>
    <x v="94"/>
    <m/>
  </r>
  <r>
    <x v="1878"/>
    <x v="2545"/>
    <x v="19"/>
    <x v="1"/>
    <x v="1"/>
    <x v="3"/>
    <x v="10"/>
    <x v="1"/>
    <x v="2511"/>
    <n v="745"/>
    <x v="0"/>
    <x v="0"/>
    <x v="678"/>
    <m/>
    <n v="0.58299999999999996"/>
    <m/>
    <x v="29"/>
    <x v="94"/>
    <m/>
  </r>
  <r>
    <x v="1879"/>
    <x v="2546"/>
    <x v="19"/>
    <x v="1"/>
    <x v="1"/>
    <x v="3"/>
    <x v="10"/>
    <x v="2"/>
    <x v="2512"/>
    <n v="504"/>
    <x v="0"/>
    <x v="0"/>
    <x v="186"/>
    <m/>
    <n v="0.17499999999999999"/>
    <m/>
    <x v="29"/>
    <x v="291"/>
    <m/>
  </r>
  <r>
    <x v="1879"/>
    <x v="2547"/>
    <x v="19"/>
    <x v="1"/>
    <x v="1"/>
    <x v="3"/>
    <x v="10"/>
    <x v="2"/>
    <x v="2513"/>
    <n v="504"/>
    <x v="0"/>
    <x v="0"/>
    <x v="386"/>
    <m/>
    <n v="0.17199999999999999"/>
    <m/>
    <x v="29"/>
    <x v="291"/>
    <m/>
  </r>
  <r>
    <x v="1879"/>
    <x v="2548"/>
    <x v="19"/>
    <x v="1"/>
    <x v="1"/>
    <x v="3"/>
    <x v="10"/>
    <x v="2"/>
    <x v="2514"/>
    <n v="504"/>
    <x v="0"/>
    <x v="0"/>
    <x v="281"/>
    <m/>
    <n v="0.223"/>
    <m/>
    <x v="29"/>
    <x v="291"/>
    <m/>
  </r>
  <r>
    <x v="1880"/>
    <x v="2549"/>
    <x v="19"/>
    <x v="1"/>
    <x v="1"/>
    <x v="3"/>
    <x v="10"/>
    <x v="4"/>
    <x v="2515"/>
    <n v="1024"/>
    <x v="0"/>
    <x v="0"/>
    <x v="387"/>
    <m/>
    <n v="0.11799999999999999"/>
    <m/>
    <x v="29"/>
    <x v="171"/>
    <m/>
  </r>
  <r>
    <x v="1880"/>
    <x v="2550"/>
    <x v="19"/>
    <x v="1"/>
    <x v="1"/>
    <x v="3"/>
    <x v="10"/>
    <x v="4"/>
    <x v="2516"/>
    <n v="1024"/>
    <x v="0"/>
    <x v="0"/>
    <x v="594"/>
    <m/>
    <n v="0.23599999999999999"/>
    <m/>
    <x v="29"/>
    <x v="171"/>
    <m/>
  </r>
  <r>
    <x v="1880"/>
    <x v="2551"/>
    <x v="19"/>
    <x v="1"/>
    <x v="1"/>
    <x v="3"/>
    <x v="10"/>
    <x v="4"/>
    <x v="2517"/>
    <n v="1024"/>
    <x v="0"/>
    <x v="0"/>
    <x v="598"/>
    <m/>
    <n v="0.16600000000000001"/>
    <m/>
    <x v="29"/>
    <x v="171"/>
    <m/>
  </r>
  <r>
    <x v="1880"/>
    <x v="2552"/>
    <x v="19"/>
    <x v="1"/>
    <x v="1"/>
    <x v="3"/>
    <x v="10"/>
    <x v="4"/>
    <x v="2518"/>
    <n v="1024"/>
    <x v="0"/>
    <x v="0"/>
    <x v="294"/>
    <m/>
    <n v="0.16700000000000001"/>
    <m/>
    <x v="29"/>
    <x v="171"/>
    <m/>
  </r>
  <r>
    <x v="1881"/>
    <x v="2553"/>
    <x v="15"/>
    <x v="1"/>
    <x v="1"/>
    <x v="3"/>
    <x v="10"/>
    <x v="2"/>
    <x v="2519"/>
    <n v="1400"/>
    <x v="24"/>
    <x v="226"/>
    <x v="405"/>
    <n v="3.5999999999999997E-2"/>
    <n v="0.34799999999999998"/>
    <n v="1.02"/>
    <x v="7"/>
    <x v="105"/>
    <n v="2"/>
  </r>
  <r>
    <x v="1881"/>
    <x v="2554"/>
    <x v="15"/>
    <x v="1"/>
    <x v="1"/>
    <x v="3"/>
    <x v="10"/>
    <x v="2"/>
    <x v="2520"/>
    <n v="1400"/>
    <x v="24"/>
    <x v="367"/>
    <x v="679"/>
    <n v="2.0099999999999998"/>
    <n v="1.097"/>
    <n v="1.88"/>
    <x v="7"/>
    <x v="105"/>
    <n v="2"/>
  </r>
  <r>
    <x v="1881"/>
    <x v="2555"/>
    <x v="15"/>
    <x v="1"/>
    <x v="1"/>
    <x v="3"/>
    <x v="10"/>
    <x v="2"/>
    <x v="2521"/>
    <n v="1400"/>
    <x v="24"/>
    <x v="368"/>
    <x v="680"/>
    <n v="7.2999999999999995E-2"/>
    <n v="0.78500000000000003"/>
    <n v="0.19"/>
    <x v="7"/>
    <x v="105"/>
    <n v="2"/>
  </r>
  <r>
    <x v="1882"/>
    <x v="2556"/>
    <x v="19"/>
    <x v="1"/>
    <x v="1"/>
    <x v="3"/>
    <x v="10"/>
    <x v="1"/>
    <x v="2522"/>
    <n v="872"/>
    <x v="0"/>
    <x v="0"/>
    <x v="526"/>
    <m/>
    <n v="0.14899999999999999"/>
    <m/>
    <x v="29"/>
    <x v="52"/>
    <m/>
  </r>
  <r>
    <x v="1882"/>
    <x v="2557"/>
    <x v="19"/>
    <x v="1"/>
    <x v="1"/>
    <x v="3"/>
    <x v="10"/>
    <x v="1"/>
    <x v="2523"/>
    <n v="872"/>
    <x v="0"/>
    <x v="0"/>
    <x v="422"/>
    <m/>
    <n v="0.20100000000000001"/>
    <m/>
    <x v="29"/>
    <x v="52"/>
    <m/>
  </r>
  <r>
    <x v="1883"/>
    <x v="2558"/>
    <x v="19"/>
    <x v="1"/>
    <x v="1"/>
    <x v="3"/>
    <x v="10"/>
    <x v="2"/>
    <x v="2524"/>
    <n v="742"/>
    <x v="0"/>
    <x v="0"/>
    <x v="278"/>
    <m/>
    <n v="0.12"/>
    <m/>
    <x v="29"/>
    <x v="52"/>
    <m/>
  </r>
  <r>
    <x v="1883"/>
    <x v="2559"/>
    <x v="19"/>
    <x v="1"/>
    <x v="1"/>
    <x v="3"/>
    <x v="10"/>
    <x v="2"/>
    <x v="2525"/>
    <n v="742"/>
    <x v="0"/>
    <x v="0"/>
    <x v="278"/>
    <m/>
    <n v="0.12"/>
    <m/>
    <x v="29"/>
    <x v="52"/>
    <m/>
  </r>
  <r>
    <x v="1883"/>
    <x v="2560"/>
    <x v="19"/>
    <x v="1"/>
    <x v="1"/>
    <x v="3"/>
    <x v="10"/>
    <x v="2"/>
    <x v="2526"/>
    <n v="742"/>
    <x v="0"/>
    <x v="0"/>
    <x v="314"/>
    <m/>
    <n v="0.156"/>
    <m/>
    <x v="29"/>
    <x v="52"/>
    <m/>
  </r>
  <r>
    <x v="1884"/>
    <x v="2561"/>
    <x v="19"/>
    <x v="1"/>
    <x v="1"/>
    <x v="3"/>
    <x v="10"/>
    <x v="1"/>
    <x v="2527"/>
    <n v="1433"/>
    <x v="0"/>
    <x v="0"/>
    <x v="670"/>
    <m/>
    <n v="0.36199999999999999"/>
    <m/>
    <x v="29"/>
    <x v="147"/>
    <m/>
  </r>
  <r>
    <x v="1884"/>
    <x v="2562"/>
    <x v="19"/>
    <x v="1"/>
    <x v="1"/>
    <x v="3"/>
    <x v="10"/>
    <x v="1"/>
    <x v="2528"/>
    <n v="1433"/>
    <x v="0"/>
    <x v="0"/>
    <x v="681"/>
    <m/>
    <n v="1.111"/>
    <m/>
    <x v="29"/>
    <x v="147"/>
    <m/>
  </r>
  <r>
    <x v="1885"/>
    <x v="2563"/>
    <x v="19"/>
    <x v="1"/>
    <x v="1"/>
    <x v="3"/>
    <x v="10"/>
    <x v="1"/>
    <x v="2529"/>
    <n v="175"/>
    <x v="0"/>
    <x v="0"/>
    <x v="219"/>
    <m/>
    <n v="7.9000000000000001E-2"/>
    <m/>
    <x v="29"/>
    <x v="320"/>
    <m/>
  </r>
  <r>
    <x v="1885"/>
    <x v="2564"/>
    <x v="19"/>
    <x v="1"/>
    <x v="1"/>
    <x v="3"/>
    <x v="10"/>
    <x v="1"/>
    <x v="2530"/>
    <n v="175"/>
    <x v="0"/>
    <x v="0"/>
    <x v="284"/>
    <m/>
    <n v="0.10199999999999999"/>
    <m/>
    <x v="29"/>
    <x v="320"/>
    <m/>
  </r>
  <r>
    <x v="1886"/>
    <x v="2565"/>
    <x v="19"/>
    <x v="1"/>
    <x v="1"/>
    <x v="3"/>
    <x v="10"/>
    <x v="4"/>
    <x v="2531"/>
    <n v="483"/>
    <x v="0"/>
    <x v="0"/>
    <x v="170"/>
    <m/>
    <n v="0.255"/>
    <m/>
    <x v="29"/>
    <x v="67"/>
    <m/>
  </r>
  <r>
    <x v="1886"/>
    <x v="2566"/>
    <x v="19"/>
    <x v="1"/>
    <x v="1"/>
    <x v="3"/>
    <x v="10"/>
    <x v="4"/>
    <x v="2532"/>
    <n v="483"/>
    <x v="0"/>
    <x v="0"/>
    <x v="331"/>
    <m/>
    <n v="0.19400000000000001"/>
    <m/>
    <x v="29"/>
    <x v="67"/>
    <m/>
  </r>
  <r>
    <x v="1886"/>
    <x v="2567"/>
    <x v="19"/>
    <x v="1"/>
    <x v="1"/>
    <x v="3"/>
    <x v="10"/>
    <x v="4"/>
    <x v="2533"/>
    <n v="483"/>
    <x v="0"/>
    <x v="0"/>
    <x v="389"/>
    <m/>
    <n v="0.245"/>
    <m/>
    <x v="29"/>
    <x v="67"/>
    <m/>
  </r>
  <r>
    <x v="1886"/>
    <x v="2568"/>
    <x v="10"/>
    <x v="1"/>
    <x v="1"/>
    <x v="3"/>
    <x v="10"/>
    <x v="4"/>
    <x v="2534"/>
    <n v="483"/>
    <x v="0"/>
    <x v="0"/>
    <x v="607"/>
    <m/>
    <n v="0.107"/>
    <m/>
    <x v="29"/>
    <x v="67"/>
    <m/>
  </r>
  <r>
    <x v="1887"/>
    <x v="2569"/>
    <x v="7"/>
    <x v="1"/>
    <x v="1"/>
    <x v="3"/>
    <x v="10"/>
    <x v="2"/>
    <x v="2535"/>
    <n v="864"/>
    <x v="0"/>
    <x v="283"/>
    <x v="292"/>
    <n v="3.3000000000000002E-2"/>
    <n v="0.32100000000000001"/>
    <m/>
    <x v="29"/>
    <x v="38"/>
    <m/>
  </r>
  <r>
    <x v="1887"/>
    <x v="2570"/>
    <x v="7"/>
    <x v="1"/>
    <x v="1"/>
    <x v="3"/>
    <x v="10"/>
    <x v="2"/>
    <x v="2536"/>
    <n v="864"/>
    <x v="0"/>
    <x v="369"/>
    <x v="350"/>
    <n v="1.9E-2"/>
    <n v="0.29399999999999998"/>
    <m/>
    <x v="29"/>
    <x v="38"/>
    <m/>
  </r>
  <r>
    <x v="1887"/>
    <x v="2571"/>
    <x v="19"/>
    <x v="1"/>
    <x v="1"/>
    <x v="3"/>
    <x v="10"/>
    <x v="2"/>
    <x v="2537"/>
    <n v="864"/>
    <x v="0"/>
    <x v="0"/>
    <x v="552"/>
    <m/>
    <n v="0.24199999999999999"/>
    <m/>
    <x v="29"/>
    <x v="38"/>
    <m/>
  </r>
  <r>
    <x v="1888"/>
    <x v="2572"/>
    <x v="19"/>
    <x v="1"/>
    <x v="1"/>
    <x v="3"/>
    <x v="10"/>
    <x v="4"/>
    <x v="2538"/>
    <n v="753"/>
    <x v="0"/>
    <x v="0"/>
    <x v="280"/>
    <m/>
    <n v="0.13600000000000001"/>
    <m/>
    <x v="29"/>
    <x v="185"/>
    <m/>
  </r>
  <r>
    <x v="1888"/>
    <x v="2573"/>
    <x v="19"/>
    <x v="1"/>
    <x v="1"/>
    <x v="3"/>
    <x v="10"/>
    <x v="4"/>
    <x v="2539"/>
    <n v="753"/>
    <x v="0"/>
    <x v="0"/>
    <x v="338"/>
    <m/>
    <n v="0.21"/>
    <m/>
    <x v="29"/>
    <x v="185"/>
    <m/>
  </r>
  <r>
    <x v="1888"/>
    <x v="2574"/>
    <x v="19"/>
    <x v="1"/>
    <x v="1"/>
    <x v="3"/>
    <x v="10"/>
    <x v="4"/>
    <x v="2540"/>
    <n v="753"/>
    <x v="0"/>
    <x v="0"/>
    <x v="518"/>
    <m/>
    <n v="0.22"/>
    <m/>
    <x v="29"/>
    <x v="185"/>
    <m/>
  </r>
  <r>
    <x v="1888"/>
    <x v="2575"/>
    <x v="19"/>
    <x v="1"/>
    <x v="1"/>
    <x v="3"/>
    <x v="10"/>
    <x v="4"/>
    <x v="2541"/>
    <n v="753"/>
    <x v="0"/>
    <x v="0"/>
    <x v="519"/>
    <m/>
    <n v="0.20300000000000001"/>
    <m/>
    <x v="29"/>
    <x v="185"/>
    <m/>
  </r>
  <r>
    <x v="1889"/>
    <x v="2576"/>
    <x v="7"/>
    <x v="1"/>
    <x v="1"/>
    <x v="3"/>
    <x v="10"/>
    <x v="1"/>
    <x v="2542"/>
    <n v="600"/>
    <x v="0"/>
    <x v="370"/>
    <x v="312"/>
    <n v="2.341E-2"/>
    <n v="0.217"/>
    <n v="2.62"/>
    <x v="21"/>
    <x v="130"/>
    <m/>
  </r>
  <r>
    <x v="1889"/>
    <x v="2577"/>
    <x v="7"/>
    <x v="1"/>
    <x v="1"/>
    <x v="3"/>
    <x v="10"/>
    <x v="1"/>
    <x v="2543"/>
    <n v="600"/>
    <x v="0"/>
    <x v="371"/>
    <x v="359"/>
    <n v="1.145E-2"/>
    <n v="0.19600000000000001"/>
    <n v="1.74"/>
    <x v="21"/>
    <x v="130"/>
    <m/>
  </r>
  <r>
    <x v="1890"/>
    <x v="2578"/>
    <x v="19"/>
    <x v="1"/>
    <x v="1"/>
    <x v="3"/>
    <x v="10"/>
    <x v="1"/>
    <x v="2544"/>
    <n v="1284"/>
    <x v="0"/>
    <x v="0"/>
    <x v="333"/>
    <m/>
    <n v="0.189"/>
    <m/>
    <x v="29"/>
    <x v="16"/>
    <m/>
  </r>
  <r>
    <x v="1890"/>
    <x v="2579"/>
    <x v="19"/>
    <x v="1"/>
    <x v="1"/>
    <x v="3"/>
    <x v="10"/>
    <x v="1"/>
    <x v="2545"/>
    <n v="1284"/>
    <x v="0"/>
    <x v="0"/>
    <x v="591"/>
    <m/>
    <n v="0.193"/>
    <m/>
    <x v="29"/>
    <x v="16"/>
    <m/>
  </r>
  <r>
    <x v="1891"/>
    <x v="2580"/>
    <x v="19"/>
    <x v="1"/>
    <x v="1"/>
    <x v="3"/>
    <x v="10"/>
    <x v="1"/>
    <x v="2546"/>
    <n v="524"/>
    <x v="0"/>
    <x v="0"/>
    <x v="319"/>
    <m/>
    <n v="0.13900000000000001"/>
    <m/>
    <x v="29"/>
    <x v="185"/>
    <m/>
  </r>
  <r>
    <x v="1891"/>
    <x v="2581"/>
    <x v="19"/>
    <x v="1"/>
    <x v="1"/>
    <x v="3"/>
    <x v="10"/>
    <x v="1"/>
    <x v="2547"/>
    <n v="524"/>
    <x v="0"/>
    <x v="0"/>
    <x v="485"/>
    <m/>
    <n v="0.224"/>
    <m/>
    <x v="29"/>
    <x v="185"/>
    <m/>
  </r>
  <r>
    <x v="1892"/>
    <x v="2582"/>
    <x v="14"/>
    <x v="1"/>
    <x v="1"/>
    <x v="3"/>
    <x v="10"/>
    <x v="2"/>
    <x v="2548"/>
    <n v="2100"/>
    <x v="0"/>
    <x v="0"/>
    <x v="440"/>
    <m/>
    <n v="0.49099999999999999"/>
    <m/>
    <x v="49"/>
    <x v="147"/>
    <m/>
  </r>
  <r>
    <x v="1892"/>
    <x v="2583"/>
    <x v="14"/>
    <x v="1"/>
    <x v="1"/>
    <x v="3"/>
    <x v="10"/>
    <x v="2"/>
    <x v="2549"/>
    <n v="2100"/>
    <x v="0"/>
    <x v="372"/>
    <x v="682"/>
    <n v="4.7"/>
    <n v="0.47299999999999998"/>
    <m/>
    <x v="49"/>
    <x v="147"/>
    <m/>
  </r>
  <r>
    <x v="1892"/>
    <x v="2584"/>
    <x v="19"/>
    <x v="1"/>
    <x v="1"/>
    <x v="3"/>
    <x v="10"/>
    <x v="2"/>
    <x v="2550"/>
    <n v="2100"/>
    <x v="0"/>
    <x v="373"/>
    <x v="405"/>
    <n v="6.8"/>
    <n v="0.34799999999999998"/>
    <m/>
    <x v="49"/>
    <x v="147"/>
    <m/>
  </r>
  <r>
    <x v="1893"/>
    <x v="2585"/>
    <x v="19"/>
    <x v="1"/>
    <x v="1"/>
    <x v="3"/>
    <x v="10"/>
    <x v="2"/>
    <x v="2551"/>
    <n v="634"/>
    <x v="0"/>
    <x v="0"/>
    <x v="451"/>
    <m/>
    <n v="0.106"/>
    <m/>
    <x v="29"/>
    <x v="100"/>
    <m/>
  </r>
  <r>
    <x v="1893"/>
    <x v="2586"/>
    <x v="19"/>
    <x v="1"/>
    <x v="1"/>
    <x v="3"/>
    <x v="10"/>
    <x v="2"/>
    <x v="2552"/>
    <n v="634"/>
    <x v="0"/>
    <x v="0"/>
    <x v="585"/>
    <m/>
    <n v="0.30199999999999999"/>
    <m/>
    <x v="29"/>
    <x v="100"/>
    <m/>
  </r>
  <r>
    <x v="1893"/>
    <x v="2587"/>
    <x v="19"/>
    <x v="1"/>
    <x v="1"/>
    <x v="3"/>
    <x v="10"/>
    <x v="2"/>
    <x v="2553"/>
    <n v="634"/>
    <x v="0"/>
    <x v="0"/>
    <x v="518"/>
    <m/>
    <n v="0.22"/>
    <m/>
    <x v="29"/>
    <x v="100"/>
    <m/>
  </r>
  <r>
    <x v="1894"/>
    <x v="2588"/>
    <x v="19"/>
    <x v="1"/>
    <x v="1"/>
    <x v="3"/>
    <x v="10"/>
    <x v="1"/>
    <x v="2554"/>
    <n v="774"/>
    <x v="0"/>
    <x v="0"/>
    <x v="169"/>
    <m/>
    <n v="0.152"/>
    <m/>
    <x v="29"/>
    <x v="43"/>
    <m/>
  </r>
  <r>
    <x v="1894"/>
    <x v="2589"/>
    <x v="19"/>
    <x v="1"/>
    <x v="1"/>
    <x v="3"/>
    <x v="10"/>
    <x v="1"/>
    <x v="2555"/>
    <n v="774"/>
    <x v="0"/>
    <x v="0"/>
    <x v="557"/>
    <m/>
    <n v="0.128"/>
    <m/>
    <x v="29"/>
    <x v="43"/>
    <m/>
  </r>
  <r>
    <x v="1895"/>
    <x v="2590"/>
    <x v="19"/>
    <x v="1"/>
    <x v="1"/>
    <x v="3"/>
    <x v="10"/>
    <x v="1"/>
    <x v="2556"/>
    <n v="569"/>
    <x v="0"/>
    <x v="0"/>
    <x v="411"/>
    <m/>
    <n v="0.115"/>
    <m/>
    <x v="29"/>
    <x v="113"/>
    <m/>
  </r>
  <r>
    <x v="1895"/>
    <x v="2591"/>
    <x v="19"/>
    <x v="1"/>
    <x v="1"/>
    <x v="3"/>
    <x v="10"/>
    <x v="1"/>
    <x v="2557"/>
    <n v="569"/>
    <x v="0"/>
    <x v="0"/>
    <x v="464"/>
    <m/>
    <n v="0.28100000000000003"/>
    <m/>
    <x v="29"/>
    <x v="113"/>
    <m/>
  </r>
  <r>
    <x v="1896"/>
    <x v="2592"/>
    <x v="19"/>
    <x v="1"/>
    <x v="1"/>
    <x v="3"/>
    <x v="10"/>
    <x v="1"/>
    <x v="2558"/>
    <n v="954"/>
    <x v="0"/>
    <x v="0"/>
    <x v="199"/>
    <m/>
    <n v="0.22600000000000001"/>
    <m/>
    <x v="29"/>
    <x v="120"/>
    <m/>
  </r>
  <r>
    <x v="1896"/>
    <x v="2593"/>
    <x v="19"/>
    <x v="1"/>
    <x v="1"/>
    <x v="3"/>
    <x v="10"/>
    <x v="1"/>
    <x v="2559"/>
    <n v="954"/>
    <x v="0"/>
    <x v="0"/>
    <x v="334"/>
    <m/>
    <n v="0.22900000000000001"/>
    <m/>
    <x v="29"/>
    <x v="120"/>
    <m/>
  </r>
  <r>
    <x v="1897"/>
    <x v="2594"/>
    <x v="19"/>
    <x v="1"/>
    <x v="1"/>
    <x v="3"/>
    <x v="10"/>
    <x v="1"/>
    <x v="2560"/>
    <n v="263"/>
    <x v="0"/>
    <x v="0"/>
    <x v="342"/>
    <m/>
    <n v="7.3999999999999996E-2"/>
    <m/>
    <x v="29"/>
    <x v="105"/>
    <m/>
  </r>
  <r>
    <x v="1897"/>
    <x v="2595"/>
    <x v="19"/>
    <x v="1"/>
    <x v="1"/>
    <x v="3"/>
    <x v="10"/>
    <x v="1"/>
    <x v="2561"/>
    <n v="263"/>
    <x v="0"/>
    <x v="0"/>
    <x v="175"/>
    <m/>
    <n v="0.25900000000000001"/>
    <m/>
    <x v="29"/>
    <x v="105"/>
    <m/>
  </r>
  <r>
    <x v="1898"/>
    <x v="2596"/>
    <x v="19"/>
    <x v="1"/>
    <x v="1"/>
    <x v="3"/>
    <x v="10"/>
    <x v="1"/>
    <x v="2562"/>
    <n v="1112"/>
    <x v="0"/>
    <x v="0"/>
    <x v="362"/>
    <m/>
    <n v="0.33600000000000002"/>
    <m/>
    <x v="29"/>
    <x v="110"/>
    <m/>
  </r>
  <r>
    <x v="1898"/>
    <x v="2597"/>
    <x v="19"/>
    <x v="1"/>
    <x v="1"/>
    <x v="3"/>
    <x v="10"/>
    <x v="1"/>
    <x v="2563"/>
    <n v="1112"/>
    <x v="0"/>
    <x v="0"/>
    <x v="683"/>
    <m/>
    <n v="0.37"/>
    <m/>
    <x v="29"/>
    <x v="110"/>
    <m/>
  </r>
  <r>
    <x v="1899"/>
    <x v="2598"/>
    <x v="19"/>
    <x v="1"/>
    <x v="1"/>
    <x v="3"/>
    <x v="10"/>
    <x v="1"/>
    <x v="2564"/>
    <n v="342"/>
    <x v="0"/>
    <x v="0"/>
    <x v="545"/>
    <m/>
    <n v="9.5000000000000001E-2"/>
    <m/>
    <x v="29"/>
    <x v="34"/>
    <m/>
  </r>
  <r>
    <x v="1899"/>
    <x v="2599"/>
    <x v="19"/>
    <x v="1"/>
    <x v="1"/>
    <x v="3"/>
    <x v="10"/>
    <x v="1"/>
    <x v="2565"/>
    <n v="342"/>
    <x v="0"/>
    <x v="0"/>
    <x v="409"/>
    <m/>
    <n v="0.10299999999999999"/>
    <m/>
    <x v="29"/>
    <x v="34"/>
    <m/>
  </r>
  <r>
    <x v="1900"/>
    <x v="2600"/>
    <x v="19"/>
    <x v="1"/>
    <x v="1"/>
    <x v="3"/>
    <x v="10"/>
    <x v="1"/>
    <x v="2566"/>
    <n v="1220"/>
    <x v="0"/>
    <x v="0"/>
    <x v="490"/>
    <m/>
    <n v="0.186"/>
    <m/>
    <x v="29"/>
    <x v="16"/>
    <m/>
  </r>
  <r>
    <x v="1900"/>
    <x v="2601"/>
    <x v="19"/>
    <x v="1"/>
    <x v="1"/>
    <x v="3"/>
    <x v="10"/>
    <x v="1"/>
    <x v="2567"/>
    <n v="1220"/>
    <x v="0"/>
    <x v="0"/>
    <x v="587"/>
    <m/>
    <n v="0.153"/>
    <m/>
    <x v="29"/>
    <x v="16"/>
    <m/>
  </r>
  <r>
    <x v="1901"/>
    <x v="2602"/>
    <x v="19"/>
    <x v="1"/>
    <x v="1"/>
    <x v="3"/>
    <x v="10"/>
    <x v="1"/>
    <x v="2568"/>
    <n v="463"/>
    <x v="0"/>
    <x v="0"/>
    <x v="167"/>
    <m/>
    <n v="0.42"/>
    <m/>
    <x v="29"/>
    <x v="43"/>
    <m/>
  </r>
  <r>
    <x v="1901"/>
    <x v="2603"/>
    <x v="19"/>
    <x v="1"/>
    <x v="1"/>
    <x v="3"/>
    <x v="10"/>
    <x v="1"/>
    <x v="2569"/>
    <n v="463"/>
    <x v="0"/>
    <x v="0"/>
    <x v="470"/>
    <m/>
    <n v="0.32800000000000001"/>
    <m/>
    <x v="29"/>
    <x v="43"/>
    <m/>
  </r>
  <r>
    <x v="1902"/>
    <x v="2604"/>
    <x v="19"/>
    <x v="1"/>
    <x v="1"/>
    <x v="3"/>
    <x v="10"/>
    <x v="2"/>
    <x v="2570"/>
    <n v="549"/>
    <x v="0"/>
    <x v="0"/>
    <x v="341"/>
    <m/>
    <n v="0.14499999999999999"/>
    <m/>
    <x v="29"/>
    <x v="52"/>
    <m/>
  </r>
  <r>
    <x v="1902"/>
    <x v="2605"/>
    <x v="19"/>
    <x v="1"/>
    <x v="1"/>
    <x v="3"/>
    <x v="10"/>
    <x v="2"/>
    <x v="2571"/>
    <n v="549"/>
    <x v="0"/>
    <x v="0"/>
    <x v="154"/>
    <m/>
    <n v="0.23499999999999999"/>
    <m/>
    <x v="29"/>
    <x v="52"/>
    <m/>
  </r>
  <r>
    <x v="1902"/>
    <x v="2606"/>
    <x v="19"/>
    <x v="1"/>
    <x v="1"/>
    <x v="3"/>
    <x v="10"/>
    <x v="2"/>
    <x v="2572"/>
    <n v="549"/>
    <x v="0"/>
    <x v="0"/>
    <x v="235"/>
    <m/>
    <n v="0.20399999999999999"/>
    <m/>
    <x v="29"/>
    <x v="52"/>
    <m/>
  </r>
  <r>
    <x v="1903"/>
    <x v="2607"/>
    <x v="14"/>
    <x v="1"/>
    <x v="1"/>
    <x v="3"/>
    <x v="10"/>
    <x v="3"/>
    <x v="2573"/>
    <n v="303"/>
    <x v="0"/>
    <x v="374"/>
    <x v="359"/>
    <n v="4.0999999999999996"/>
    <n v="0.19600000000000001"/>
    <m/>
    <x v="101"/>
    <x v="81"/>
    <m/>
  </r>
  <r>
    <x v="1903"/>
    <x v="2608"/>
    <x v="14"/>
    <x v="1"/>
    <x v="1"/>
    <x v="3"/>
    <x v="10"/>
    <x v="3"/>
    <x v="2574"/>
    <n v="303"/>
    <x v="0"/>
    <x v="375"/>
    <x v="184"/>
    <n v="0.5"/>
    <n v="0.17799999999999999"/>
    <m/>
    <x v="101"/>
    <x v="81"/>
    <m/>
  </r>
  <r>
    <x v="1903"/>
    <x v="2609"/>
    <x v="15"/>
    <x v="1"/>
    <x v="1"/>
    <x v="3"/>
    <x v="10"/>
    <x v="3"/>
    <x v="2575"/>
    <n v="303"/>
    <x v="0"/>
    <x v="0"/>
    <x v="596"/>
    <m/>
    <n v="0.24099999999999999"/>
    <m/>
    <x v="101"/>
    <x v="81"/>
    <m/>
  </r>
  <r>
    <x v="1903"/>
    <x v="2610"/>
    <x v="15"/>
    <x v="1"/>
    <x v="1"/>
    <x v="3"/>
    <x v="10"/>
    <x v="3"/>
    <x v="2576"/>
    <n v="303"/>
    <x v="0"/>
    <x v="0"/>
    <x v="467"/>
    <m/>
    <n v="0.13400000000000001"/>
    <m/>
    <x v="101"/>
    <x v="81"/>
    <m/>
  </r>
  <r>
    <x v="1903"/>
    <x v="2611"/>
    <x v="15"/>
    <x v="1"/>
    <x v="1"/>
    <x v="3"/>
    <x v="10"/>
    <x v="3"/>
    <x v="2577"/>
    <n v="303"/>
    <x v="0"/>
    <x v="0"/>
    <x v="497"/>
    <m/>
    <n v="7.2999999999999995E-2"/>
    <m/>
    <x v="101"/>
    <x v="81"/>
    <m/>
  </r>
  <r>
    <x v="1904"/>
    <x v="2612"/>
    <x v="19"/>
    <x v="1"/>
    <x v="1"/>
    <x v="3"/>
    <x v="10"/>
    <x v="1"/>
    <x v="2578"/>
    <n v="1022"/>
    <x v="0"/>
    <x v="0"/>
    <x v="284"/>
    <m/>
    <n v="0.10199999999999999"/>
    <m/>
    <x v="29"/>
    <x v="37"/>
    <m/>
  </r>
  <r>
    <x v="1904"/>
    <x v="2613"/>
    <x v="19"/>
    <x v="1"/>
    <x v="1"/>
    <x v="3"/>
    <x v="10"/>
    <x v="1"/>
    <x v="2579"/>
    <n v="1022"/>
    <x v="0"/>
    <x v="0"/>
    <x v="563"/>
    <m/>
    <n v="0.122"/>
    <m/>
    <x v="29"/>
    <x v="37"/>
    <m/>
  </r>
  <r>
    <x v="1905"/>
    <x v="2614"/>
    <x v="19"/>
    <x v="1"/>
    <x v="1"/>
    <x v="3"/>
    <x v="10"/>
    <x v="1"/>
    <x v="2580"/>
    <n v="377"/>
    <x v="0"/>
    <x v="0"/>
    <x v="541"/>
    <m/>
    <n v="0.158"/>
    <m/>
    <x v="29"/>
    <x v="43"/>
    <m/>
  </r>
  <r>
    <x v="1905"/>
    <x v="2615"/>
    <x v="19"/>
    <x v="1"/>
    <x v="1"/>
    <x v="3"/>
    <x v="10"/>
    <x v="1"/>
    <x v="2581"/>
    <n v="377"/>
    <x v="0"/>
    <x v="0"/>
    <x v="152"/>
    <m/>
    <n v="0.20699999999999999"/>
    <m/>
    <x v="29"/>
    <x v="43"/>
    <m/>
  </r>
  <r>
    <x v="1906"/>
    <x v="2616"/>
    <x v="19"/>
    <x v="1"/>
    <x v="1"/>
    <x v="3"/>
    <x v="10"/>
    <x v="1"/>
    <x v="2582"/>
    <n v="428"/>
    <x v="0"/>
    <x v="0"/>
    <x v="410"/>
    <m/>
    <n v="0.09"/>
    <m/>
    <x v="29"/>
    <x v="111"/>
    <m/>
  </r>
  <r>
    <x v="1906"/>
    <x v="2617"/>
    <x v="19"/>
    <x v="1"/>
    <x v="1"/>
    <x v="3"/>
    <x v="10"/>
    <x v="1"/>
    <x v="2583"/>
    <n v="428"/>
    <x v="0"/>
    <x v="0"/>
    <x v="526"/>
    <m/>
    <n v="0.14899999999999999"/>
    <m/>
    <x v="29"/>
    <x v="111"/>
    <m/>
  </r>
  <r>
    <x v="1907"/>
    <x v="2618"/>
    <x v="19"/>
    <x v="1"/>
    <x v="1"/>
    <x v="3"/>
    <x v="10"/>
    <x v="1"/>
    <x v="2584"/>
    <n v="473"/>
    <x v="0"/>
    <x v="0"/>
    <x v="557"/>
    <m/>
    <n v="0.128"/>
    <m/>
    <x v="29"/>
    <x v="201"/>
    <m/>
  </r>
  <r>
    <x v="1907"/>
    <x v="2619"/>
    <x v="19"/>
    <x v="1"/>
    <x v="1"/>
    <x v="3"/>
    <x v="10"/>
    <x v="1"/>
    <x v="2585"/>
    <n v="473"/>
    <x v="0"/>
    <x v="0"/>
    <x v="341"/>
    <m/>
    <n v="0.14499999999999999"/>
    <m/>
    <x v="29"/>
    <x v="201"/>
    <m/>
  </r>
  <r>
    <x v="1908"/>
    <x v="2620"/>
    <x v="19"/>
    <x v="1"/>
    <x v="1"/>
    <x v="3"/>
    <x v="10"/>
    <x v="1"/>
    <x v="2586"/>
    <n v="492"/>
    <x v="0"/>
    <x v="0"/>
    <x v="284"/>
    <m/>
    <n v="0.10199999999999999"/>
    <m/>
    <x v="29"/>
    <x v="239"/>
    <m/>
  </r>
  <r>
    <x v="1908"/>
    <x v="2621"/>
    <x v="19"/>
    <x v="1"/>
    <x v="1"/>
    <x v="3"/>
    <x v="10"/>
    <x v="1"/>
    <x v="2587"/>
    <n v="492"/>
    <x v="0"/>
    <x v="0"/>
    <x v="464"/>
    <m/>
    <n v="0.28100000000000003"/>
    <m/>
    <x v="29"/>
    <x v="239"/>
    <m/>
  </r>
  <r>
    <x v="1909"/>
    <x v="2622"/>
    <x v="19"/>
    <x v="1"/>
    <x v="1"/>
    <x v="3"/>
    <x v="10"/>
    <x v="2"/>
    <x v="2588"/>
    <n v="883"/>
    <x v="0"/>
    <x v="0"/>
    <x v="217"/>
    <m/>
    <n v="0.26"/>
    <m/>
    <x v="29"/>
    <x v="45"/>
    <m/>
  </r>
  <r>
    <x v="1909"/>
    <x v="2623"/>
    <x v="19"/>
    <x v="1"/>
    <x v="1"/>
    <x v="3"/>
    <x v="10"/>
    <x v="2"/>
    <x v="2589"/>
    <n v="883"/>
    <x v="0"/>
    <x v="0"/>
    <x v="198"/>
    <m/>
    <n v="0.22700000000000001"/>
    <m/>
    <x v="29"/>
    <x v="45"/>
    <m/>
  </r>
  <r>
    <x v="1909"/>
    <x v="2624"/>
    <x v="19"/>
    <x v="1"/>
    <x v="1"/>
    <x v="3"/>
    <x v="10"/>
    <x v="2"/>
    <x v="2590"/>
    <n v="883"/>
    <x v="0"/>
    <x v="0"/>
    <x v="335"/>
    <m/>
    <n v="0.249"/>
    <m/>
    <x v="29"/>
    <x v="45"/>
    <m/>
  </r>
  <r>
    <x v="1910"/>
    <x v="2625"/>
    <x v="19"/>
    <x v="1"/>
    <x v="1"/>
    <x v="3"/>
    <x v="10"/>
    <x v="2"/>
    <x v="2591"/>
    <n v="355"/>
    <x v="0"/>
    <x v="0"/>
    <x v="280"/>
    <m/>
    <n v="0.13600000000000001"/>
    <m/>
    <x v="29"/>
    <x v="292"/>
    <m/>
  </r>
  <r>
    <x v="1910"/>
    <x v="2626"/>
    <x v="19"/>
    <x v="1"/>
    <x v="1"/>
    <x v="3"/>
    <x v="10"/>
    <x v="2"/>
    <x v="2592"/>
    <n v="355"/>
    <x v="0"/>
    <x v="0"/>
    <x v="297"/>
    <m/>
    <n v="0.125"/>
    <m/>
    <x v="29"/>
    <x v="292"/>
    <m/>
  </r>
  <r>
    <x v="1910"/>
    <x v="2627"/>
    <x v="19"/>
    <x v="1"/>
    <x v="1"/>
    <x v="3"/>
    <x v="10"/>
    <x v="2"/>
    <x v="2593"/>
    <n v="355"/>
    <x v="0"/>
    <x v="0"/>
    <x v="203"/>
    <m/>
    <n v="0.108"/>
    <m/>
    <x v="29"/>
    <x v="292"/>
    <m/>
  </r>
  <r>
    <x v="1911"/>
    <x v="2628"/>
    <x v="19"/>
    <x v="1"/>
    <x v="1"/>
    <x v="3"/>
    <x v="10"/>
    <x v="2"/>
    <x v="2594"/>
    <n v="217"/>
    <x v="0"/>
    <x v="0"/>
    <x v="508"/>
    <m/>
    <n v="9.9000000000000005E-2"/>
    <m/>
    <x v="29"/>
    <x v="75"/>
    <m/>
  </r>
  <r>
    <x v="1911"/>
    <x v="2629"/>
    <x v="19"/>
    <x v="1"/>
    <x v="1"/>
    <x v="3"/>
    <x v="10"/>
    <x v="2"/>
    <x v="2595"/>
    <n v="217"/>
    <x v="0"/>
    <x v="0"/>
    <x v="534"/>
    <m/>
    <n v="9.1999999999999998E-2"/>
    <m/>
    <x v="29"/>
    <x v="75"/>
    <m/>
  </r>
  <r>
    <x v="1911"/>
    <x v="2630"/>
    <x v="19"/>
    <x v="1"/>
    <x v="1"/>
    <x v="3"/>
    <x v="10"/>
    <x v="2"/>
    <x v="2596"/>
    <n v="217"/>
    <x v="0"/>
    <x v="0"/>
    <x v="215"/>
    <m/>
    <n v="0.154"/>
    <m/>
    <x v="29"/>
    <x v="75"/>
    <m/>
  </r>
  <r>
    <x v="1912"/>
    <x v="2631"/>
    <x v="7"/>
    <x v="1"/>
    <x v="1"/>
    <x v="3"/>
    <x v="10"/>
    <x v="1"/>
    <x v="2597"/>
    <n v="2078"/>
    <x v="0"/>
    <x v="376"/>
    <x v="401"/>
    <n v="0.09"/>
    <n v="0.20499999999999999"/>
    <m/>
    <x v="32"/>
    <x v="45"/>
    <m/>
  </r>
  <r>
    <x v="1912"/>
    <x v="2632"/>
    <x v="7"/>
    <x v="1"/>
    <x v="1"/>
    <x v="3"/>
    <x v="10"/>
    <x v="1"/>
    <x v="2598"/>
    <n v="2078"/>
    <x v="0"/>
    <x v="377"/>
    <x v="329"/>
    <n v="0.124"/>
    <n v="0.48199999999999998"/>
    <m/>
    <x v="32"/>
    <x v="45"/>
    <m/>
  </r>
  <r>
    <x v="1913"/>
    <x v="2633"/>
    <x v="19"/>
    <x v="1"/>
    <x v="1"/>
    <x v="3"/>
    <x v="10"/>
    <x v="1"/>
    <x v="2599"/>
    <n v="338"/>
    <x v="0"/>
    <x v="0"/>
    <x v="297"/>
    <m/>
    <n v="0.125"/>
    <m/>
    <x v="29"/>
    <x v="34"/>
    <m/>
  </r>
  <r>
    <x v="1913"/>
    <x v="2634"/>
    <x v="19"/>
    <x v="1"/>
    <x v="1"/>
    <x v="3"/>
    <x v="10"/>
    <x v="1"/>
    <x v="2600"/>
    <n v="338"/>
    <x v="0"/>
    <x v="0"/>
    <x v="386"/>
    <m/>
    <n v="0.17199999999999999"/>
    <m/>
    <x v="29"/>
    <x v="34"/>
    <m/>
  </r>
  <r>
    <x v="1914"/>
    <x v="2635"/>
    <x v="14"/>
    <x v="1"/>
    <x v="1"/>
    <x v="3"/>
    <x v="10"/>
    <x v="3"/>
    <x v="2601"/>
    <n v="1113"/>
    <x v="211"/>
    <x v="0"/>
    <x v="339"/>
    <m/>
    <n v="0.155"/>
    <m/>
    <x v="51"/>
    <x v="87"/>
    <n v="0.3"/>
  </r>
  <r>
    <x v="1914"/>
    <x v="2636"/>
    <x v="14"/>
    <x v="1"/>
    <x v="1"/>
    <x v="3"/>
    <x v="10"/>
    <x v="3"/>
    <x v="2602"/>
    <n v="1113"/>
    <x v="211"/>
    <x v="0"/>
    <x v="538"/>
    <m/>
    <n v="0.28499999999999998"/>
    <m/>
    <x v="51"/>
    <x v="87"/>
    <n v="0.3"/>
  </r>
  <r>
    <x v="1914"/>
    <x v="2637"/>
    <x v="14"/>
    <x v="1"/>
    <x v="1"/>
    <x v="3"/>
    <x v="10"/>
    <x v="3"/>
    <x v="2603"/>
    <n v="1113"/>
    <x v="211"/>
    <x v="0"/>
    <x v="684"/>
    <m/>
    <n v="0.47699999999999998"/>
    <m/>
    <x v="51"/>
    <x v="87"/>
    <n v="0.3"/>
  </r>
  <r>
    <x v="1914"/>
    <x v="2638"/>
    <x v="14"/>
    <x v="1"/>
    <x v="1"/>
    <x v="3"/>
    <x v="10"/>
    <x v="3"/>
    <x v="2604"/>
    <n v="1113"/>
    <x v="211"/>
    <x v="0"/>
    <x v="685"/>
    <m/>
    <n v="0.35899999999999999"/>
    <m/>
    <x v="51"/>
    <x v="87"/>
    <n v="0.3"/>
  </r>
  <r>
    <x v="1914"/>
    <x v="2639"/>
    <x v="14"/>
    <x v="1"/>
    <x v="1"/>
    <x v="3"/>
    <x v="10"/>
    <x v="3"/>
    <x v="2605"/>
    <n v="1113"/>
    <x v="211"/>
    <x v="0"/>
    <x v="686"/>
    <m/>
    <n v="0.39800000000000002"/>
    <m/>
    <x v="51"/>
    <x v="87"/>
    <n v="0.3"/>
  </r>
  <r>
    <x v="1915"/>
    <x v="2640"/>
    <x v="19"/>
    <x v="1"/>
    <x v="1"/>
    <x v="3"/>
    <x v="10"/>
    <x v="1"/>
    <x v="2606"/>
    <n v="686"/>
    <x v="0"/>
    <x v="0"/>
    <x v="278"/>
    <m/>
    <n v="0.12"/>
    <m/>
    <x v="29"/>
    <x v="185"/>
    <m/>
  </r>
  <r>
    <x v="1915"/>
    <x v="2641"/>
    <x v="19"/>
    <x v="1"/>
    <x v="1"/>
    <x v="3"/>
    <x v="10"/>
    <x v="1"/>
    <x v="2607"/>
    <n v="686"/>
    <x v="0"/>
    <x v="0"/>
    <x v="370"/>
    <m/>
    <n v="0.17399999999999999"/>
    <m/>
    <x v="29"/>
    <x v="185"/>
    <m/>
  </r>
  <r>
    <x v="1916"/>
    <x v="2642"/>
    <x v="19"/>
    <x v="1"/>
    <x v="1"/>
    <x v="3"/>
    <x v="10"/>
    <x v="2"/>
    <x v="2608"/>
    <n v="626"/>
    <x v="0"/>
    <x v="0"/>
    <x v="37"/>
    <m/>
    <n v="0.16200000000000001"/>
    <m/>
    <x v="29"/>
    <x v="75"/>
    <m/>
  </r>
  <r>
    <x v="1916"/>
    <x v="2643"/>
    <x v="19"/>
    <x v="1"/>
    <x v="1"/>
    <x v="3"/>
    <x v="10"/>
    <x v="2"/>
    <x v="2609"/>
    <n v="626"/>
    <x v="0"/>
    <x v="0"/>
    <x v="307"/>
    <m/>
    <n v="0.16400000000000001"/>
    <m/>
    <x v="29"/>
    <x v="75"/>
    <m/>
  </r>
  <r>
    <x v="1916"/>
    <x v="2644"/>
    <x v="19"/>
    <x v="1"/>
    <x v="1"/>
    <x v="3"/>
    <x v="10"/>
    <x v="2"/>
    <x v="2610"/>
    <n v="626"/>
    <x v="0"/>
    <x v="0"/>
    <x v="157"/>
    <m/>
    <n v="0.14599999999999999"/>
    <m/>
    <x v="29"/>
    <x v="75"/>
    <m/>
  </r>
  <r>
    <x v="1917"/>
    <x v="2645"/>
    <x v="19"/>
    <x v="1"/>
    <x v="1"/>
    <x v="3"/>
    <x v="10"/>
    <x v="2"/>
    <x v="2611"/>
    <n v="372"/>
    <x v="0"/>
    <x v="0"/>
    <x v="486"/>
    <m/>
    <n v="0.104"/>
    <m/>
    <x v="29"/>
    <x v="185"/>
    <m/>
  </r>
  <r>
    <x v="1917"/>
    <x v="2646"/>
    <x v="19"/>
    <x v="1"/>
    <x v="1"/>
    <x v="3"/>
    <x v="10"/>
    <x v="2"/>
    <x v="2612"/>
    <n v="372"/>
    <x v="0"/>
    <x v="0"/>
    <x v="530"/>
    <m/>
    <n v="9.7000000000000003E-2"/>
    <m/>
    <x v="29"/>
    <x v="185"/>
    <m/>
  </r>
  <r>
    <x v="1917"/>
    <x v="2647"/>
    <x v="19"/>
    <x v="1"/>
    <x v="1"/>
    <x v="3"/>
    <x v="10"/>
    <x v="2"/>
    <x v="2613"/>
    <n v="372"/>
    <x v="0"/>
    <x v="0"/>
    <x v="475"/>
    <m/>
    <n v="0.105"/>
    <m/>
    <x v="29"/>
    <x v="185"/>
    <m/>
  </r>
  <r>
    <x v="1918"/>
    <x v="2648"/>
    <x v="19"/>
    <x v="1"/>
    <x v="1"/>
    <x v="3"/>
    <x v="10"/>
    <x v="1"/>
    <x v="2614"/>
    <n v="300"/>
    <x v="0"/>
    <x v="0"/>
    <x v="387"/>
    <m/>
    <n v="0.11799999999999999"/>
    <m/>
    <x v="29"/>
    <x v="81"/>
    <m/>
  </r>
  <r>
    <x v="1918"/>
    <x v="2649"/>
    <x v="19"/>
    <x v="1"/>
    <x v="1"/>
    <x v="3"/>
    <x v="10"/>
    <x v="1"/>
    <x v="2615"/>
    <n v="300"/>
    <x v="0"/>
    <x v="0"/>
    <x v="508"/>
    <m/>
    <n v="9.9000000000000005E-2"/>
    <m/>
    <x v="29"/>
    <x v="81"/>
    <m/>
  </r>
  <r>
    <x v="1919"/>
    <x v="2650"/>
    <x v="19"/>
    <x v="1"/>
    <x v="1"/>
    <x v="3"/>
    <x v="10"/>
    <x v="2"/>
    <x v="2616"/>
    <n v="473"/>
    <x v="0"/>
    <x v="0"/>
    <x v="507"/>
    <m/>
    <n v="0.1"/>
    <m/>
    <x v="29"/>
    <x v="88"/>
    <m/>
  </r>
  <r>
    <x v="1919"/>
    <x v="2651"/>
    <x v="19"/>
    <x v="1"/>
    <x v="1"/>
    <x v="3"/>
    <x v="10"/>
    <x v="2"/>
    <x v="2617"/>
    <n v="473"/>
    <x v="0"/>
    <x v="0"/>
    <x v="557"/>
    <m/>
    <n v="0.128"/>
    <m/>
    <x v="29"/>
    <x v="88"/>
    <m/>
  </r>
  <r>
    <x v="1919"/>
    <x v="2652"/>
    <x v="19"/>
    <x v="1"/>
    <x v="1"/>
    <x v="3"/>
    <x v="10"/>
    <x v="2"/>
    <x v="2618"/>
    <n v="473"/>
    <x v="0"/>
    <x v="0"/>
    <x v="353"/>
    <m/>
    <n v="0.126"/>
    <m/>
    <x v="29"/>
    <x v="88"/>
    <m/>
  </r>
  <r>
    <x v="1920"/>
    <x v="2653"/>
    <x v="19"/>
    <x v="1"/>
    <x v="1"/>
    <x v="3"/>
    <x v="10"/>
    <x v="1"/>
    <x v="2619"/>
    <n v="1174"/>
    <x v="0"/>
    <x v="0"/>
    <x v="687"/>
    <m/>
    <n v="0.30199999999999999"/>
    <m/>
    <x v="29"/>
    <x v="114"/>
    <m/>
  </r>
  <r>
    <x v="1920"/>
    <x v="2654"/>
    <x v="19"/>
    <x v="1"/>
    <x v="1"/>
    <x v="3"/>
    <x v="10"/>
    <x v="1"/>
    <x v="2620"/>
    <n v="1174"/>
    <x v="0"/>
    <x v="0"/>
    <x v="604"/>
    <m/>
    <n v="0.27400000000000002"/>
    <m/>
    <x v="29"/>
    <x v="114"/>
    <m/>
  </r>
  <r>
    <x v="1921"/>
    <x v="2655"/>
    <x v="19"/>
    <x v="1"/>
    <x v="1"/>
    <x v="3"/>
    <x v="10"/>
    <x v="2"/>
    <x v="2621"/>
    <n v="721"/>
    <x v="0"/>
    <x v="0"/>
    <x v="531"/>
    <m/>
    <n v="9.0999999999999998E-2"/>
    <m/>
    <x v="29"/>
    <x v="96"/>
    <m/>
  </r>
  <r>
    <x v="1921"/>
    <x v="2656"/>
    <x v="19"/>
    <x v="1"/>
    <x v="1"/>
    <x v="3"/>
    <x v="10"/>
    <x v="2"/>
    <x v="2622"/>
    <n v="721"/>
    <x v="0"/>
    <x v="0"/>
    <x v="371"/>
    <m/>
    <n v="0.187"/>
    <m/>
    <x v="29"/>
    <x v="96"/>
    <m/>
  </r>
  <r>
    <x v="1921"/>
    <x v="2657"/>
    <x v="19"/>
    <x v="1"/>
    <x v="1"/>
    <x v="3"/>
    <x v="10"/>
    <x v="2"/>
    <x v="2623"/>
    <n v="721"/>
    <x v="0"/>
    <x v="0"/>
    <x v="268"/>
    <m/>
    <n v="0.21099999999999999"/>
    <m/>
    <x v="29"/>
    <x v="96"/>
    <m/>
  </r>
  <r>
    <x v="1922"/>
    <x v="2658"/>
    <x v="19"/>
    <x v="1"/>
    <x v="1"/>
    <x v="3"/>
    <x v="10"/>
    <x v="1"/>
    <x v="2624"/>
    <n v="518"/>
    <x v="0"/>
    <x v="0"/>
    <x v="322"/>
    <m/>
    <n v="0.13700000000000001"/>
    <m/>
    <x v="29"/>
    <x v="192"/>
    <m/>
  </r>
  <r>
    <x v="1922"/>
    <x v="2659"/>
    <x v="19"/>
    <x v="1"/>
    <x v="1"/>
    <x v="3"/>
    <x v="10"/>
    <x v="1"/>
    <x v="2625"/>
    <n v="518"/>
    <x v="0"/>
    <x v="0"/>
    <x v="396"/>
    <m/>
    <n v="0.183"/>
    <m/>
    <x v="29"/>
    <x v="192"/>
    <m/>
  </r>
  <r>
    <x v="1923"/>
    <x v="2660"/>
    <x v="19"/>
    <x v="1"/>
    <x v="1"/>
    <x v="3"/>
    <x v="10"/>
    <x v="4"/>
    <x v="2626"/>
    <n v="568"/>
    <x v="0"/>
    <x v="0"/>
    <x v="337"/>
    <m/>
    <n v="0.218"/>
    <m/>
    <x v="29"/>
    <x v="123"/>
    <m/>
  </r>
  <r>
    <x v="1923"/>
    <x v="2661"/>
    <x v="19"/>
    <x v="1"/>
    <x v="1"/>
    <x v="3"/>
    <x v="10"/>
    <x v="4"/>
    <x v="2627"/>
    <n v="568"/>
    <x v="0"/>
    <x v="0"/>
    <x v="361"/>
    <m/>
    <n v="0.20899999999999999"/>
    <m/>
    <x v="29"/>
    <x v="123"/>
    <m/>
  </r>
  <r>
    <x v="1923"/>
    <x v="2662"/>
    <x v="19"/>
    <x v="1"/>
    <x v="1"/>
    <x v="3"/>
    <x v="10"/>
    <x v="4"/>
    <x v="2628"/>
    <n v="568"/>
    <x v="0"/>
    <x v="0"/>
    <x v="343"/>
    <m/>
    <n v="0.26800000000000002"/>
    <m/>
    <x v="29"/>
    <x v="123"/>
    <m/>
  </r>
  <r>
    <x v="1923"/>
    <x v="2663"/>
    <x v="19"/>
    <x v="1"/>
    <x v="1"/>
    <x v="8"/>
    <x v="10"/>
    <x v="4"/>
    <x v="2629"/>
    <n v="568"/>
    <x v="0"/>
    <x v="378"/>
    <x v="319"/>
    <n v="2.7E-2"/>
    <n v="0.13900000000000001"/>
    <m/>
    <x v="29"/>
    <x v="123"/>
    <m/>
  </r>
  <r>
    <x v="1924"/>
    <x v="2664"/>
    <x v="19"/>
    <x v="1"/>
    <x v="1"/>
    <x v="3"/>
    <x v="10"/>
    <x v="2"/>
    <x v="2630"/>
    <n v="722"/>
    <x v="0"/>
    <x v="0"/>
    <x v="208"/>
    <m/>
    <n v="0.127"/>
    <m/>
    <x v="29"/>
    <x v="292"/>
    <m/>
  </r>
  <r>
    <x v="1924"/>
    <x v="2665"/>
    <x v="19"/>
    <x v="1"/>
    <x v="1"/>
    <x v="3"/>
    <x v="10"/>
    <x v="2"/>
    <x v="2631"/>
    <n v="722"/>
    <x v="0"/>
    <x v="0"/>
    <x v="239"/>
    <m/>
    <n v="0.10299999999999999"/>
    <m/>
    <x v="29"/>
    <x v="292"/>
    <m/>
  </r>
  <r>
    <x v="1924"/>
    <x v="2666"/>
    <x v="19"/>
    <x v="1"/>
    <x v="1"/>
    <x v="3"/>
    <x v="10"/>
    <x v="2"/>
    <x v="2632"/>
    <n v="722"/>
    <x v="0"/>
    <x v="0"/>
    <x v="486"/>
    <m/>
    <n v="0.104"/>
    <m/>
    <x v="29"/>
    <x v="292"/>
    <m/>
  </r>
  <r>
    <x v="1925"/>
    <x v="2667"/>
    <x v="14"/>
    <x v="1"/>
    <x v="1"/>
    <x v="3"/>
    <x v="10"/>
    <x v="0"/>
    <x v="2633"/>
    <n v="1499"/>
    <x v="0"/>
    <x v="47"/>
    <x v="688"/>
    <n v="0.22"/>
    <n v="0.76400000000000001"/>
    <n v="0.61299999999999999"/>
    <x v="52"/>
    <x v="220"/>
    <m/>
  </r>
  <r>
    <x v="1926"/>
    <x v="2668"/>
    <x v="19"/>
    <x v="1"/>
    <x v="1"/>
    <x v="3"/>
    <x v="10"/>
    <x v="1"/>
    <x v="2634"/>
    <n v="1060"/>
    <x v="0"/>
    <x v="0"/>
    <x v="199"/>
    <m/>
    <n v="0.22600000000000001"/>
    <m/>
    <x v="29"/>
    <x v="114"/>
    <m/>
  </r>
  <r>
    <x v="1926"/>
    <x v="2669"/>
    <x v="19"/>
    <x v="1"/>
    <x v="1"/>
    <x v="3"/>
    <x v="10"/>
    <x v="1"/>
    <x v="2635"/>
    <n v="1060"/>
    <x v="0"/>
    <x v="0"/>
    <x v="187"/>
    <m/>
    <n v="0.30099999999999999"/>
    <m/>
    <x v="29"/>
    <x v="114"/>
    <m/>
  </r>
  <r>
    <x v="1927"/>
    <x v="2670"/>
    <x v="19"/>
    <x v="1"/>
    <x v="1"/>
    <x v="3"/>
    <x v="10"/>
    <x v="4"/>
    <x v="2636"/>
    <n v="873"/>
    <x v="0"/>
    <x v="0"/>
    <x v="475"/>
    <m/>
    <n v="0.105"/>
    <m/>
    <x v="29"/>
    <x v="55"/>
    <m/>
  </r>
  <r>
    <x v="1927"/>
    <x v="2671"/>
    <x v="19"/>
    <x v="1"/>
    <x v="1"/>
    <x v="3"/>
    <x v="10"/>
    <x v="4"/>
    <x v="2637"/>
    <n v="873"/>
    <x v="0"/>
    <x v="0"/>
    <x v="169"/>
    <m/>
    <n v="0.152"/>
    <m/>
    <x v="29"/>
    <x v="55"/>
    <m/>
  </r>
  <r>
    <x v="1927"/>
    <x v="2672"/>
    <x v="19"/>
    <x v="1"/>
    <x v="1"/>
    <x v="3"/>
    <x v="10"/>
    <x v="4"/>
    <x v="2638"/>
    <n v="873"/>
    <x v="0"/>
    <x v="0"/>
    <x v="381"/>
    <m/>
    <n v="0.16500000000000001"/>
    <m/>
    <x v="29"/>
    <x v="55"/>
    <m/>
  </r>
  <r>
    <x v="1927"/>
    <x v="2673"/>
    <x v="19"/>
    <x v="1"/>
    <x v="1"/>
    <x v="3"/>
    <x v="10"/>
    <x v="4"/>
    <x v="2639"/>
    <n v="873"/>
    <x v="0"/>
    <x v="0"/>
    <x v="236"/>
    <m/>
    <n v="0.17799999999999999"/>
    <m/>
    <x v="29"/>
    <x v="55"/>
    <m/>
  </r>
  <r>
    <x v="1928"/>
    <x v="2674"/>
    <x v="19"/>
    <x v="1"/>
    <x v="1"/>
    <x v="3"/>
    <x v="10"/>
    <x v="4"/>
    <x v="2640"/>
    <n v="772"/>
    <x v="0"/>
    <x v="0"/>
    <x v="422"/>
    <m/>
    <n v="0.20100000000000001"/>
    <m/>
    <x v="29"/>
    <x v="113"/>
    <m/>
  </r>
  <r>
    <x v="1928"/>
    <x v="2675"/>
    <x v="19"/>
    <x v="1"/>
    <x v="1"/>
    <x v="3"/>
    <x v="10"/>
    <x v="4"/>
    <x v="2641"/>
    <n v="772"/>
    <x v="0"/>
    <x v="0"/>
    <x v="186"/>
    <m/>
    <n v="0.17499999999999999"/>
    <m/>
    <x v="29"/>
    <x v="113"/>
    <m/>
  </r>
  <r>
    <x v="1928"/>
    <x v="2676"/>
    <x v="19"/>
    <x v="1"/>
    <x v="1"/>
    <x v="3"/>
    <x v="10"/>
    <x v="4"/>
    <x v="2642"/>
    <n v="772"/>
    <x v="0"/>
    <x v="0"/>
    <x v="308"/>
    <m/>
    <n v="0.222"/>
    <m/>
    <x v="29"/>
    <x v="113"/>
    <m/>
  </r>
  <r>
    <x v="1928"/>
    <x v="2677"/>
    <x v="10"/>
    <x v="1"/>
    <x v="1"/>
    <x v="3"/>
    <x v="10"/>
    <x v="4"/>
    <x v="2643"/>
    <n v="772"/>
    <x v="0"/>
    <x v="0"/>
    <x v="477"/>
    <m/>
    <n v="7.9000000000000001E-2"/>
    <m/>
    <x v="29"/>
    <x v="113"/>
    <m/>
  </r>
  <r>
    <x v="1929"/>
    <x v="2678"/>
    <x v="19"/>
    <x v="1"/>
    <x v="1"/>
    <x v="3"/>
    <x v="10"/>
    <x v="1"/>
    <x v="2644"/>
    <n v="987"/>
    <x v="0"/>
    <x v="0"/>
    <x v="320"/>
    <m/>
    <n v="0.215"/>
    <m/>
    <x v="29"/>
    <x v="126"/>
    <m/>
  </r>
  <r>
    <x v="1929"/>
    <x v="2679"/>
    <x v="19"/>
    <x v="1"/>
    <x v="1"/>
    <x v="3"/>
    <x v="10"/>
    <x v="1"/>
    <x v="2645"/>
    <n v="987"/>
    <x v="0"/>
    <x v="0"/>
    <x v="244"/>
    <m/>
    <n v="0.18"/>
    <m/>
    <x v="29"/>
    <x v="126"/>
    <m/>
  </r>
  <r>
    <x v="1930"/>
    <x v="2680"/>
    <x v="19"/>
    <x v="1"/>
    <x v="1"/>
    <x v="3"/>
    <x v="10"/>
    <x v="1"/>
    <x v="2646"/>
    <n v="1027"/>
    <x v="0"/>
    <x v="0"/>
    <x v="41"/>
    <m/>
    <n v="0.23300000000000001"/>
    <m/>
    <x v="29"/>
    <x v="62"/>
    <m/>
  </r>
  <r>
    <x v="1930"/>
    <x v="2681"/>
    <x v="19"/>
    <x v="1"/>
    <x v="1"/>
    <x v="3"/>
    <x v="10"/>
    <x v="1"/>
    <x v="2647"/>
    <n v="1027"/>
    <x v="0"/>
    <x v="0"/>
    <x v="356"/>
    <m/>
    <n v="0.26300000000000001"/>
    <m/>
    <x v="29"/>
    <x v="62"/>
    <m/>
  </r>
  <r>
    <x v="1931"/>
    <x v="2682"/>
    <x v="19"/>
    <x v="1"/>
    <x v="1"/>
    <x v="3"/>
    <x v="10"/>
    <x v="1"/>
    <x v="2648"/>
    <n v="260"/>
    <x v="0"/>
    <x v="0"/>
    <x v="555"/>
    <m/>
    <n v="6.6000000000000003E-2"/>
    <m/>
    <x v="29"/>
    <x v="112"/>
    <m/>
  </r>
  <r>
    <x v="1931"/>
    <x v="2683"/>
    <x v="19"/>
    <x v="1"/>
    <x v="1"/>
    <x v="3"/>
    <x v="10"/>
    <x v="1"/>
    <x v="2649"/>
    <n v="260"/>
    <x v="0"/>
    <x v="0"/>
    <x v="607"/>
    <m/>
    <n v="0.107"/>
    <m/>
    <x v="29"/>
    <x v="112"/>
    <m/>
  </r>
  <r>
    <x v="1932"/>
    <x v="2684"/>
    <x v="19"/>
    <x v="1"/>
    <x v="1"/>
    <x v="3"/>
    <x v="10"/>
    <x v="1"/>
    <x v="2650"/>
    <n v="1032"/>
    <x v="0"/>
    <x v="0"/>
    <x v="222"/>
    <m/>
    <n v="0.23699999999999999"/>
    <m/>
    <x v="29"/>
    <x v="55"/>
    <m/>
  </r>
  <r>
    <x v="1932"/>
    <x v="2685"/>
    <x v="19"/>
    <x v="1"/>
    <x v="1"/>
    <x v="3"/>
    <x v="10"/>
    <x v="1"/>
    <x v="2651"/>
    <n v="1032"/>
    <x v="0"/>
    <x v="0"/>
    <x v="604"/>
    <m/>
    <n v="0.27400000000000002"/>
    <m/>
    <x v="29"/>
    <x v="55"/>
    <m/>
  </r>
  <r>
    <x v="1933"/>
    <x v="2686"/>
    <x v="19"/>
    <x v="1"/>
    <x v="1"/>
    <x v="3"/>
    <x v="10"/>
    <x v="1"/>
    <x v="2652"/>
    <n v="950"/>
    <x v="0"/>
    <x v="0"/>
    <x v="206"/>
    <m/>
    <n v="0.17599999999999999"/>
    <m/>
    <x v="29"/>
    <x v="45"/>
    <m/>
  </r>
  <r>
    <x v="1933"/>
    <x v="2687"/>
    <x v="19"/>
    <x v="1"/>
    <x v="1"/>
    <x v="3"/>
    <x v="10"/>
    <x v="1"/>
    <x v="2653"/>
    <n v="950"/>
    <x v="0"/>
    <x v="0"/>
    <x v="314"/>
    <m/>
    <n v="0.156"/>
    <m/>
    <x v="29"/>
    <x v="45"/>
    <m/>
  </r>
  <r>
    <x v="1934"/>
    <x v="2688"/>
    <x v="19"/>
    <x v="1"/>
    <x v="1"/>
    <x v="3"/>
    <x v="10"/>
    <x v="1"/>
    <x v="2654"/>
    <n v="623"/>
    <x v="0"/>
    <x v="0"/>
    <x v="280"/>
    <m/>
    <n v="0.13600000000000001"/>
    <m/>
    <x v="29"/>
    <x v="301"/>
    <m/>
  </r>
  <r>
    <x v="1934"/>
    <x v="2689"/>
    <x v="19"/>
    <x v="1"/>
    <x v="1"/>
    <x v="3"/>
    <x v="10"/>
    <x v="1"/>
    <x v="2655"/>
    <n v="623"/>
    <x v="0"/>
    <x v="0"/>
    <x v="232"/>
    <m/>
    <n v="0.11899999999999999"/>
    <m/>
    <x v="29"/>
    <x v="301"/>
    <m/>
  </r>
  <r>
    <x v="1935"/>
    <x v="2690"/>
    <x v="19"/>
    <x v="1"/>
    <x v="1"/>
    <x v="3"/>
    <x v="10"/>
    <x v="1"/>
    <x v="2656"/>
    <n v="1172"/>
    <x v="0"/>
    <x v="0"/>
    <x v="191"/>
    <m/>
    <n v="0.17"/>
    <m/>
    <x v="29"/>
    <x v="3"/>
    <m/>
  </r>
  <r>
    <x v="1935"/>
    <x v="2691"/>
    <x v="19"/>
    <x v="1"/>
    <x v="1"/>
    <x v="3"/>
    <x v="10"/>
    <x v="1"/>
    <x v="2657"/>
    <n v="1172"/>
    <x v="0"/>
    <x v="0"/>
    <x v="186"/>
    <m/>
    <n v="0.17499999999999999"/>
    <m/>
    <x v="29"/>
    <x v="3"/>
    <m/>
  </r>
  <r>
    <x v="1936"/>
    <x v="2692"/>
    <x v="14"/>
    <x v="1"/>
    <x v="1"/>
    <x v="3"/>
    <x v="10"/>
    <x v="0"/>
    <x v="2658"/>
    <n v="1645"/>
    <x v="0"/>
    <x v="379"/>
    <x v="689"/>
    <n v="0.127"/>
    <n v="0.72799999999999998"/>
    <n v="0.41"/>
    <x v="45"/>
    <x v="171"/>
    <m/>
  </r>
  <r>
    <x v="1937"/>
    <x v="2693"/>
    <x v="19"/>
    <x v="1"/>
    <x v="1"/>
    <x v="3"/>
    <x v="10"/>
    <x v="2"/>
    <x v="2659"/>
    <n v="931"/>
    <x v="0"/>
    <x v="0"/>
    <x v="381"/>
    <m/>
    <n v="0.16500000000000001"/>
    <m/>
    <x v="29"/>
    <x v="104"/>
    <m/>
  </r>
  <r>
    <x v="1937"/>
    <x v="2694"/>
    <x v="7"/>
    <x v="1"/>
    <x v="1"/>
    <x v="3"/>
    <x v="10"/>
    <x v="2"/>
    <x v="2660"/>
    <n v="931"/>
    <x v="0"/>
    <x v="380"/>
    <x v="487"/>
    <n v="1.9E-2"/>
    <n v="0.27700000000000002"/>
    <m/>
    <x v="29"/>
    <x v="104"/>
    <m/>
  </r>
  <r>
    <x v="1937"/>
    <x v="2695"/>
    <x v="7"/>
    <x v="1"/>
    <x v="1"/>
    <x v="3"/>
    <x v="10"/>
    <x v="2"/>
    <x v="2661"/>
    <n v="931"/>
    <x v="0"/>
    <x v="381"/>
    <x v="388"/>
    <n v="4.7E-2"/>
    <n v="0.25"/>
    <m/>
    <x v="29"/>
    <x v="104"/>
    <m/>
  </r>
  <r>
    <x v="1938"/>
    <x v="2696"/>
    <x v="19"/>
    <x v="1"/>
    <x v="1"/>
    <x v="3"/>
    <x v="10"/>
    <x v="2"/>
    <x v="2662"/>
    <n v="1078"/>
    <x v="0"/>
    <x v="0"/>
    <x v="375"/>
    <m/>
    <n v="0.27300000000000002"/>
    <m/>
    <x v="29"/>
    <x v="131"/>
    <m/>
  </r>
  <r>
    <x v="1938"/>
    <x v="2697"/>
    <x v="19"/>
    <x v="1"/>
    <x v="1"/>
    <x v="3"/>
    <x v="10"/>
    <x v="2"/>
    <x v="2663"/>
    <n v="1078"/>
    <x v="0"/>
    <x v="0"/>
    <x v="561"/>
    <m/>
    <n v="0.28499999999999998"/>
    <m/>
    <x v="29"/>
    <x v="131"/>
    <m/>
  </r>
  <r>
    <x v="1938"/>
    <x v="2698"/>
    <x v="10"/>
    <x v="1"/>
    <x v="1"/>
    <x v="3"/>
    <x v="10"/>
    <x v="2"/>
    <x v="2664"/>
    <n v="1078"/>
    <x v="0"/>
    <x v="0"/>
    <x v="394"/>
    <m/>
    <n v="0.24299999999999999"/>
    <m/>
    <x v="29"/>
    <x v="131"/>
    <m/>
  </r>
  <r>
    <x v="1939"/>
    <x v="2699"/>
    <x v="19"/>
    <x v="1"/>
    <x v="1"/>
    <x v="3"/>
    <x v="10"/>
    <x v="1"/>
    <x v="2665"/>
    <n v="279"/>
    <x v="0"/>
    <x v="0"/>
    <x v="556"/>
    <m/>
    <n v="7.6999999999999999E-2"/>
    <m/>
    <x v="29"/>
    <x v="202"/>
    <m/>
  </r>
  <r>
    <x v="1939"/>
    <x v="2700"/>
    <x v="19"/>
    <x v="1"/>
    <x v="1"/>
    <x v="3"/>
    <x v="10"/>
    <x v="1"/>
    <x v="2666"/>
    <n v="279"/>
    <x v="0"/>
    <x v="0"/>
    <x v="513"/>
    <m/>
    <n v="0.111"/>
    <m/>
    <x v="29"/>
    <x v="202"/>
    <m/>
  </r>
  <r>
    <x v="1940"/>
    <x v="2701"/>
    <x v="19"/>
    <x v="1"/>
    <x v="1"/>
    <x v="3"/>
    <x v="10"/>
    <x v="1"/>
    <x v="2667"/>
    <n v="333"/>
    <x v="0"/>
    <x v="0"/>
    <x v="219"/>
    <m/>
    <n v="7.9000000000000001E-2"/>
    <m/>
    <x v="29"/>
    <x v="70"/>
    <m/>
  </r>
  <r>
    <x v="1940"/>
    <x v="2702"/>
    <x v="19"/>
    <x v="1"/>
    <x v="1"/>
    <x v="3"/>
    <x v="10"/>
    <x v="1"/>
    <x v="2668"/>
    <n v="333"/>
    <x v="0"/>
    <x v="0"/>
    <x v="231"/>
    <m/>
    <n v="0.123"/>
    <m/>
    <x v="29"/>
    <x v="70"/>
    <m/>
  </r>
  <r>
    <x v="1941"/>
    <x v="2703"/>
    <x v="19"/>
    <x v="1"/>
    <x v="1"/>
    <x v="3"/>
    <x v="10"/>
    <x v="2"/>
    <x v="2669"/>
    <n v="574"/>
    <x v="0"/>
    <x v="0"/>
    <x v="307"/>
    <m/>
    <n v="0.16400000000000001"/>
    <m/>
    <x v="29"/>
    <x v="282"/>
    <m/>
  </r>
  <r>
    <x v="1941"/>
    <x v="2704"/>
    <x v="19"/>
    <x v="1"/>
    <x v="1"/>
    <x v="3"/>
    <x v="10"/>
    <x v="2"/>
    <x v="2670"/>
    <n v="574"/>
    <x v="0"/>
    <x v="0"/>
    <x v="166"/>
    <m/>
    <n v="0.11700000000000001"/>
    <m/>
    <x v="29"/>
    <x v="282"/>
    <m/>
  </r>
  <r>
    <x v="1941"/>
    <x v="2705"/>
    <x v="19"/>
    <x v="1"/>
    <x v="1"/>
    <x v="3"/>
    <x v="10"/>
    <x v="2"/>
    <x v="2671"/>
    <n v="574"/>
    <x v="0"/>
    <x v="0"/>
    <x v="513"/>
    <m/>
    <n v="0.111"/>
    <m/>
    <x v="29"/>
    <x v="282"/>
    <m/>
  </r>
  <r>
    <x v="1942"/>
    <x v="2706"/>
    <x v="19"/>
    <x v="1"/>
    <x v="1"/>
    <x v="3"/>
    <x v="10"/>
    <x v="1"/>
    <x v="2672"/>
    <n v="1143"/>
    <x v="0"/>
    <x v="0"/>
    <x v="472"/>
    <m/>
    <n v="0.13"/>
    <m/>
    <x v="29"/>
    <x v="88"/>
    <m/>
  </r>
  <r>
    <x v="1942"/>
    <x v="2707"/>
    <x v="19"/>
    <x v="1"/>
    <x v="1"/>
    <x v="3"/>
    <x v="10"/>
    <x v="1"/>
    <x v="2673"/>
    <n v="1143"/>
    <x v="0"/>
    <x v="0"/>
    <x v="552"/>
    <m/>
    <n v="0.24199999999999999"/>
    <m/>
    <x v="29"/>
    <x v="88"/>
    <m/>
  </r>
  <r>
    <x v="1943"/>
    <x v="2708"/>
    <x v="19"/>
    <x v="1"/>
    <x v="1"/>
    <x v="3"/>
    <x v="10"/>
    <x v="1"/>
    <x v="2674"/>
    <n v="639"/>
    <x v="0"/>
    <x v="0"/>
    <x v="220"/>
    <m/>
    <n v="0.14000000000000001"/>
    <m/>
    <x v="29"/>
    <x v="216"/>
    <m/>
  </r>
  <r>
    <x v="1943"/>
    <x v="2709"/>
    <x v="19"/>
    <x v="1"/>
    <x v="1"/>
    <x v="3"/>
    <x v="10"/>
    <x v="1"/>
    <x v="2675"/>
    <n v="639"/>
    <x v="0"/>
    <x v="0"/>
    <x v="502"/>
    <m/>
    <n v="0.161"/>
    <m/>
    <x v="29"/>
    <x v="216"/>
    <m/>
  </r>
  <r>
    <x v="1944"/>
    <x v="2710"/>
    <x v="19"/>
    <x v="1"/>
    <x v="1"/>
    <x v="3"/>
    <x v="10"/>
    <x v="2"/>
    <x v="2676"/>
    <n v="741"/>
    <x v="0"/>
    <x v="0"/>
    <x v="307"/>
    <m/>
    <n v="0.16400000000000001"/>
    <m/>
    <x v="29"/>
    <x v="56"/>
    <m/>
  </r>
  <r>
    <x v="1944"/>
    <x v="2711"/>
    <x v="19"/>
    <x v="1"/>
    <x v="1"/>
    <x v="3"/>
    <x v="10"/>
    <x v="2"/>
    <x v="2677"/>
    <n v="741"/>
    <x v="0"/>
    <x v="0"/>
    <x v="344"/>
    <m/>
    <n v="0.23799999999999999"/>
    <m/>
    <x v="29"/>
    <x v="56"/>
    <m/>
  </r>
  <r>
    <x v="1944"/>
    <x v="2712"/>
    <x v="19"/>
    <x v="1"/>
    <x v="1"/>
    <x v="3"/>
    <x v="10"/>
    <x v="2"/>
    <x v="2678"/>
    <n v="741"/>
    <x v="0"/>
    <x v="0"/>
    <x v="336"/>
    <m/>
    <n v="0.30599999999999999"/>
    <m/>
    <x v="29"/>
    <x v="56"/>
    <m/>
  </r>
  <r>
    <x v="1945"/>
    <x v="2713"/>
    <x v="19"/>
    <x v="1"/>
    <x v="1"/>
    <x v="3"/>
    <x v="10"/>
    <x v="1"/>
    <x v="2679"/>
    <n v="1067"/>
    <x v="0"/>
    <x v="0"/>
    <x v="394"/>
    <m/>
    <n v="0.24299999999999999"/>
    <m/>
    <x v="29"/>
    <x v="105"/>
    <m/>
  </r>
  <r>
    <x v="1945"/>
    <x v="2714"/>
    <x v="19"/>
    <x v="1"/>
    <x v="1"/>
    <x v="3"/>
    <x v="10"/>
    <x v="1"/>
    <x v="2680"/>
    <n v="1067"/>
    <x v="0"/>
    <x v="0"/>
    <x v="649"/>
    <m/>
    <n v="0.254"/>
    <m/>
    <x v="29"/>
    <x v="105"/>
    <m/>
  </r>
  <r>
    <x v="1946"/>
    <x v="2715"/>
    <x v="19"/>
    <x v="1"/>
    <x v="1"/>
    <x v="3"/>
    <x v="10"/>
    <x v="2"/>
    <x v="2681"/>
    <n v="2037"/>
    <x v="0"/>
    <x v="0"/>
    <x v="369"/>
    <m/>
    <n v="0.315"/>
    <m/>
    <x v="29"/>
    <x v="121"/>
    <m/>
  </r>
  <r>
    <x v="1946"/>
    <x v="2716"/>
    <x v="19"/>
    <x v="1"/>
    <x v="1"/>
    <x v="3"/>
    <x v="10"/>
    <x v="2"/>
    <x v="2682"/>
    <n v="2037"/>
    <x v="0"/>
    <x v="0"/>
    <x v="675"/>
    <m/>
    <n v="0.38400000000000001"/>
    <m/>
    <x v="29"/>
    <x v="121"/>
    <m/>
  </r>
  <r>
    <x v="1946"/>
    <x v="2717"/>
    <x v="19"/>
    <x v="1"/>
    <x v="1"/>
    <x v="3"/>
    <x v="10"/>
    <x v="2"/>
    <x v="2683"/>
    <n v="2037"/>
    <x v="0"/>
    <x v="0"/>
    <x v="690"/>
    <m/>
    <n v="0.35799999999999998"/>
    <m/>
    <x v="29"/>
    <x v="121"/>
    <m/>
  </r>
  <r>
    <x v="1947"/>
    <x v="2718"/>
    <x v="15"/>
    <x v="1"/>
    <x v="1"/>
    <x v="3"/>
    <x v="10"/>
    <x v="1"/>
    <x v="2684"/>
    <n v="470"/>
    <x v="110"/>
    <x v="382"/>
    <x v="691"/>
    <n v="1.4E-2"/>
    <n v="0.13300000000000001"/>
    <n v="7.46"/>
    <x v="154"/>
    <x v="204"/>
    <n v="0.3508"/>
  </r>
  <r>
    <x v="1947"/>
    <x v="2719"/>
    <x v="15"/>
    <x v="1"/>
    <x v="1"/>
    <x v="3"/>
    <x v="10"/>
    <x v="1"/>
    <x v="2685"/>
    <n v="470"/>
    <x v="110"/>
    <x v="13"/>
    <x v="692"/>
    <n v="2.5000000000000001E-2"/>
    <n v="0.32800000000000001"/>
    <n v="0.89"/>
    <x v="154"/>
    <x v="204"/>
    <n v="0.3508"/>
  </r>
  <r>
    <x v="1948"/>
    <x v="2720"/>
    <x v="19"/>
    <x v="1"/>
    <x v="1"/>
    <x v="3"/>
    <x v="10"/>
    <x v="1"/>
    <x v="2686"/>
    <n v="881"/>
    <x v="0"/>
    <x v="0"/>
    <x v="520"/>
    <m/>
    <n v="0.14699999999999999"/>
    <m/>
    <x v="29"/>
    <x v="124"/>
    <m/>
  </r>
  <r>
    <x v="1948"/>
    <x v="2721"/>
    <x v="19"/>
    <x v="1"/>
    <x v="1"/>
    <x v="3"/>
    <x v="10"/>
    <x v="1"/>
    <x v="2687"/>
    <n v="881"/>
    <x v="0"/>
    <x v="0"/>
    <x v="371"/>
    <m/>
    <n v="0.187"/>
    <m/>
    <x v="29"/>
    <x v="124"/>
    <m/>
  </r>
  <r>
    <x v="1949"/>
    <x v="2722"/>
    <x v="19"/>
    <x v="1"/>
    <x v="1"/>
    <x v="3"/>
    <x v="10"/>
    <x v="1"/>
    <x v="2688"/>
    <n v="800"/>
    <x v="0"/>
    <x v="0"/>
    <x v="218"/>
    <m/>
    <n v="0.129"/>
    <m/>
    <x v="29"/>
    <x v="156"/>
    <m/>
  </r>
  <r>
    <x v="1949"/>
    <x v="2723"/>
    <x v="19"/>
    <x v="1"/>
    <x v="1"/>
    <x v="3"/>
    <x v="10"/>
    <x v="1"/>
    <x v="2689"/>
    <n v="800"/>
    <x v="0"/>
    <x v="0"/>
    <x v="221"/>
    <m/>
    <n v="0.22500000000000001"/>
    <m/>
    <x v="29"/>
    <x v="156"/>
    <m/>
  </r>
  <r>
    <x v="1950"/>
    <x v="2724"/>
    <x v="19"/>
    <x v="1"/>
    <x v="1"/>
    <x v="3"/>
    <x v="10"/>
    <x v="1"/>
    <x v="2690"/>
    <n v="658"/>
    <x v="0"/>
    <x v="0"/>
    <x v="477"/>
    <m/>
    <n v="7.9000000000000001E-2"/>
    <m/>
    <x v="29"/>
    <x v="185"/>
    <m/>
  </r>
  <r>
    <x v="1950"/>
    <x v="2725"/>
    <x v="19"/>
    <x v="1"/>
    <x v="1"/>
    <x v="3"/>
    <x v="10"/>
    <x v="1"/>
    <x v="2691"/>
    <n v="658"/>
    <x v="0"/>
    <x v="0"/>
    <x v="218"/>
    <m/>
    <n v="0.129"/>
    <m/>
    <x v="29"/>
    <x v="185"/>
    <m/>
  </r>
  <r>
    <x v="1951"/>
    <x v="2726"/>
    <x v="19"/>
    <x v="1"/>
    <x v="1"/>
    <x v="3"/>
    <x v="10"/>
    <x v="2"/>
    <x v="2692"/>
    <n v="606"/>
    <x v="0"/>
    <x v="0"/>
    <x v="409"/>
    <m/>
    <n v="0.10299999999999999"/>
    <m/>
    <x v="29"/>
    <x v="242"/>
    <m/>
  </r>
  <r>
    <x v="1951"/>
    <x v="2727"/>
    <x v="19"/>
    <x v="1"/>
    <x v="1"/>
    <x v="3"/>
    <x v="10"/>
    <x v="2"/>
    <x v="2693"/>
    <n v="606"/>
    <x v="0"/>
    <x v="0"/>
    <x v="529"/>
    <m/>
    <n v="0.151"/>
    <m/>
    <x v="29"/>
    <x v="242"/>
    <m/>
  </r>
  <r>
    <x v="1951"/>
    <x v="2728"/>
    <x v="19"/>
    <x v="1"/>
    <x v="1"/>
    <x v="3"/>
    <x v="10"/>
    <x v="2"/>
    <x v="2694"/>
    <n v="606"/>
    <x v="0"/>
    <x v="0"/>
    <x v="396"/>
    <m/>
    <n v="0.183"/>
    <m/>
    <x v="29"/>
    <x v="242"/>
    <m/>
  </r>
  <r>
    <x v="1952"/>
    <x v="2729"/>
    <x v="19"/>
    <x v="1"/>
    <x v="1"/>
    <x v="3"/>
    <x v="10"/>
    <x v="1"/>
    <x v="2695"/>
    <n v="941"/>
    <x v="0"/>
    <x v="0"/>
    <x v="273"/>
    <m/>
    <n v="0.13800000000000001"/>
    <m/>
    <x v="29"/>
    <x v="182"/>
    <m/>
  </r>
  <r>
    <x v="1952"/>
    <x v="2730"/>
    <x v="19"/>
    <x v="1"/>
    <x v="1"/>
    <x v="3"/>
    <x v="10"/>
    <x v="1"/>
    <x v="2696"/>
    <n v="941"/>
    <x v="0"/>
    <x v="0"/>
    <x v="230"/>
    <m/>
    <n v="0.192"/>
    <m/>
    <x v="29"/>
    <x v="182"/>
    <m/>
  </r>
  <r>
    <x v="1953"/>
    <x v="2731"/>
    <x v="19"/>
    <x v="1"/>
    <x v="1"/>
    <x v="3"/>
    <x v="10"/>
    <x v="1"/>
    <x v="2697"/>
    <n v="950"/>
    <x v="0"/>
    <x v="0"/>
    <x v="525"/>
    <m/>
    <n v="0.182"/>
    <m/>
    <x v="29"/>
    <x v="133"/>
    <m/>
  </r>
  <r>
    <x v="1953"/>
    <x v="2732"/>
    <x v="19"/>
    <x v="1"/>
    <x v="1"/>
    <x v="3"/>
    <x v="10"/>
    <x v="1"/>
    <x v="2698"/>
    <n v="950"/>
    <x v="0"/>
    <x v="0"/>
    <x v="157"/>
    <m/>
    <n v="0.14599999999999999"/>
    <m/>
    <x v="29"/>
    <x v="133"/>
    <m/>
  </r>
  <r>
    <x v="1954"/>
    <x v="2733"/>
    <x v="19"/>
    <x v="1"/>
    <x v="1"/>
    <x v="3"/>
    <x v="10"/>
    <x v="1"/>
    <x v="2699"/>
    <n v="1156"/>
    <x v="0"/>
    <x v="0"/>
    <x v="472"/>
    <m/>
    <n v="0.13"/>
    <m/>
    <x v="29"/>
    <x v="133"/>
    <m/>
  </r>
  <r>
    <x v="1954"/>
    <x v="2734"/>
    <x v="19"/>
    <x v="1"/>
    <x v="1"/>
    <x v="3"/>
    <x v="10"/>
    <x v="1"/>
    <x v="2700"/>
    <n v="1156"/>
    <x v="0"/>
    <x v="0"/>
    <x v="620"/>
    <m/>
    <n v="0.16"/>
    <m/>
    <x v="29"/>
    <x v="133"/>
    <m/>
  </r>
  <r>
    <x v="1955"/>
    <x v="2735"/>
    <x v="19"/>
    <x v="1"/>
    <x v="1"/>
    <x v="3"/>
    <x v="10"/>
    <x v="1"/>
    <x v="2701"/>
    <n v="198"/>
    <x v="0"/>
    <x v="0"/>
    <x v="185"/>
    <m/>
    <n v="0.11600000000000001"/>
    <m/>
    <x v="29"/>
    <x v="67"/>
    <m/>
  </r>
  <r>
    <x v="1955"/>
    <x v="2736"/>
    <x v="19"/>
    <x v="1"/>
    <x v="1"/>
    <x v="3"/>
    <x v="10"/>
    <x v="1"/>
    <x v="2702"/>
    <n v="198"/>
    <x v="0"/>
    <x v="0"/>
    <x v="607"/>
    <m/>
    <n v="0.107"/>
    <m/>
    <x v="29"/>
    <x v="67"/>
    <m/>
  </r>
  <r>
    <x v="1956"/>
    <x v="2737"/>
    <x v="19"/>
    <x v="1"/>
    <x v="1"/>
    <x v="3"/>
    <x v="10"/>
    <x v="1"/>
    <x v="2703"/>
    <n v="488"/>
    <x v="0"/>
    <x v="0"/>
    <x v="514"/>
    <m/>
    <n v="0.29099999999999998"/>
    <m/>
    <x v="29"/>
    <x v="321"/>
    <m/>
  </r>
  <r>
    <x v="1956"/>
    <x v="2738"/>
    <x v="19"/>
    <x v="1"/>
    <x v="1"/>
    <x v="3"/>
    <x v="10"/>
    <x v="1"/>
    <x v="2704"/>
    <n v="488"/>
    <x v="0"/>
    <x v="0"/>
    <x v="423"/>
    <m/>
    <n v="0.34599999999999997"/>
    <m/>
    <x v="29"/>
    <x v="321"/>
    <m/>
  </r>
  <r>
    <x v="1957"/>
    <x v="2739"/>
    <x v="19"/>
    <x v="1"/>
    <x v="1"/>
    <x v="3"/>
    <x v="10"/>
    <x v="1"/>
    <x v="2705"/>
    <n v="214"/>
    <x v="0"/>
    <x v="0"/>
    <x v="559"/>
    <m/>
    <n v="0.10100000000000001"/>
    <m/>
    <x v="29"/>
    <x v="296"/>
    <m/>
  </r>
  <r>
    <x v="1957"/>
    <x v="2740"/>
    <x v="19"/>
    <x v="1"/>
    <x v="1"/>
    <x v="3"/>
    <x v="10"/>
    <x v="1"/>
    <x v="2706"/>
    <n v="214"/>
    <x v="0"/>
    <x v="0"/>
    <x v="353"/>
    <m/>
    <n v="0.126"/>
    <m/>
    <x v="29"/>
    <x v="296"/>
    <m/>
  </r>
  <r>
    <x v="1958"/>
    <x v="2741"/>
    <x v="7"/>
    <x v="1"/>
    <x v="1"/>
    <x v="3"/>
    <x v="10"/>
    <x v="4"/>
    <x v="2707"/>
    <n v="66"/>
    <x v="0"/>
    <x v="45"/>
    <x v="693"/>
    <n v="0.01"/>
    <n v="0.03"/>
    <m/>
    <x v="122"/>
    <x v="38"/>
    <n v="2.5"/>
  </r>
  <r>
    <x v="1958"/>
    <x v="2742"/>
    <x v="7"/>
    <x v="1"/>
    <x v="1"/>
    <x v="3"/>
    <x v="10"/>
    <x v="4"/>
    <x v="2708"/>
    <n v="66"/>
    <x v="0"/>
    <x v="383"/>
    <x v="618"/>
    <n v="3.7760000000000002E-2"/>
    <n v="6.7000000000000004E-2"/>
    <m/>
    <x v="122"/>
    <x v="38"/>
    <n v="2.5"/>
  </r>
  <r>
    <x v="1958"/>
    <x v="2743"/>
    <x v="7"/>
    <x v="1"/>
    <x v="1"/>
    <x v="3"/>
    <x v="10"/>
    <x v="4"/>
    <x v="2709"/>
    <n v="66"/>
    <x v="0"/>
    <x v="32"/>
    <x v="573"/>
    <n v="3.8390000000000001E-2"/>
    <n v="0.17299999999999999"/>
    <m/>
    <x v="122"/>
    <x v="38"/>
    <n v="2.5"/>
  </r>
  <r>
    <x v="1958"/>
    <x v="2744"/>
    <x v="19"/>
    <x v="1"/>
    <x v="1"/>
    <x v="8"/>
    <x v="10"/>
    <x v="4"/>
    <x v="2710"/>
    <n v="66"/>
    <x v="0"/>
    <x v="0"/>
    <x v="0"/>
    <m/>
    <m/>
    <m/>
    <x v="122"/>
    <x v="38"/>
    <n v="2.5"/>
  </r>
  <r>
    <x v="1959"/>
    <x v="2745"/>
    <x v="19"/>
    <x v="1"/>
    <x v="1"/>
    <x v="3"/>
    <x v="10"/>
    <x v="1"/>
    <x v="2711"/>
    <n v="1078"/>
    <x v="0"/>
    <x v="0"/>
    <x v="397"/>
    <m/>
    <n v="0.14199999999999999"/>
    <m/>
    <x v="29"/>
    <x v="52"/>
    <m/>
  </r>
  <r>
    <x v="1959"/>
    <x v="2746"/>
    <x v="19"/>
    <x v="1"/>
    <x v="1"/>
    <x v="3"/>
    <x v="10"/>
    <x v="1"/>
    <x v="2712"/>
    <n v="1078"/>
    <x v="0"/>
    <x v="0"/>
    <x v="3"/>
    <m/>
    <n v="0.17"/>
    <m/>
    <x v="29"/>
    <x v="52"/>
    <m/>
  </r>
  <r>
    <x v="1960"/>
    <x v="2747"/>
    <x v="19"/>
    <x v="1"/>
    <x v="1"/>
    <x v="3"/>
    <x v="10"/>
    <x v="1"/>
    <x v="2713"/>
    <n v="603"/>
    <x v="0"/>
    <x v="0"/>
    <x v="210"/>
    <m/>
    <n v="0.16900000000000001"/>
    <m/>
    <x v="29"/>
    <x v="173"/>
    <m/>
  </r>
  <r>
    <x v="1960"/>
    <x v="2748"/>
    <x v="19"/>
    <x v="1"/>
    <x v="1"/>
    <x v="3"/>
    <x v="10"/>
    <x v="1"/>
    <x v="2714"/>
    <n v="603"/>
    <x v="0"/>
    <x v="0"/>
    <x v="465"/>
    <m/>
    <n v="0.159"/>
    <m/>
    <x v="29"/>
    <x v="173"/>
    <m/>
  </r>
  <r>
    <x v="1961"/>
    <x v="2749"/>
    <x v="19"/>
    <x v="1"/>
    <x v="1"/>
    <x v="3"/>
    <x v="10"/>
    <x v="2"/>
    <x v="2715"/>
    <n v="1378"/>
    <x v="0"/>
    <x v="0"/>
    <x v="554"/>
    <m/>
    <n v="0.121"/>
    <m/>
    <x v="29"/>
    <x v="48"/>
    <m/>
  </r>
  <r>
    <x v="1961"/>
    <x v="2750"/>
    <x v="19"/>
    <x v="1"/>
    <x v="1"/>
    <x v="3"/>
    <x v="10"/>
    <x v="2"/>
    <x v="2716"/>
    <n v="1378"/>
    <x v="0"/>
    <x v="0"/>
    <x v="490"/>
    <m/>
    <n v="0.186"/>
    <m/>
    <x v="29"/>
    <x v="48"/>
    <m/>
  </r>
  <r>
    <x v="1961"/>
    <x v="2751"/>
    <x v="19"/>
    <x v="1"/>
    <x v="1"/>
    <x v="3"/>
    <x v="10"/>
    <x v="2"/>
    <x v="2717"/>
    <n v="1378"/>
    <x v="0"/>
    <x v="0"/>
    <x v="529"/>
    <m/>
    <n v="0.151"/>
    <m/>
    <x v="29"/>
    <x v="48"/>
    <m/>
  </r>
  <r>
    <x v="1962"/>
    <x v="2752"/>
    <x v="19"/>
    <x v="1"/>
    <x v="1"/>
    <x v="3"/>
    <x v="10"/>
    <x v="1"/>
    <x v="2718"/>
    <n v="718"/>
    <x v="0"/>
    <x v="0"/>
    <x v="554"/>
    <m/>
    <n v="0.121"/>
    <m/>
    <x v="29"/>
    <x v="239"/>
    <m/>
  </r>
  <r>
    <x v="1962"/>
    <x v="2753"/>
    <x v="19"/>
    <x v="1"/>
    <x v="1"/>
    <x v="3"/>
    <x v="10"/>
    <x v="1"/>
    <x v="2719"/>
    <n v="718"/>
    <x v="0"/>
    <x v="0"/>
    <x v="513"/>
    <m/>
    <n v="0.111"/>
    <m/>
    <x v="29"/>
    <x v="239"/>
    <m/>
  </r>
  <r>
    <x v="1963"/>
    <x v="2754"/>
    <x v="19"/>
    <x v="1"/>
    <x v="1"/>
    <x v="3"/>
    <x v="10"/>
    <x v="2"/>
    <x v="2720"/>
    <n v="978"/>
    <x v="0"/>
    <x v="0"/>
    <x v="534"/>
    <m/>
    <n v="9.1999999999999998E-2"/>
    <m/>
    <x v="29"/>
    <x v="33"/>
    <m/>
  </r>
  <r>
    <x v="1963"/>
    <x v="2755"/>
    <x v="19"/>
    <x v="1"/>
    <x v="1"/>
    <x v="3"/>
    <x v="10"/>
    <x v="2"/>
    <x v="2721"/>
    <n v="978"/>
    <x v="0"/>
    <x v="0"/>
    <x v="327"/>
    <m/>
    <n v="9.8000000000000004E-2"/>
    <m/>
    <x v="29"/>
    <x v="33"/>
    <m/>
  </r>
  <r>
    <x v="1963"/>
    <x v="2756"/>
    <x v="19"/>
    <x v="1"/>
    <x v="1"/>
    <x v="3"/>
    <x v="10"/>
    <x v="2"/>
    <x v="2722"/>
    <n v="978"/>
    <x v="0"/>
    <x v="0"/>
    <x v="166"/>
    <m/>
    <n v="0.11700000000000001"/>
    <m/>
    <x v="29"/>
    <x v="33"/>
    <m/>
  </r>
  <r>
    <x v="1964"/>
    <x v="2757"/>
    <x v="19"/>
    <x v="1"/>
    <x v="1"/>
    <x v="3"/>
    <x v="10"/>
    <x v="1"/>
    <x v="2723"/>
    <n v="1209"/>
    <x v="0"/>
    <x v="0"/>
    <x v="218"/>
    <m/>
    <n v="0.129"/>
    <m/>
    <x v="29"/>
    <x v="239"/>
    <m/>
  </r>
  <r>
    <x v="1964"/>
    <x v="2758"/>
    <x v="19"/>
    <x v="1"/>
    <x v="1"/>
    <x v="3"/>
    <x v="10"/>
    <x v="1"/>
    <x v="2724"/>
    <n v="1209"/>
    <x v="0"/>
    <x v="0"/>
    <x v="594"/>
    <m/>
    <n v="0.23599999999999999"/>
    <m/>
    <x v="29"/>
    <x v="239"/>
    <m/>
  </r>
  <r>
    <x v="1965"/>
    <x v="2759"/>
    <x v="19"/>
    <x v="1"/>
    <x v="1"/>
    <x v="3"/>
    <x v="10"/>
    <x v="1"/>
    <x v="2725"/>
    <n v="806"/>
    <x v="0"/>
    <x v="0"/>
    <x v="503"/>
    <m/>
    <n v="9.5000000000000001E-2"/>
    <m/>
    <x v="29"/>
    <x v="201"/>
    <m/>
  </r>
  <r>
    <x v="1965"/>
    <x v="2760"/>
    <x v="19"/>
    <x v="1"/>
    <x v="1"/>
    <x v="3"/>
    <x v="10"/>
    <x v="1"/>
    <x v="2726"/>
    <n v="806"/>
    <x v="0"/>
    <x v="0"/>
    <x v="620"/>
    <m/>
    <n v="0.16"/>
    <m/>
    <x v="29"/>
    <x v="201"/>
    <m/>
  </r>
  <r>
    <x v="1966"/>
    <x v="2761"/>
    <x v="19"/>
    <x v="1"/>
    <x v="1"/>
    <x v="3"/>
    <x v="10"/>
    <x v="1"/>
    <x v="2727"/>
    <n v="791"/>
    <x v="0"/>
    <x v="0"/>
    <x v="548"/>
    <m/>
    <n v="0.124"/>
    <m/>
    <x v="29"/>
    <x v="147"/>
    <m/>
  </r>
  <r>
    <x v="1966"/>
    <x v="2762"/>
    <x v="19"/>
    <x v="1"/>
    <x v="1"/>
    <x v="3"/>
    <x v="10"/>
    <x v="1"/>
    <x v="2728"/>
    <n v="791"/>
    <x v="0"/>
    <x v="0"/>
    <x v="197"/>
    <m/>
    <n v="0.184"/>
    <m/>
    <x v="29"/>
    <x v="147"/>
    <m/>
  </r>
  <r>
    <x v="1967"/>
    <x v="2763"/>
    <x v="19"/>
    <x v="1"/>
    <x v="1"/>
    <x v="3"/>
    <x v="10"/>
    <x v="1"/>
    <x v="2729"/>
    <n v="155"/>
    <x v="0"/>
    <x v="0"/>
    <x v="618"/>
    <m/>
    <n v="6.7000000000000004E-2"/>
    <m/>
    <x v="29"/>
    <x v="282"/>
    <m/>
  </r>
  <r>
    <x v="1967"/>
    <x v="2764"/>
    <x v="19"/>
    <x v="1"/>
    <x v="1"/>
    <x v="3"/>
    <x v="10"/>
    <x v="1"/>
    <x v="2730"/>
    <n v="155"/>
    <x v="0"/>
    <x v="0"/>
    <x v="574"/>
    <m/>
    <n v="6.2E-2"/>
    <m/>
    <x v="29"/>
    <x v="282"/>
    <m/>
  </r>
  <r>
    <x v="1968"/>
    <x v="2765"/>
    <x v="19"/>
    <x v="1"/>
    <x v="1"/>
    <x v="3"/>
    <x v="10"/>
    <x v="1"/>
    <x v="2731"/>
    <n v="719"/>
    <x v="0"/>
    <x v="0"/>
    <x v="379"/>
    <m/>
    <n v="0.14799999999999999"/>
    <m/>
    <x v="29"/>
    <x v="97"/>
    <m/>
  </r>
  <r>
    <x v="1968"/>
    <x v="2766"/>
    <x v="19"/>
    <x v="1"/>
    <x v="1"/>
    <x v="3"/>
    <x v="10"/>
    <x v="1"/>
    <x v="2732"/>
    <n v="719"/>
    <x v="0"/>
    <x v="0"/>
    <x v="235"/>
    <m/>
    <n v="0.20399999999999999"/>
    <m/>
    <x v="29"/>
    <x v="97"/>
    <m/>
  </r>
  <r>
    <x v="1969"/>
    <x v="2767"/>
    <x v="15"/>
    <x v="1"/>
    <x v="1"/>
    <x v="3"/>
    <x v="10"/>
    <x v="0"/>
    <x v="2733"/>
    <n v="600"/>
    <x v="113"/>
    <x v="384"/>
    <x v="675"/>
    <n v="0.38400000000000001"/>
    <n v="0.38400000000000001"/>
    <m/>
    <x v="23"/>
    <x v="138"/>
    <n v="0.17499999999999999"/>
  </r>
  <r>
    <x v="1970"/>
    <x v="2768"/>
    <x v="19"/>
    <x v="1"/>
    <x v="1"/>
    <x v="3"/>
    <x v="10"/>
    <x v="1"/>
    <x v="2734"/>
    <n v="741"/>
    <x v="0"/>
    <x v="0"/>
    <x v="451"/>
    <m/>
    <n v="0.106"/>
    <m/>
    <x v="29"/>
    <x v="147"/>
    <m/>
  </r>
  <r>
    <x v="1970"/>
    <x v="2769"/>
    <x v="19"/>
    <x v="1"/>
    <x v="1"/>
    <x v="3"/>
    <x v="10"/>
    <x v="1"/>
    <x v="2735"/>
    <n v="741"/>
    <x v="0"/>
    <x v="0"/>
    <x v="577"/>
    <m/>
    <n v="0.113"/>
    <m/>
    <x v="29"/>
    <x v="147"/>
    <m/>
  </r>
  <r>
    <x v="1971"/>
    <x v="2770"/>
    <x v="19"/>
    <x v="1"/>
    <x v="1"/>
    <x v="3"/>
    <x v="10"/>
    <x v="1"/>
    <x v="2736"/>
    <n v="368"/>
    <x v="0"/>
    <x v="0"/>
    <x v="216"/>
    <m/>
    <n v="8.7999999999999995E-2"/>
    <m/>
    <x v="29"/>
    <x v="119"/>
    <m/>
  </r>
  <r>
    <x v="1971"/>
    <x v="2771"/>
    <x v="19"/>
    <x v="1"/>
    <x v="1"/>
    <x v="3"/>
    <x v="10"/>
    <x v="1"/>
    <x v="2737"/>
    <n v="368"/>
    <x v="0"/>
    <x v="0"/>
    <x v="507"/>
    <m/>
    <n v="0.1"/>
    <m/>
    <x v="29"/>
    <x v="119"/>
    <m/>
  </r>
  <r>
    <x v="1972"/>
    <x v="2772"/>
    <x v="19"/>
    <x v="1"/>
    <x v="1"/>
    <x v="3"/>
    <x v="10"/>
    <x v="1"/>
    <x v="2738"/>
    <n v="684"/>
    <x v="0"/>
    <x v="0"/>
    <x v="387"/>
    <m/>
    <n v="0.11799999999999999"/>
    <m/>
    <x v="29"/>
    <x v="16"/>
    <m/>
  </r>
  <r>
    <x v="1972"/>
    <x v="2773"/>
    <x v="19"/>
    <x v="1"/>
    <x v="1"/>
    <x v="3"/>
    <x v="10"/>
    <x v="1"/>
    <x v="2739"/>
    <n v="684"/>
    <x v="0"/>
    <x v="0"/>
    <x v="397"/>
    <m/>
    <n v="0.14199999999999999"/>
    <m/>
    <x v="29"/>
    <x v="16"/>
    <m/>
  </r>
  <r>
    <x v="1973"/>
    <x v="2774"/>
    <x v="19"/>
    <x v="1"/>
    <x v="1"/>
    <x v="3"/>
    <x v="10"/>
    <x v="1"/>
    <x v="2740"/>
    <n v="470"/>
    <x v="0"/>
    <x v="0"/>
    <x v="387"/>
    <m/>
    <n v="0.11799999999999999"/>
    <m/>
    <x v="29"/>
    <x v="282"/>
    <m/>
  </r>
  <r>
    <x v="1973"/>
    <x v="2775"/>
    <x v="19"/>
    <x v="1"/>
    <x v="1"/>
    <x v="3"/>
    <x v="10"/>
    <x v="1"/>
    <x v="2741"/>
    <n v="470"/>
    <x v="0"/>
    <x v="0"/>
    <x v="513"/>
    <m/>
    <n v="0.111"/>
    <m/>
    <x v="29"/>
    <x v="282"/>
    <m/>
  </r>
  <r>
    <x v="1974"/>
    <x v="2776"/>
    <x v="19"/>
    <x v="1"/>
    <x v="1"/>
    <x v="3"/>
    <x v="10"/>
    <x v="1"/>
    <x v="2742"/>
    <n v="559"/>
    <x v="0"/>
    <x v="0"/>
    <x v="507"/>
    <m/>
    <n v="0.1"/>
    <m/>
    <x v="29"/>
    <x v="100"/>
    <m/>
  </r>
  <r>
    <x v="1974"/>
    <x v="2777"/>
    <x v="19"/>
    <x v="1"/>
    <x v="1"/>
    <x v="3"/>
    <x v="10"/>
    <x v="1"/>
    <x v="2743"/>
    <n v="559"/>
    <x v="0"/>
    <x v="0"/>
    <x v="559"/>
    <m/>
    <n v="0.10100000000000001"/>
    <m/>
    <x v="29"/>
    <x v="100"/>
    <m/>
  </r>
  <r>
    <x v="1975"/>
    <x v="2778"/>
    <x v="19"/>
    <x v="1"/>
    <x v="1"/>
    <x v="3"/>
    <x v="10"/>
    <x v="1"/>
    <x v="2744"/>
    <n v="1550"/>
    <x v="0"/>
    <x v="0"/>
    <x v="38"/>
    <m/>
    <n v="0.24399999999999999"/>
    <m/>
    <x v="29"/>
    <x v="4"/>
    <m/>
  </r>
  <r>
    <x v="1975"/>
    <x v="2779"/>
    <x v="19"/>
    <x v="1"/>
    <x v="1"/>
    <x v="3"/>
    <x v="10"/>
    <x v="1"/>
    <x v="2745"/>
    <n v="1550"/>
    <x v="0"/>
    <x v="0"/>
    <x v="603"/>
    <m/>
    <n v="0.27100000000000002"/>
    <m/>
    <x v="29"/>
    <x v="4"/>
    <m/>
  </r>
  <r>
    <x v="1976"/>
    <x v="2780"/>
    <x v="19"/>
    <x v="1"/>
    <x v="1"/>
    <x v="3"/>
    <x v="10"/>
    <x v="1"/>
    <x v="2746"/>
    <n v="847"/>
    <x v="0"/>
    <x v="0"/>
    <x v="548"/>
    <m/>
    <n v="0.124"/>
    <m/>
    <x v="29"/>
    <x v="57"/>
    <m/>
  </r>
  <r>
    <x v="1976"/>
    <x v="2781"/>
    <x v="19"/>
    <x v="1"/>
    <x v="1"/>
    <x v="3"/>
    <x v="10"/>
    <x v="1"/>
    <x v="2747"/>
    <n v="847"/>
    <x v="0"/>
    <x v="0"/>
    <x v="406"/>
    <m/>
    <n v="0.14099999999999999"/>
    <m/>
    <x v="29"/>
    <x v="57"/>
    <m/>
  </r>
  <r>
    <x v="1977"/>
    <x v="2782"/>
    <x v="19"/>
    <x v="1"/>
    <x v="1"/>
    <x v="3"/>
    <x v="10"/>
    <x v="1"/>
    <x v="2748"/>
    <n v="714"/>
    <x v="0"/>
    <x v="0"/>
    <x v="534"/>
    <m/>
    <n v="9.1999999999999998E-2"/>
    <m/>
    <x v="29"/>
    <x v="133"/>
    <m/>
  </r>
  <r>
    <x v="1977"/>
    <x v="2783"/>
    <x v="19"/>
    <x v="1"/>
    <x v="1"/>
    <x v="3"/>
    <x v="10"/>
    <x v="1"/>
    <x v="2749"/>
    <n v="714"/>
    <x v="0"/>
    <x v="0"/>
    <x v="219"/>
    <m/>
    <n v="7.9000000000000001E-2"/>
    <m/>
    <x v="29"/>
    <x v="133"/>
    <m/>
  </r>
  <r>
    <x v="1978"/>
    <x v="2784"/>
    <x v="19"/>
    <x v="1"/>
    <x v="1"/>
    <x v="3"/>
    <x v="10"/>
    <x v="1"/>
    <x v="2750"/>
    <n v="425"/>
    <x v="0"/>
    <x v="0"/>
    <x v="624"/>
    <m/>
    <n v="7.1999999999999995E-2"/>
    <m/>
    <x v="29"/>
    <x v="285"/>
    <m/>
  </r>
  <r>
    <x v="1978"/>
    <x v="2785"/>
    <x v="19"/>
    <x v="1"/>
    <x v="1"/>
    <x v="3"/>
    <x v="10"/>
    <x v="1"/>
    <x v="2751"/>
    <n v="425"/>
    <x v="0"/>
    <x v="0"/>
    <x v="556"/>
    <m/>
    <n v="7.6999999999999999E-2"/>
    <m/>
    <x v="29"/>
    <x v="285"/>
    <m/>
  </r>
  <r>
    <x v="1979"/>
    <x v="2786"/>
    <x v="19"/>
    <x v="1"/>
    <x v="1"/>
    <x v="3"/>
    <x v="10"/>
    <x v="1"/>
    <x v="2752"/>
    <n v="977"/>
    <x v="0"/>
    <x v="0"/>
    <x v="228"/>
    <m/>
    <n v="0.13500000000000001"/>
    <m/>
    <x v="29"/>
    <x v="38"/>
    <m/>
  </r>
  <r>
    <x v="1979"/>
    <x v="2787"/>
    <x v="19"/>
    <x v="1"/>
    <x v="1"/>
    <x v="3"/>
    <x v="10"/>
    <x v="1"/>
    <x v="2753"/>
    <n v="977"/>
    <x v="0"/>
    <x v="0"/>
    <x v="472"/>
    <m/>
    <n v="0.13"/>
    <m/>
    <x v="29"/>
    <x v="38"/>
    <m/>
  </r>
  <r>
    <x v="1980"/>
    <x v="2788"/>
    <x v="14"/>
    <x v="1"/>
    <x v="1"/>
    <x v="3"/>
    <x v="10"/>
    <x v="0"/>
    <x v="2754"/>
    <n v="1200"/>
    <x v="67"/>
    <x v="385"/>
    <x v="694"/>
    <n v="20.100000000000001"/>
    <n v="1.24"/>
    <n v="13"/>
    <x v="51"/>
    <x v="107"/>
    <n v="0.66"/>
  </r>
  <r>
    <x v="1981"/>
    <x v="2789"/>
    <x v="19"/>
    <x v="1"/>
    <x v="1"/>
    <x v="3"/>
    <x v="10"/>
    <x v="1"/>
    <x v="2755"/>
    <n v="435"/>
    <x v="0"/>
    <x v="0"/>
    <x v="497"/>
    <m/>
    <n v="7.2999999999999995E-2"/>
    <m/>
    <x v="29"/>
    <x v="202"/>
    <m/>
  </r>
  <r>
    <x v="1981"/>
    <x v="2790"/>
    <x v="19"/>
    <x v="1"/>
    <x v="1"/>
    <x v="3"/>
    <x v="10"/>
    <x v="1"/>
    <x v="2756"/>
    <n v="435"/>
    <x v="0"/>
    <x v="0"/>
    <x v="551"/>
    <m/>
    <n v="7.0000000000000007E-2"/>
    <m/>
    <x v="29"/>
    <x v="202"/>
    <m/>
  </r>
  <r>
    <x v="1982"/>
    <x v="2791"/>
    <x v="19"/>
    <x v="1"/>
    <x v="1"/>
    <x v="3"/>
    <x v="10"/>
    <x v="1"/>
    <x v="2757"/>
    <n v="1064"/>
    <x v="0"/>
    <x v="0"/>
    <x v="538"/>
    <m/>
    <n v="0.28499999999999998"/>
    <m/>
    <x v="29"/>
    <x v="322"/>
    <m/>
  </r>
  <r>
    <x v="1982"/>
    <x v="2792"/>
    <x v="19"/>
    <x v="1"/>
    <x v="1"/>
    <x v="3"/>
    <x v="10"/>
    <x v="1"/>
    <x v="2758"/>
    <n v="1064"/>
    <x v="0"/>
    <x v="0"/>
    <x v="567"/>
    <m/>
    <n v="0.316"/>
    <m/>
    <x v="29"/>
    <x v="322"/>
    <m/>
  </r>
  <r>
    <x v="1983"/>
    <x v="2793"/>
    <x v="19"/>
    <x v="1"/>
    <x v="1"/>
    <x v="3"/>
    <x v="10"/>
    <x v="1"/>
    <x v="2759"/>
    <n v="673"/>
    <x v="0"/>
    <x v="0"/>
    <x v="328"/>
    <m/>
    <n v="8.8999999999999996E-2"/>
    <m/>
    <x v="29"/>
    <x v="4"/>
    <m/>
  </r>
  <r>
    <x v="1983"/>
    <x v="2794"/>
    <x v="19"/>
    <x v="1"/>
    <x v="1"/>
    <x v="3"/>
    <x v="10"/>
    <x v="1"/>
    <x v="2760"/>
    <n v="673"/>
    <x v="0"/>
    <x v="0"/>
    <x v="327"/>
    <m/>
    <n v="9.8000000000000004E-2"/>
    <m/>
    <x v="29"/>
    <x v="4"/>
    <m/>
  </r>
  <r>
    <x v="1984"/>
    <x v="2795"/>
    <x v="19"/>
    <x v="1"/>
    <x v="1"/>
    <x v="3"/>
    <x v="10"/>
    <x v="1"/>
    <x v="2761"/>
    <n v="789"/>
    <x v="0"/>
    <x v="0"/>
    <x v="411"/>
    <m/>
    <n v="0.115"/>
    <m/>
    <x v="29"/>
    <x v="93"/>
    <m/>
  </r>
  <r>
    <x v="1984"/>
    <x v="2796"/>
    <x v="19"/>
    <x v="1"/>
    <x v="1"/>
    <x v="3"/>
    <x v="10"/>
    <x v="1"/>
    <x v="2762"/>
    <n v="789"/>
    <x v="0"/>
    <x v="0"/>
    <x v="232"/>
    <m/>
    <n v="0.11899999999999999"/>
    <m/>
    <x v="29"/>
    <x v="93"/>
    <m/>
  </r>
  <r>
    <x v="1985"/>
    <x v="2797"/>
    <x v="19"/>
    <x v="1"/>
    <x v="1"/>
    <x v="3"/>
    <x v="10"/>
    <x v="1"/>
    <x v="2763"/>
    <n v="1297"/>
    <x v="0"/>
    <x v="0"/>
    <x v="492"/>
    <m/>
    <n v="0.14299999999999999"/>
    <m/>
    <x v="29"/>
    <x v="4"/>
    <m/>
  </r>
  <r>
    <x v="1985"/>
    <x v="2798"/>
    <x v="19"/>
    <x v="1"/>
    <x v="1"/>
    <x v="3"/>
    <x v="10"/>
    <x v="1"/>
    <x v="2764"/>
    <n v="1297"/>
    <x v="0"/>
    <x v="0"/>
    <x v="379"/>
    <m/>
    <n v="0.14799999999999999"/>
    <m/>
    <x v="29"/>
    <x v="4"/>
    <m/>
  </r>
  <r>
    <x v="1986"/>
    <x v="2799"/>
    <x v="19"/>
    <x v="1"/>
    <x v="1"/>
    <x v="3"/>
    <x v="10"/>
    <x v="1"/>
    <x v="2765"/>
    <n v="360"/>
    <x v="0"/>
    <x v="0"/>
    <x v="534"/>
    <m/>
    <n v="9.1999999999999998E-2"/>
    <m/>
    <x v="29"/>
    <x v="83"/>
    <m/>
  </r>
  <r>
    <x v="1986"/>
    <x v="2800"/>
    <x v="19"/>
    <x v="1"/>
    <x v="1"/>
    <x v="3"/>
    <x v="10"/>
    <x v="1"/>
    <x v="2766"/>
    <n v="360"/>
    <x v="0"/>
    <x v="0"/>
    <x v="387"/>
    <m/>
    <n v="0.11799999999999999"/>
    <m/>
    <x v="29"/>
    <x v="83"/>
    <m/>
  </r>
  <r>
    <x v="1987"/>
    <x v="2801"/>
    <x v="7"/>
    <x v="1"/>
    <x v="1"/>
    <x v="3"/>
    <x v="10"/>
    <x v="1"/>
    <x v="2767"/>
    <n v="233"/>
    <x v="0"/>
    <x v="386"/>
    <x v="695"/>
    <n v="0.23799999999999999"/>
    <n v="0.312"/>
    <m/>
    <x v="29"/>
    <x v="54"/>
    <m/>
  </r>
  <r>
    <x v="1987"/>
    <x v="2802"/>
    <x v="7"/>
    <x v="1"/>
    <x v="1"/>
    <x v="3"/>
    <x v="10"/>
    <x v="1"/>
    <x v="2768"/>
    <n v="233"/>
    <x v="0"/>
    <x v="387"/>
    <x v="682"/>
    <n v="5.6000000000000001E-2"/>
    <n v="0.47299999999999998"/>
    <m/>
    <x v="29"/>
    <x v="54"/>
    <m/>
  </r>
  <r>
    <x v="1988"/>
    <x v="2803"/>
    <x v="19"/>
    <x v="1"/>
    <x v="1"/>
    <x v="3"/>
    <x v="10"/>
    <x v="1"/>
    <x v="2769"/>
    <n v="969"/>
    <x v="0"/>
    <x v="0"/>
    <x v="584"/>
    <m/>
    <n v="0.219"/>
    <m/>
    <x v="29"/>
    <x v="57"/>
    <m/>
  </r>
  <r>
    <x v="1988"/>
    <x v="2804"/>
    <x v="19"/>
    <x v="1"/>
    <x v="1"/>
    <x v="3"/>
    <x v="10"/>
    <x v="1"/>
    <x v="2770"/>
    <n v="969"/>
    <x v="0"/>
    <x v="0"/>
    <x v="696"/>
    <m/>
    <n v="0.55100000000000005"/>
    <m/>
    <x v="29"/>
    <x v="57"/>
    <m/>
  </r>
  <r>
    <x v="1989"/>
    <x v="2805"/>
    <x v="19"/>
    <x v="1"/>
    <x v="1"/>
    <x v="3"/>
    <x v="10"/>
    <x v="2"/>
    <x v="2771"/>
    <n v="185"/>
    <x v="0"/>
    <x v="0"/>
    <x v="583"/>
    <m/>
    <n v="8.3000000000000004E-2"/>
    <m/>
    <x v="29"/>
    <x v="74"/>
    <m/>
  </r>
  <r>
    <x v="1989"/>
    <x v="2806"/>
    <x v="19"/>
    <x v="1"/>
    <x v="1"/>
    <x v="3"/>
    <x v="10"/>
    <x v="2"/>
    <x v="2772"/>
    <n v="185"/>
    <x v="0"/>
    <x v="0"/>
    <x v="410"/>
    <m/>
    <n v="0.09"/>
    <m/>
    <x v="29"/>
    <x v="74"/>
    <m/>
  </r>
  <r>
    <x v="1989"/>
    <x v="2807"/>
    <x v="10"/>
    <x v="1"/>
    <x v="1"/>
    <x v="3"/>
    <x v="10"/>
    <x v="2"/>
    <x v="2773"/>
    <n v="185"/>
    <x v="0"/>
    <x v="0"/>
    <x v="477"/>
    <m/>
    <n v="7.9000000000000001E-2"/>
    <m/>
    <x v="29"/>
    <x v="74"/>
    <m/>
  </r>
  <r>
    <x v="1990"/>
    <x v="2808"/>
    <x v="19"/>
    <x v="1"/>
    <x v="1"/>
    <x v="3"/>
    <x v="10"/>
    <x v="2"/>
    <x v="2774"/>
    <n v="699"/>
    <x v="0"/>
    <x v="0"/>
    <x v="593"/>
    <m/>
    <n v="8.5999999999999993E-2"/>
    <m/>
    <x v="29"/>
    <x v="85"/>
    <m/>
  </r>
  <r>
    <x v="1990"/>
    <x v="2809"/>
    <x v="19"/>
    <x v="1"/>
    <x v="1"/>
    <x v="3"/>
    <x v="10"/>
    <x v="2"/>
    <x v="2775"/>
    <n v="699"/>
    <x v="0"/>
    <x v="0"/>
    <x v="557"/>
    <m/>
    <n v="0.128"/>
    <m/>
    <x v="29"/>
    <x v="85"/>
    <m/>
  </r>
  <r>
    <x v="1990"/>
    <x v="2810"/>
    <x v="19"/>
    <x v="1"/>
    <x v="1"/>
    <x v="3"/>
    <x v="10"/>
    <x v="2"/>
    <x v="2776"/>
    <n v="699"/>
    <x v="0"/>
    <x v="0"/>
    <x v="210"/>
    <m/>
    <n v="0.16900000000000001"/>
    <m/>
    <x v="29"/>
    <x v="85"/>
    <m/>
  </r>
  <r>
    <x v="1991"/>
    <x v="2811"/>
    <x v="1"/>
    <x v="1"/>
    <x v="1"/>
    <x v="3"/>
    <x v="10"/>
    <x v="0"/>
    <x v="2777"/>
    <n v="550"/>
    <x v="35"/>
    <x v="388"/>
    <x v="697"/>
    <n v="7.6999999999999999E-2"/>
    <n v="0.35699999999999998"/>
    <n v="1.91"/>
    <x v="84"/>
    <x v="242"/>
    <m/>
  </r>
  <r>
    <x v="1992"/>
    <x v="2812"/>
    <x v="6"/>
    <x v="1"/>
    <x v="1"/>
    <x v="3"/>
    <x v="10"/>
    <x v="0"/>
    <x v="2778"/>
    <n v="2700"/>
    <x v="131"/>
    <x v="389"/>
    <x v="12"/>
    <n v="2.2000000000000002"/>
    <n v="1.17"/>
    <n v="1.68"/>
    <x v="153"/>
    <x v="189"/>
    <n v="0.21299999999999999"/>
  </r>
  <r>
    <x v="1993"/>
    <x v="2813"/>
    <x v="19"/>
    <x v="1"/>
    <x v="1"/>
    <x v="3"/>
    <x v="10"/>
    <x v="1"/>
    <x v="2779"/>
    <n v="709"/>
    <x v="0"/>
    <x v="0"/>
    <x v="520"/>
    <m/>
    <n v="0.14699999999999999"/>
    <m/>
    <x v="29"/>
    <x v="180"/>
    <m/>
  </r>
  <r>
    <x v="1993"/>
    <x v="2814"/>
    <x v="19"/>
    <x v="1"/>
    <x v="1"/>
    <x v="3"/>
    <x v="10"/>
    <x v="1"/>
    <x v="2780"/>
    <n v="709"/>
    <x v="0"/>
    <x v="0"/>
    <x v="234"/>
    <m/>
    <n v="0.13300000000000001"/>
    <m/>
    <x v="29"/>
    <x v="180"/>
    <m/>
  </r>
  <r>
    <x v="1994"/>
    <x v="2815"/>
    <x v="19"/>
    <x v="1"/>
    <x v="1"/>
    <x v="3"/>
    <x v="10"/>
    <x v="2"/>
    <x v="2781"/>
    <n v="739"/>
    <x v="0"/>
    <x v="0"/>
    <x v="349"/>
    <m/>
    <n v="0.153"/>
    <m/>
    <x v="29"/>
    <x v="216"/>
    <m/>
  </r>
  <r>
    <x v="1994"/>
    <x v="2816"/>
    <x v="19"/>
    <x v="1"/>
    <x v="1"/>
    <x v="3"/>
    <x v="10"/>
    <x v="2"/>
    <x v="2782"/>
    <n v="739"/>
    <x v="0"/>
    <x v="0"/>
    <x v="230"/>
    <m/>
    <n v="0.192"/>
    <m/>
    <x v="29"/>
    <x v="216"/>
    <m/>
  </r>
  <r>
    <x v="1994"/>
    <x v="2817"/>
    <x v="10"/>
    <x v="1"/>
    <x v="1"/>
    <x v="3"/>
    <x v="10"/>
    <x v="2"/>
    <x v="2783"/>
    <n v="739"/>
    <x v="0"/>
    <x v="0"/>
    <x v="519"/>
    <m/>
    <n v="0.20300000000000001"/>
    <m/>
    <x v="29"/>
    <x v="216"/>
    <m/>
  </r>
  <r>
    <x v="1995"/>
    <x v="2818"/>
    <x v="19"/>
    <x v="1"/>
    <x v="1"/>
    <x v="3"/>
    <x v="10"/>
    <x v="4"/>
    <x v="2784"/>
    <n v="720"/>
    <x v="0"/>
    <x v="0"/>
    <x v="547"/>
    <m/>
    <n v="0.109"/>
    <m/>
    <x v="29"/>
    <x v="308"/>
    <m/>
  </r>
  <r>
    <x v="1995"/>
    <x v="2819"/>
    <x v="19"/>
    <x v="1"/>
    <x v="1"/>
    <x v="3"/>
    <x v="10"/>
    <x v="4"/>
    <x v="2785"/>
    <n v="720"/>
    <x v="0"/>
    <x v="0"/>
    <x v="319"/>
    <m/>
    <n v="0.13900000000000001"/>
    <m/>
    <x v="29"/>
    <x v="308"/>
    <m/>
  </r>
  <r>
    <x v="1995"/>
    <x v="2820"/>
    <x v="19"/>
    <x v="1"/>
    <x v="1"/>
    <x v="3"/>
    <x v="10"/>
    <x v="4"/>
    <x v="2786"/>
    <n v="720"/>
    <x v="0"/>
    <x v="0"/>
    <x v="231"/>
    <m/>
    <n v="0.123"/>
    <m/>
    <x v="29"/>
    <x v="308"/>
    <m/>
  </r>
  <r>
    <x v="1995"/>
    <x v="2821"/>
    <x v="19"/>
    <x v="1"/>
    <x v="1"/>
    <x v="3"/>
    <x v="10"/>
    <x v="4"/>
    <x v="2787"/>
    <n v="720"/>
    <x v="0"/>
    <x v="0"/>
    <x v="472"/>
    <m/>
    <n v="0.13"/>
    <m/>
    <x v="29"/>
    <x v="308"/>
    <m/>
  </r>
  <r>
    <x v="1996"/>
    <x v="2822"/>
    <x v="19"/>
    <x v="1"/>
    <x v="1"/>
    <x v="3"/>
    <x v="10"/>
    <x v="2"/>
    <x v="2788"/>
    <n v="671"/>
    <x v="0"/>
    <x v="0"/>
    <x v="211"/>
    <m/>
    <n v="0.112"/>
    <m/>
    <x v="29"/>
    <x v="216"/>
    <m/>
  </r>
  <r>
    <x v="1996"/>
    <x v="2823"/>
    <x v="19"/>
    <x v="1"/>
    <x v="1"/>
    <x v="3"/>
    <x v="10"/>
    <x v="2"/>
    <x v="2789"/>
    <n v="671"/>
    <x v="0"/>
    <x v="0"/>
    <x v="314"/>
    <m/>
    <n v="0.156"/>
    <m/>
    <x v="29"/>
    <x v="216"/>
    <m/>
  </r>
  <r>
    <x v="1996"/>
    <x v="2824"/>
    <x v="10"/>
    <x v="1"/>
    <x v="1"/>
    <x v="3"/>
    <x v="10"/>
    <x v="2"/>
    <x v="2790"/>
    <n v="671"/>
    <x v="0"/>
    <x v="0"/>
    <x v="208"/>
    <m/>
    <n v="0.127"/>
    <m/>
    <x v="29"/>
    <x v="216"/>
    <m/>
  </r>
  <r>
    <x v="1997"/>
    <x v="2825"/>
    <x v="19"/>
    <x v="1"/>
    <x v="1"/>
    <x v="3"/>
    <x v="10"/>
    <x v="1"/>
    <x v="2791"/>
    <n v="812.43"/>
    <x v="0"/>
    <x v="0"/>
    <x v="577"/>
    <m/>
    <n v="0.113"/>
    <m/>
    <x v="29"/>
    <x v="100"/>
    <m/>
  </r>
  <r>
    <x v="1997"/>
    <x v="2826"/>
    <x v="19"/>
    <x v="1"/>
    <x v="1"/>
    <x v="3"/>
    <x v="10"/>
    <x v="1"/>
    <x v="2792"/>
    <n v="812.43"/>
    <x v="0"/>
    <x v="0"/>
    <x v="587"/>
    <m/>
    <n v="0.153"/>
    <m/>
    <x v="29"/>
    <x v="100"/>
    <m/>
  </r>
  <r>
    <x v="1998"/>
    <x v="2827"/>
    <x v="19"/>
    <x v="1"/>
    <x v="1"/>
    <x v="3"/>
    <x v="10"/>
    <x v="1"/>
    <x v="2793"/>
    <n v="1226"/>
    <x v="0"/>
    <x v="0"/>
    <x v="488"/>
    <m/>
    <n v="0.186"/>
    <m/>
    <x v="29"/>
    <x v="111"/>
    <m/>
  </r>
  <r>
    <x v="1998"/>
    <x v="2828"/>
    <x v="19"/>
    <x v="1"/>
    <x v="1"/>
    <x v="3"/>
    <x v="10"/>
    <x v="1"/>
    <x v="2794"/>
    <n v="1226"/>
    <x v="0"/>
    <x v="0"/>
    <x v="698"/>
    <m/>
    <n v="0.41599999999999998"/>
    <m/>
    <x v="29"/>
    <x v="111"/>
    <m/>
  </r>
  <r>
    <x v="1999"/>
    <x v="2829"/>
    <x v="19"/>
    <x v="1"/>
    <x v="1"/>
    <x v="3"/>
    <x v="10"/>
    <x v="1"/>
    <x v="2795"/>
    <n v="331"/>
    <x v="184"/>
    <x v="390"/>
    <x v="557"/>
    <n v="0.02"/>
    <n v="0.128"/>
    <n v="11.82"/>
    <x v="154"/>
    <x v="88"/>
    <n v="1.1200000000000001"/>
  </r>
  <r>
    <x v="1999"/>
    <x v="2830"/>
    <x v="19"/>
    <x v="1"/>
    <x v="1"/>
    <x v="3"/>
    <x v="10"/>
    <x v="1"/>
    <x v="2796"/>
    <n v="331"/>
    <x v="184"/>
    <x v="391"/>
    <x v="582"/>
    <n v="8.9999999999999993E-3"/>
    <n v="7.5999999999999998E-2"/>
    <n v="24.39"/>
    <x v="154"/>
    <x v="88"/>
    <n v="1.1200000000000001"/>
  </r>
  <r>
    <x v="2000"/>
    <x v="2831"/>
    <x v="19"/>
    <x v="1"/>
    <x v="1"/>
    <x v="3"/>
    <x v="10"/>
    <x v="1"/>
    <x v="2797"/>
    <n v="338.29"/>
    <x v="274"/>
    <x v="392"/>
    <x v="503"/>
    <n v="1.0070000000000001E-2"/>
    <n v="9.5000000000000001E-2"/>
    <m/>
    <x v="57"/>
    <x v="41"/>
    <n v="1.38"/>
  </r>
  <r>
    <x v="2000"/>
    <x v="2832"/>
    <x v="19"/>
    <x v="1"/>
    <x v="0"/>
    <x v="0"/>
    <x v="3"/>
    <x v="1"/>
    <x v="2798"/>
    <n v="338.29"/>
    <x v="274"/>
    <x v="393"/>
    <x v="0"/>
    <n v="12.6"/>
    <m/>
    <m/>
    <x v="57"/>
    <x v="41"/>
    <n v="1.38"/>
  </r>
  <r>
    <x v="2001"/>
    <x v="2833"/>
    <x v="19"/>
    <x v="1"/>
    <x v="1"/>
    <x v="3"/>
    <x v="10"/>
    <x v="0"/>
    <x v="2799"/>
    <n v="89"/>
    <x v="275"/>
    <x v="329"/>
    <x v="497"/>
    <n v="1.5730000000000001E-2"/>
    <n v="7.2999999999999995E-2"/>
    <m/>
    <x v="4"/>
    <x v="14"/>
    <n v="0.82"/>
  </r>
  <r>
    <x v="2002"/>
    <x v="2834"/>
    <x v="19"/>
    <x v="1"/>
    <x v="1"/>
    <x v="3"/>
    <x v="10"/>
    <x v="0"/>
    <x v="2800"/>
    <n v="69"/>
    <x v="110"/>
    <x v="394"/>
    <x v="451"/>
    <n v="6.9220000000000004E-2"/>
    <n v="0.106"/>
    <m/>
    <x v="127"/>
    <x v="111"/>
    <n v="1.81"/>
  </r>
  <r>
    <x v="2003"/>
    <x v="2835"/>
    <x v="14"/>
    <x v="1"/>
    <x v="1"/>
    <x v="3"/>
    <x v="10"/>
    <x v="0"/>
    <x v="2801"/>
    <n v="770"/>
    <x v="21"/>
    <x v="395"/>
    <x v="15"/>
    <n v="0.56000000000000005"/>
    <n v="1.29"/>
    <n v="0.33"/>
    <x v="93"/>
    <x v="145"/>
    <n v="0.754"/>
  </r>
  <r>
    <x v="2004"/>
    <x v="2836"/>
    <x v="7"/>
    <x v="1"/>
    <x v="1"/>
    <x v="3"/>
    <x v="10"/>
    <x v="0"/>
    <x v="2802"/>
    <n v="132"/>
    <x v="276"/>
    <x v="0"/>
    <x v="699"/>
    <m/>
    <n v="0.253"/>
    <m/>
    <x v="49"/>
    <x v="311"/>
    <n v="0.69299999999999995"/>
  </r>
  <r>
    <x v="2005"/>
    <x v="2837"/>
    <x v="7"/>
    <x v="1"/>
    <x v="1"/>
    <x v="3"/>
    <x v="10"/>
    <x v="1"/>
    <x v="2803"/>
    <n v="153"/>
    <x v="0"/>
    <x v="0"/>
    <x v="550"/>
    <m/>
    <n v="0.16800000000000001"/>
    <m/>
    <x v="134"/>
    <x v="38"/>
    <n v="2.33"/>
  </r>
  <r>
    <x v="2005"/>
    <x v="2838"/>
    <x v="10"/>
    <x v="1"/>
    <x v="1"/>
    <x v="3"/>
    <x v="10"/>
    <x v="1"/>
    <x v="2804"/>
    <n v="153"/>
    <x v="0"/>
    <x v="0"/>
    <x v="700"/>
    <m/>
    <n v="0.29199999999999998"/>
    <m/>
    <x v="134"/>
    <x v="38"/>
    <n v="2.33"/>
  </r>
  <r>
    <x v="2006"/>
    <x v="2839"/>
    <x v="19"/>
    <x v="1"/>
    <x v="1"/>
    <x v="3"/>
    <x v="10"/>
    <x v="0"/>
    <x v="2805"/>
    <n v="1056"/>
    <x v="0"/>
    <x v="143"/>
    <x v="701"/>
    <n v="0.94099999999999995"/>
    <n v="1.341"/>
    <n v="0.52"/>
    <x v="63"/>
    <x v="145"/>
    <m/>
  </r>
  <r>
    <x v="2007"/>
    <x v="2840"/>
    <x v="19"/>
    <x v="1"/>
    <x v="1"/>
    <x v="3"/>
    <x v="10"/>
    <x v="0"/>
    <x v="2806"/>
    <n v="848.13"/>
    <x v="0"/>
    <x v="396"/>
    <x v="702"/>
    <n v="0.21099999999999999"/>
    <n v="0.38800000000000001"/>
    <n v="3.2"/>
    <x v="58"/>
    <x v="202"/>
    <n v="1.7549999999999999"/>
  </r>
  <r>
    <x v="2008"/>
    <x v="2841"/>
    <x v="19"/>
    <x v="1"/>
    <x v="1"/>
    <x v="8"/>
    <x v="10"/>
    <x v="1"/>
    <x v="2807"/>
    <n v="440"/>
    <x v="0"/>
    <x v="397"/>
    <x v="349"/>
    <n v="1.0999999999999999E-2"/>
    <n v="0.153"/>
    <m/>
    <x v="45"/>
    <x v="105"/>
    <m/>
  </r>
  <r>
    <x v="2008"/>
    <x v="2842"/>
    <x v="19"/>
    <x v="1"/>
    <x v="1"/>
    <x v="8"/>
    <x v="10"/>
    <x v="1"/>
    <x v="2808"/>
    <n v="440"/>
    <x v="0"/>
    <x v="398"/>
    <x v="383"/>
    <n v="9.4E-2"/>
    <n v="0.26900000000000002"/>
    <m/>
    <x v="45"/>
    <x v="105"/>
    <m/>
  </r>
  <r>
    <x v="2009"/>
    <x v="2843"/>
    <x v="19"/>
    <x v="1"/>
    <x v="1"/>
    <x v="8"/>
    <x v="10"/>
    <x v="1"/>
    <x v="2809"/>
    <n v="617"/>
    <x v="0"/>
    <x v="399"/>
    <x v="203"/>
    <n v="0.377"/>
    <n v="0.108"/>
    <m/>
    <x v="150"/>
    <x v="299"/>
    <m/>
  </r>
  <r>
    <x v="2009"/>
    <x v="2844"/>
    <x v="19"/>
    <x v="1"/>
    <x v="1"/>
    <x v="8"/>
    <x v="10"/>
    <x v="1"/>
    <x v="2810"/>
    <n v="617"/>
    <x v="0"/>
    <x v="0"/>
    <x v="0"/>
    <m/>
    <m/>
    <m/>
    <x v="150"/>
    <x v="299"/>
    <m/>
  </r>
  <r>
    <x v="2010"/>
    <x v="2845"/>
    <x v="19"/>
    <x v="1"/>
    <x v="1"/>
    <x v="8"/>
    <x v="10"/>
    <x v="1"/>
    <x v="2811"/>
    <n v="711"/>
    <x v="0"/>
    <x v="400"/>
    <x v="233"/>
    <n v="0.183"/>
    <n v="0.221"/>
    <m/>
    <x v="57"/>
    <x v="88"/>
    <m/>
  </r>
  <r>
    <x v="2010"/>
    <x v="2846"/>
    <x v="19"/>
    <x v="1"/>
    <x v="1"/>
    <x v="8"/>
    <x v="10"/>
    <x v="1"/>
    <x v="2812"/>
    <n v="711"/>
    <x v="0"/>
    <x v="0"/>
    <x v="0"/>
    <m/>
    <m/>
    <m/>
    <x v="57"/>
    <x v="88"/>
    <m/>
  </r>
  <r>
    <x v="2011"/>
    <x v="2847"/>
    <x v="19"/>
    <x v="1"/>
    <x v="1"/>
    <x v="8"/>
    <x v="10"/>
    <x v="1"/>
    <x v="2813"/>
    <n v="981"/>
    <x v="0"/>
    <x v="401"/>
    <x v="269"/>
    <n v="3.5000000000000003E-2"/>
    <n v="0.20599999999999999"/>
    <m/>
    <x v="3"/>
    <x v="130"/>
    <m/>
  </r>
  <r>
    <x v="2011"/>
    <x v="2848"/>
    <x v="19"/>
    <x v="1"/>
    <x v="1"/>
    <x v="8"/>
    <x v="10"/>
    <x v="1"/>
    <x v="2814"/>
    <n v="981"/>
    <x v="0"/>
    <x v="0"/>
    <x v="0"/>
    <m/>
    <m/>
    <m/>
    <x v="3"/>
    <x v="130"/>
    <m/>
  </r>
  <r>
    <x v="2012"/>
    <x v="2849"/>
    <x v="19"/>
    <x v="1"/>
    <x v="1"/>
    <x v="3"/>
    <x v="10"/>
    <x v="0"/>
    <x v="2815"/>
    <n v="1017"/>
    <x v="172"/>
    <x v="402"/>
    <x v="703"/>
    <n v="1.1000000000000001"/>
    <n v="1.2"/>
    <m/>
    <x v="17"/>
    <x v="121"/>
    <n v="1.51"/>
  </r>
  <r>
    <x v="2013"/>
    <x v="2850"/>
    <x v="19"/>
    <x v="1"/>
    <x v="1"/>
    <x v="3"/>
    <x v="10"/>
    <x v="1"/>
    <x v="2816"/>
    <n v="872"/>
    <x v="0"/>
    <x v="57"/>
    <x v="704"/>
    <n v="2.5"/>
    <n v="0.96"/>
    <m/>
    <x v="139"/>
    <x v="123"/>
    <n v="13.34"/>
  </r>
  <r>
    <x v="2013"/>
    <x v="2851"/>
    <x v="19"/>
    <x v="1"/>
    <x v="1"/>
    <x v="8"/>
    <x v="10"/>
    <x v="1"/>
    <x v="2817"/>
    <n v="872"/>
    <x v="0"/>
    <x v="403"/>
    <x v="0"/>
    <n v="7.3"/>
    <m/>
    <m/>
    <x v="139"/>
    <x v="123"/>
    <n v="13.34"/>
  </r>
  <r>
    <x v="2014"/>
    <x v="2852"/>
    <x v="14"/>
    <x v="1"/>
    <x v="1"/>
    <x v="3"/>
    <x v="10"/>
    <x v="2"/>
    <x v="2818"/>
    <n v="38.700000000000003"/>
    <x v="35"/>
    <x v="0"/>
    <x v="705"/>
    <m/>
    <n v="7.0000000000000007E-2"/>
    <m/>
    <x v="204"/>
    <x v="323"/>
    <m/>
  </r>
  <r>
    <x v="2014"/>
    <x v="2853"/>
    <x v="14"/>
    <x v="1"/>
    <x v="1"/>
    <x v="3"/>
    <x v="10"/>
    <x v="2"/>
    <x v="2819"/>
    <n v="38.700000000000003"/>
    <x v="35"/>
    <x v="0"/>
    <x v="553"/>
    <m/>
    <n v="6.5000000000000002E-2"/>
    <m/>
    <x v="204"/>
    <x v="323"/>
    <m/>
  </r>
  <r>
    <x v="2014"/>
    <x v="2854"/>
    <x v="14"/>
    <x v="1"/>
    <x v="1"/>
    <x v="3"/>
    <x v="10"/>
    <x v="2"/>
    <x v="2820"/>
    <n v="38.700000000000003"/>
    <x v="35"/>
    <x v="0"/>
    <x v="706"/>
    <m/>
    <n v="5.0999999999999997E-2"/>
    <m/>
    <x v="204"/>
    <x v="323"/>
    <m/>
  </r>
  <r>
    <x v="2015"/>
    <x v="2855"/>
    <x v="19"/>
    <x v="1"/>
    <x v="1"/>
    <x v="3"/>
    <x v="10"/>
    <x v="0"/>
    <x v="2821"/>
    <n v="320"/>
    <x v="12"/>
    <x v="0"/>
    <x v="707"/>
    <m/>
    <n v="0.371"/>
    <m/>
    <x v="137"/>
    <x v="153"/>
    <n v="1.58"/>
  </r>
  <r>
    <x v="2016"/>
    <x v="2856"/>
    <x v="19"/>
    <x v="1"/>
    <x v="1"/>
    <x v="3"/>
    <x v="10"/>
    <x v="0"/>
    <x v="2822"/>
    <n v="692"/>
    <x v="0"/>
    <x v="404"/>
    <x v="61"/>
    <n v="0.43"/>
    <n v="1.1499999999999999"/>
    <n v="0.38"/>
    <x v="93"/>
    <x v="89"/>
    <n v="0.86"/>
  </r>
  <r>
    <x v="2017"/>
    <x v="2857"/>
    <x v="19"/>
    <x v="1"/>
    <x v="1"/>
    <x v="3"/>
    <x v="10"/>
    <x v="0"/>
    <x v="2823"/>
    <n v="725"/>
    <x v="34"/>
    <x v="405"/>
    <x v="708"/>
    <n v="0.59499999999999997"/>
    <n v="1.1919999999999999"/>
    <n v="0.45900000000000002"/>
    <x v="6"/>
    <x v="105"/>
    <n v="1.3979999999999999"/>
  </r>
  <r>
    <x v="2018"/>
    <x v="2858"/>
    <x v="19"/>
    <x v="1"/>
    <x v="1"/>
    <x v="3"/>
    <x v="10"/>
    <x v="1"/>
    <x v="2824"/>
    <n v="698.39"/>
    <x v="0"/>
    <x v="20"/>
    <x v="709"/>
    <n v="1.03"/>
    <n v="0.89"/>
    <n v="1.94"/>
    <x v="53"/>
    <x v="16"/>
    <n v="1.73"/>
  </r>
  <r>
    <x v="2018"/>
    <x v="2859"/>
    <x v="19"/>
    <x v="1"/>
    <x v="0"/>
    <x v="0"/>
    <x v="12"/>
    <x v="1"/>
    <x v="2825"/>
    <n v="698.39"/>
    <x v="0"/>
    <x v="0"/>
    <x v="0"/>
    <n v="6.97"/>
    <m/>
    <m/>
    <x v="53"/>
    <x v="16"/>
    <n v="1.73"/>
  </r>
  <r>
    <x v="2019"/>
    <x v="2860"/>
    <x v="19"/>
    <x v="1"/>
    <x v="1"/>
    <x v="3"/>
    <x v="10"/>
    <x v="0"/>
    <x v="2826"/>
    <n v="650"/>
    <x v="30"/>
    <x v="406"/>
    <x v="710"/>
    <n v="0.25"/>
    <n v="0.97799999999999998"/>
    <n v="0.27"/>
    <x v="89"/>
    <x v="24"/>
    <n v="1.448"/>
  </r>
  <r>
    <x v="2020"/>
    <x v="2861"/>
    <x v="19"/>
    <x v="1"/>
    <x v="1"/>
    <x v="3"/>
    <x v="10"/>
    <x v="0"/>
    <x v="2827"/>
    <n v="880"/>
    <x v="42"/>
    <x v="407"/>
    <x v="11"/>
    <n v="0.34"/>
    <n v="1.0900000000000001"/>
    <n v="0.26"/>
    <x v="21"/>
    <x v="94"/>
    <n v="1.17"/>
  </r>
  <r>
    <x v="2021"/>
    <x v="2862"/>
    <x v="19"/>
    <x v="1"/>
    <x v="1"/>
    <x v="3"/>
    <x v="10"/>
    <x v="0"/>
    <x v="2828"/>
    <n v="1100"/>
    <x v="172"/>
    <x v="408"/>
    <x v="711"/>
    <n v="0.28999999999999998"/>
    <n v="1.23"/>
    <n v="0.16"/>
    <x v="50"/>
    <x v="311"/>
    <n v="0.4"/>
  </r>
  <r>
    <x v="2022"/>
    <x v="2863"/>
    <x v="19"/>
    <x v="1"/>
    <x v="1"/>
    <x v="3"/>
    <x v="10"/>
    <x v="0"/>
    <x v="2829"/>
    <n v="720"/>
    <x v="30"/>
    <x v="409"/>
    <x v="22"/>
    <n v="1.27"/>
    <n v="1.08"/>
    <n v="1.02"/>
    <x v="122"/>
    <x v="292"/>
    <n v="1.704"/>
  </r>
  <r>
    <x v="2023"/>
    <x v="2864"/>
    <x v="14"/>
    <x v="1"/>
    <x v="1"/>
    <x v="3"/>
    <x v="10"/>
    <x v="0"/>
    <x v="2830"/>
    <n v="1950"/>
    <x v="0"/>
    <x v="410"/>
    <x v="712"/>
    <n v="3.23"/>
    <n v="1.2190000000000001"/>
    <n v="5"/>
    <x v="64"/>
    <x v="212"/>
    <m/>
  </r>
  <r>
    <x v="2024"/>
    <x v="2865"/>
    <x v="8"/>
    <x v="1"/>
    <x v="1"/>
    <x v="3"/>
    <x v="10"/>
    <x v="1"/>
    <x v="2831"/>
    <n v="816"/>
    <x v="0"/>
    <x v="0"/>
    <x v="643"/>
    <m/>
    <n v="0.28999999999999998"/>
    <m/>
    <x v="63"/>
    <x v="242"/>
    <m/>
  </r>
  <r>
    <x v="2024"/>
    <x v="2866"/>
    <x v="8"/>
    <x v="1"/>
    <x v="1"/>
    <x v="3"/>
    <x v="10"/>
    <x v="1"/>
    <x v="2832"/>
    <n v="816"/>
    <x v="0"/>
    <x v="0"/>
    <x v="314"/>
    <m/>
    <n v="0.16"/>
    <m/>
    <x v="63"/>
    <x v="242"/>
    <m/>
  </r>
  <r>
    <x v="2025"/>
    <x v="2867"/>
    <x v="8"/>
    <x v="1"/>
    <x v="1"/>
    <x v="3"/>
    <x v="10"/>
    <x v="2"/>
    <x v="2833"/>
    <n v="427"/>
    <x v="0"/>
    <x v="0"/>
    <x v="713"/>
    <m/>
    <n v="6.8000000000000005E-2"/>
    <m/>
    <x v="154"/>
    <x v="121"/>
    <m/>
  </r>
  <r>
    <x v="2025"/>
    <x v="2868"/>
    <x v="8"/>
    <x v="1"/>
    <x v="1"/>
    <x v="3"/>
    <x v="10"/>
    <x v="2"/>
    <x v="2834"/>
    <n v="427"/>
    <x v="0"/>
    <x v="0"/>
    <x v="714"/>
    <m/>
    <n v="0.06"/>
    <m/>
    <x v="154"/>
    <x v="121"/>
    <m/>
  </r>
  <r>
    <x v="2025"/>
    <x v="2869"/>
    <x v="8"/>
    <x v="1"/>
    <x v="1"/>
    <x v="3"/>
    <x v="10"/>
    <x v="2"/>
    <x v="2835"/>
    <n v="427"/>
    <x v="0"/>
    <x v="0"/>
    <x v="508"/>
    <m/>
    <n v="0.1"/>
    <m/>
    <x v="154"/>
    <x v="121"/>
    <m/>
  </r>
  <r>
    <x v="2026"/>
    <x v="2870"/>
    <x v="8"/>
    <x v="1"/>
    <x v="1"/>
    <x v="3"/>
    <x v="10"/>
    <x v="1"/>
    <x v="2836"/>
    <n v="870"/>
    <x v="27"/>
    <x v="411"/>
    <x v="715"/>
    <n v="5.41"/>
    <n v="1.145"/>
    <n v="4.46"/>
    <x v="64"/>
    <x v="205"/>
    <n v="2.7900000000000001E-2"/>
  </r>
  <r>
    <x v="2026"/>
    <x v="2871"/>
    <x v="8"/>
    <x v="1"/>
    <x v="0"/>
    <x v="0"/>
    <x v="33"/>
    <x v="1"/>
    <x v="2837"/>
    <n v="870"/>
    <x v="27"/>
    <x v="0"/>
    <x v="0"/>
    <n v="2.4300000000000002"/>
    <m/>
    <m/>
    <x v="64"/>
    <x v="205"/>
    <n v="2.7900000000000001E-2"/>
  </r>
  <r>
    <x v="2027"/>
    <x v="2872"/>
    <x v="8"/>
    <x v="1"/>
    <x v="1"/>
    <x v="3"/>
    <x v="10"/>
    <x v="0"/>
    <x v="2838"/>
    <n v="1870"/>
    <x v="277"/>
    <x v="412"/>
    <x v="716"/>
    <n v="2.82"/>
    <n v="1.45"/>
    <n v="1.1299999999999999"/>
    <x v="158"/>
    <x v="127"/>
    <n v="0.17699999999999999"/>
  </r>
  <r>
    <x v="2028"/>
    <x v="2873"/>
    <x v="8"/>
    <x v="1"/>
    <x v="1"/>
    <x v="3"/>
    <x v="10"/>
    <x v="0"/>
    <x v="2839"/>
    <n v="1240"/>
    <x v="12"/>
    <x v="413"/>
    <x v="340"/>
    <n v="2.86"/>
    <n v="1.1299999999999999"/>
    <n v="2.4"/>
    <x v="141"/>
    <x v="93"/>
    <n v="0.65"/>
  </r>
  <r>
    <x v="2029"/>
    <x v="2874"/>
    <x v="8"/>
    <x v="1"/>
    <x v="1"/>
    <x v="3"/>
    <x v="10"/>
    <x v="0"/>
    <x v="2840"/>
    <n v="2070"/>
    <x v="278"/>
    <x v="414"/>
    <x v="717"/>
    <n v="0.84"/>
    <n v="1.99"/>
    <n v="0.13100000000000001"/>
    <x v="8"/>
    <x v="324"/>
    <n v="6.6000000000000003E-2"/>
  </r>
  <r>
    <x v="2030"/>
    <x v="2875"/>
    <x v="8"/>
    <x v="1"/>
    <x v="1"/>
    <x v="3"/>
    <x v="10"/>
    <x v="1"/>
    <x v="2841"/>
    <n v="618"/>
    <x v="23"/>
    <x v="0"/>
    <x v="38"/>
    <m/>
    <n v="0.24"/>
    <m/>
    <x v="69"/>
    <x v="86"/>
    <n v="3.03"/>
  </r>
  <r>
    <x v="2030"/>
    <x v="2876"/>
    <x v="10"/>
    <x v="1"/>
    <x v="1"/>
    <x v="3"/>
    <x v="10"/>
    <x v="1"/>
    <x v="2842"/>
    <n v="618"/>
    <x v="23"/>
    <x v="0"/>
    <x v="200"/>
    <m/>
    <n v="0.20799999999999999"/>
    <m/>
    <x v="69"/>
    <x v="86"/>
    <n v="3.03"/>
  </r>
  <r>
    <x v="2031"/>
    <x v="2877"/>
    <x v="8"/>
    <x v="1"/>
    <x v="1"/>
    <x v="3"/>
    <x v="10"/>
    <x v="0"/>
    <x v="2843"/>
    <n v="417"/>
    <x v="116"/>
    <x v="0"/>
    <x v="403"/>
    <m/>
    <n v="0.19"/>
    <m/>
    <x v="159"/>
    <x v="85"/>
    <n v="3.18"/>
  </r>
  <r>
    <x v="2032"/>
    <x v="2878"/>
    <x v="8"/>
    <x v="1"/>
    <x v="1"/>
    <x v="3"/>
    <x v="10"/>
    <x v="0"/>
    <x v="2844"/>
    <n v="145"/>
    <x v="21"/>
    <x v="0"/>
    <x v="507"/>
    <m/>
    <n v="0.1"/>
    <m/>
    <x v="77"/>
    <x v="34"/>
    <n v="5.52"/>
  </r>
  <r>
    <x v="2033"/>
    <x v="2879"/>
    <x v="8"/>
    <x v="1"/>
    <x v="1"/>
    <x v="3"/>
    <x v="10"/>
    <x v="0"/>
    <x v="2845"/>
    <n v="693"/>
    <x v="33"/>
    <x v="0"/>
    <x v="360"/>
    <m/>
    <n v="0.2"/>
    <m/>
    <x v="59"/>
    <x v="90"/>
    <n v="1.89"/>
  </r>
  <r>
    <x v="2034"/>
    <x v="2880"/>
    <x v="14"/>
    <x v="1"/>
    <x v="1"/>
    <x v="3"/>
    <x v="10"/>
    <x v="0"/>
    <x v="2846"/>
    <n v="2250"/>
    <x v="147"/>
    <x v="415"/>
    <x v="11"/>
    <n v="1"/>
    <n v="1.0900000000000001"/>
    <n v="0.93"/>
    <x v="20"/>
    <x v="311"/>
    <n v="0.63"/>
  </r>
  <r>
    <x v="2035"/>
    <x v="2881"/>
    <x v="8"/>
    <x v="1"/>
    <x v="1"/>
    <x v="3"/>
    <x v="10"/>
    <x v="0"/>
    <x v="2847"/>
    <n v="261"/>
    <x v="151"/>
    <x v="0"/>
    <x v="598"/>
    <m/>
    <n v="0.17"/>
    <m/>
    <x v="40"/>
    <x v="83"/>
    <n v="4.76"/>
  </r>
  <r>
    <x v="2036"/>
    <x v="2882"/>
    <x v="8"/>
    <x v="1"/>
    <x v="1"/>
    <x v="3"/>
    <x v="10"/>
    <x v="0"/>
    <x v="2848"/>
    <n v="284"/>
    <x v="107"/>
    <x v="0"/>
    <x v="157"/>
    <m/>
    <n v="0.15"/>
    <m/>
    <x v="40"/>
    <x v="72"/>
    <n v="4.9400000000000004"/>
  </r>
  <r>
    <x v="2037"/>
    <x v="2883"/>
    <x v="8"/>
    <x v="1"/>
    <x v="1"/>
    <x v="3"/>
    <x v="10"/>
    <x v="0"/>
    <x v="2849"/>
    <n v="342"/>
    <x v="116"/>
    <x v="0"/>
    <x v="212"/>
    <m/>
    <n v="0.12"/>
    <m/>
    <x v="91"/>
    <x v="284"/>
    <n v="4.01"/>
  </r>
  <r>
    <x v="2038"/>
    <x v="2884"/>
    <x v="8"/>
    <x v="1"/>
    <x v="1"/>
    <x v="3"/>
    <x v="10"/>
    <x v="0"/>
    <x v="2850"/>
    <n v="779"/>
    <x v="74"/>
    <x v="0"/>
    <x v="200"/>
    <m/>
    <n v="0.21"/>
    <m/>
    <x v="36"/>
    <x v="32"/>
    <n v="2.96"/>
  </r>
  <r>
    <x v="2039"/>
    <x v="2885"/>
    <x v="8"/>
    <x v="1"/>
    <x v="1"/>
    <x v="3"/>
    <x v="10"/>
    <x v="3"/>
    <x v="2851"/>
    <n v="35.700000000000003"/>
    <x v="279"/>
    <x v="0"/>
    <x v="718"/>
    <m/>
    <n v="3.5999999999999997E-2"/>
    <m/>
    <x v="99"/>
    <x v="91"/>
    <n v="2.4929999999999999"/>
  </r>
  <r>
    <x v="2039"/>
    <x v="2886"/>
    <x v="8"/>
    <x v="1"/>
    <x v="1"/>
    <x v="3"/>
    <x v="10"/>
    <x v="3"/>
    <x v="2852"/>
    <n v="35.700000000000003"/>
    <x v="279"/>
    <x v="0"/>
    <x v="719"/>
    <m/>
    <n v="4.3999999999999997E-2"/>
    <m/>
    <x v="99"/>
    <x v="91"/>
    <n v="2.4929999999999999"/>
  </r>
  <r>
    <x v="2039"/>
    <x v="2887"/>
    <x v="8"/>
    <x v="1"/>
    <x v="1"/>
    <x v="3"/>
    <x v="10"/>
    <x v="3"/>
    <x v="2853"/>
    <n v="35.700000000000003"/>
    <x v="279"/>
    <x v="0"/>
    <x v="720"/>
    <m/>
    <n v="4.7E-2"/>
    <m/>
    <x v="99"/>
    <x v="91"/>
    <n v="2.4929999999999999"/>
  </r>
  <r>
    <x v="2039"/>
    <x v="2888"/>
    <x v="8"/>
    <x v="1"/>
    <x v="1"/>
    <x v="3"/>
    <x v="10"/>
    <x v="3"/>
    <x v="2854"/>
    <n v="35.700000000000003"/>
    <x v="279"/>
    <x v="0"/>
    <x v="721"/>
    <m/>
    <n v="4.9000000000000002E-2"/>
    <m/>
    <x v="99"/>
    <x v="91"/>
    <n v="2.4929999999999999"/>
  </r>
  <r>
    <x v="2039"/>
    <x v="2889"/>
    <x v="8"/>
    <x v="1"/>
    <x v="1"/>
    <x v="3"/>
    <x v="10"/>
    <x v="3"/>
    <x v="2855"/>
    <n v="35.700000000000003"/>
    <x v="279"/>
    <x v="0"/>
    <x v="722"/>
    <m/>
    <n v="6.6000000000000003E-2"/>
    <m/>
    <x v="99"/>
    <x v="91"/>
    <n v="2.4929999999999999"/>
  </r>
  <r>
    <x v="2040"/>
    <x v="2890"/>
    <x v="8"/>
    <x v="1"/>
    <x v="1"/>
    <x v="3"/>
    <x v="10"/>
    <x v="2"/>
    <x v="2856"/>
    <n v="90"/>
    <x v="0"/>
    <x v="0"/>
    <x v="406"/>
    <m/>
    <n v="0.14000000000000001"/>
    <m/>
    <x v="67"/>
    <x v="63"/>
    <m/>
  </r>
  <r>
    <x v="2040"/>
    <x v="2891"/>
    <x v="8"/>
    <x v="1"/>
    <x v="1"/>
    <x v="3"/>
    <x v="10"/>
    <x v="2"/>
    <x v="2857"/>
    <n v="90"/>
    <x v="0"/>
    <x v="0"/>
    <x v="485"/>
    <m/>
    <n v="0.22"/>
    <m/>
    <x v="67"/>
    <x v="63"/>
    <m/>
  </r>
  <r>
    <x v="2040"/>
    <x v="2892"/>
    <x v="8"/>
    <x v="1"/>
    <x v="1"/>
    <x v="3"/>
    <x v="10"/>
    <x v="2"/>
    <x v="2858"/>
    <n v="90"/>
    <x v="0"/>
    <x v="0"/>
    <x v="211"/>
    <m/>
    <n v="0.11"/>
    <m/>
    <x v="67"/>
    <x v="63"/>
    <m/>
  </r>
  <r>
    <x v="2041"/>
    <x v="2893"/>
    <x v="8"/>
    <x v="1"/>
    <x v="1"/>
    <x v="3"/>
    <x v="10"/>
    <x v="2"/>
    <x v="2859"/>
    <n v="120"/>
    <x v="0"/>
    <x v="0"/>
    <x v="467"/>
    <m/>
    <n v="0.13"/>
    <m/>
    <x v="203"/>
    <x v="325"/>
    <m/>
  </r>
  <r>
    <x v="2041"/>
    <x v="2894"/>
    <x v="8"/>
    <x v="1"/>
    <x v="1"/>
    <x v="3"/>
    <x v="10"/>
    <x v="2"/>
    <x v="2860"/>
    <n v="120"/>
    <x v="0"/>
    <x v="0"/>
    <x v="508"/>
    <m/>
    <n v="0.1"/>
    <m/>
    <x v="203"/>
    <x v="325"/>
    <m/>
  </r>
  <r>
    <x v="2041"/>
    <x v="2895"/>
    <x v="8"/>
    <x v="1"/>
    <x v="1"/>
    <x v="3"/>
    <x v="10"/>
    <x v="2"/>
    <x v="2861"/>
    <n v="120"/>
    <x v="0"/>
    <x v="0"/>
    <x v="278"/>
    <m/>
    <n v="0.12"/>
    <m/>
    <x v="203"/>
    <x v="325"/>
    <m/>
  </r>
  <r>
    <x v="2042"/>
    <x v="2896"/>
    <x v="8"/>
    <x v="1"/>
    <x v="1"/>
    <x v="3"/>
    <x v="10"/>
    <x v="0"/>
    <x v="2862"/>
    <n v="283"/>
    <x v="0"/>
    <x v="416"/>
    <x v="723"/>
    <n v="1.37"/>
    <n v="1.65"/>
    <n v="0.4"/>
    <x v="57"/>
    <x v="133"/>
    <m/>
  </r>
  <r>
    <x v="2043"/>
    <x v="2897"/>
    <x v="8"/>
    <x v="1"/>
    <x v="1"/>
    <x v="3"/>
    <x v="10"/>
    <x v="1"/>
    <x v="2863"/>
    <n v="279"/>
    <x v="0"/>
    <x v="0"/>
    <x v="724"/>
    <m/>
    <n v="0.183"/>
    <m/>
    <x v="54"/>
    <x v="113"/>
    <n v="0.439"/>
  </r>
  <r>
    <x v="2043"/>
    <x v="2898"/>
    <x v="8"/>
    <x v="1"/>
    <x v="1"/>
    <x v="3"/>
    <x v="10"/>
    <x v="1"/>
    <x v="2864"/>
    <n v="279"/>
    <x v="0"/>
    <x v="0"/>
    <x v="725"/>
    <m/>
    <n v="0.247"/>
    <m/>
    <x v="54"/>
    <x v="113"/>
    <n v="0.439"/>
  </r>
  <r>
    <x v="2044"/>
    <x v="2899"/>
    <x v="14"/>
    <x v="1"/>
    <x v="1"/>
    <x v="3"/>
    <x v="10"/>
    <x v="0"/>
    <x v="2865"/>
    <n v="333"/>
    <x v="280"/>
    <x v="417"/>
    <x v="605"/>
    <n v="0.505"/>
    <n v="0.96"/>
    <n v="0.8"/>
    <x v="83"/>
    <x v="72"/>
    <n v="4"/>
  </r>
  <r>
    <x v="2045"/>
    <x v="2900"/>
    <x v="8"/>
    <x v="1"/>
    <x v="1"/>
    <x v="3"/>
    <x v="10"/>
    <x v="2"/>
    <x v="2866"/>
    <n v="437"/>
    <x v="0"/>
    <x v="0"/>
    <x v="726"/>
    <m/>
    <n v="0.54800000000000004"/>
    <m/>
    <x v="131"/>
    <x v="119"/>
    <n v="0.47799999999999998"/>
  </r>
  <r>
    <x v="2045"/>
    <x v="2901"/>
    <x v="8"/>
    <x v="1"/>
    <x v="1"/>
    <x v="3"/>
    <x v="10"/>
    <x v="2"/>
    <x v="2867"/>
    <n v="437"/>
    <x v="0"/>
    <x v="0"/>
    <x v="727"/>
    <m/>
    <n v="0.23400000000000001"/>
    <m/>
    <x v="131"/>
    <x v="119"/>
    <n v="0.47799999999999998"/>
  </r>
  <r>
    <x v="2045"/>
    <x v="2902"/>
    <x v="8"/>
    <x v="1"/>
    <x v="1"/>
    <x v="3"/>
    <x v="10"/>
    <x v="2"/>
    <x v="2868"/>
    <n v="437"/>
    <x v="0"/>
    <x v="0"/>
    <x v="728"/>
    <m/>
    <n v="7.4999999999999997E-2"/>
    <m/>
    <x v="131"/>
    <x v="119"/>
    <n v="0.47799999999999998"/>
  </r>
  <r>
    <x v="2046"/>
    <x v="2903"/>
    <x v="8"/>
    <x v="1"/>
    <x v="1"/>
    <x v="3"/>
    <x v="10"/>
    <x v="0"/>
    <x v="2869"/>
    <n v="548"/>
    <x v="42"/>
    <x v="0"/>
    <x v="341"/>
    <m/>
    <n v="0.14499999999999999"/>
    <m/>
    <x v="48"/>
    <x v="37"/>
    <n v="0.84"/>
  </r>
  <r>
    <x v="2047"/>
    <x v="2904"/>
    <x v="8"/>
    <x v="1"/>
    <x v="1"/>
    <x v="3"/>
    <x v="10"/>
    <x v="0"/>
    <x v="2870"/>
    <n v="442.69"/>
    <x v="281"/>
    <x v="418"/>
    <x v="729"/>
    <n v="5.0340000000000003E-2"/>
    <n v="0.55300000000000005"/>
    <m/>
    <x v="23"/>
    <x v="56"/>
    <m/>
  </r>
  <r>
    <x v="2048"/>
    <x v="2905"/>
    <x v="8"/>
    <x v="1"/>
    <x v="1"/>
    <x v="3"/>
    <x v="10"/>
    <x v="1"/>
    <x v="2871"/>
    <n v="233"/>
    <x v="0"/>
    <x v="419"/>
    <x v="173"/>
    <n v="0.02"/>
    <n v="0.21"/>
    <m/>
    <x v="6"/>
    <x v="133"/>
    <n v="1.04"/>
  </r>
  <r>
    <x v="2048"/>
    <x v="2906"/>
    <x v="8"/>
    <x v="1"/>
    <x v="0"/>
    <x v="0"/>
    <x v="32"/>
    <x v="1"/>
    <x v="2872"/>
    <n v="233"/>
    <x v="0"/>
    <x v="0"/>
    <x v="0"/>
    <n v="4.46"/>
    <m/>
    <m/>
    <x v="6"/>
    <x v="133"/>
    <n v="1.04"/>
  </r>
  <r>
    <x v="986"/>
    <x v="2907"/>
    <x v="10"/>
    <x v="1"/>
    <x v="1"/>
    <x v="3"/>
    <x v="10"/>
    <x v="1"/>
    <x v="2873"/>
    <n v="1594.34"/>
    <x v="0"/>
    <x v="0"/>
    <x v="730"/>
    <m/>
    <n v="0.375"/>
    <m/>
    <x v="17"/>
    <x v="171"/>
    <m/>
  </r>
  <r>
    <x v="2049"/>
    <x v="2908"/>
    <x v="15"/>
    <x v="1"/>
    <x v="1"/>
    <x v="3"/>
    <x v="10"/>
    <x v="2"/>
    <x v="2874"/>
    <n v="855"/>
    <x v="0"/>
    <x v="420"/>
    <x v="731"/>
    <n v="6"/>
    <n v="0.80800000000000005"/>
    <n v="14"/>
    <x v="29"/>
    <x v="38"/>
    <m/>
  </r>
  <r>
    <x v="2049"/>
    <x v="2909"/>
    <x v="15"/>
    <x v="1"/>
    <x v="1"/>
    <x v="8"/>
    <x v="10"/>
    <x v="2"/>
    <x v="2875"/>
    <n v="855"/>
    <x v="0"/>
    <x v="421"/>
    <x v="0"/>
    <n v="0.376"/>
    <m/>
    <m/>
    <x v="29"/>
    <x v="38"/>
    <m/>
  </r>
  <r>
    <x v="2049"/>
    <x v="2910"/>
    <x v="19"/>
    <x v="1"/>
    <x v="1"/>
    <x v="3"/>
    <x v="10"/>
    <x v="2"/>
    <x v="2876"/>
    <n v="855"/>
    <x v="0"/>
    <x v="0"/>
    <x v="157"/>
    <m/>
    <n v="0.14599999999999999"/>
    <m/>
    <x v="29"/>
    <x v="38"/>
    <m/>
  </r>
  <r>
    <x v="982"/>
    <x v="2911"/>
    <x v="10"/>
    <x v="1"/>
    <x v="1"/>
    <x v="3"/>
    <x v="10"/>
    <x v="1"/>
    <x v="2877"/>
    <n v="848"/>
    <x v="0"/>
    <x v="0"/>
    <x v="732"/>
    <m/>
    <n v="0.49199999999999999"/>
    <m/>
    <x v="154"/>
    <x v="89"/>
    <m/>
  </r>
  <r>
    <x v="2050"/>
    <x v="2912"/>
    <x v="10"/>
    <x v="1"/>
    <x v="1"/>
    <x v="3"/>
    <x v="10"/>
    <x v="0"/>
    <x v="2878"/>
    <n v="468"/>
    <x v="257"/>
    <x v="0"/>
    <x v="471"/>
    <m/>
    <n v="0.23"/>
    <m/>
    <x v="17"/>
    <x v="33"/>
    <m/>
  </r>
  <r>
    <x v="2051"/>
    <x v="2913"/>
    <x v="10"/>
    <x v="1"/>
    <x v="1"/>
    <x v="3"/>
    <x v="10"/>
    <x v="0"/>
    <x v="2879"/>
    <n v="733"/>
    <x v="171"/>
    <x v="0"/>
    <x v="362"/>
    <m/>
    <n v="0.33600000000000002"/>
    <m/>
    <x v="140"/>
    <x v="122"/>
    <m/>
  </r>
  <r>
    <x v="2052"/>
    <x v="2914"/>
    <x v="10"/>
    <x v="1"/>
    <x v="1"/>
    <x v="3"/>
    <x v="10"/>
    <x v="0"/>
    <x v="2880"/>
    <n v="336"/>
    <x v="18"/>
    <x v="0"/>
    <x v="546"/>
    <m/>
    <n v="0.27200000000000002"/>
    <m/>
    <x v="122"/>
    <x v="52"/>
    <m/>
  </r>
  <r>
    <x v="2053"/>
    <x v="2915"/>
    <x v="10"/>
    <x v="1"/>
    <x v="1"/>
    <x v="3"/>
    <x v="10"/>
    <x v="0"/>
    <x v="2881"/>
    <n v="653"/>
    <x v="65"/>
    <x v="0"/>
    <x v="350"/>
    <m/>
    <n v="0.29399999999999998"/>
    <m/>
    <x v="49"/>
    <x v="44"/>
    <m/>
  </r>
  <r>
    <x v="2054"/>
    <x v="2916"/>
    <x v="10"/>
    <x v="1"/>
    <x v="1"/>
    <x v="3"/>
    <x v="10"/>
    <x v="0"/>
    <x v="2882"/>
    <n v="587"/>
    <x v="270"/>
    <x v="0"/>
    <x v="356"/>
    <m/>
    <n v="0.26300000000000001"/>
    <m/>
    <x v="16"/>
    <x v="145"/>
    <m/>
  </r>
  <r>
    <x v="2055"/>
    <x v="2917"/>
    <x v="10"/>
    <x v="1"/>
    <x v="1"/>
    <x v="3"/>
    <x v="10"/>
    <x v="1"/>
    <x v="2883"/>
    <n v="436"/>
    <x v="242"/>
    <x v="0"/>
    <x v="649"/>
    <m/>
    <n v="0.254"/>
    <m/>
    <x v="48"/>
    <x v="133"/>
    <m/>
  </r>
  <r>
    <x v="2055"/>
    <x v="2918"/>
    <x v="10"/>
    <x v="1"/>
    <x v="1"/>
    <x v="3"/>
    <x v="10"/>
    <x v="1"/>
    <x v="2884"/>
    <n v="436"/>
    <x v="242"/>
    <x v="0"/>
    <x v="211"/>
    <m/>
    <n v="0.112"/>
    <m/>
    <x v="48"/>
    <x v="133"/>
    <m/>
  </r>
  <r>
    <x v="2056"/>
    <x v="2919"/>
    <x v="10"/>
    <x v="1"/>
    <x v="1"/>
    <x v="3"/>
    <x v="10"/>
    <x v="0"/>
    <x v="2885"/>
    <n v="458"/>
    <x v="282"/>
    <x v="0"/>
    <x v="422"/>
    <m/>
    <n v="0.20100000000000001"/>
    <m/>
    <x v="52"/>
    <x v="39"/>
    <m/>
  </r>
  <r>
    <x v="2057"/>
    <x v="2920"/>
    <x v="10"/>
    <x v="1"/>
    <x v="1"/>
    <x v="3"/>
    <x v="10"/>
    <x v="0"/>
    <x v="2886"/>
    <n v="474"/>
    <x v="24"/>
    <x v="0"/>
    <x v="28"/>
    <m/>
    <n v="1.19"/>
    <m/>
    <x v="50"/>
    <x v="90"/>
    <m/>
  </r>
  <r>
    <x v="2058"/>
    <x v="2921"/>
    <x v="15"/>
    <x v="1"/>
    <x v="1"/>
    <x v="3"/>
    <x v="10"/>
    <x v="2"/>
    <x v="2887"/>
    <n v="1500"/>
    <x v="0"/>
    <x v="422"/>
    <x v="546"/>
    <n v="6.5100000000000002E-3"/>
    <n v="0.27200000000000002"/>
    <n v="0.4"/>
    <x v="50"/>
    <x v="16"/>
    <n v="1.65"/>
  </r>
  <r>
    <x v="2058"/>
    <x v="2922"/>
    <x v="15"/>
    <x v="1"/>
    <x v="1"/>
    <x v="3"/>
    <x v="10"/>
    <x v="2"/>
    <x v="2888"/>
    <n v="1500"/>
    <x v="0"/>
    <x v="423"/>
    <x v="733"/>
    <n v="9.9699999999999997E-3"/>
    <n v="0.41499999999999998"/>
    <n v="0.17"/>
    <x v="50"/>
    <x v="16"/>
    <n v="1.65"/>
  </r>
  <r>
    <x v="2058"/>
    <x v="2923"/>
    <x v="20"/>
    <x v="1"/>
    <x v="1"/>
    <x v="3"/>
    <x v="10"/>
    <x v="2"/>
    <x v="2889"/>
    <n v="1500"/>
    <x v="0"/>
    <x v="424"/>
    <x v="734"/>
    <n v="5.9839999999999997E-2"/>
    <n v="0.628"/>
    <n v="0.3"/>
    <x v="50"/>
    <x v="16"/>
    <n v="1.65"/>
  </r>
  <r>
    <x v="2059"/>
    <x v="2924"/>
    <x v="10"/>
    <x v="1"/>
    <x v="1"/>
    <x v="3"/>
    <x v="10"/>
    <x v="0"/>
    <x v="2890"/>
    <n v="989"/>
    <x v="226"/>
    <x v="0"/>
    <x v="735"/>
    <m/>
    <n v="1.288"/>
    <m/>
    <x v="28"/>
    <x v="135"/>
    <m/>
  </r>
  <r>
    <x v="2060"/>
    <x v="2925"/>
    <x v="10"/>
    <x v="1"/>
    <x v="1"/>
    <x v="3"/>
    <x v="10"/>
    <x v="0"/>
    <x v="2891"/>
    <n v="1373"/>
    <x v="217"/>
    <x v="0"/>
    <x v="736"/>
    <m/>
    <n v="1.335"/>
    <m/>
    <x v="144"/>
    <x v="319"/>
    <m/>
  </r>
  <r>
    <x v="2061"/>
    <x v="2926"/>
    <x v="10"/>
    <x v="1"/>
    <x v="1"/>
    <x v="3"/>
    <x v="10"/>
    <x v="0"/>
    <x v="2892"/>
    <n v="302"/>
    <x v="243"/>
    <x v="0"/>
    <x v="404"/>
    <m/>
    <n v="0.28699999999999998"/>
    <m/>
    <x v="6"/>
    <x v="202"/>
    <m/>
  </r>
  <r>
    <x v="2062"/>
    <x v="2927"/>
    <x v="10"/>
    <x v="1"/>
    <x v="1"/>
    <x v="3"/>
    <x v="10"/>
    <x v="0"/>
    <x v="2893"/>
    <n v="641"/>
    <x v="2"/>
    <x v="0"/>
    <x v="737"/>
    <m/>
    <n v="0.36399999999999999"/>
    <m/>
    <x v="104"/>
    <x v="156"/>
    <m/>
  </r>
  <r>
    <x v="2063"/>
    <x v="2928"/>
    <x v="10"/>
    <x v="1"/>
    <x v="1"/>
    <x v="3"/>
    <x v="10"/>
    <x v="0"/>
    <x v="2894"/>
    <n v="568"/>
    <x v="213"/>
    <x v="0"/>
    <x v="375"/>
    <m/>
    <n v="0.27300000000000002"/>
    <m/>
    <x v="7"/>
    <x v="29"/>
    <m/>
  </r>
  <r>
    <x v="2064"/>
    <x v="2929"/>
    <x v="10"/>
    <x v="1"/>
    <x v="1"/>
    <x v="3"/>
    <x v="10"/>
    <x v="0"/>
    <x v="2895"/>
    <n v="280"/>
    <x v="243"/>
    <x v="0"/>
    <x v="308"/>
    <m/>
    <n v="0.222"/>
    <m/>
    <x v="126"/>
    <x v="38"/>
    <m/>
  </r>
  <r>
    <x v="2065"/>
    <x v="2930"/>
    <x v="10"/>
    <x v="1"/>
    <x v="1"/>
    <x v="3"/>
    <x v="10"/>
    <x v="0"/>
    <x v="2896"/>
    <n v="687"/>
    <x v="233"/>
    <x v="0"/>
    <x v="660"/>
    <m/>
    <n v="0.27500000000000002"/>
    <m/>
    <x v="18"/>
    <x v="121"/>
    <m/>
  </r>
  <r>
    <x v="2066"/>
    <x v="2931"/>
    <x v="10"/>
    <x v="1"/>
    <x v="1"/>
    <x v="3"/>
    <x v="10"/>
    <x v="0"/>
    <x v="2897"/>
    <n v="367"/>
    <x v="246"/>
    <x v="0"/>
    <x v="46"/>
    <m/>
    <n v="0.185"/>
    <m/>
    <x v="122"/>
    <x v="38"/>
    <m/>
  </r>
  <r>
    <x v="2067"/>
    <x v="2932"/>
    <x v="10"/>
    <x v="1"/>
    <x v="1"/>
    <x v="3"/>
    <x v="10"/>
    <x v="0"/>
    <x v="2898"/>
    <n v="420"/>
    <x v="65"/>
    <x v="0"/>
    <x v="552"/>
    <m/>
    <n v="0.24199999999999999"/>
    <m/>
    <x v="6"/>
    <x v="292"/>
    <m/>
  </r>
  <r>
    <x v="2068"/>
    <x v="2933"/>
    <x v="10"/>
    <x v="1"/>
    <x v="1"/>
    <x v="3"/>
    <x v="10"/>
    <x v="0"/>
    <x v="2899"/>
    <n v="371"/>
    <x v="211"/>
    <x v="0"/>
    <x v="333"/>
    <m/>
    <n v="0.189"/>
    <m/>
    <x v="126"/>
    <x v="130"/>
    <m/>
  </r>
  <r>
    <x v="2069"/>
    <x v="2934"/>
    <x v="15"/>
    <x v="1"/>
    <x v="1"/>
    <x v="3"/>
    <x v="10"/>
    <x v="4"/>
    <x v="2900"/>
    <n v="306.66000000000003"/>
    <x v="283"/>
    <x v="425"/>
    <x v="550"/>
    <n v="1.24E-2"/>
    <n v="0.16800000000000001"/>
    <n v="3.23"/>
    <x v="59"/>
    <x v="111"/>
    <n v="1.98"/>
  </r>
  <r>
    <x v="2069"/>
    <x v="2935"/>
    <x v="15"/>
    <x v="1"/>
    <x v="1"/>
    <x v="3"/>
    <x v="10"/>
    <x v="4"/>
    <x v="2901"/>
    <n v="306.66000000000003"/>
    <x v="283"/>
    <x v="426"/>
    <x v="552"/>
    <n v="4.5969999999999997E-2"/>
    <n v="0.24199999999999999"/>
    <n v="4.01"/>
    <x v="59"/>
    <x v="111"/>
    <n v="1.98"/>
  </r>
  <r>
    <x v="2069"/>
    <x v="2936"/>
    <x v="19"/>
    <x v="1"/>
    <x v="1"/>
    <x v="3"/>
    <x v="10"/>
    <x v="4"/>
    <x v="2902"/>
    <n v="306.66000000000003"/>
    <x v="283"/>
    <x v="427"/>
    <x v="525"/>
    <n v="2.5000000000000001E-2"/>
    <n v="0.182"/>
    <n v="5.08"/>
    <x v="59"/>
    <x v="111"/>
    <n v="1.98"/>
  </r>
  <r>
    <x v="2069"/>
    <x v="2937"/>
    <x v="19"/>
    <x v="1"/>
    <x v="0"/>
    <x v="0"/>
    <x v="3"/>
    <x v="4"/>
    <x v="2903"/>
    <n v="306.66000000000003"/>
    <x v="283"/>
    <x v="428"/>
    <x v="0"/>
    <n v="2.0670000000000002"/>
    <m/>
    <m/>
    <x v="59"/>
    <x v="111"/>
    <n v="1.98"/>
  </r>
  <r>
    <x v="2070"/>
    <x v="2938"/>
    <x v="10"/>
    <x v="1"/>
    <x v="1"/>
    <x v="3"/>
    <x v="10"/>
    <x v="0"/>
    <x v="2904"/>
    <n v="806"/>
    <x v="20"/>
    <x v="0"/>
    <x v="295"/>
    <m/>
    <n v="0.248"/>
    <m/>
    <x v="119"/>
    <x v="156"/>
    <m/>
  </r>
  <r>
    <x v="2071"/>
    <x v="2939"/>
    <x v="10"/>
    <x v="1"/>
    <x v="1"/>
    <x v="3"/>
    <x v="10"/>
    <x v="0"/>
    <x v="2905"/>
    <n v="713"/>
    <x v="210"/>
    <x v="0"/>
    <x v="281"/>
    <m/>
    <n v="0.223"/>
    <m/>
    <x v="53"/>
    <x v="121"/>
    <m/>
  </r>
  <r>
    <x v="2072"/>
    <x v="2940"/>
    <x v="10"/>
    <x v="1"/>
    <x v="1"/>
    <x v="3"/>
    <x v="10"/>
    <x v="0"/>
    <x v="2906"/>
    <n v="290"/>
    <x v="260"/>
    <x v="0"/>
    <x v="479"/>
    <m/>
    <n v="0.21099999999999999"/>
    <m/>
    <x v="174"/>
    <x v="185"/>
    <m/>
  </r>
  <r>
    <x v="2073"/>
    <x v="2941"/>
    <x v="10"/>
    <x v="1"/>
    <x v="1"/>
    <x v="3"/>
    <x v="10"/>
    <x v="0"/>
    <x v="2907"/>
    <n v="953"/>
    <x v="266"/>
    <x v="0"/>
    <x v="738"/>
    <m/>
    <n v="0.28599999999999998"/>
    <m/>
    <x v="114"/>
    <x v="113"/>
    <m/>
  </r>
  <r>
    <x v="2074"/>
    <x v="2942"/>
    <x v="10"/>
    <x v="1"/>
    <x v="1"/>
    <x v="3"/>
    <x v="10"/>
    <x v="0"/>
    <x v="2908"/>
    <n v="377"/>
    <x v="269"/>
    <x v="0"/>
    <x v="478"/>
    <m/>
    <n v="0.20300000000000001"/>
    <m/>
    <x v="50"/>
    <x v="90"/>
    <m/>
  </r>
  <r>
    <x v="2075"/>
    <x v="2943"/>
    <x v="10"/>
    <x v="1"/>
    <x v="1"/>
    <x v="3"/>
    <x v="10"/>
    <x v="0"/>
    <x v="2909"/>
    <n v="1173"/>
    <x v="196"/>
    <x v="0"/>
    <x v="739"/>
    <m/>
    <n v="1.286"/>
    <m/>
    <x v="154"/>
    <x v="121"/>
    <m/>
  </r>
  <r>
    <x v="2076"/>
    <x v="2944"/>
    <x v="10"/>
    <x v="1"/>
    <x v="1"/>
    <x v="3"/>
    <x v="10"/>
    <x v="0"/>
    <x v="2910"/>
    <n v="428"/>
    <x v="216"/>
    <x v="0"/>
    <x v="740"/>
    <m/>
    <n v="0.98099999999999998"/>
    <m/>
    <x v="137"/>
    <x v="91"/>
    <m/>
  </r>
  <r>
    <x v="2077"/>
    <x v="2945"/>
    <x v="10"/>
    <x v="1"/>
    <x v="1"/>
    <x v="3"/>
    <x v="10"/>
    <x v="1"/>
    <x v="2911"/>
    <n v="835"/>
    <x v="254"/>
    <x v="0"/>
    <x v="741"/>
    <m/>
    <n v="1.0189999999999999"/>
    <m/>
    <x v="21"/>
    <x v="100"/>
    <m/>
  </r>
  <r>
    <x v="2077"/>
    <x v="2946"/>
    <x v="10"/>
    <x v="1"/>
    <x v="1"/>
    <x v="3"/>
    <x v="10"/>
    <x v="1"/>
    <x v="2912"/>
    <n v="835"/>
    <x v="254"/>
    <x v="0"/>
    <x v="400"/>
    <m/>
    <n v="0.23899999999999999"/>
    <m/>
    <x v="21"/>
    <x v="100"/>
    <m/>
  </r>
  <r>
    <x v="2078"/>
    <x v="2947"/>
    <x v="10"/>
    <x v="1"/>
    <x v="1"/>
    <x v="3"/>
    <x v="10"/>
    <x v="0"/>
    <x v="2913"/>
    <n v="1157"/>
    <x v="242"/>
    <x v="0"/>
    <x v="742"/>
    <m/>
    <n v="1.409"/>
    <m/>
    <x v="154"/>
    <x v="121"/>
    <m/>
  </r>
  <r>
    <x v="2079"/>
    <x v="2948"/>
    <x v="10"/>
    <x v="1"/>
    <x v="1"/>
    <x v="3"/>
    <x v="10"/>
    <x v="0"/>
    <x v="2914"/>
    <n v="379"/>
    <x v="222"/>
    <x v="0"/>
    <x v="743"/>
    <m/>
    <n v="0.68899999999999995"/>
    <m/>
    <x v="58"/>
    <x v="153"/>
    <m/>
  </r>
  <r>
    <x v="2080"/>
    <x v="2949"/>
    <x v="15"/>
    <x v="1"/>
    <x v="1"/>
    <x v="3"/>
    <x v="10"/>
    <x v="4"/>
    <x v="2915"/>
    <n v="306"/>
    <x v="0"/>
    <x v="429"/>
    <x v="394"/>
    <n v="0.98"/>
    <n v="0.24299999999999999"/>
    <m/>
    <x v="29"/>
    <x v="83"/>
    <m/>
  </r>
  <r>
    <x v="2080"/>
    <x v="2950"/>
    <x v="15"/>
    <x v="1"/>
    <x v="1"/>
    <x v="3"/>
    <x v="10"/>
    <x v="4"/>
    <x v="2916"/>
    <n v="306"/>
    <x v="0"/>
    <x v="42"/>
    <x v="330"/>
    <n v="0.72"/>
    <n v="0.22700000000000001"/>
    <m/>
    <x v="29"/>
    <x v="83"/>
    <m/>
  </r>
  <r>
    <x v="2080"/>
    <x v="2951"/>
    <x v="19"/>
    <x v="1"/>
    <x v="1"/>
    <x v="3"/>
    <x v="10"/>
    <x v="4"/>
    <x v="2917"/>
    <n v="306"/>
    <x v="0"/>
    <x v="0"/>
    <x v="492"/>
    <m/>
    <n v="0.14299999999999999"/>
    <m/>
    <x v="29"/>
    <x v="83"/>
    <m/>
  </r>
  <r>
    <x v="2080"/>
    <x v="2952"/>
    <x v="19"/>
    <x v="1"/>
    <x v="1"/>
    <x v="3"/>
    <x v="10"/>
    <x v="4"/>
    <x v="2918"/>
    <n v="306"/>
    <x v="0"/>
    <x v="0"/>
    <x v="319"/>
    <m/>
    <n v="0.13900000000000001"/>
    <m/>
    <x v="29"/>
    <x v="83"/>
    <m/>
  </r>
  <r>
    <x v="2081"/>
    <x v="2953"/>
    <x v="10"/>
    <x v="1"/>
    <x v="1"/>
    <x v="3"/>
    <x v="10"/>
    <x v="0"/>
    <x v="2919"/>
    <n v="1249"/>
    <x v="242"/>
    <x v="0"/>
    <x v="744"/>
    <m/>
    <n v="1.0389999999999999"/>
    <m/>
    <x v="4"/>
    <x v="40"/>
    <m/>
  </r>
  <r>
    <x v="2082"/>
    <x v="2954"/>
    <x v="10"/>
    <x v="1"/>
    <x v="1"/>
    <x v="3"/>
    <x v="10"/>
    <x v="0"/>
    <x v="2920"/>
    <n v="657"/>
    <x v="216"/>
    <x v="0"/>
    <x v="745"/>
    <m/>
    <n v="0.79600000000000004"/>
    <m/>
    <x v="48"/>
    <x v="171"/>
    <m/>
  </r>
  <r>
    <x v="2083"/>
    <x v="2955"/>
    <x v="10"/>
    <x v="1"/>
    <x v="1"/>
    <x v="3"/>
    <x v="10"/>
    <x v="0"/>
    <x v="2921"/>
    <n v="642"/>
    <x v="223"/>
    <x v="0"/>
    <x v="746"/>
    <m/>
    <n v="0.85599999999999998"/>
    <m/>
    <x v="23"/>
    <x v="33"/>
    <m/>
  </r>
  <r>
    <x v="2084"/>
    <x v="2956"/>
    <x v="10"/>
    <x v="1"/>
    <x v="1"/>
    <x v="3"/>
    <x v="10"/>
    <x v="0"/>
    <x v="2922"/>
    <n v="1942"/>
    <x v="24"/>
    <x v="0"/>
    <x v="747"/>
    <m/>
    <n v="1.35"/>
    <m/>
    <x v="169"/>
    <x v="120"/>
    <m/>
  </r>
  <r>
    <x v="2085"/>
    <x v="2957"/>
    <x v="10"/>
    <x v="1"/>
    <x v="1"/>
    <x v="3"/>
    <x v="10"/>
    <x v="0"/>
    <x v="2923"/>
    <n v="862"/>
    <x v="215"/>
    <x v="0"/>
    <x v="748"/>
    <m/>
    <n v="0.63700000000000001"/>
    <m/>
    <x v="32"/>
    <x v="308"/>
    <m/>
  </r>
  <r>
    <x v="2086"/>
    <x v="2958"/>
    <x v="10"/>
    <x v="1"/>
    <x v="1"/>
    <x v="3"/>
    <x v="10"/>
    <x v="0"/>
    <x v="2924"/>
    <n v="630"/>
    <x v="224"/>
    <x v="0"/>
    <x v="749"/>
    <m/>
    <n v="0.46700000000000003"/>
    <m/>
    <x v="126"/>
    <x v="56"/>
    <m/>
  </r>
  <r>
    <x v="2087"/>
    <x v="2959"/>
    <x v="10"/>
    <x v="1"/>
    <x v="1"/>
    <x v="3"/>
    <x v="10"/>
    <x v="0"/>
    <x v="2925"/>
    <n v="655"/>
    <x v="223"/>
    <x v="0"/>
    <x v="152"/>
    <m/>
    <n v="0.20699999999999999"/>
    <m/>
    <x v="126"/>
    <x v="92"/>
    <m/>
  </r>
  <r>
    <x v="2088"/>
    <x v="2960"/>
    <x v="10"/>
    <x v="1"/>
    <x v="1"/>
    <x v="3"/>
    <x v="10"/>
    <x v="0"/>
    <x v="2926"/>
    <n v="1070"/>
    <x v="220"/>
    <x v="0"/>
    <x v="750"/>
    <m/>
    <n v="0.53900000000000003"/>
    <m/>
    <x v="25"/>
    <x v="37"/>
    <m/>
  </r>
  <r>
    <x v="2089"/>
    <x v="2961"/>
    <x v="10"/>
    <x v="1"/>
    <x v="1"/>
    <x v="3"/>
    <x v="10"/>
    <x v="0"/>
    <x v="2927"/>
    <n v="746"/>
    <x v="218"/>
    <x v="0"/>
    <x v="625"/>
    <m/>
    <n v="0.27"/>
    <m/>
    <x v="17"/>
    <x v="18"/>
    <m/>
  </r>
  <r>
    <x v="2090"/>
    <x v="2962"/>
    <x v="10"/>
    <x v="1"/>
    <x v="1"/>
    <x v="3"/>
    <x v="10"/>
    <x v="0"/>
    <x v="2928"/>
    <n v="523"/>
    <x v="223"/>
    <x v="0"/>
    <x v="331"/>
    <m/>
    <n v="0.19400000000000001"/>
    <m/>
    <x v="122"/>
    <x v="56"/>
    <m/>
  </r>
  <r>
    <x v="2091"/>
    <x v="2963"/>
    <x v="1"/>
    <x v="1"/>
    <x v="1"/>
    <x v="3"/>
    <x v="10"/>
    <x v="0"/>
    <x v="2929"/>
    <n v="898"/>
    <x v="0"/>
    <x v="430"/>
    <x v="81"/>
    <n v="2.1110000000000002"/>
    <n v="1.4259999999999999"/>
    <n v="0.4"/>
    <x v="55"/>
    <x v="50"/>
    <m/>
  </r>
  <r>
    <x v="2092"/>
    <x v="2964"/>
    <x v="15"/>
    <x v="1"/>
    <x v="1"/>
    <x v="3"/>
    <x v="10"/>
    <x v="1"/>
    <x v="2930"/>
    <n v="255"/>
    <x v="44"/>
    <x v="0"/>
    <x v="349"/>
    <m/>
    <n v="0.153"/>
    <m/>
    <x v="100"/>
    <x v="259"/>
    <n v="0.441"/>
  </r>
  <r>
    <x v="2092"/>
    <x v="2965"/>
    <x v="15"/>
    <x v="1"/>
    <x v="1"/>
    <x v="3"/>
    <x v="10"/>
    <x v="1"/>
    <x v="2931"/>
    <n v="255"/>
    <x v="44"/>
    <x v="0"/>
    <x v="331"/>
    <m/>
    <n v="0.19400000000000001"/>
    <m/>
    <x v="100"/>
    <x v="259"/>
    <n v="0.441"/>
  </r>
  <r>
    <x v="2093"/>
    <x v="2966"/>
    <x v="10"/>
    <x v="1"/>
    <x v="1"/>
    <x v="3"/>
    <x v="10"/>
    <x v="0"/>
    <x v="2932"/>
    <n v="747"/>
    <x v="224"/>
    <x v="0"/>
    <x v="471"/>
    <m/>
    <n v="0.23"/>
    <m/>
    <x v="102"/>
    <x v="171"/>
    <m/>
  </r>
  <r>
    <x v="2094"/>
    <x v="2967"/>
    <x v="10"/>
    <x v="1"/>
    <x v="1"/>
    <x v="3"/>
    <x v="10"/>
    <x v="0"/>
    <x v="2933"/>
    <n v="1044"/>
    <x v="222"/>
    <x v="0"/>
    <x v="675"/>
    <m/>
    <n v="0.38400000000000001"/>
    <m/>
    <x v="18"/>
    <x v="110"/>
    <m/>
  </r>
  <r>
    <x v="2095"/>
    <x v="2968"/>
    <x v="10"/>
    <x v="1"/>
    <x v="1"/>
    <x v="3"/>
    <x v="10"/>
    <x v="0"/>
    <x v="2934"/>
    <n v="1433"/>
    <x v="231"/>
    <x v="0"/>
    <x v="613"/>
    <m/>
    <n v="0.42599999999999999"/>
    <m/>
    <x v="93"/>
    <x v="147"/>
    <m/>
  </r>
  <r>
    <x v="2096"/>
    <x v="2969"/>
    <x v="10"/>
    <x v="1"/>
    <x v="1"/>
    <x v="3"/>
    <x v="10"/>
    <x v="0"/>
    <x v="2935"/>
    <n v="75"/>
    <x v="212"/>
    <x v="0"/>
    <x v="397"/>
    <m/>
    <n v="0.14199999999999999"/>
    <m/>
    <x v="61"/>
    <x v="289"/>
    <m/>
  </r>
  <r>
    <x v="2097"/>
    <x v="2970"/>
    <x v="10"/>
    <x v="1"/>
    <x v="1"/>
    <x v="3"/>
    <x v="10"/>
    <x v="0"/>
    <x v="2936"/>
    <n v="222"/>
    <x v="204"/>
    <x v="0"/>
    <x v="238"/>
    <m/>
    <n v="0.23200000000000001"/>
    <m/>
    <x v="87"/>
    <x v="81"/>
    <m/>
  </r>
  <r>
    <x v="2098"/>
    <x v="2971"/>
    <x v="10"/>
    <x v="1"/>
    <x v="1"/>
    <x v="3"/>
    <x v="10"/>
    <x v="0"/>
    <x v="2937"/>
    <n v="231"/>
    <x v="230"/>
    <x v="0"/>
    <x v="38"/>
    <m/>
    <n v="0.24399999999999999"/>
    <m/>
    <x v="128"/>
    <x v="43"/>
    <m/>
  </r>
  <r>
    <x v="2099"/>
    <x v="2972"/>
    <x v="10"/>
    <x v="1"/>
    <x v="1"/>
    <x v="3"/>
    <x v="10"/>
    <x v="0"/>
    <x v="2938"/>
    <n v="410"/>
    <x v="44"/>
    <x v="0"/>
    <x v="185"/>
    <m/>
    <n v="0.11600000000000001"/>
    <m/>
    <x v="56"/>
    <x v="106"/>
    <m/>
  </r>
  <r>
    <x v="2100"/>
    <x v="2973"/>
    <x v="10"/>
    <x v="1"/>
    <x v="1"/>
    <x v="3"/>
    <x v="10"/>
    <x v="0"/>
    <x v="2939"/>
    <n v="325"/>
    <x v="220"/>
    <x v="0"/>
    <x v="157"/>
    <m/>
    <n v="0.14599999999999999"/>
    <m/>
    <x v="56"/>
    <x v="167"/>
    <m/>
  </r>
  <r>
    <x v="2101"/>
    <x v="2974"/>
    <x v="10"/>
    <x v="1"/>
    <x v="1"/>
    <x v="3"/>
    <x v="10"/>
    <x v="0"/>
    <x v="2940"/>
    <n v="339"/>
    <x v="211"/>
    <x v="0"/>
    <x v="308"/>
    <m/>
    <n v="0.222"/>
    <m/>
    <x v="32"/>
    <x v="15"/>
    <m/>
  </r>
  <r>
    <x v="2102"/>
    <x v="2975"/>
    <x v="15"/>
    <x v="1"/>
    <x v="1"/>
    <x v="3"/>
    <x v="10"/>
    <x v="2"/>
    <x v="2941"/>
    <n v="1013"/>
    <x v="121"/>
    <x v="431"/>
    <x v="640"/>
    <n v="7.0000000000000001E-3"/>
    <n v="0.63300000000000001"/>
    <n v="0.03"/>
    <x v="48"/>
    <x v="16"/>
    <n v="2.16"/>
  </r>
  <r>
    <x v="2102"/>
    <x v="2976"/>
    <x v="15"/>
    <x v="1"/>
    <x v="1"/>
    <x v="3"/>
    <x v="10"/>
    <x v="2"/>
    <x v="2942"/>
    <n v="1013"/>
    <x v="121"/>
    <x v="365"/>
    <x v="751"/>
    <n v="1.2999999999999999E-2"/>
    <n v="0.80300000000000005"/>
    <n v="0.03"/>
    <x v="48"/>
    <x v="16"/>
    <n v="2.16"/>
  </r>
  <r>
    <x v="2102"/>
    <x v="2977"/>
    <x v="19"/>
    <x v="1"/>
    <x v="1"/>
    <x v="3"/>
    <x v="10"/>
    <x v="2"/>
    <x v="2943"/>
    <n v="1013"/>
    <x v="121"/>
    <x v="432"/>
    <x v="752"/>
    <n v="2.4E-2"/>
    <n v="0.86499999999999999"/>
    <n v="4.5999999999999999E-2"/>
    <x v="48"/>
    <x v="16"/>
    <n v="2.16"/>
  </r>
  <r>
    <x v="2103"/>
    <x v="2978"/>
    <x v="10"/>
    <x v="1"/>
    <x v="1"/>
    <x v="3"/>
    <x v="10"/>
    <x v="0"/>
    <x v="2944"/>
    <n v="378"/>
    <x v="284"/>
    <x v="0"/>
    <x v="518"/>
    <m/>
    <n v="0.22"/>
    <m/>
    <x v="21"/>
    <x v="11"/>
    <m/>
  </r>
  <r>
    <x v="2104"/>
    <x v="2979"/>
    <x v="10"/>
    <x v="1"/>
    <x v="1"/>
    <x v="3"/>
    <x v="10"/>
    <x v="0"/>
    <x v="2945"/>
    <n v="448"/>
    <x v="285"/>
    <x v="0"/>
    <x v="753"/>
    <m/>
    <n v="0.56699999999999995"/>
    <m/>
    <x v="57"/>
    <x v="15"/>
    <m/>
  </r>
  <r>
    <x v="2105"/>
    <x v="2980"/>
    <x v="10"/>
    <x v="1"/>
    <x v="1"/>
    <x v="3"/>
    <x v="10"/>
    <x v="0"/>
    <x v="2946"/>
    <n v="531"/>
    <x v="196"/>
    <x v="0"/>
    <x v="354"/>
    <m/>
    <n v="0.24"/>
    <m/>
    <x v="63"/>
    <x v="96"/>
    <m/>
  </r>
  <r>
    <x v="2106"/>
    <x v="2981"/>
    <x v="10"/>
    <x v="1"/>
    <x v="1"/>
    <x v="3"/>
    <x v="10"/>
    <x v="0"/>
    <x v="2947"/>
    <n v="467"/>
    <x v="73"/>
    <x v="0"/>
    <x v="359"/>
    <m/>
    <n v="0.19600000000000001"/>
    <m/>
    <x v="102"/>
    <x v="124"/>
    <m/>
  </r>
  <r>
    <x v="2107"/>
    <x v="2982"/>
    <x v="10"/>
    <x v="1"/>
    <x v="1"/>
    <x v="3"/>
    <x v="10"/>
    <x v="0"/>
    <x v="2948"/>
    <n v="489"/>
    <x v="243"/>
    <x v="0"/>
    <x v="587"/>
    <m/>
    <n v="0.153"/>
    <m/>
    <x v="114"/>
    <x v="132"/>
    <m/>
  </r>
  <r>
    <x v="2108"/>
    <x v="2983"/>
    <x v="10"/>
    <x v="1"/>
    <x v="1"/>
    <x v="3"/>
    <x v="10"/>
    <x v="0"/>
    <x v="2949"/>
    <n v="255"/>
    <x v="225"/>
    <x v="0"/>
    <x v="472"/>
    <m/>
    <n v="0.13"/>
    <m/>
    <x v="3"/>
    <x v="56"/>
    <m/>
  </r>
  <r>
    <x v="2109"/>
    <x v="2984"/>
    <x v="10"/>
    <x v="1"/>
    <x v="1"/>
    <x v="3"/>
    <x v="10"/>
    <x v="0"/>
    <x v="2950"/>
    <n v="777"/>
    <x v="139"/>
    <x v="0"/>
    <x v="754"/>
    <m/>
    <n v="0.51200000000000001"/>
    <m/>
    <x v="149"/>
    <x v="321"/>
    <m/>
  </r>
  <r>
    <x v="2110"/>
    <x v="2985"/>
    <x v="10"/>
    <x v="1"/>
    <x v="1"/>
    <x v="3"/>
    <x v="10"/>
    <x v="0"/>
    <x v="2951"/>
    <n v="284"/>
    <x v="265"/>
    <x v="0"/>
    <x v="344"/>
    <m/>
    <n v="0.23799999999999999"/>
    <m/>
    <x v="44"/>
    <x v="62"/>
    <m/>
  </r>
  <r>
    <x v="2111"/>
    <x v="2986"/>
    <x v="10"/>
    <x v="1"/>
    <x v="1"/>
    <x v="3"/>
    <x v="10"/>
    <x v="0"/>
    <x v="2952"/>
    <n v="324"/>
    <x v="162"/>
    <x v="0"/>
    <x v="601"/>
    <m/>
    <n v="0.188"/>
    <m/>
    <x v="50"/>
    <x v="100"/>
    <m/>
  </r>
  <r>
    <x v="2112"/>
    <x v="2987"/>
    <x v="10"/>
    <x v="1"/>
    <x v="1"/>
    <x v="3"/>
    <x v="10"/>
    <x v="0"/>
    <x v="2953"/>
    <n v="234"/>
    <x v="264"/>
    <x v="0"/>
    <x v="371"/>
    <m/>
    <n v="0.187"/>
    <m/>
    <x v="45"/>
    <x v="292"/>
    <m/>
  </r>
  <r>
    <x v="2113"/>
    <x v="2988"/>
    <x v="15"/>
    <x v="1"/>
    <x v="1"/>
    <x v="3"/>
    <x v="10"/>
    <x v="2"/>
    <x v="2954"/>
    <n v="336"/>
    <x v="0"/>
    <x v="433"/>
    <x v="371"/>
    <n v="8.6999999999999993"/>
    <n v="0.187"/>
    <m/>
    <x v="29"/>
    <x v="83"/>
    <m/>
  </r>
  <r>
    <x v="2113"/>
    <x v="2989"/>
    <x v="15"/>
    <x v="1"/>
    <x v="1"/>
    <x v="3"/>
    <x v="10"/>
    <x v="2"/>
    <x v="2955"/>
    <n v="336"/>
    <x v="0"/>
    <x v="434"/>
    <x v="307"/>
    <n v="10.41"/>
    <n v="0.16400000000000001"/>
    <m/>
    <x v="29"/>
    <x v="83"/>
    <m/>
  </r>
  <r>
    <x v="2113"/>
    <x v="2990"/>
    <x v="19"/>
    <x v="1"/>
    <x v="1"/>
    <x v="3"/>
    <x v="10"/>
    <x v="2"/>
    <x v="2956"/>
    <n v="336"/>
    <x v="0"/>
    <x v="0"/>
    <x v="370"/>
    <m/>
    <n v="0.17399999999999999"/>
    <m/>
    <x v="29"/>
    <x v="83"/>
    <m/>
  </r>
  <r>
    <x v="2114"/>
    <x v="2991"/>
    <x v="10"/>
    <x v="1"/>
    <x v="1"/>
    <x v="3"/>
    <x v="10"/>
    <x v="1"/>
    <x v="2957"/>
    <n v="492"/>
    <x v="244"/>
    <x v="0"/>
    <x v="379"/>
    <m/>
    <n v="0.14799999999999999"/>
    <m/>
    <x v="32"/>
    <x v="121"/>
    <m/>
  </r>
  <r>
    <x v="2114"/>
    <x v="2992"/>
    <x v="10"/>
    <x v="1"/>
    <x v="1"/>
    <x v="3"/>
    <x v="10"/>
    <x v="1"/>
    <x v="2958"/>
    <n v="492"/>
    <x v="244"/>
    <x v="0"/>
    <x v="503"/>
    <m/>
    <n v="9.5000000000000001E-2"/>
    <m/>
    <x v="32"/>
    <x v="121"/>
    <m/>
  </r>
  <r>
    <x v="2115"/>
    <x v="2993"/>
    <x v="10"/>
    <x v="1"/>
    <x v="1"/>
    <x v="3"/>
    <x v="10"/>
    <x v="0"/>
    <x v="2959"/>
    <n v="737"/>
    <x v="94"/>
    <x v="0"/>
    <x v="512"/>
    <m/>
    <n v="0.28399999999999997"/>
    <m/>
    <x v="151"/>
    <x v="134"/>
    <m/>
  </r>
  <r>
    <x v="2116"/>
    <x v="2994"/>
    <x v="10"/>
    <x v="1"/>
    <x v="1"/>
    <x v="3"/>
    <x v="10"/>
    <x v="0"/>
    <x v="2960"/>
    <n v="749"/>
    <x v="140"/>
    <x v="0"/>
    <x v="755"/>
    <m/>
    <n v="0.61599999999999999"/>
    <m/>
    <x v="8"/>
    <x v="315"/>
    <m/>
  </r>
  <r>
    <x v="2117"/>
    <x v="2995"/>
    <x v="10"/>
    <x v="1"/>
    <x v="1"/>
    <x v="3"/>
    <x v="10"/>
    <x v="0"/>
    <x v="2961"/>
    <n v="270"/>
    <x v="236"/>
    <x v="0"/>
    <x v="186"/>
    <m/>
    <n v="0.17499999999999999"/>
    <m/>
    <x v="89"/>
    <x v="24"/>
    <m/>
  </r>
  <r>
    <x v="2118"/>
    <x v="2996"/>
    <x v="10"/>
    <x v="1"/>
    <x v="1"/>
    <x v="3"/>
    <x v="10"/>
    <x v="1"/>
    <x v="2962"/>
    <n v="730"/>
    <x v="43"/>
    <x v="0"/>
    <x v="3"/>
    <m/>
    <n v="0.17"/>
    <m/>
    <x v="25"/>
    <x v="95"/>
    <m/>
  </r>
  <r>
    <x v="2118"/>
    <x v="2997"/>
    <x v="10"/>
    <x v="1"/>
    <x v="1"/>
    <x v="3"/>
    <x v="10"/>
    <x v="1"/>
    <x v="2963"/>
    <n v="730"/>
    <x v="43"/>
    <x v="0"/>
    <x v="593"/>
    <m/>
    <n v="8.5999999999999993E-2"/>
    <m/>
    <x v="25"/>
    <x v="95"/>
    <m/>
  </r>
  <r>
    <x v="2119"/>
    <x v="2998"/>
    <x v="10"/>
    <x v="1"/>
    <x v="1"/>
    <x v="3"/>
    <x v="10"/>
    <x v="0"/>
    <x v="2964"/>
    <n v="566"/>
    <x v="284"/>
    <x v="0"/>
    <x v="154"/>
    <m/>
    <n v="0.23499999999999999"/>
    <m/>
    <x v="44"/>
    <x v="180"/>
    <m/>
  </r>
  <r>
    <x v="2120"/>
    <x v="2999"/>
    <x v="10"/>
    <x v="1"/>
    <x v="1"/>
    <x v="3"/>
    <x v="10"/>
    <x v="0"/>
    <x v="2965"/>
    <n v="504"/>
    <x v="235"/>
    <x v="0"/>
    <x v="236"/>
    <m/>
    <n v="0.17799999999999999"/>
    <m/>
    <x v="93"/>
    <x v="48"/>
    <m/>
  </r>
  <r>
    <x v="2121"/>
    <x v="3000"/>
    <x v="10"/>
    <x v="1"/>
    <x v="1"/>
    <x v="3"/>
    <x v="10"/>
    <x v="0"/>
    <x v="2966"/>
    <n v="901"/>
    <x v="155"/>
    <x v="0"/>
    <x v="270"/>
    <m/>
    <n v="0.253"/>
    <m/>
    <x v="114"/>
    <x v="150"/>
    <m/>
  </r>
  <r>
    <x v="2122"/>
    <x v="3001"/>
    <x v="10"/>
    <x v="1"/>
    <x v="1"/>
    <x v="3"/>
    <x v="10"/>
    <x v="0"/>
    <x v="2967"/>
    <n v="711"/>
    <x v="73"/>
    <x v="0"/>
    <x v="488"/>
    <m/>
    <n v="0.186"/>
    <m/>
    <x v="53"/>
    <x v="124"/>
    <m/>
  </r>
  <r>
    <x v="2123"/>
    <x v="3002"/>
    <x v="10"/>
    <x v="1"/>
    <x v="1"/>
    <x v="3"/>
    <x v="10"/>
    <x v="1"/>
    <x v="2968"/>
    <n v="787"/>
    <x v="229"/>
    <x v="0"/>
    <x v="598"/>
    <m/>
    <n v="0.16600000000000001"/>
    <m/>
    <x v="154"/>
    <x v="48"/>
    <m/>
  </r>
  <r>
    <x v="2123"/>
    <x v="3003"/>
    <x v="10"/>
    <x v="1"/>
    <x v="1"/>
    <x v="3"/>
    <x v="10"/>
    <x v="1"/>
    <x v="2969"/>
    <n v="787"/>
    <x v="229"/>
    <x v="0"/>
    <x v="184"/>
    <m/>
    <n v="0.17799999999999999"/>
    <m/>
    <x v="154"/>
    <x v="48"/>
    <m/>
  </r>
  <r>
    <x v="2124"/>
    <x v="3004"/>
    <x v="15"/>
    <x v="1"/>
    <x v="1"/>
    <x v="3"/>
    <x v="10"/>
    <x v="2"/>
    <x v="2970"/>
    <n v="1235"/>
    <x v="0"/>
    <x v="435"/>
    <x v="407"/>
    <n v="18.41"/>
    <n v="0.25800000000000001"/>
    <m/>
    <x v="17"/>
    <x v="111"/>
    <m/>
  </r>
  <r>
    <x v="2124"/>
    <x v="3005"/>
    <x v="15"/>
    <x v="1"/>
    <x v="1"/>
    <x v="3"/>
    <x v="10"/>
    <x v="2"/>
    <x v="2971"/>
    <n v="1235"/>
    <x v="0"/>
    <x v="436"/>
    <x v="276"/>
    <n v="15.74"/>
    <n v="0.28299999999999997"/>
    <m/>
    <x v="17"/>
    <x v="111"/>
    <m/>
  </r>
  <r>
    <x v="2124"/>
    <x v="3006"/>
    <x v="19"/>
    <x v="1"/>
    <x v="1"/>
    <x v="3"/>
    <x v="10"/>
    <x v="2"/>
    <x v="2972"/>
    <n v="1235"/>
    <x v="0"/>
    <x v="0"/>
    <x v="333"/>
    <m/>
    <n v="0.189"/>
    <m/>
    <x v="17"/>
    <x v="111"/>
    <m/>
  </r>
  <r>
    <x v="2125"/>
    <x v="3007"/>
    <x v="10"/>
    <x v="1"/>
    <x v="1"/>
    <x v="3"/>
    <x v="10"/>
    <x v="0"/>
    <x v="2973"/>
    <n v="464"/>
    <x v="94"/>
    <x v="0"/>
    <x v="383"/>
    <m/>
    <n v="0.26900000000000002"/>
    <m/>
    <x v="54"/>
    <x v="111"/>
    <m/>
  </r>
  <r>
    <x v="2126"/>
    <x v="3008"/>
    <x v="10"/>
    <x v="1"/>
    <x v="1"/>
    <x v="3"/>
    <x v="10"/>
    <x v="0"/>
    <x v="2974"/>
    <n v="254"/>
    <x v="209"/>
    <x v="0"/>
    <x v="295"/>
    <m/>
    <n v="0.248"/>
    <m/>
    <x v="110"/>
    <x v="91"/>
    <m/>
  </r>
  <r>
    <x v="2127"/>
    <x v="3009"/>
    <x v="10"/>
    <x v="1"/>
    <x v="1"/>
    <x v="3"/>
    <x v="10"/>
    <x v="0"/>
    <x v="2975"/>
    <n v="325"/>
    <x v="24"/>
    <x v="0"/>
    <x v="334"/>
    <m/>
    <n v="0.22900000000000001"/>
    <m/>
    <x v="122"/>
    <x v="38"/>
    <m/>
  </r>
  <r>
    <x v="2128"/>
    <x v="3010"/>
    <x v="10"/>
    <x v="1"/>
    <x v="1"/>
    <x v="3"/>
    <x v="10"/>
    <x v="0"/>
    <x v="2976"/>
    <n v="305"/>
    <x v="109"/>
    <x v="0"/>
    <x v="585"/>
    <m/>
    <n v="0.30199999999999999"/>
    <m/>
    <x v="110"/>
    <x v="185"/>
    <m/>
  </r>
  <r>
    <x v="2129"/>
    <x v="3011"/>
    <x v="10"/>
    <x v="1"/>
    <x v="1"/>
    <x v="3"/>
    <x v="10"/>
    <x v="0"/>
    <x v="2977"/>
    <n v="473"/>
    <x v="217"/>
    <x v="0"/>
    <x v="360"/>
    <m/>
    <n v="0.2"/>
    <m/>
    <x v="52"/>
    <x v="62"/>
    <m/>
  </r>
  <r>
    <x v="2130"/>
    <x v="3012"/>
    <x v="10"/>
    <x v="1"/>
    <x v="1"/>
    <x v="3"/>
    <x v="10"/>
    <x v="0"/>
    <x v="2978"/>
    <n v="678"/>
    <x v="109"/>
    <x v="0"/>
    <x v="479"/>
    <m/>
    <n v="0.21099999999999999"/>
    <m/>
    <x v="112"/>
    <x v="223"/>
    <m/>
  </r>
  <r>
    <x v="2131"/>
    <x v="3013"/>
    <x v="10"/>
    <x v="1"/>
    <x v="1"/>
    <x v="3"/>
    <x v="10"/>
    <x v="0"/>
    <x v="2979"/>
    <n v="446"/>
    <x v="215"/>
    <x v="0"/>
    <x v="487"/>
    <m/>
    <n v="0.27700000000000002"/>
    <m/>
    <x v="127"/>
    <x v="111"/>
    <m/>
  </r>
  <r>
    <x v="2132"/>
    <x v="3014"/>
    <x v="10"/>
    <x v="1"/>
    <x v="1"/>
    <x v="3"/>
    <x v="10"/>
    <x v="0"/>
    <x v="2980"/>
    <n v="465"/>
    <x v="171"/>
    <x v="0"/>
    <x v="353"/>
    <m/>
    <n v="0.126"/>
    <m/>
    <x v="154"/>
    <x v="173"/>
    <m/>
  </r>
  <r>
    <x v="2133"/>
    <x v="3015"/>
    <x v="10"/>
    <x v="1"/>
    <x v="1"/>
    <x v="3"/>
    <x v="10"/>
    <x v="0"/>
    <x v="2981"/>
    <n v="165"/>
    <x v="219"/>
    <x v="0"/>
    <x v="243"/>
    <m/>
    <n v="0.20200000000000001"/>
    <m/>
    <x v="50"/>
    <x v="52"/>
    <m/>
  </r>
  <r>
    <x v="2134"/>
    <x v="3016"/>
    <x v="10"/>
    <x v="1"/>
    <x v="1"/>
    <x v="3"/>
    <x v="10"/>
    <x v="1"/>
    <x v="2982"/>
    <n v="313"/>
    <x v="0"/>
    <x v="437"/>
    <x v="756"/>
    <n v="0.97"/>
    <n v="0.747"/>
    <n v="2.9"/>
    <x v="52"/>
    <x v="105"/>
    <n v="1.7130000000000001"/>
  </r>
  <r>
    <x v="2134"/>
    <x v="3017"/>
    <x v="10"/>
    <x v="1"/>
    <x v="1"/>
    <x v="8"/>
    <x v="10"/>
    <x v="1"/>
    <x v="2983"/>
    <n v="313"/>
    <x v="0"/>
    <x v="438"/>
    <x v="0"/>
    <n v="2.4"/>
    <m/>
    <m/>
    <x v="52"/>
    <x v="105"/>
    <n v="1.7130000000000001"/>
  </r>
  <r>
    <x v="2135"/>
    <x v="3018"/>
    <x v="15"/>
    <x v="1"/>
    <x v="1"/>
    <x v="3"/>
    <x v="10"/>
    <x v="2"/>
    <x v="2984"/>
    <n v="234"/>
    <x v="0"/>
    <x v="439"/>
    <x v="371"/>
    <n v="0.92"/>
    <n v="0.187"/>
    <m/>
    <x v="29"/>
    <x v="72"/>
    <m/>
  </r>
  <r>
    <x v="2135"/>
    <x v="3019"/>
    <x v="15"/>
    <x v="1"/>
    <x v="1"/>
    <x v="3"/>
    <x v="10"/>
    <x v="2"/>
    <x v="2985"/>
    <n v="234"/>
    <x v="0"/>
    <x v="440"/>
    <x v="420"/>
    <n v="0.37"/>
    <n v="0.11"/>
    <m/>
    <x v="29"/>
    <x v="72"/>
    <m/>
  </r>
  <r>
    <x v="2135"/>
    <x v="3020"/>
    <x v="19"/>
    <x v="1"/>
    <x v="1"/>
    <x v="3"/>
    <x v="10"/>
    <x v="2"/>
    <x v="2986"/>
    <n v="234"/>
    <x v="0"/>
    <x v="0"/>
    <x v="544"/>
    <m/>
    <n v="0.13600000000000001"/>
    <m/>
    <x v="29"/>
    <x v="72"/>
    <m/>
  </r>
  <r>
    <x v="2136"/>
    <x v="3021"/>
    <x v="10"/>
    <x v="1"/>
    <x v="1"/>
    <x v="3"/>
    <x v="10"/>
    <x v="0"/>
    <x v="2987"/>
    <n v="350"/>
    <x v="65"/>
    <x v="0"/>
    <x v="552"/>
    <m/>
    <n v="0.24199999999999999"/>
    <m/>
    <x v="102"/>
    <x v="29"/>
    <m/>
  </r>
  <r>
    <x v="2137"/>
    <x v="3022"/>
    <x v="10"/>
    <x v="1"/>
    <x v="1"/>
    <x v="3"/>
    <x v="10"/>
    <x v="0"/>
    <x v="2988"/>
    <n v="1020"/>
    <x v="231"/>
    <x v="0"/>
    <x v="496"/>
    <m/>
    <n v="0.3"/>
    <m/>
    <x v="130"/>
    <x v="108"/>
    <m/>
  </r>
  <r>
    <x v="2138"/>
    <x v="3023"/>
    <x v="10"/>
    <x v="1"/>
    <x v="1"/>
    <x v="3"/>
    <x v="10"/>
    <x v="0"/>
    <x v="2989"/>
    <n v="439"/>
    <x v="223"/>
    <x v="0"/>
    <x v="220"/>
    <m/>
    <n v="0.14000000000000001"/>
    <m/>
    <x v="89"/>
    <x v="52"/>
    <m/>
  </r>
  <r>
    <x v="2139"/>
    <x v="3024"/>
    <x v="10"/>
    <x v="1"/>
    <x v="1"/>
    <x v="3"/>
    <x v="10"/>
    <x v="0"/>
    <x v="2990"/>
    <n v="212"/>
    <x v="240"/>
    <x v="0"/>
    <x v="281"/>
    <m/>
    <n v="0.223"/>
    <m/>
    <x v="37"/>
    <x v="282"/>
    <m/>
  </r>
  <r>
    <x v="2140"/>
    <x v="3025"/>
    <x v="10"/>
    <x v="1"/>
    <x v="1"/>
    <x v="3"/>
    <x v="10"/>
    <x v="0"/>
    <x v="2991"/>
    <n v="797"/>
    <x v="266"/>
    <x v="0"/>
    <x v="333"/>
    <m/>
    <n v="0.189"/>
    <m/>
    <x v="56"/>
    <x v="147"/>
    <m/>
  </r>
  <r>
    <x v="2141"/>
    <x v="3026"/>
    <x v="10"/>
    <x v="1"/>
    <x v="1"/>
    <x v="3"/>
    <x v="10"/>
    <x v="0"/>
    <x v="2992"/>
    <n v="831"/>
    <x v="216"/>
    <x v="0"/>
    <x v="354"/>
    <m/>
    <n v="0.24"/>
    <m/>
    <x v="48"/>
    <x v="88"/>
    <m/>
  </r>
  <r>
    <x v="2142"/>
    <x v="3027"/>
    <x v="10"/>
    <x v="1"/>
    <x v="1"/>
    <x v="3"/>
    <x v="10"/>
    <x v="0"/>
    <x v="2993"/>
    <n v="896"/>
    <x v="222"/>
    <x v="0"/>
    <x v="229"/>
    <m/>
    <n v="0.624"/>
    <m/>
    <x v="129"/>
    <x v="180"/>
    <m/>
  </r>
  <r>
    <x v="2143"/>
    <x v="3028"/>
    <x v="10"/>
    <x v="1"/>
    <x v="1"/>
    <x v="3"/>
    <x v="10"/>
    <x v="0"/>
    <x v="2994"/>
    <n v="361"/>
    <x v="238"/>
    <x v="0"/>
    <x v="672"/>
    <m/>
    <n v="0.35699999999999998"/>
    <m/>
    <x v="110"/>
    <x v="142"/>
    <m/>
  </r>
  <r>
    <x v="2144"/>
    <x v="3029"/>
    <x v="10"/>
    <x v="1"/>
    <x v="1"/>
    <x v="3"/>
    <x v="10"/>
    <x v="0"/>
    <x v="2995"/>
    <n v="776"/>
    <x v="224"/>
    <x v="0"/>
    <x v="757"/>
    <m/>
    <n v="1.07"/>
    <m/>
    <x v="89"/>
    <x v="52"/>
    <m/>
  </r>
  <r>
    <x v="2145"/>
    <x v="3030"/>
    <x v="10"/>
    <x v="1"/>
    <x v="1"/>
    <x v="3"/>
    <x v="10"/>
    <x v="1"/>
    <x v="2996"/>
    <n v="648"/>
    <x v="223"/>
    <x v="0"/>
    <x v="334"/>
    <m/>
    <n v="0.22900000000000001"/>
    <m/>
    <x v="59"/>
    <x v="239"/>
    <m/>
  </r>
  <r>
    <x v="2145"/>
    <x v="3031"/>
    <x v="10"/>
    <x v="1"/>
    <x v="1"/>
    <x v="3"/>
    <x v="10"/>
    <x v="1"/>
    <x v="2997"/>
    <n v="648"/>
    <x v="223"/>
    <x v="0"/>
    <x v="352"/>
    <m/>
    <n v="0.26100000000000001"/>
    <m/>
    <x v="59"/>
    <x v="239"/>
    <m/>
  </r>
  <r>
    <x v="2146"/>
    <x v="3032"/>
    <x v="15"/>
    <x v="1"/>
    <x v="1"/>
    <x v="3"/>
    <x v="10"/>
    <x v="3"/>
    <x v="2998"/>
    <n v="568"/>
    <x v="0"/>
    <x v="441"/>
    <x v="312"/>
    <n v="1.49"/>
    <n v="0.217"/>
    <m/>
    <x v="29"/>
    <x v="112"/>
    <m/>
  </r>
  <r>
    <x v="2146"/>
    <x v="3033"/>
    <x v="15"/>
    <x v="1"/>
    <x v="1"/>
    <x v="3"/>
    <x v="10"/>
    <x v="3"/>
    <x v="2999"/>
    <n v="568"/>
    <x v="0"/>
    <x v="29"/>
    <x v="481"/>
    <n v="1.1100000000000001"/>
    <n v="0.19700000000000001"/>
    <m/>
    <x v="29"/>
    <x v="112"/>
    <m/>
  </r>
  <r>
    <x v="2146"/>
    <x v="3034"/>
    <x v="19"/>
    <x v="1"/>
    <x v="1"/>
    <x v="3"/>
    <x v="10"/>
    <x v="3"/>
    <x v="3000"/>
    <n v="568"/>
    <x v="0"/>
    <x v="0"/>
    <x v="397"/>
    <m/>
    <n v="0.14199999999999999"/>
    <m/>
    <x v="29"/>
    <x v="112"/>
    <m/>
  </r>
  <r>
    <x v="2146"/>
    <x v="3035"/>
    <x v="19"/>
    <x v="1"/>
    <x v="1"/>
    <x v="3"/>
    <x v="10"/>
    <x v="3"/>
    <x v="3001"/>
    <n v="568"/>
    <x v="0"/>
    <x v="0"/>
    <x v="273"/>
    <m/>
    <n v="0.13800000000000001"/>
    <m/>
    <x v="29"/>
    <x v="112"/>
    <m/>
  </r>
  <r>
    <x v="2146"/>
    <x v="3036"/>
    <x v="19"/>
    <x v="1"/>
    <x v="1"/>
    <x v="3"/>
    <x v="10"/>
    <x v="3"/>
    <x v="3002"/>
    <n v="568"/>
    <x v="0"/>
    <x v="0"/>
    <x v="397"/>
    <m/>
    <n v="0.14199999999999999"/>
    <m/>
    <x v="29"/>
    <x v="112"/>
    <m/>
  </r>
  <r>
    <x v="2147"/>
    <x v="3037"/>
    <x v="10"/>
    <x v="1"/>
    <x v="1"/>
    <x v="3"/>
    <x v="10"/>
    <x v="0"/>
    <x v="3003"/>
    <n v="563"/>
    <x v="207"/>
    <x v="0"/>
    <x v="358"/>
    <m/>
    <n v="0.39400000000000002"/>
    <m/>
    <x v="122"/>
    <x v="56"/>
    <m/>
  </r>
  <r>
    <x v="2148"/>
    <x v="3038"/>
    <x v="10"/>
    <x v="1"/>
    <x v="1"/>
    <x v="3"/>
    <x v="10"/>
    <x v="0"/>
    <x v="3004"/>
    <n v="312"/>
    <x v="44"/>
    <x v="0"/>
    <x v="38"/>
    <m/>
    <n v="0.24399999999999999"/>
    <m/>
    <x v="88"/>
    <x v="290"/>
    <m/>
  </r>
  <r>
    <x v="2149"/>
    <x v="3039"/>
    <x v="10"/>
    <x v="1"/>
    <x v="1"/>
    <x v="3"/>
    <x v="10"/>
    <x v="0"/>
    <x v="3005"/>
    <n v="834"/>
    <x v="218"/>
    <x v="0"/>
    <x v="288"/>
    <m/>
    <n v="0.35199999999999998"/>
    <m/>
    <x v="18"/>
    <x v="110"/>
    <m/>
  </r>
  <r>
    <x v="2150"/>
    <x v="3040"/>
    <x v="10"/>
    <x v="1"/>
    <x v="1"/>
    <x v="3"/>
    <x v="10"/>
    <x v="1"/>
    <x v="3006"/>
    <n v="725"/>
    <x v="238"/>
    <x v="0"/>
    <x v="758"/>
    <m/>
    <n v="0.41299999999999998"/>
    <m/>
    <x v="127"/>
    <x v="131"/>
    <m/>
  </r>
  <r>
    <x v="2150"/>
    <x v="3041"/>
    <x v="10"/>
    <x v="1"/>
    <x v="1"/>
    <x v="3"/>
    <x v="10"/>
    <x v="1"/>
    <x v="3007"/>
    <n v="725"/>
    <x v="238"/>
    <x v="0"/>
    <x v="759"/>
    <m/>
    <n v="0.999"/>
    <m/>
    <x v="127"/>
    <x v="131"/>
    <m/>
  </r>
  <r>
    <x v="2151"/>
    <x v="3042"/>
    <x v="10"/>
    <x v="1"/>
    <x v="1"/>
    <x v="3"/>
    <x v="10"/>
    <x v="0"/>
    <x v="3008"/>
    <n v="642"/>
    <x v="254"/>
    <x v="0"/>
    <x v="760"/>
    <m/>
    <n v="0.38300000000000001"/>
    <m/>
    <x v="89"/>
    <x v="94"/>
    <m/>
  </r>
  <r>
    <x v="2152"/>
    <x v="3043"/>
    <x v="10"/>
    <x v="1"/>
    <x v="1"/>
    <x v="3"/>
    <x v="10"/>
    <x v="0"/>
    <x v="3009"/>
    <n v="772"/>
    <x v="218"/>
    <x v="0"/>
    <x v="279"/>
    <m/>
    <n v="0.252"/>
    <m/>
    <x v="18"/>
    <x v="110"/>
    <m/>
  </r>
  <r>
    <x v="2153"/>
    <x v="3044"/>
    <x v="10"/>
    <x v="1"/>
    <x v="1"/>
    <x v="3"/>
    <x v="10"/>
    <x v="0"/>
    <x v="3010"/>
    <n v="729"/>
    <x v="212"/>
    <x v="0"/>
    <x v="360"/>
    <m/>
    <n v="0.2"/>
    <m/>
    <x v="57"/>
    <x v="62"/>
    <m/>
  </r>
  <r>
    <x v="2154"/>
    <x v="3045"/>
    <x v="10"/>
    <x v="1"/>
    <x v="1"/>
    <x v="3"/>
    <x v="10"/>
    <x v="0"/>
    <x v="3011"/>
    <n v="1126"/>
    <x v="109"/>
    <x v="0"/>
    <x v="344"/>
    <m/>
    <n v="0.23799999999999999"/>
    <m/>
    <x v="129"/>
    <x v="220"/>
    <m/>
  </r>
  <r>
    <x v="2155"/>
    <x v="3046"/>
    <x v="10"/>
    <x v="1"/>
    <x v="1"/>
    <x v="3"/>
    <x v="10"/>
    <x v="0"/>
    <x v="3012"/>
    <n v="652"/>
    <x v="216"/>
    <x v="0"/>
    <x v="268"/>
    <m/>
    <n v="0.21099999999999999"/>
    <m/>
    <x v="6"/>
    <x v="130"/>
    <m/>
  </r>
  <r>
    <x v="2156"/>
    <x v="3047"/>
    <x v="10"/>
    <x v="1"/>
    <x v="1"/>
    <x v="3"/>
    <x v="10"/>
    <x v="0"/>
    <x v="3013"/>
    <n v="793"/>
    <x v="224"/>
    <x v="0"/>
    <x v="623"/>
    <m/>
    <n v="0.32200000000000001"/>
    <m/>
    <x v="50"/>
    <x v="105"/>
    <m/>
  </r>
  <r>
    <x v="2157"/>
    <x v="3048"/>
    <x v="15"/>
    <x v="1"/>
    <x v="1"/>
    <x v="3"/>
    <x v="10"/>
    <x v="2"/>
    <x v="3014"/>
    <n v="914"/>
    <x v="76"/>
    <x v="59"/>
    <x v="761"/>
    <n v="7.0000000000000007E-2"/>
    <n v="0.58099999999999996"/>
    <n v="0.442"/>
    <x v="64"/>
    <x v="326"/>
    <n v="2.46E-2"/>
  </r>
  <r>
    <x v="2157"/>
    <x v="3049"/>
    <x v="15"/>
    <x v="1"/>
    <x v="1"/>
    <x v="3"/>
    <x v="10"/>
    <x v="2"/>
    <x v="3015"/>
    <n v="914"/>
    <x v="76"/>
    <x v="442"/>
    <x v="762"/>
    <n v="0.56999999999999995"/>
    <n v="0.874"/>
    <n v="1.06"/>
    <x v="64"/>
    <x v="326"/>
    <n v="2.46E-2"/>
  </r>
  <r>
    <x v="2157"/>
    <x v="3050"/>
    <x v="10"/>
    <x v="1"/>
    <x v="0"/>
    <x v="0"/>
    <x v="4"/>
    <x v="2"/>
    <x v="3016"/>
    <n v="914"/>
    <x v="76"/>
    <x v="0"/>
    <x v="0"/>
    <n v="5.61"/>
    <m/>
    <m/>
    <x v="64"/>
    <x v="326"/>
    <n v="2.46E-2"/>
  </r>
  <r>
    <x v="2158"/>
    <x v="3051"/>
    <x v="10"/>
    <x v="1"/>
    <x v="1"/>
    <x v="3"/>
    <x v="10"/>
    <x v="0"/>
    <x v="3017"/>
    <n v="88"/>
    <x v="208"/>
    <x v="0"/>
    <x v="587"/>
    <m/>
    <n v="0.153"/>
    <m/>
    <x v="205"/>
    <x v="289"/>
    <m/>
  </r>
  <r>
    <x v="2159"/>
    <x v="3052"/>
    <x v="10"/>
    <x v="1"/>
    <x v="1"/>
    <x v="3"/>
    <x v="10"/>
    <x v="1"/>
    <x v="3018"/>
    <n v="667"/>
    <x v="211"/>
    <x v="0"/>
    <x v="763"/>
    <m/>
    <n v="0.621"/>
    <m/>
    <x v="50"/>
    <x v="16"/>
    <m/>
  </r>
  <r>
    <x v="2159"/>
    <x v="3053"/>
    <x v="10"/>
    <x v="1"/>
    <x v="1"/>
    <x v="3"/>
    <x v="10"/>
    <x v="1"/>
    <x v="3019"/>
    <n v="667"/>
    <x v="211"/>
    <x v="0"/>
    <x v="400"/>
    <m/>
    <n v="0.23899999999999999"/>
    <m/>
    <x v="50"/>
    <x v="16"/>
    <m/>
  </r>
  <r>
    <x v="2160"/>
    <x v="3054"/>
    <x v="10"/>
    <x v="1"/>
    <x v="1"/>
    <x v="3"/>
    <x v="10"/>
    <x v="0"/>
    <x v="3020"/>
    <n v="822"/>
    <x v="223"/>
    <x v="0"/>
    <x v="764"/>
    <m/>
    <n v="0.46500000000000002"/>
    <m/>
    <x v="89"/>
    <x v="52"/>
    <m/>
  </r>
  <r>
    <x v="2161"/>
    <x v="3055"/>
    <x v="10"/>
    <x v="1"/>
    <x v="1"/>
    <x v="3"/>
    <x v="10"/>
    <x v="0"/>
    <x v="3021"/>
    <n v="557"/>
    <x v="233"/>
    <x v="0"/>
    <x v="765"/>
    <m/>
    <n v="0.27600000000000002"/>
    <m/>
    <x v="34"/>
    <x v="57"/>
    <m/>
  </r>
  <r>
    <x v="2162"/>
    <x v="3056"/>
    <x v="10"/>
    <x v="1"/>
    <x v="1"/>
    <x v="3"/>
    <x v="10"/>
    <x v="0"/>
    <x v="3022"/>
    <n v="830"/>
    <x v="211"/>
    <x v="0"/>
    <x v="758"/>
    <m/>
    <n v="0.41299999999999998"/>
    <m/>
    <x v="44"/>
    <x v="94"/>
    <m/>
  </r>
  <r>
    <x v="2163"/>
    <x v="3057"/>
    <x v="10"/>
    <x v="1"/>
    <x v="1"/>
    <x v="3"/>
    <x v="10"/>
    <x v="0"/>
    <x v="3023"/>
    <n v="1041"/>
    <x v="208"/>
    <x v="0"/>
    <x v="606"/>
    <m/>
    <n v="0.32500000000000001"/>
    <m/>
    <x v="17"/>
    <x v="105"/>
    <m/>
  </r>
  <r>
    <x v="2164"/>
    <x v="3058"/>
    <x v="10"/>
    <x v="1"/>
    <x v="1"/>
    <x v="3"/>
    <x v="10"/>
    <x v="0"/>
    <x v="3024"/>
    <n v="628"/>
    <x v="223"/>
    <x v="0"/>
    <x v="230"/>
    <m/>
    <n v="0.192"/>
    <m/>
    <x v="134"/>
    <x v="38"/>
    <m/>
  </r>
  <r>
    <x v="2165"/>
    <x v="3059"/>
    <x v="10"/>
    <x v="1"/>
    <x v="1"/>
    <x v="3"/>
    <x v="10"/>
    <x v="0"/>
    <x v="3025"/>
    <n v="568"/>
    <x v="207"/>
    <x v="0"/>
    <x v="422"/>
    <m/>
    <n v="0.20100000000000001"/>
    <m/>
    <x v="97"/>
    <x v="38"/>
    <m/>
  </r>
  <r>
    <x v="2166"/>
    <x v="3060"/>
    <x v="10"/>
    <x v="1"/>
    <x v="1"/>
    <x v="3"/>
    <x v="10"/>
    <x v="0"/>
    <x v="3026"/>
    <n v="126"/>
    <x v="286"/>
    <x v="0"/>
    <x v="243"/>
    <m/>
    <n v="0.20200000000000001"/>
    <m/>
    <x v="87"/>
    <x v="81"/>
    <m/>
  </r>
  <r>
    <x v="2167"/>
    <x v="3061"/>
    <x v="10"/>
    <x v="1"/>
    <x v="1"/>
    <x v="3"/>
    <x v="10"/>
    <x v="0"/>
    <x v="3027"/>
    <n v="645"/>
    <x v="65"/>
    <x v="0"/>
    <x v="653"/>
    <m/>
    <n v="0.28199999999999997"/>
    <m/>
    <x v="44"/>
    <x v="3"/>
    <m/>
  </r>
  <r>
    <x v="2168"/>
    <x v="3062"/>
    <x v="15"/>
    <x v="1"/>
    <x v="1"/>
    <x v="3"/>
    <x v="10"/>
    <x v="1"/>
    <x v="3028"/>
    <n v="674"/>
    <x v="0"/>
    <x v="443"/>
    <x v="252"/>
    <n v="18.86"/>
    <n v="0.19500000000000001"/>
    <m/>
    <x v="134"/>
    <x v="142"/>
    <m/>
  </r>
  <r>
    <x v="2168"/>
    <x v="3063"/>
    <x v="15"/>
    <x v="1"/>
    <x v="1"/>
    <x v="3"/>
    <x v="10"/>
    <x v="1"/>
    <x v="3029"/>
    <n v="674"/>
    <x v="0"/>
    <x v="444"/>
    <x v="273"/>
    <n v="6.95"/>
    <n v="0.13800000000000001"/>
    <m/>
    <x v="134"/>
    <x v="142"/>
    <m/>
  </r>
  <r>
    <x v="2169"/>
    <x v="3064"/>
    <x v="10"/>
    <x v="1"/>
    <x v="1"/>
    <x v="3"/>
    <x v="10"/>
    <x v="0"/>
    <x v="3030"/>
    <n v="642"/>
    <x v="227"/>
    <x v="0"/>
    <x v="378"/>
    <m/>
    <n v="0.219"/>
    <m/>
    <x v="89"/>
    <x v="52"/>
    <m/>
  </r>
  <r>
    <x v="2170"/>
    <x v="3065"/>
    <x v="10"/>
    <x v="1"/>
    <x v="1"/>
    <x v="3"/>
    <x v="10"/>
    <x v="0"/>
    <x v="3031"/>
    <n v="756"/>
    <x v="207"/>
    <x v="0"/>
    <x v="241"/>
    <m/>
    <n v="0.23599999999999999"/>
    <m/>
    <x v="89"/>
    <x v="52"/>
    <m/>
  </r>
  <r>
    <x v="2171"/>
    <x v="3066"/>
    <x v="10"/>
    <x v="1"/>
    <x v="1"/>
    <x v="3"/>
    <x v="10"/>
    <x v="0"/>
    <x v="3032"/>
    <n v="532"/>
    <x v="207"/>
    <x v="0"/>
    <x v="471"/>
    <m/>
    <n v="0.23"/>
    <m/>
    <x v="134"/>
    <x v="38"/>
    <m/>
  </r>
  <r>
    <x v="2172"/>
    <x v="3067"/>
    <x v="10"/>
    <x v="1"/>
    <x v="1"/>
    <x v="3"/>
    <x v="10"/>
    <x v="0"/>
    <x v="3033"/>
    <n v="758"/>
    <x v="286"/>
    <x v="0"/>
    <x v="335"/>
    <m/>
    <n v="0.249"/>
    <m/>
    <x v="7"/>
    <x v="55"/>
    <m/>
  </r>
  <r>
    <x v="2173"/>
    <x v="3068"/>
    <x v="10"/>
    <x v="1"/>
    <x v="1"/>
    <x v="3"/>
    <x v="10"/>
    <x v="0"/>
    <x v="3034"/>
    <n v="747"/>
    <x v="212"/>
    <x v="0"/>
    <x v="158"/>
    <m/>
    <n v="0.21299999999999999"/>
    <m/>
    <x v="44"/>
    <x v="33"/>
    <m/>
  </r>
  <r>
    <x v="2174"/>
    <x v="3069"/>
    <x v="10"/>
    <x v="1"/>
    <x v="1"/>
    <x v="3"/>
    <x v="10"/>
    <x v="0"/>
    <x v="3035"/>
    <n v="852"/>
    <x v="229"/>
    <x v="0"/>
    <x v="158"/>
    <m/>
    <n v="0.21299999999999999"/>
    <m/>
    <x v="54"/>
    <x v="105"/>
    <m/>
  </r>
  <r>
    <x v="2175"/>
    <x v="3070"/>
    <x v="10"/>
    <x v="1"/>
    <x v="1"/>
    <x v="3"/>
    <x v="10"/>
    <x v="0"/>
    <x v="3036"/>
    <n v="698"/>
    <x v="216"/>
    <x v="0"/>
    <x v="700"/>
    <m/>
    <n v="0.29199999999999998"/>
    <m/>
    <x v="7"/>
    <x v="193"/>
    <m/>
  </r>
  <r>
    <x v="2176"/>
    <x v="3071"/>
    <x v="10"/>
    <x v="1"/>
    <x v="1"/>
    <x v="3"/>
    <x v="10"/>
    <x v="0"/>
    <x v="3037"/>
    <n v="549"/>
    <x v="44"/>
    <x v="0"/>
    <x v="330"/>
    <m/>
    <n v="0.22700000000000001"/>
    <m/>
    <x v="110"/>
    <x v="142"/>
    <m/>
  </r>
  <r>
    <x v="2177"/>
    <x v="3072"/>
    <x v="10"/>
    <x v="1"/>
    <x v="1"/>
    <x v="3"/>
    <x v="10"/>
    <x v="0"/>
    <x v="3038"/>
    <n v="568"/>
    <x v="207"/>
    <x v="0"/>
    <x v="184"/>
    <m/>
    <n v="0.17799999999999999"/>
    <m/>
    <x v="122"/>
    <x v="56"/>
    <m/>
  </r>
  <r>
    <x v="2178"/>
    <x v="3073"/>
    <x v="10"/>
    <x v="1"/>
    <x v="1"/>
    <x v="3"/>
    <x v="10"/>
    <x v="0"/>
    <x v="3039"/>
    <n v="663"/>
    <x v="208"/>
    <x v="0"/>
    <x v="184"/>
    <m/>
    <n v="0.17799999999999999"/>
    <m/>
    <x v="7"/>
    <x v="18"/>
    <m/>
  </r>
  <r>
    <x v="2179"/>
    <x v="3074"/>
    <x v="15"/>
    <x v="1"/>
    <x v="1"/>
    <x v="3"/>
    <x v="10"/>
    <x v="2"/>
    <x v="3040"/>
    <n v="1562"/>
    <x v="0"/>
    <x v="445"/>
    <x v="295"/>
    <n v="1.39"/>
    <n v="0.248"/>
    <m/>
    <x v="29"/>
    <x v="4"/>
    <m/>
  </r>
  <r>
    <x v="2179"/>
    <x v="3075"/>
    <x v="15"/>
    <x v="1"/>
    <x v="1"/>
    <x v="3"/>
    <x v="10"/>
    <x v="2"/>
    <x v="3041"/>
    <n v="1562"/>
    <x v="0"/>
    <x v="446"/>
    <x v="170"/>
    <n v="2.19"/>
    <n v="0.255"/>
    <m/>
    <x v="29"/>
    <x v="4"/>
    <m/>
  </r>
  <r>
    <x v="2179"/>
    <x v="3076"/>
    <x v="19"/>
    <x v="1"/>
    <x v="1"/>
    <x v="3"/>
    <x v="10"/>
    <x v="2"/>
    <x v="3042"/>
    <n v="1562"/>
    <x v="0"/>
    <x v="0"/>
    <x v="489"/>
    <m/>
    <n v="0.26200000000000001"/>
    <m/>
    <x v="29"/>
    <x v="4"/>
    <m/>
  </r>
  <r>
    <x v="2180"/>
    <x v="3077"/>
    <x v="10"/>
    <x v="1"/>
    <x v="1"/>
    <x v="3"/>
    <x v="10"/>
    <x v="0"/>
    <x v="3043"/>
    <n v="333"/>
    <x v="242"/>
    <x v="0"/>
    <x v="334"/>
    <m/>
    <n v="0.22900000000000001"/>
    <m/>
    <x v="150"/>
    <x v="299"/>
    <m/>
  </r>
  <r>
    <x v="2181"/>
    <x v="3078"/>
    <x v="10"/>
    <x v="1"/>
    <x v="1"/>
    <x v="3"/>
    <x v="10"/>
    <x v="0"/>
    <x v="3044"/>
    <n v="833"/>
    <x v="208"/>
    <x v="0"/>
    <x v="154"/>
    <m/>
    <n v="0.23499999999999999"/>
    <m/>
    <x v="57"/>
    <x v="45"/>
    <m/>
  </r>
  <r>
    <x v="2182"/>
    <x v="3079"/>
    <x v="10"/>
    <x v="1"/>
    <x v="1"/>
    <x v="3"/>
    <x v="10"/>
    <x v="0"/>
    <x v="3045"/>
    <n v="751"/>
    <x v="216"/>
    <x v="0"/>
    <x v="470"/>
    <m/>
    <n v="0.32800000000000001"/>
    <m/>
    <x v="89"/>
    <x v="33"/>
    <m/>
  </r>
  <r>
    <x v="2183"/>
    <x v="3080"/>
    <x v="10"/>
    <x v="1"/>
    <x v="1"/>
    <x v="3"/>
    <x v="10"/>
    <x v="0"/>
    <x v="3046"/>
    <n v="805"/>
    <x v="216"/>
    <x v="0"/>
    <x v="478"/>
    <m/>
    <n v="0.20300000000000001"/>
    <m/>
    <x v="23"/>
    <x v="33"/>
    <m/>
  </r>
  <r>
    <x v="2184"/>
    <x v="3081"/>
    <x v="10"/>
    <x v="1"/>
    <x v="1"/>
    <x v="3"/>
    <x v="10"/>
    <x v="0"/>
    <x v="3047"/>
    <n v="1445"/>
    <x v="238"/>
    <x v="0"/>
    <x v="602"/>
    <m/>
    <n v="0.376"/>
    <m/>
    <x v="63"/>
    <x v="89"/>
    <m/>
  </r>
  <r>
    <x v="2185"/>
    <x v="3082"/>
    <x v="10"/>
    <x v="1"/>
    <x v="1"/>
    <x v="3"/>
    <x v="10"/>
    <x v="0"/>
    <x v="3048"/>
    <n v="604"/>
    <x v="159"/>
    <x v="0"/>
    <x v="279"/>
    <m/>
    <n v="0.252"/>
    <m/>
    <x v="50"/>
    <x v="3"/>
    <m/>
  </r>
  <r>
    <x v="2186"/>
    <x v="3083"/>
    <x v="10"/>
    <x v="1"/>
    <x v="1"/>
    <x v="3"/>
    <x v="10"/>
    <x v="0"/>
    <x v="3049"/>
    <n v="707"/>
    <x v="212"/>
    <x v="0"/>
    <x v="335"/>
    <m/>
    <n v="0.249"/>
    <m/>
    <x v="23"/>
    <x v="94"/>
    <m/>
  </r>
  <r>
    <x v="2187"/>
    <x v="3084"/>
    <x v="10"/>
    <x v="1"/>
    <x v="1"/>
    <x v="3"/>
    <x v="10"/>
    <x v="0"/>
    <x v="3050"/>
    <n v="852"/>
    <x v="215"/>
    <x v="0"/>
    <x v="256"/>
    <m/>
    <n v="0.19900000000000001"/>
    <m/>
    <x v="127"/>
    <x v="111"/>
    <m/>
  </r>
  <r>
    <x v="2188"/>
    <x v="3085"/>
    <x v="10"/>
    <x v="1"/>
    <x v="1"/>
    <x v="3"/>
    <x v="10"/>
    <x v="0"/>
    <x v="3051"/>
    <n v="972"/>
    <x v="208"/>
    <x v="0"/>
    <x v="154"/>
    <m/>
    <n v="0.23499999999999999"/>
    <m/>
    <x v="53"/>
    <x v="45"/>
    <m/>
  </r>
  <r>
    <x v="2189"/>
    <x v="3086"/>
    <x v="10"/>
    <x v="1"/>
    <x v="1"/>
    <x v="3"/>
    <x v="10"/>
    <x v="0"/>
    <x v="3052"/>
    <n v="643"/>
    <x v="216"/>
    <x v="0"/>
    <x v="519"/>
    <m/>
    <n v="0.20300000000000001"/>
    <m/>
    <x v="59"/>
    <x v="56"/>
    <m/>
  </r>
  <r>
    <x v="2190"/>
    <x v="3087"/>
    <x v="15"/>
    <x v="1"/>
    <x v="1"/>
    <x v="3"/>
    <x v="10"/>
    <x v="1"/>
    <x v="3053"/>
    <n v="1021"/>
    <x v="0"/>
    <x v="447"/>
    <x v="327"/>
    <n v="2.0499999999999998"/>
    <n v="9.8000000000000004E-2"/>
    <m/>
    <x v="48"/>
    <x v="16"/>
    <m/>
  </r>
  <r>
    <x v="2190"/>
    <x v="3088"/>
    <x v="15"/>
    <x v="1"/>
    <x v="1"/>
    <x v="3"/>
    <x v="10"/>
    <x v="1"/>
    <x v="3054"/>
    <n v="1021"/>
    <x v="0"/>
    <x v="416"/>
    <x v="35"/>
    <n v="1.37"/>
    <n v="0.17699999999999999"/>
    <m/>
    <x v="48"/>
    <x v="16"/>
    <m/>
  </r>
  <r>
    <x v="2191"/>
    <x v="3089"/>
    <x v="10"/>
    <x v="1"/>
    <x v="1"/>
    <x v="3"/>
    <x v="10"/>
    <x v="0"/>
    <x v="3055"/>
    <n v="986"/>
    <x v="220"/>
    <x v="0"/>
    <x v="685"/>
    <m/>
    <n v="0.35899999999999999"/>
    <m/>
    <x v="32"/>
    <x v="180"/>
    <m/>
  </r>
  <r>
    <x v="2192"/>
    <x v="3090"/>
    <x v="10"/>
    <x v="1"/>
    <x v="1"/>
    <x v="3"/>
    <x v="10"/>
    <x v="0"/>
    <x v="3056"/>
    <n v="793"/>
    <x v="212"/>
    <x v="0"/>
    <x v="687"/>
    <m/>
    <n v="0.30199999999999999"/>
    <m/>
    <x v="54"/>
    <x v="16"/>
    <m/>
  </r>
  <r>
    <x v="2193"/>
    <x v="3091"/>
    <x v="10"/>
    <x v="1"/>
    <x v="1"/>
    <x v="3"/>
    <x v="10"/>
    <x v="0"/>
    <x v="3057"/>
    <n v="1034"/>
    <x v="218"/>
    <x v="0"/>
    <x v="158"/>
    <m/>
    <n v="0.21299999999999999"/>
    <m/>
    <x v="48"/>
    <x v="110"/>
    <m/>
  </r>
  <r>
    <x v="2194"/>
    <x v="3092"/>
    <x v="10"/>
    <x v="1"/>
    <x v="1"/>
    <x v="3"/>
    <x v="10"/>
    <x v="0"/>
    <x v="3058"/>
    <n v="1016"/>
    <x v="159"/>
    <x v="0"/>
    <x v="272"/>
    <m/>
    <n v="0.25600000000000001"/>
    <m/>
    <x v="4"/>
    <x v="95"/>
    <m/>
  </r>
  <r>
    <x v="2195"/>
    <x v="3093"/>
    <x v="10"/>
    <x v="1"/>
    <x v="1"/>
    <x v="3"/>
    <x v="10"/>
    <x v="0"/>
    <x v="3059"/>
    <n v="742"/>
    <x v="211"/>
    <x v="0"/>
    <x v="205"/>
    <m/>
    <n v="0.19400000000000001"/>
    <m/>
    <x v="21"/>
    <x v="90"/>
    <m/>
  </r>
  <r>
    <x v="2196"/>
    <x v="3094"/>
    <x v="10"/>
    <x v="1"/>
    <x v="1"/>
    <x v="3"/>
    <x v="10"/>
    <x v="0"/>
    <x v="3060"/>
    <n v="639"/>
    <x v="65"/>
    <x v="0"/>
    <x v="766"/>
    <m/>
    <n v="0.34"/>
    <m/>
    <x v="122"/>
    <x v="56"/>
    <m/>
  </r>
  <r>
    <x v="2197"/>
    <x v="3095"/>
    <x v="10"/>
    <x v="1"/>
    <x v="1"/>
    <x v="3"/>
    <x v="10"/>
    <x v="0"/>
    <x v="3061"/>
    <n v="1083"/>
    <x v="243"/>
    <x v="0"/>
    <x v="614"/>
    <m/>
    <n v="0.309"/>
    <m/>
    <x v="49"/>
    <x v="106"/>
    <m/>
  </r>
  <r>
    <x v="2198"/>
    <x v="3096"/>
    <x v="10"/>
    <x v="1"/>
    <x v="1"/>
    <x v="3"/>
    <x v="10"/>
    <x v="0"/>
    <x v="3062"/>
    <n v="660"/>
    <x v="211"/>
    <x v="0"/>
    <x v="268"/>
    <m/>
    <n v="0.21099999999999999"/>
    <m/>
    <x v="54"/>
    <x v="105"/>
    <m/>
  </r>
  <r>
    <x v="2199"/>
    <x v="3097"/>
    <x v="10"/>
    <x v="1"/>
    <x v="1"/>
    <x v="3"/>
    <x v="10"/>
    <x v="0"/>
    <x v="3063"/>
    <n v="686"/>
    <x v="149"/>
    <x v="0"/>
    <x v="467"/>
    <m/>
    <n v="0.13400000000000001"/>
    <m/>
    <x v="122"/>
    <x v="24"/>
    <m/>
  </r>
  <r>
    <x v="2200"/>
    <x v="3098"/>
    <x v="10"/>
    <x v="1"/>
    <x v="1"/>
    <x v="3"/>
    <x v="10"/>
    <x v="0"/>
    <x v="3064"/>
    <n v="627"/>
    <x v="227"/>
    <x v="0"/>
    <x v="270"/>
    <m/>
    <n v="0.253"/>
    <m/>
    <x v="134"/>
    <x v="38"/>
    <m/>
  </r>
  <r>
    <x v="2201"/>
    <x v="3099"/>
    <x v="1"/>
    <x v="1"/>
    <x v="1"/>
    <x v="3"/>
    <x v="10"/>
    <x v="0"/>
    <x v="3065"/>
    <n v="590"/>
    <x v="0"/>
    <x v="448"/>
    <x v="767"/>
    <n v="0.66800000000000004"/>
    <n v="1.304"/>
    <n v="0.4"/>
    <x v="49"/>
    <x v="61"/>
    <m/>
  </r>
  <r>
    <x v="2202"/>
    <x v="3100"/>
    <x v="15"/>
    <x v="1"/>
    <x v="1"/>
    <x v="3"/>
    <x v="10"/>
    <x v="2"/>
    <x v="3066"/>
    <n v="899"/>
    <x v="0"/>
    <x v="449"/>
    <x v="349"/>
    <n v="1.3180000000000001E-2"/>
    <n v="0.153"/>
    <n v="4.62"/>
    <x v="48"/>
    <x v="308"/>
    <m/>
  </r>
  <r>
    <x v="2202"/>
    <x v="3101"/>
    <x v="15"/>
    <x v="1"/>
    <x v="1"/>
    <x v="3"/>
    <x v="10"/>
    <x v="2"/>
    <x v="3067"/>
    <n v="899"/>
    <x v="0"/>
    <x v="450"/>
    <x v="191"/>
    <n v="1.2109999999999999E-2"/>
    <n v="0.17"/>
    <n v="3.06"/>
    <x v="48"/>
    <x v="308"/>
    <m/>
  </r>
  <r>
    <x v="2202"/>
    <x v="3102"/>
    <x v="15"/>
    <x v="1"/>
    <x v="1"/>
    <x v="3"/>
    <x v="10"/>
    <x v="2"/>
    <x v="3068"/>
    <n v="899"/>
    <x v="0"/>
    <x v="451"/>
    <x v="236"/>
    <n v="1.3089999999999999E-2"/>
    <n v="0.17799999999999999"/>
    <n v="2.91"/>
    <x v="48"/>
    <x v="308"/>
    <m/>
  </r>
  <r>
    <x v="2203"/>
    <x v="3103"/>
    <x v="10"/>
    <x v="1"/>
    <x v="1"/>
    <x v="3"/>
    <x v="10"/>
    <x v="0"/>
    <x v="3069"/>
    <n v="624"/>
    <x v="223"/>
    <x v="0"/>
    <x v="175"/>
    <m/>
    <n v="0.25900000000000001"/>
    <m/>
    <x v="97"/>
    <x v="130"/>
    <m/>
  </r>
  <r>
    <x v="2204"/>
    <x v="3104"/>
    <x v="10"/>
    <x v="1"/>
    <x v="1"/>
    <x v="3"/>
    <x v="10"/>
    <x v="0"/>
    <x v="3070"/>
    <n v="429"/>
    <x v="208"/>
    <x v="0"/>
    <x v="191"/>
    <m/>
    <n v="0.17"/>
    <m/>
    <x v="6"/>
    <x v="38"/>
    <m/>
  </r>
  <r>
    <x v="2205"/>
    <x v="3105"/>
    <x v="10"/>
    <x v="1"/>
    <x v="1"/>
    <x v="3"/>
    <x v="10"/>
    <x v="0"/>
    <x v="3071"/>
    <n v="971"/>
    <x v="204"/>
    <x v="0"/>
    <x v="490"/>
    <m/>
    <n v="0.186"/>
    <m/>
    <x v="4"/>
    <x v="4"/>
    <m/>
  </r>
  <r>
    <x v="2206"/>
    <x v="3106"/>
    <x v="10"/>
    <x v="1"/>
    <x v="1"/>
    <x v="3"/>
    <x v="10"/>
    <x v="2"/>
    <x v="3072"/>
    <n v="967"/>
    <x v="224"/>
    <x v="0"/>
    <x v="594"/>
    <m/>
    <n v="0.23599999999999999"/>
    <m/>
    <x v="53"/>
    <x v="41"/>
    <m/>
  </r>
  <r>
    <x v="2206"/>
    <x v="3107"/>
    <x v="10"/>
    <x v="1"/>
    <x v="1"/>
    <x v="3"/>
    <x v="10"/>
    <x v="2"/>
    <x v="3073"/>
    <n v="967"/>
    <x v="224"/>
    <x v="0"/>
    <x v="768"/>
    <m/>
    <n v="0.57999999999999996"/>
    <m/>
    <x v="53"/>
    <x v="41"/>
    <m/>
  </r>
  <r>
    <x v="2206"/>
    <x v="3108"/>
    <x v="10"/>
    <x v="1"/>
    <x v="1"/>
    <x v="3"/>
    <x v="10"/>
    <x v="2"/>
    <x v="3074"/>
    <n v="967"/>
    <x v="224"/>
    <x v="0"/>
    <x v="387"/>
    <m/>
    <n v="0.11799999999999999"/>
    <m/>
    <x v="53"/>
    <x v="41"/>
    <m/>
  </r>
  <r>
    <x v="2207"/>
    <x v="3109"/>
    <x v="10"/>
    <x v="1"/>
    <x v="1"/>
    <x v="3"/>
    <x v="10"/>
    <x v="0"/>
    <x v="3075"/>
    <n v="981"/>
    <x v="196"/>
    <x v="0"/>
    <x v="368"/>
    <m/>
    <n v="0.23100000000000001"/>
    <m/>
    <x v="102"/>
    <x v="171"/>
    <m/>
  </r>
  <r>
    <x v="2208"/>
    <x v="3110"/>
    <x v="10"/>
    <x v="1"/>
    <x v="1"/>
    <x v="3"/>
    <x v="10"/>
    <x v="1"/>
    <x v="3076"/>
    <n v="570"/>
    <x v="216"/>
    <x v="0"/>
    <x v="247"/>
    <m/>
    <n v="0.128"/>
    <m/>
    <x v="21"/>
    <x v="100"/>
    <m/>
  </r>
  <r>
    <x v="2208"/>
    <x v="3111"/>
    <x v="10"/>
    <x v="1"/>
    <x v="1"/>
    <x v="3"/>
    <x v="10"/>
    <x v="1"/>
    <x v="3077"/>
    <n v="570"/>
    <x v="216"/>
    <x v="0"/>
    <x v="556"/>
    <m/>
    <n v="7.6999999999999999E-2"/>
    <m/>
    <x v="21"/>
    <x v="100"/>
    <m/>
  </r>
  <r>
    <x v="2209"/>
    <x v="3112"/>
    <x v="10"/>
    <x v="1"/>
    <x v="1"/>
    <x v="3"/>
    <x v="10"/>
    <x v="0"/>
    <x v="3078"/>
    <n v="1208"/>
    <x v="238"/>
    <x v="0"/>
    <x v="650"/>
    <m/>
    <n v="0.29499999999999998"/>
    <m/>
    <x v="47"/>
    <x v="147"/>
    <m/>
  </r>
  <r>
    <x v="2210"/>
    <x v="3113"/>
    <x v="10"/>
    <x v="1"/>
    <x v="1"/>
    <x v="3"/>
    <x v="10"/>
    <x v="0"/>
    <x v="3079"/>
    <n v="500"/>
    <x v="65"/>
    <x v="0"/>
    <x v="484"/>
    <m/>
    <n v="7.8E-2"/>
    <m/>
    <x v="97"/>
    <x v="292"/>
    <m/>
  </r>
  <r>
    <x v="2211"/>
    <x v="3114"/>
    <x v="10"/>
    <x v="1"/>
    <x v="1"/>
    <x v="3"/>
    <x v="10"/>
    <x v="0"/>
    <x v="3080"/>
    <n v="926"/>
    <x v="44"/>
    <x v="0"/>
    <x v="606"/>
    <m/>
    <n v="0.32500000000000001"/>
    <m/>
    <x v="57"/>
    <x v="41"/>
    <m/>
  </r>
  <r>
    <x v="2212"/>
    <x v="3115"/>
    <x v="10"/>
    <x v="1"/>
    <x v="1"/>
    <x v="3"/>
    <x v="10"/>
    <x v="0"/>
    <x v="3081"/>
    <n v="1143"/>
    <x v="196"/>
    <x v="0"/>
    <x v="595"/>
    <m/>
    <n v="0.29899999999999999"/>
    <m/>
    <x v="25"/>
    <x v="48"/>
    <m/>
  </r>
  <r>
    <x v="2213"/>
    <x v="3116"/>
    <x v="7"/>
    <x v="1"/>
    <x v="1"/>
    <x v="3"/>
    <x v="10"/>
    <x v="0"/>
    <x v="3082"/>
    <n v="314"/>
    <x v="40"/>
    <x v="0"/>
    <x v="230"/>
    <m/>
    <n v="0.192"/>
    <m/>
    <x v="191"/>
    <x v="112"/>
    <m/>
  </r>
  <r>
    <x v="2214"/>
    <x v="3117"/>
    <x v="10"/>
    <x v="1"/>
    <x v="1"/>
    <x v="3"/>
    <x v="10"/>
    <x v="1"/>
    <x v="3083"/>
    <n v="1113"/>
    <x v="220"/>
    <x v="0"/>
    <x v="516"/>
    <m/>
    <n v="0.374"/>
    <m/>
    <x v="32"/>
    <x v="4"/>
    <m/>
  </r>
  <r>
    <x v="2214"/>
    <x v="3118"/>
    <x v="10"/>
    <x v="1"/>
    <x v="1"/>
    <x v="3"/>
    <x v="10"/>
    <x v="1"/>
    <x v="3084"/>
    <n v="1113"/>
    <x v="220"/>
    <x v="0"/>
    <x v="350"/>
    <m/>
    <n v="0.29399999999999998"/>
    <m/>
    <x v="32"/>
    <x v="4"/>
    <m/>
  </r>
  <r>
    <x v="2215"/>
    <x v="3119"/>
    <x v="10"/>
    <x v="1"/>
    <x v="1"/>
    <x v="3"/>
    <x v="10"/>
    <x v="0"/>
    <x v="3085"/>
    <n v="906"/>
    <x v="216"/>
    <x v="0"/>
    <x v="520"/>
    <m/>
    <n v="0.14699999999999999"/>
    <m/>
    <x v="53"/>
    <x v="41"/>
    <m/>
  </r>
  <r>
    <x v="2216"/>
    <x v="3120"/>
    <x v="10"/>
    <x v="1"/>
    <x v="1"/>
    <x v="3"/>
    <x v="10"/>
    <x v="0"/>
    <x v="3086"/>
    <n v="932"/>
    <x v="216"/>
    <x v="0"/>
    <x v="270"/>
    <m/>
    <n v="0.253"/>
    <m/>
    <x v="17"/>
    <x v="18"/>
    <m/>
  </r>
  <r>
    <x v="2217"/>
    <x v="3121"/>
    <x v="10"/>
    <x v="1"/>
    <x v="1"/>
    <x v="3"/>
    <x v="10"/>
    <x v="0"/>
    <x v="3087"/>
    <n v="864"/>
    <x v="211"/>
    <x v="0"/>
    <x v="235"/>
    <m/>
    <n v="0.20399999999999999"/>
    <m/>
    <x v="17"/>
    <x v="18"/>
    <m/>
  </r>
  <r>
    <x v="2218"/>
    <x v="3122"/>
    <x v="10"/>
    <x v="1"/>
    <x v="1"/>
    <x v="3"/>
    <x v="10"/>
    <x v="0"/>
    <x v="3088"/>
    <n v="571"/>
    <x v="215"/>
    <x v="0"/>
    <x v="158"/>
    <m/>
    <n v="0.21299999999999999"/>
    <m/>
    <x v="6"/>
    <x v="130"/>
    <m/>
  </r>
  <r>
    <x v="2219"/>
    <x v="3123"/>
    <x v="10"/>
    <x v="1"/>
    <x v="1"/>
    <x v="3"/>
    <x v="10"/>
    <x v="0"/>
    <x v="3089"/>
    <n v="330"/>
    <x v="196"/>
    <x v="0"/>
    <x v="339"/>
    <m/>
    <n v="0.155"/>
    <m/>
    <x v="69"/>
    <x v="67"/>
    <m/>
  </r>
  <r>
    <x v="2220"/>
    <x v="3124"/>
    <x v="10"/>
    <x v="1"/>
    <x v="1"/>
    <x v="3"/>
    <x v="10"/>
    <x v="1"/>
    <x v="3090"/>
    <n v="1019"/>
    <x v="218"/>
    <x v="0"/>
    <x v="312"/>
    <m/>
    <n v="0.217"/>
    <m/>
    <x v="17"/>
    <x v="193"/>
    <m/>
  </r>
  <r>
    <x v="2220"/>
    <x v="3125"/>
    <x v="10"/>
    <x v="1"/>
    <x v="1"/>
    <x v="3"/>
    <x v="10"/>
    <x v="1"/>
    <x v="3091"/>
    <n v="1019"/>
    <x v="218"/>
    <x v="0"/>
    <x v="621"/>
    <m/>
    <n v="0.30399999999999999"/>
    <m/>
    <x v="17"/>
    <x v="193"/>
    <m/>
  </r>
  <r>
    <x v="2221"/>
    <x v="3126"/>
    <x v="10"/>
    <x v="1"/>
    <x v="1"/>
    <x v="3"/>
    <x v="10"/>
    <x v="0"/>
    <x v="3092"/>
    <n v="150"/>
    <x v="229"/>
    <x v="0"/>
    <x v="387"/>
    <m/>
    <n v="0.11799999999999999"/>
    <m/>
    <x v="192"/>
    <x v="320"/>
    <m/>
  </r>
  <r>
    <x v="2222"/>
    <x v="3127"/>
    <x v="10"/>
    <x v="1"/>
    <x v="1"/>
    <x v="3"/>
    <x v="10"/>
    <x v="0"/>
    <x v="3093"/>
    <n v="1115"/>
    <x v="211"/>
    <x v="0"/>
    <x v="238"/>
    <m/>
    <n v="0.23200000000000001"/>
    <m/>
    <x v="52"/>
    <x v="29"/>
    <m/>
  </r>
  <r>
    <x v="2223"/>
    <x v="3128"/>
    <x v="10"/>
    <x v="1"/>
    <x v="1"/>
    <x v="3"/>
    <x v="10"/>
    <x v="1"/>
    <x v="3094"/>
    <n v="1111"/>
    <x v="242"/>
    <x v="0"/>
    <x v="653"/>
    <m/>
    <n v="0.28199999999999997"/>
    <m/>
    <x v="25"/>
    <x v="37"/>
    <m/>
  </r>
  <r>
    <x v="2223"/>
    <x v="3129"/>
    <x v="10"/>
    <x v="1"/>
    <x v="1"/>
    <x v="3"/>
    <x v="10"/>
    <x v="1"/>
    <x v="3095"/>
    <n v="1111"/>
    <x v="242"/>
    <x v="0"/>
    <x v="529"/>
    <m/>
    <n v="0.151"/>
    <m/>
    <x v="25"/>
    <x v="37"/>
    <m/>
  </r>
  <r>
    <x v="2224"/>
    <x v="3130"/>
    <x v="7"/>
    <x v="1"/>
    <x v="1"/>
    <x v="3"/>
    <x v="10"/>
    <x v="3"/>
    <x v="3096"/>
    <n v="368"/>
    <x v="172"/>
    <x v="279"/>
    <x v="166"/>
    <n v="0.03"/>
    <n v="0.11700000000000001"/>
    <m/>
    <x v="74"/>
    <x v="299"/>
    <n v="3.8"/>
  </r>
  <r>
    <x v="2224"/>
    <x v="3131"/>
    <x v="7"/>
    <x v="1"/>
    <x v="1"/>
    <x v="3"/>
    <x v="10"/>
    <x v="3"/>
    <x v="3097"/>
    <n v="368"/>
    <x v="172"/>
    <x v="365"/>
    <x v="769"/>
    <n v="1.2999999999999999E-2"/>
    <n v="4.8000000000000001E-2"/>
    <m/>
    <x v="74"/>
    <x v="299"/>
    <n v="3.8"/>
  </r>
  <r>
    <x v="2224"/>
    <x v="3132"/>
    <x v="7"/>
    <x v="1"/>
    <x v="1"/>
    <x v="3"/>
    <x v="10"/>
    <x v="3"/>
    <x v="3098"/>
    <n v="368"/>
    <x v="172"/>
    <x v="452"/>
    <x v="370"/>
    <n v="4.3999999999999997E-2"/>
    <n v="0.17399999999999999"/>
    <m/>
    <x v="74"/>
    <x v="299"/>
    <n v="3.8"/>
  </r>
  <r>
    <x v="2224"/>
    <x v="3133"/>
    <x v="7"/>
    <x v="1"/>
    <x v="1"/>
    <x v="3"/>
    <x v="10"/>
    <x v="3"/>
    <x v="3099"/>
    <n v="368"/>
    <x v="172"/>
    <x v="315"/>
    <x v="165"/>
    <n v="0.113"/>
    <n v="0.14399999999999999"/>
    <m/>
    <x v="74"/>
    <x v="299"/>
    <n v="3.8"/>
  </r>
  <r>
    <x v="2224"/>
    <x v="3134"/>
    <x v="7"/>
    <x v="1"/>
    <x v="1"/>
    <x v="3"/>
    <x v="10"/>
    <x v="3"/>
    <x v="3100"/>
    <n v="368"/>
    <x v="172"/>
    <x v="286"/>
    <x v="353"/>
    <n v="0.11"/>
    <n v="0.126"/>
    <m/>
    <x v="74"/>
    <x v="299"/>
    <n v="3.8"/>
  </r>
  <r>
    <x v="2225"/>
    <x v="3135"/>
    <x v="10"/>
    <x v="1"/>
    <x v="1"/>
    <x v="3"/>
    <x v="10"/>
    <x v="0"/>
    <x v="3101"/>
    <n v="1241"/>
    <x v="43"/>
    <x v="0"/>
    <x v="558"/>
    <m/>
    <n v="0.29599999999999999"/>
    <m/>
    <x v="93"/>
    <x v="147"/>
    <m/>
  </r>
  <r>
    <x v="2226"/>
    <x v="3136"/>
    <x v="10"/>
    <x v="1"/>
    <x v="1"/>
    <x v="3"/>
    <x v="10"/>
    <x v="0"/>
    <x v="3102"/>
    <n v="389"/>
    <x v="159"/>
    <x v="0"/>
    <x v="401"/>
    <m/>
    <n v="0.20499999999999999"/>
    <m/>
    <x v="145"/>
    <x v="85"/>
    <m/>
  </r>
  <r>
    <x v="2227"/>
    <x v="3137"/>
    <x v="10"/>
    <x v="1"/>
    <x v="1"/>
    <x v="3"/>
    <x v="10"/>
    <x v="0"/>
    <x v="3103"/>
    <n v="259"/>
    <x v="242"/>
    <x v="0"/>
    <x v="533"/>
    <m/>
    <n v="0.19"/>
    <m/>
    <x v="191"/>
    <x v="74"/>
    <m/>
  </r>
  <r>
    <x v="2228"/>
    <x v="3138"/>
    <x v="10"/>
    <x v="1"/>
    <x v="1"/>
    <x v="3"/>
    <x v="10"/>
    <x v="0"/>
    <x v="3104"/>
    <n v="811"/>
    <x v="216"/>
    <x v="0"/>
    <x v="383"/>
    <m/>
    <n v="0.26900000000000002"/>
    <m/>
    <x v="3"/>
    <x v="24"/>
    <m/>
  </r>
  <r>
    <x v="2229"/>
    <x v="3139"/>
    <x v="10"/>
    <x v="1"/>
    <x v="1"/>
    <x v="3"/>
    <x v="10"/>
    <x v="0"/>
    <x v="3105"/>
    <n v="731"/>
    <x v="196"/>
    <x v="0"/>
    <x v="269"/>
    <m/>
    <n v="0.20599999999999999"/>
    <m/>
    <x v="32"/>
    <x v="201"/>
    <m/>
  </r>
  <r>
    <x v="2230"/>
    <x v="3140"/>
    <x v="10"/>
    <x v="1"/>
    <x v="1"/>
    <x v="3"/>
    <x v="10"/>
    <x v="1"/>
    <x v="3106"/>
    <n v="502"/>
    <x v="255"/>
    <x v="0"/>
    <x v="236"/>
    <m/>
    <n v="0.17799999999999999"/>
    <m/>
    <x v="48"/>
    <x v="18"/>
    <m/>
  </r>
  <r>
    <x v="2230"/>
    <x v="3141"/>
    <x v="10"/>
    <x v="1"/>
    <x v="1"/>
    <x v="3"/>
    <x v="10"/>
    <x v="1"/>
    <x v="3107"/>
    <n v="502"/>
    <x v="255"/>
    <x v="0"/>
    <x v="571"/>
    <m/>
    <n v="9.4E-2"/>
    <m/>
    <x v="48"/>
    <x v="18"/>
    <m/>
  </r>
  <r>
    <x v="2231"/>
    <x v="3142"/>
    <x v="10"/>
    <x v="1"/>
    <x v="1"/>
    <x v="3"/>
    <x v="10"/>
    <x v="0"/>
    <x v="3108"/>
    <n v="690"/>
    <x v="233"/>
    <x v="0"/>
    <x v="235"/>
    <m/>
    <n v="0.20399999999999999"/>
    <m/>
    <x v="53"/>
    <x v="133"/>
    <m/>
  </r>
  <r>
    <x v="2232"/>
    <x v="3143"/>
    <x v="10"/>
    <x v="1"/>
    <x v="1"/>
    <x v="3"/>
    <x v="10"/>
    <x v="0"/>
    <x v="3109"/>
    <n v="1143"/>
    <x v="177"/>
    <x v="0"/>
    <x v="499"/>
    <m/>
    <n v="0.33300000000000002"/>
    <m/>
    <x v="123"/>
    <x v="242"/>
    <m/>
  </r>
  <r>
    <x v="2233"/>
    <x v="3144"/>
    <x v="10"/>
    <x v="1"/>
    <x v="1"/>
    <x v="3"/>
    <x v="10"/>
    <x v="0"/>
    <x v="3110"/>
    <n v="579"/>
    <x v="245"/>
    <x v="0"/>
    <x v="770"/>
    <m/>
    <n v="0.749"/>
    <m/>
    <x v="57"/>
    <x v="182"/>
    <m/>
  </r>
  <r>
    <x v="2234"/>
    <x v="3145"/>
    <x v="10"/>
    <x v="1"/>
    <x v="1"/>
    <x v="3"/>
    <x v="10"/>
    <x v="0"/>
    <x v="3111"/>
    <n v="383"/>
    <x v="264"/>
    <x v="0"/>
    <x v="231"/>
    <m/>
    <n v="0.123"/>
    <m/>
    <x v="89"/>
    <x v="239"/>
    <m/>
  </r>
  <r>
    <x v="2235"/>
    <x v="3146"/>
    <x v="7"/>
    <x v="1"/>
    <x v="1"/>
    <x v="3"/>
    <x v="10"/>
    <x v="0"/>
    <x v="3112"/>
    <n v="200"/>
    <x v="287"/>
    <x v="453"/>
    <x v="771"/>
    <n v="0.378"/>
    <n v="0.54500000000000004"/>
    <n v="3"/>
    <x v="17"/>
    <x v="52"/>
    <n v="1.895"/>
  </r>
  <r>
    <x v="2236"/>
    <x v="3147"/>
    <x v="10"/>
    <x v="1"/>
    <x v="1"/>
    <x v="3"/>
    <x v="10"/>
    <x v="0"/>
    <x v="3113"/>
    <n v="657"/>
    <x v="216"/>
    <x v="0"/>
    <x v="512"/>
    <m/>
    <n v="0.28399999999999997"/>
    <m/>
    <x v="102"/>
    <x v="110"/>
    <m/>
  </r>
  <r>
    <x v="2237"/>
    <x v="3148"/>
    <x v="10"/>
    <x v="1"/>
    <x v="1"/>
    <x v="3"/>
    <x v="10"/>
    <x v="0"/>
    <x v="3114"/>
    <n v="843"/>
    <x v="257"/>
    <x v="0"/>
    <x v="175"/>
    <m/>
    <n v="0.25900000000000001"/>
    <m/>
    <x v="100"/>
    <x v="216"/>
    <m/>
  </r>
  <r>
    <x v="2238"/>
    <x v="3149"/>
    <x v="10"/>
    <x v="1"/>
    <x v="1"/>
    <x v="3"/>
    <x v="10"/>
    <x v="0"/>
    <x v="3115"/>
    <n v="349"/>
    <x v="43"/>
    <x v="0"/>
    <x v="481"/>
    <m/>
    <n v="0.19700000000000001"/>
    <m/>
    <x v="21"/>
    <x v="239"/>
    <m/>
  </r>
  <r>
    <x v="2239"/>
    <x v="3150"/>
    <x v="10"/>
    <x v="1"/>
    <x v="1"/>
    <x v="3"/>
    <x v="10"/>
    <x v="0"/>
    <x v="3116"/>
    <n v="634"/>
    <x v="260"/>
    <x v="0"/>
    <x v="341"/>
    <m/>
    <n v="0.14499999999999999"/>
    <m/>
    <x v="102"/>
    <x v="180"/>
    <m/>
  </r>
  <r>
    <x v="2240"/>
    <x v="3151"/>
    <x v="10"/>
    <x v="1"/>
    <x v="1"/>
    <x v="3"/>
    <x v="10"/>
    <x v="0"/>
    <x v="3117"/>
    <n v="757"/>
    <x v="233"/>
    <x v="0"/>
    <x v="210"/>
    <m/>
    <n v="0.16900000000000001"/>
    <m/>
    <x v="18"/>
    <x v="89"/>
    <m/>
  </r>
  <r>
    <x v="2241"/>
    <x v="3152"/>
    <x v="10"/>
    <x v="1"/>
    <x v="1"/>
    <x v="3"/>
    <x v="10"/>
    <x v="0"/>
    <x v="3118"/>
    <n v="826"/>
    <x v="20"/>
    <x v="0"/>
    <x v="241"/>
    <m/>
    <n v="0.23599999999999999"/>
    <m/>
    <x v="98"/>
    <x v="195"/>
    <m/>
  </r>
  <r>
    <x v="2242"/>
    <x v="3153"/>
    <x v="10"/>
    <x v="1"/>
    <x v="1"/>
    <x v="3"/>
    <x v="10"/>
    <x v="0"/>
    <x v="3119"/>
    <n v="341"/>
    <x v="227"/>
    <x v="0"/>
    <x v="772"/>
    <m/>
    <n v="0.39700000000000002"/>
    <m/>
    <x v="6"/>
    <x v="292"/>
    <m/>
  </r>
  <r>
    <x v="2243"/>
    <x v="3154"/>
    <x v="10"/>
    <x v="1"/>
    <x v="1"/>
    <x v="3"/>
    <x v="10"/>
    <x v="0"/>
    <x v="3120"/>
    <n v="1575"/>
    <x v="270"/>
    <x v="0"/>
    <x v="393"/>
    <m/>
    <n v="0.42399999999999999"/>
    <m/>
    <x v="120"/>
    <x v="243"/>
    <m/>
  </r>
  <r>
    <x v="2244"/>
    <x v="3155"/>
    <x v="10"/>
    <x v="1"/>
    <x v="1"/>
    <x v="3"/>
    <x v="10"/>
    <x v="0"/>
    <x v="3121"/>
    <n v="426"/>
    <x v="288"/>
    <x v="0"/>
    <x v="511"/>
    <m/>
    <n v="0.16300000000000001"/>
    <m/>
    <x v="59"/>
    <x v="3"/>
    <m/>
  </r>
  <r>
    <x v="2245"/>
    <x v="3156"/>
    <x v="10"/>
    <x v="1"/>
    <x v="1"/>
    <x v="3"/>
    <x v="10"/>
    <x v="0"/>
    <x v="3122"/>
    <n v="680"/>
    <x v="224"/>
    <x v="0"/>
    <x v="277"/>
    <m/>
    <n v="0.21199999999999999"/>
    <m/>
    <x v="30"/>
    <x v="145"/>
    <m/>
  </r>
  <r>
    <x v="2246"/>
    <x v="3157"/>
    <x v="10"/>
    <x v="1"/>
    <x v="1"/>
    <x v="3"/>
    <x v="10"/>
    <x v="0"/>
    <x v="3123"/>
    <n v="538"/>
    <x v="246"/>
    <x v="0"/>
    <x v="176"/>
    <m/>
    <n v="0.22800000000000001"/>
    <m/>
    <x v="53"/>
    <x v="16"/>
    <m/>
  </r>
  <r>
    <x v="2247"/>
    <x v="3158"/>
    <x v="10"/>
    <x v="1"/>
    <x v="1"/>
    <x v="3"/>
    <x v="10"/>
    <x v="0"/>
    <x v="3124"/>
    <n v="673"/>
    <x v="256"/>
    <x v="0"/>
    <x v="381"/>
    <m/>
    <n v="0.16500000000000001"/>
    <m/>
    <x v="102"/>
    <x v="4"/>
    <m/>
  </r>
  <r>
    <x v="2248"/>
    <x v="3159"/>
    <x v="10"/>
    <x v="1"/>
    <x v="1"/>
    <x v="3"/>
    <x v="10"/>
    <x v="0"/>
    <x v="3125"/>
    <n v="1022"/>
    <x v="267"/>
    <x v="0"/>
    <x v="175"/>
    <m/>
    <n v="0.25900000000000001"/>
    <m/>
    <x v="28"/>
    <x v="135"/>
    <m/>
  </r>
  <r>
    <x v="2249"/>
    <x v="3160"/>
    <x v="10"/>
    <x v="1"/>
    <x v="1"/>
    <x v="3"/>
    <x v="10"/>
    <x v="0"/>
    <x v="3126"/>
    <n v="1029"/>
    <x v="289"/>
    <x v="0"/>
    <x v="773"/>
    <m/>
    <n v="0.90600000000000003"/>
    <m/>
    <x v="57"/>
    <x v="327"/>
    <m/>
  </r>
  <r>
    <x v="2250"/>
    <x v="3161"/>
    <x v="10"/>
    <x v="1"/>
    <x v="1"/>
    <x v="3"/>
    <x v="10"/>
    <x v="0"/>
    <x v="3127"/>
    <n v="1413"/>
    <x v="253"/>
    <x v="0"/>
    <x v="464"/>
    <m/>
    <n v="0.28100000000000003"/>
    <m/>
    <x v="144"/>
    <x v="280"/>
    <m/>
  </r>
  <r>
    <x v="2251"/>
    <x v="3162"/>
    <x v="10"/>
    <x v="1"/>
    <x v="1"/>
    <x v="3"/>
    <x v="10"/>
    <x v="0"/>
    <x v="3128"/>
    <n v="901"/>
    <x v="219"/>
    <x v="0"/>
    <x v="371"/>
    <m/>
    <n v="0.187"/>
    <m/>
    <x v="47"/>
    <x v="42"/>
    <m/>
  </r>
  <r>
    <x v="2252"/>
    <x v="3163"/>
    <x v="10"/>
    <x v="1"/>
    <x v="1"/>
    <x v="3"/>
    <x v="10"/>
    <x v="0"/>
    <x v="3129"/>
    <n v="513"/>
    <x v="223"/>
    <x v="0"/>
    <x v="236"/>
    <m/>
    <n v="0.17799999999999999"/>
    <m/>
    <x v="89"/>
    <x v="33"/>
    <m/>
  </r>
  <r>
    <x v="2253"/>
    <x v="3164"/>
    <x v="10"/>
    <x v="1"/>
    <x v="1"/>
    <x v="3"/>
    <x v="10"/>
    <x v="0"/>
    <x v="3130"/>
    <n v="789"/>
    <x v="211"/>
    <x v="0"/>
    <x v="486"/>
    <m/>
    <n v="0.104"/>
    <m/>
    <x v="18"/>
    <x v="88"/>
    <m/>
  </r>
  <r>
    <x v="2254"/>
    <x v="3165"/>
    <x v="10"/>
    <x v="1"/>
    <x v="1"/>
    <x v="3"/>
    <x v="10"/>
    <x v="0"/>
    <x v="3131"/>
    <n v="665"/>
    <x v="262"/>
    <x v="0"/>
    <x v="404"/>
    <m/>
    <n v="0.28699999999999998"/>
    <m/>
    <x v="52"/>
    <x v="62"/>
    <m/>
  </r>
  <r>
    <x v="2255"/>
    <x v="3166"/>
    <x v="10"/>
    <x v="1"/>
    <x v="1"/>
    <x v="3"/>
    <x v="10"/>
    <x v="0"/>
    <x v="3132"/>
    <n v="525"/>
    <x v="219"/>
    <x v="0"/>
    <x v="243"/>
    <m/>
    <n v="0.20200000000000001"/>
    <m/>
    <x v="54"/>
    <x v="16"/>
    <m/>
  </r>
  <r>
    <x v="2256"/>
    <x v="3167"/>
    <x v="15"/>
    <x v="1"/>
    <x v="1"/>
    <x v="3"/>
    <x v="10"/>
    <x v="2"/>
    <x v="3133"/>
    <n v="291"/>
    <x v="116"/>
    <x v="0"/>
    <x v="208"/>
    <m/>
    <n v="0.127"/>
    <m/>
    <x v="119"/>
    <x v="11"/>
    <n v="0.621"/>
  </r>
  <r>
    <x v="2256"/>
    <x v="3168"/>
    <x v="15"/>
    <x v="1"/>
    <x v="1"/>
    <x v="3"/>
    <x v="10"/>
    <x v="2"/>
    <x v="3134"/>
    <n v="291"/>
    <x v="116"/>
    <x v="0"/>
    <x v="471"/>
    <m/>
    <n v="0.23"/>
    <m/>
    <x v="119"/>
    <x v="11"/>
    <n v="0.621"/>
  </r>
  <r>
    <x v="2256"/>
    <x v="3169"/>
    <x v="15"/>
    <x v="1"/>
    <x v="1"/>
    <x v="3"/>
    <x v="10"/>
    <x v="2"/>
    <x v="3135"/>
    <n v="291"/>
    <x v="116"/>
    <x v="0"/>
    <x v="280"/>
    <m/>
    <n v="0.13600000000000001"/>
    <m/>
    <x v="119"/>
    <x v="11"/>
    <n v="0.621"/>
  </r>
  <r>
    <x v="2257"/>
    <x v="3170"/>
    <x v="10"/>
    <x v="1"/>
    <x v="1"/>
    <x v="3"/>
    <x v="10"/>
    <x v="0"/>
    <x v="3136"/>
    <n v="805"/>
    <x v="205"/>
    <x v="0"/>
    <x v="528"/>
    <m/>
    <n v="0.26400000000000001"/>
    <m/>
    <x v="4"/>
    <x v="311"/>
    <m/>
  </r>
  <r>
    <x v="2258"/>
    <x v="3171"/>
    <x v="10"/>
    <x v="1"/>
    <x v="1"/>
    <x v="3"/>
    <x v="10"/>
    <x v="0"/>
    <x v="3137"/>
    <n v="537"/>
    <x v="220"/>
    <x v="0"/>
    <x v="268"/>
    <m/>
    <n v="0.21099999999999999"/>
    <m/>
    <x v="127"/>
    <x v="90"/>
    <m/>
  </r>
  <r>
    <x v="2259"/>
    <x v="3172"/>
    <x v="10"/>
    <x v="1"/>
    <x v="1"/>
    <x v="3"/>
    <x v="10"/>
    <x v="0"/>
    <x v="3138"/>
    <n v="423"/>
    <x v="269"/>
    <x v="0"/>
    <x v="308"/>
    <m/>
    <n v="0.222"/>
    <m/>
    <x v="54"/>
    <x v="100"/>
    <m/>
  </r>
  <r>
    <x v="2260"/>
    <x v="3173"/>
    <x v="10"/>
    <x v="1"/>
    <x v="1"/>
    <x v="3"/>
    <x v="10"/>
    <x v="1"/>
    <x v="3139"/>
    <n v="593"/>
    <x v="209"/>
    <x v="0"/>
    <x v="370"/>
    <m/>
    <n v="0.17399999999999999"/>
    <m/>
    <x v="102"/>
    <x v="43"/>
    <m/>
  </r>
  <r>
    <x v="2260"/>
    <x v="3174"/>
    <x v="10"/>
    <x v="1"/>
    <x v="1"/>
    <x v="3"/>
    <x v="10"/>
    <x v="1"/>
    <x v="3140"/>
    <n v="593"/>
    <x v="209"/>
    <x v="0"/>
    <x v="705"/>
    <m/>
    <n v="7.0000000000000007E-2"/>
    <m/>
    <x v="102"/>
    <x v="43"/>
    <m/>
  </r>
  <r>
    <x v="2261"/>
    <x v="3175"/>
    <x v="10"/>
    <x v="1"/>
    <x v="1"/>
    <x v="3"/>
    <x v="10"/>
    <x v="0"/>
    <x v="3141"/>
    <n v="661"/>
    <x v="233"/>
    <x v="0"/>
    <x v="46"/>
    <m/>
    <n v="0.185"/>
    <m/>
    <x v="48"/>
    <x v="37"/>
    <m/>
  </r>
  <r>
    <x v="2262"/>
    <x v="3176"/>
    <x v="10"/>
    <x v="1"/>
    <x v="1"/>
    <x v="3"/>
    <x v="10"/>
    <x v="0"/>
    <x v="3142"/>
    <n v="783"/>
    <x v="225"/>
    <x v="0"/>
    <x v="552"/>
    <m/>
    <n v="0.24199999999999999"/>
    <m/>
    <x v="93"/>
    <x v="89"/>
    <m/>
  </r>
  <r>
    <x v="2263"/>
    <x v="3177"/>
    <x v="10"/>
    <x v="1"/>
    <x v="1"/>
    <x v="3"/>
    <x v="10"/>
    <x v="0"/>
    <x v="3143"/>
    <n v="867"/>
    <x v="224"/>
    <x v="0"/>
    <x v="515"/>
    <m/>
    <n v="0.27800000000000002"/>
    <m/>
    <x v="126"/>
    <x v="92"/>
    <m/>
  </r>
  <r>
    <x v="2264"/>
    <x v="3178"/>
    <x v="10"/>
    <x v="1"/>
    <x v="1"/>
    <x v="3"/>
    <x v="10"/>
    <x v="0"/>
    <x v="3144"/>
    <n v="1244"/>
    <x v="212"/>
    <x v="0"/>
    <x v="367"/>
    <m/>
    <n v="0.314"/>
    <m/>
    <x v="53"/>
    <x v="41"/>
    <m/>
  </r>
  <r>
    <x v="2265"/>
    <x v="3179"/>
    <x v="10"/>
    <x v="1"/>
    <x v="1"/>
    <x v="3"/>
    <x v="10"/>
    <x v="0"/>
    <x v="3145"/>
    <n v="341"/>
    <x v="231"/>
    <x v="0"/>
    <x v="341"/>
    <m/>
    <n v="0.14499999999999999"/>
    <m/>
    <x v="80"/>
    <x v="284"/>
    <m/>
  </r>
  <r>
    <x v="2266"/>
    <x v="3180"/>
    <x v="10"/>
    <x v="1"/>
    <x v="1"/>
    <x v="3"/>
    <x v="10"/>
    <x v="0"/>
    <x v="3146"/>
    <n v="688"/>
    <x v="109"/>
    <x v="0"/>
    <x v="281"/>
    <m/>
    <n v="0.223"/>
    <m/>
    <x v="137"/>
    <x v="36"/>
    <m/>
  </r>
  <r>
    <x v="2267"/>
    <x v="3181"/>
    <x v="7"/>
    <x v="1"/>
    <x v="1"/>
    <x v="3"/>
    <x v="10"/>
    <x v="0"/>
    <x v="3147"/>
    <n v="1107"/>
    <x v="40"/>
    <x v="0"/>
    <x v="388"/>
    <m/>
    <n v="0.25"/>
    <m/>
    <x v="48"/>
    <x v="193"/>
    <n v="1.62"/>
  </r>
  <r>
    <x v="2268"/>
    <x v="3182"/>
    <x v="10"/>
    <x v="1"/>
    <x v="1"/>
    <x v="3"/>
    <x v="10"/>
    <x v="0"/>
    <x v="3148"/>
    <n v="564"/>
    <x v="223"/>
    <x v="0"/>
    <x v="334"/>
    <m/>
    <n v="0.22900000000000001"/>
    <m/>
    <x v="174"/>
    <x v="32"/>
    <m/>
  </r>
  <r>
    <x v="2269"/>
    <x v="3183"/>
    <x v="10"/>
    <x v="1"/>
    <x v="1"/>
    <x v="3"/>
    <x v="10"/>
    <x v="0"/>
    <x v="3149"/>
    <n v="558"/>
    <x v="211"/>
    <x v="0"/>
    <x v="604"/>
    <m/>
    <n v="0.27400000000000002"/>
    <m/>
    <x v="37"/>
    <x v="282"/>
    <m/>
  </r>
  <r>
    <x v="2270"/>
    <x v="3184"/>
    <x v="10"/>
    <x v="1"/>
    <x v="1"/>
    <x v="3"/>
    <x v="10"/>
    <x v="0"/>
    <x v="3150"/>
    <n v="641"/>
    <x v="159"/>
    <x v="0"/>
    <x v="205"/>
    <m/>
    <n v="0.19400000000000001"/>
    <m/>
    <x v="137"/>
    <x v="36"/>
    <m/>
  </r>
  <r>
    <x v="2271"/>
    <x v="3185"/>
    <x v="10"/>
    <x v="1"/>
    <x v="1"/>
    <x v="3"/>
    <x v="10"/>
    <x v="0"/>
    <x v="3151"/>
    <n v="1030"/>
    <x v="223"/>
    <x v="0"/>
    <x v="238"/>
    <m/>
    <n v="0.23200000000000001"/>
    <m/>
    <x v="126"/>
    <x v="92"/>
    <m/>
  </r>
  <r>
    <x v="2272"/>
    <x v="3186"/>
    <x v="10"/>
    <x v="1"/>
    <x v="1"/>
    <x v="3"/>
    <x v="10"/>
    <x v="0"/>
    <x v="3152"/>
    <n v="1386"/>
    <x v="207"/>
    <x v="0"/>
    <x v="222"/>
    <m/>
    <n v="0.23699999999999999"/>
    <m/>
    <x v="53"/>
    <x v="55"/>
    <m/>
  </r>
  <r>
    <x v="2273"/>
    <x v="3187"/>
    <x v="10"/>
    <x v="1"/>
    <x v="1"/>
    <x v="3"/>
    <x v="10"/>
    <x v="0"/>
    <x v="3153"/>
    <n v="651"/>
    <x v="207"/>
    <x v="0"/>
    <x v="238"/>
    <m/>
    <n v="0.23200000000000001"/>
    <m/>
    <x v="137"/>
    <x v="36"/>
    <m/>
  </r>
  <r>
    <x v="2274"/>
    <x v="3188"/>
    <x v="10"/>
    <x v="1"/>
    <x v="1"/>
    <x v="3"/>
    <x v="10"/>
    <x v="0"/>
    <x v="3154"/>
    <n v="1330"/>
    <x v="44"/>
    <x v="0"/>
    <x v="445"/>
    <m/>
    <n v="0.214"/>
    <m/>
    <x v="18"/>
    <x v="133"/>
    <m/>
  </r>
  <r>
    <x v="2275"/>
    <x v="3189"/>
    <x v="10"/>
    <x v="1"/>
    <x v="1"/>
    <x v="3"/>
    <x v="10"/>
    <x v="0"/>
    <x v="3155"/>
    <n v="907"/>
    <x v="207"/>
    <x v="0"/>
    <x v="774"/>
    <m/>
    <n v="0.42199999999999999"/>
    <m/>
    <x v="21"/>
    <x v="90"/>
    <m/>
  </r>
  <r>
    <x v="2276"/>
    <x v="3190"/>
    <x v="10"/>
    <x v="1"/>
    <x v="1"/>
    <x v="3"/>
    <x v="10"/>
    <x v="0"/>
    <x v="3156"/>
    <n v="877"/>
    <x v="218"/>
    <x v="0"/>
    <x v="596"/>
    <m/>
    <n v="0.24099999999999999"/>
    <m/>
    <x v="122"/>
    <x v="92"/>
    <m/>
  </r>
  <r>
    <x v="2277"/>
    <x v="3191"/>
    <x v="10"/>
    <x v="1"/>
    <x v="1"/>
    <x v="3"/>
    <x v="10"/>
    <x v="0"/>
    <x v="3157"/>
    <n v="1778"/>
    <x v="204"/>
    <x v="0"/>
    <x v="775"/>
    <m/>
    <n v="0.43099999999999999"/>
    <m/>
    <x v="93"/>
    <x v="15"/>
    <m/>
  </r>
  <r>
    <x v="2278"/>
    <x v="3192"/>
    <x v="7"/>
    <x v="1"/>
    <x v="1"/>
    <x v="3"/>
    <x v="10"/>
    <x v="0"/>
    <x v="3158"/>
    <n v="1107"/>
    <x v="40"/>
    <x v="0"/>
    <x v="489"/>
    <m/>
    <n v="0.26200000000000001"/>
    <m/>
    <x v="126"/>
    <x v="202"/>
    <n v="2.66"/>
  </r>
  <r>
    <x v="2279"/>
    <x v="3193"/>
    <x v="10"/>
    <x v="1"/>
    <x v="1"/>
    <x v="3"/>
    <x v="10"/>
    <x v="0"/>
    <x v="3159"/>
    <n v="980"/>
    <x v="215"/>
    <x v="0"/>
    <x v="776"/>
    <m/>
    <n v="1.1759999999999999"/>
    <m/>
    <x v="7"/>
    <x v="173"/>
    <m/>
  </r>
  <r>
    <x v="2280"/>
    <x v="3194"/>
    <x v="10"/>
    <x v="1"/>
    <x v="1"/>
    <x v="3"/>
    <x v="10"/>
    <x v="0"/>
    <x v="3160"/>
    <n v="1139"/>
    <x v="216"/>
    <x v="0"/>
    <x v="354"/>
    <m/>
    <n v="0.24"/>
    <m/>
    <x v="54"/>
    <x v="105"/>
    <m/>
  </r>
  <r>
    <x v="2281"/>
    <x v="3195"/>
    <x v="10"/>
    <x v="1"/>
    <x v="1"/>
    <x v="3"/>
    <x v="10"/>
    <x v="0"/>
    <x v="3161"/>
    <n v="1011"/>
    <x v="208"/>
    <x v="0"/>
    <x v="281"/>
    <m/>
    <n v="0.223"/>
    <m/>
    <x v="44"/>
    <x v="94"/>
    <m/>
  </r>
  <r>
    <x v="2282"/>
    <x v="3196"/>
    <x v="10"/>
    <x v="1"/>
    <x v="1"/>
    <x v="3"/>
    <x v="10"/>
    <x v="0"/>
    <x v="3162"/>
    <n v="978"/>
    <x v="216"/>
    <x v="0"/>
    <x v="678"/>
    <m/>
    <n v="0.58299999999999996"/>
    <m/>
    <x v="59"/>
    <x v="239"/>
    <m/>
  </r>
  <r>
    <x v="2283"/>
    <x v="3197"/>
    <x v="10"/>
    <x v="1"/>
    <x v="1"/>
    <x v="3"/>
    <x v="10"/>
    <x v="0"/>
    <x v="3163"/>
    <n v="302"/>
    <x v="222"/>
    <x v="0"/>
    <x v="529"/>
    <m/>
    <n v="0.151"/>
    <m/>
    <x v="14"/>
    <x v="60"/>
    <m/>
  </r>
  <r>
    <x v="2284"/>
    <x v="3198"/>
    <x v="10"/>
    <x v="1"/>
    <x v="1"/>
    <x v="3"/>
    <x v="10"/>
    <x v="0"/>
    <x v="3164"/>
    <n v="651"/>
    <x v="207"/>
    <x v="0"/>
    <x v="337"/>
    <m/>
    <n v="0.218"/>
    <m/>
    <x v="137"/>
    <x v="91"/>
    <m/>
  </r>
  <r>
    <x v="2285"/>
    <x v="3199"/>
    <x v="10"/>
    <x v="1"/>
    <x v="1"/>
    <x v="3"/>
    <x v="10"/>
    <x v="0"/>
    <x v="3165"/>
    <n v="243"/>
    <x v="211"/>
    <x v="0"/>
    <x v="603"/>
    <m/>
    <n v="0.27100000000000002"/>
    <m/>
    <x v="192"/>
    <x v="75"/>
    <m/>
  </r>
  <r>
    <x v="2286"/>
    <x v="3200"/>
    <x v="10"/>
    <x v="1"/>
    <x v="1"/>
    <x v="3"/>
    <x v="10"/>
    <x v="0"/>
    <x v="3166"/>
    <n v="1180"/>
    <x v="223"/>
    <x v="0"/>
    <x v="777"/>
    <m/>
    <n v="0.48"/>
    <m/>
    <x v="57"/>
    <x v="173"/>
    <m/>
  </r>
  <r>
    <x v="2287"/>
    <x v="3201"/>
    <x v="10"/>
    <x v="1"/>
    <x v="1"/>
    <x v="3"/>
    <x v="10"/>
    <x v="0"/>
    <x v="3167"/>
    <n v="875"/>
    <x v="216"/>
    <x v="0"/>
    <x v="483"/>
    <m/>
    <n v="0.45900000000000002"/>
    <m/>
    <x v="23"/>
    <x v="33"/>
    <m/>
  </r>
  <r>
    <x v="2288"/>
    <x v="3202"/>
    <x v="10"/>
    <x v="1"/>
    <x v="1"/>
    <x v="3"/>
    <x v="10"/>
    <x v="0"/>
    <x v="3168"/>
    <n v="968"/>
    <x v="216"/>
    <x v="0"/>
    <x v="383"/>
    <m/>
    <n v="0.26900000000000002"/>
    <m/>
    <x v="122"/>
    <x v="239"/>
    <m/>
  </r>
  <r>
    <x v="2289"/>
    <x v="3203"/>
    <x v="7"/>
    <x v="1"/>
    <x v="1"/>
    <x v="3"/>
    <x v="10"/>
    <x v="2"/>
    <x v="3169"/>
    <n v="135"/>
    <x v="0"/>
    <x v="419"/>
    <x v="173"/>
    <n v="0.02"/>
    <n v="0.21"/>
    <m/>
    <x v="128"/>
    <x v="182"/>
    <n v="0.8"/>
  </r>
  <r>
    <x v="2289"/>
    <x v="3204"/>
    <x v="7"/>
    <x v="1"/>
    <x v="1"/>
    <x v="3"/>
    <x v="10"/>
    <x v="2"/>
    <x v="3170"/>
    <n v="135"/>
    <x v="0"/>
    <x v="454"/>
    <x v="328"/>
    <n v="2.265E-2"/>
    <n v="8.8999999999999996E-2"/>
    <m/>
    <x v="128"/>
    <x v="182"/>
    <n v="0.8"/>
  </r>
  <r>
    <x v="2289"/>
    <x v="3205"/>
    <x v="7"/>
    <x v="1"/>
    <x v="0"/>
    <x v="0"/>
    <x v="3"/>
    <x v="2"/>
    <x v="3171"/>
    <n v="135"/>
    <x v="0"/>
    <x v="455"/>
    <x v="0"/>
    <n v="0.84006999999999998"/>
    <m/>
    <m/>
    <x v="128"/>
    <x v="182"/>
    <n v="0.8"/>
  </r>
  <r>
    <x v="2290"/>
    <x v="3206"/>
    <x v="10"/>
    <x v="1"/>
    <x v="1"/>
    <x v="3"/>
    <x v="10"/>
    <x v="0"/>
    <x v="3172"/>
    <n v="1342"/>
    <x v="196"/>
    <x v="0"/>
    <x v="391"/>
    <m/>
    <n v="0.216"/>
    <m/>
    <x v="4"/>
    <x v="37"/>
    <m/>
  </r>
  <r>
    <x v="2291"/>
    <x v="3207"/>
    <x v="10"/>
    <x v="1"/>
    <x v="1"/>
    <x v="3"/>
    <x v="10"/>
    <x v="0"/>
    <x v="3173"/>
    <n v="666"/>
    <x v="227"/>
    <x v="0"/>
    <x v="660"/>
    <m/>
    <n v="0.27500000000000002"/>
    <m/>
    <x v="34"/>
    <x v="153"/>
    <m/>
  </r>
  <r>
    <x v="2292"/>
    <x v="3208"/>
    <x v="10"/>
    <x v="1"/>
    <x v="1"/>
    <x v="3"/>
    <x v="10"/>
    <x v="0"/>
    <x v="3174"/>
    <n v="951"/>
    <x v="229"/>
    <x v="0"/>
    <x v="778"/>
    <m/>
    <n v="0.65800000000000003"/>
    <m/>
    <x v="127"/>
    <x v="111"/>
    <m/>
  </r>
  <r>
    <x v="2293"/>
    <x v="3209"/>
    <x v="10"/>
    <x v="1"/>
    <x v="1"/>
    <x v="3"/>
    <x v="10"/>
    <x v="0"/>
    <x v="3175"/>
    <n v="976"/>
    <x v="224"/>
    <x v="0"/>
    <x v="206"/>
    <m/>
    <n v="0.17599999999999999"/>
    <m/>
    <x v="50"/>
    <x v="105"/>
    <m/>
  </r>
  <r>
    <x v="2294"/>
    <x v="3210"/>
    <x v="10"/>
    <x v="1"/>
    <x v="1"/>
    <x v="3"/>
    <x v="10"/>
    <x v="0"/>
    <x v="3176"/>
    <n v="1066"/>
    <x v="224"/>
    <x v="0"/>
    <x v="496"/>
    <m/>
    <n v="0.3"/>
    <m/>
    <x v="45"/>
    <x v="24"/>
    <m/>
  </r>
  <r>
    <x v="2295"/>
    <x v="3211"/>
    <x v="10"/>
    <x v="1"/>
    <x v="1"/>
    <x v="3"/>
    <x v="10"/>
    <x v="0"/>
    <x v="3177"/>
    <n v="1145"/>
    <x v="225"/>
    <x v="0"/>
    <x v="779"/>
    <m/>
    <n v="0.94399999999999995"/>
    <m/>
    <x v="129"/>
    <x v="220"/>
    <m/>
  </r>
  <r>
    <x v="2296"/>
    <x v="3212"/>
    <x v="10"/>
    <x v="1"/>
    <x v="1"/>
    <x v="3"/>
    <x v="10"/>
    <x v="0"/>
    <x v="3178"/>
    <n v="1203"/>
    <x v="216"/>
    <x v="0"/>
    <x v="780"/>
    <m/>
    <n v="1.0840000000000001"/>
    <m/>
    <x v="23"/>
    <x v="94"/>
    <m/>
  </r>
  <r>
    <x v="2297"/>
    <x v="3213"/>
    <x v="10"/>
    <x v="1"/>
    <x v="1"/>
    <x v="3"/>
    <x v="10"/>
    <x v="0"/>
    <x v="3179"/>
    <n v="628"/>
    <x v="73"/>
    <x v="0"/>
    <x v="367"/>
    <m/>
    <n v="0.314"/>
    <m/>
    <x v="96"/>
    <x v="142"/>
    <m/>
  </r>
  <r>
    <x v="2298"/>
    <x v="3214"/>
    <x v="10"/>
    <x v="1"/>
    <x v="1"/>
    <x v="3"/>
    <x v="10"/>
    <x v="0"/>
    <x v="3180"/>
    <n v="1247"/>
    <x v="211"/>
    <x v="0"/>
    <x v="611"/>
    <m/>
    <n v="0.871"/>
    <m/>
    <x v="17"/>
    <x v="18"/>
    <m/>
  </r>
  <r>
    <x v="2299"/>
    <x v="3215"/>
    <x v="10"/>
    <x v="1"/>
    <x v="1"/>
    <x v="3"/>
    <x v="10"/>
    <x v="0"/>
    <x v="3181"/>
    <n v="1044"/>
    <x v="223"/>
    <x v="0"/>
    <x v="407"/>
    <m/>
    <n v="0.25800000000000001"/>
    <m/>
    <x v="21"/>
    <x v="100"/>
    <m/>
  </r>
  <r>
    <x v="2300"/>
    <x v="3216"/>
    <x v="7"/>
    <x v="1"/>
    <x v="1"/>
    <x v="3"/>
    <x v="10"/>
    <x v="1"/>
    <x v="3182"/>
    <n v="584"/>
    <x v="0"/>
    <x v="0"/>
    <x v="360"/>
    <m/>
    <n v="0.2"/>
    <m/>
    <x v="94"/>
    <x v="3"/>
    <n v="1.37"/>
  </r>
  <r>
    <x v="2300"/>
    <x v="3217"/>
    <x v="7"/>
    <x v="1"/>
    <x v="1"/>
    <x v="3"/>
    <x v="10"/>
    <x v="1"/>
    <x v="3183"/>
    <n v="584"/>
    <x v="0"/>
    <x v="0"/>
    <x v="349"/>
    <m/>
    <n v="0.153"/>
    <m/>
    <x v="94"/>
    <x v="3"/>
    <n v="1.37"/>
  </r>
  <r>
    <x v="2301"/>
    <x v="3218"/>
    <x v="10"/>
    <x v="1"/>
    <x v="1"/>
    <x v="3"/>
    <x v="10"/>
    <x v="0"/>
    <x v="3184"/>
    <n v="1653"/>
    <x v="220"/>
    <x v="0"/>
    <x v="781"/>
    <m/>
    <n v="0.53100000000000003"/>
    <m/>
    <x v="129"/>
    <x v="220"/>
    <m/>
  </r>
  <r>
    <x v="2302"/>
    <x v="3219"/>
    <x v="10"/>
    <x v="1"/>
    <x v="1"/>
    <x v="3"/>
    <x v="10"/>
    <x v="0"/>
    <x v="3185"/>
    <n v="239"/>
    <x v="229"/>
    <x v="0"/>
    <x v="490"/>
    <m/>
    <n v="0.186"/>
    <m/>
    <x v="206"/>
    <x v="70"/>
    <m/>
  </r>
  <r>
    <x v="2303"/>
    <x v="3220"/>
    <x v="10"/>
    <x v="1"/>
    <x v="1"/>
    <x v="3"/>
    <x v="10"/>
    <x v="0"/>
    <x v="3186"/>
    <n v="1000"/>
    <x v="207"/>
    <x v="0"/>
    <x v="568"/>
    <m/>
    <n v="0.27700000000000002"/>
    <m/>
    <x v="3"/>
    <x v="24"/>
    <m/>
  </r>
  <r>
    <x v="2304"/>
    <x v="3221"/>
    <x v="10"/>
    <x v="1"/>
    <x v="1"/>
    <x v="3"/>
    <x v="10"/>
    <x v="0"/>
    <x v="3187"/>
    <n v="1002"/>
    <x v="216"/>
    <x v="0"/>
    <x v="782"/>
    <m/>
    <n v="0.90800000000000003"/>
    <m/>
    <x v="99"/>
    <x v="185"/>
    <m/>
  </r>
  <r>
    <x v="2305"/>
    <x v="3222"/>
    <x v="10"/>
    <x v="1"/>
    <x v="1"/>
    <x v="3"/>
    <x v="10"/>
    <x v="0"/>
    <x v="3188"/>
    <n v="1023"/>
    <x v="208"/>
    <x v="0"/>
    <x v="388"/>
    <m/>
    <n v="0.25"/>
    <m/>
    <x v="54"/>
    <x v="105"/>
    <m/>
  </r>
  <r>
    <x v="2306"/>
    <x v="3223"/>
    <x v="10"/>
    <x v="1"/>
    <x v="1"/>
    <x v="3"/>
    <x v="10"/>
    <x v="0"/>
    <x v="3189"/>
    <n v="620"/>
    <x v="216"/>
    <x v="0"/>
    <x v="783"/>
    <m/>
    <n v="0.82199999999999995"/>
    <m/>
    <x v="97"/>
    <x v="292"/>
    <m/>
  </r>
  <r>
    <x v="2307"/>
    <x v="3224"/>
    <x v="10"/>
    <x v="1"/>
    <x v="1"/>
    <x v="3"/>
    <x v="10"/>
    <x v="0"/>
    <x v="3190"/>
    <n v="1285"/>
    <x v="229"/>
    <x v="0"/>
    <x v="726"/>
    <m/>
    <n v="0.54800000000000004"/>
    <m/>
    <x v="104"/>
    <x v="29"/>
    <m/>
  </r>
  <r>
    <x v="2308"/>
    <x v="3225"/>
    <x v="10"/>
    <x v="1"/>
    <x v="1"/>
    <x v="3"/>
    <x v="10"/>
    <x v="0"/>
    <x v="3191"/>
    <n v="1091"/>
    <x v="224"/>
    <x v="0"/>
    <x v="784"/>
    <m/>
    <n v="0.36799999999999999"/>
    <m/>
    <x v="127"/>
    <x v="100"/>
    <m/>
  </r>
  <r>
    <x v="2309"/>
    <x v="3226"/>
    <x v="10"/>
    <x v="1"/>
    <x v="1"/>
    <x v="3"/>
    <x v="10"/>
    <x v="0"/>
    <x v="3192"/>
    <n v="1135"/>
    <x v="211"/>
    <x v="0"/>
    <x v="470"/>
    <m/>
    <n v="0.32800000000000001"/>
    <m/>
    <x v="23"/>
    <x v="33"/>
    <m/>
  </r>
  <r>
    <x v="2310"/>
    <x v="3227"/>
    <x v="10"/>
    <x v="1"/>
    <x v="1"/>
    <x v="3"/>
    <x v="10"/>
    <x v="0"/>
    <x v="3193"/>
    <n v="888"/>
    <x v="223"/>
    <x v="0"/>
    <x v="785"/>
    <m/>
    <n v="1.2589999999999999"/>
    <m/>
    <x v="94"/>
    <x v="202"/>
    <m/>
  </r>
  <r>
    <x v="2311"/>
    <x v="3228"/>
    <x v="1"/>
    <x v="1"/>
    <x v="1"/>
    <x v="3"/>
    <x v="10"/>
    <x v="0"/>
    <x v="3194"/>
    <n v="907"/>
    <x v="0"/>
    <x v="456"/>
    <x v="786"/>
    <n v="0.441"/>
    <n v="1.6220000000000001"/>
    <n v="0.14000000000000001"/>
    <x v="169"/>
    <x v="143"/>
    <m/>
  </r>
  <r>
    <x v="2312"/>
    <x v="3229"/>
    <x v="10"/>
    <x v="1"/>
    <x v="1"/>
    <x v="3"/>
    <x v="10"/>
    <x v="0"/>
    <x v="3195"/>
    <n v="1061"/>
    <x v="224"/>
    <x v="0"/>
    <x v="787"/>
    <m/>
    <n v="0.53400000000000003"/>
    <m/>
    <x v="17"/>
    <x v="18"/>
    <m/>
  </r>
  <r>
    <x v="2313"/>
    <x v="3230"/>
    <x v="10"/>
    <x v="1"/>
    <x v="1"/>
    <x v="3"/>
    <x v="10"/>
    <x v="0"/>
    <x v="3196"/>
    <n v="755"/>
    <x v="216"/>
    <x v="0"/>
    <x v="270"/>
    <m/>
    <n v="0.253"/>
    <m/>
    <x v="59"/>
    <x v="239"/>
    <m/>
  </r>
  <r>
    <x v="2314"/>
    <x v="3231"/>
    <x v="10"/>
    <x v="1"/>
    <x v="1"/>
    <x v="3"/>
    <x v="10"/>
    <x v="0"/>
    <x v="3197"/>
    <n v="892"/>
    <x v="216"/>
    <x v="0"/>
    <x v="168"/>
    <m/>
    <n v="0.81799999999999995"/>
    <m/>
    <x v="3"/>
    <x v="24"/>
    <m/>
  </r>
  <r>
    <x v="2315"/>
    <x v="3232"/>
    <x v="10"/>
    <x v="1"/>
    <x v="1"/>
    <x v="3"/>
    <x v="10"/>
    <x v="0"/>
    <x v="3198"/>
    <n v="1482"/>
    <x v="243"/>
    <x v="0"/>
    <x v="788"/>
    <m/>
    <n v="0.73199999999999998"/>
    <m/>
    <x v="112"/>
    <x v="223"/>
    <m/>
  </r>
  <r>
    <x v="2316"/>
    <x v="3233"/>
    <x v="10"/>
    <x v="1"/>
    <x v="1"/>
    <x v="3"/>
    <x v="10"/>
    <x v="0"/>
    <x v="3199"/>
    <n v="1054"/>
    <x v="228"/>
    <x v="0"/>
    <x v="41"/>
    <m/>
    <n v="0.23300000000000001"/>
    <m/>
    <x v="54"/>
    <x v="18"/>
    <m/>
  </r>
  <r>
    <x v="2317"/>
    <x v="3234"/>
    <x v="10"/>
    <x v="1"/>
    <x v="1"/>
    <x v="3"/>
    <x v="10"/>
    <x v="0"/>
    <x v="3200"/>
    <n v="251"/>
    <x v="218"/>
    <x v="0"/>
    <x v="601"/>
    <m/>
    <n v="0.188"/>
    <m/>
    <x v="206"/>
    <x v="283"/>
    <m/>
  </r>
  <r>
    <x v="2318"/>
    <x v="3235"/>
    <x v="10"/>
    <x v="1"/>
    <x v="1"/>
    <x v="3"/>
    <x v="10"/>
    <x v="0"/>
    <x v="3201"/>
    <n v="810"/>
    <x v="215"/>
    <x v="0"/>
    <x v="789"/>
    <m/>
    <n v="1.175"/>
    <m/>
    <x v="122"/>
    <x v="239"/>
    <m/>
  </r>
  <r>
    <x v="2319"/>
    <x v="3236"/>
    <x v="10"/>
    <x v="1"/>
    <x v="1"/>
    <x v="3"/>
    <x v="10"/>
    <x v="0"/>
    <x v="3202"/>
    <n v="626"/>
    <x v="65"/>
    <x v="0"/>
    <x v="232"/>
    <m/>
    <n v="0.11899999999999999"/>
    <m/>
    <x v="34"/>
    <x v="153"/>
    <m/>
  </r>
  <r>
    <x v="2320"/>
    <x v="3237"/>
    <x v="10"/>
    <x v="1"/>
    <x v="1"/>
    <x v="3"/>
    <x v="10"/>
    <x v="0"/>
    <x v="3203"/>
    <n v="1241"/>
    <x v="224"/>
    <x v="0"/>
    <x v="352"/>
    <m/>
    <n v="0.26100000000000001"/>
    <m/>
    <x v="54"/>
    <x v="18"/>
    <m/>
  </r>
  <r>
    <x v="2321"/>
    <x v="3238"/>
    <x v="10"/>
    <x v="1"/>
    <x v="1"/>
    <x v="3"/>
    <x v="10"/>
    <x v="0"/>
    <x v="3204"/>
    <n v="668"/>
    <x v="65"/>
    <x v="0"/>
    <x v="599"/>
    <m/>
    <n v="0.26100000000000001"/>
    <m/>
    <x v="34"/>
    <x v="57"/>
    <m/>
  </r>
  <r>
    <x v="2322"/>
    <x v="3239"/>
    <x v="10"/>
    <x v="1"/>
    <x v="1"/>
    <x v="3"/>
    <x v="10"/>
    <x v="0"/>
    <x v="3205"/>
    <n v="919"/>
    <x v="212"/>
    <x v="0"/>
    <x v="550"/>
    <m/>
    <n v="0.16800000000000001"/>
    <m/>
    <x v="23"/>
    <x v="33"/>
    <m/>
  </r>
  <r>
    <x v="2323"/>
    <x v="3240"/>
    <x v="10"/>
    <x v="1"/>
    <x v="1"/>
    <x v="3"/>
    <x v="10"/>
    <x v="0"/>
    <x v="3206"/>
    <n v="664"/>
    <x v="224"/>
    <x v="0"/>
    <x v="621"/>
    <m/>
    <n v="0.30399999999999999"/>
    <m/>
    <x v="97"/>
    <x v="292"/>
    <m/>
  </r>
  <r>
    <x v="2324"/>
    <x v="3241"/>
    <x v="10"/>
    <x v="1"/>
    <x v="1"/>
    <x v="3"/>
    <x v="10"/>
    <x v="1"/>
    <x v="3207"/>
    <n v="944"/>
    <x v="222"/>
    <x v="0"/>
    <x v="621"/>
    <m/>
    <n v="0.30399999999999999"/>
    <m/>
    <x v="97"/>
    <x v="202"/>
    <m/>
  </r>
  <r>
    <x v="2324"/>
    <x v="3242"/>
    <x v="10"/>
    <x v="1"/>
    <x v="1"/>
    <x v="3"/>
    <x v="10"/>
    <x v="1"/>
    <x v="3208"/>
    <n v="944"/>
    <x v="222"/>
    <x v="0"/>
    <x v="790"/>
    <m/>
    <n v="0.433"/>
    <m/>
    <x v="97"/>
    <x v="202"/>
    <m/>
  </r>
  <r>
    <x v="2325"/>
    <x v="3243"/>
    <x v="10"/>
    <x v="1"/>
    <x v="1"/>
    <x v="3"/>
    <x v="10"/>
    <x v="0"/>
    <x v="3209"/>
    <n v="1003"/>
    <x v="44"/>
    <x v="0"/>
    <x v="233"/>
    <m/>
    <n v="0.221"/>
    <m/>
    <x v="17"/>
    <x v="173"/>
    <m/>
  </r>
  <r>
    <x v="2326"/>
    <x v="3244"/>
    <x v="10"/>
    <x v="1"/>
    <x v="1"/>
    <x v="3"/>
    <x v="10"/>
    <x v="0"/>
    <x v="3210"/>
    <n v="1460"/>
    <x v="220"/>
    <x v="0"/>
    <x v="791"/>
    <m/>
    <n v="0.86299999999999999"/>
    <m/>
    <x v="25"/>
    <x v="40"/>
    <m/>
  </r>
  <r>
    <x v="2327"/>
    <x v="3245"/>
    <x v="10"/>
    <x v="1"/>
    <x v="1"/>
    <x v="3"/>
    <x v="10"/>
    <x v="0"/>
    <x v="3211"/>
    <n v="1214"/>
    <x v="229"/>
    <x v="0"/>
    <x v="792"/>
    <m/>
    <n v="0.33500000000000002"/>
    <m/>
    <x v="48"/>
    <x v="110"/>
    <m/>
  </r>
  <r>
    <x v="2328"/>
    <x v="3246"/>
    <x v="10"/>
    <x v="1"/>
    <x v="1"/>
    <x v="3"/>
    <x v="10"/>
    <x v="0"/>
    <x v="3212"/>
    <n v="675"/>
    <x v="223"/>
    <x v="0"/>
    <x v="175"/>
    <m/>
    <n v="0.25900000000000001"/>
    <m/>
    <x v="134"/>
    <x v="202"/>
    <m/>
  </r>
  <r>
    <x v="2329"/>
    <x v="3247"/>
    <x v="10"/>
    <x v="1"/>
    <x v="1"/>
    <x v="3"/>
    <x v="10"/>
    <x v="0"/>
    <x v="3213"/>
    <n v="1126"/>
    <x v="224"/>
    <x v="0"/>
    <x v="391"/>
    <m/>
    <n v="0.216"/>
    <m/>
    <x v="59"/>
    <x v="131"/>
    <m/>
  </r>
  <r>
    <x v="2330"/>
    <x v="3248"/>
    <x v="10"/>
    <x v="1"/>
    <x v="1"/>
    <x v="3"/>
    <x v="10"/>
    <x v="0"/>
    <x v="3214"/>
    <n v="1520"/>
    <x v="258"/>
    <x v="0"/>
    <x v="793"/>
    <m/>
    <n v="1.4770000000000001"/>
    <m/>
    <x v="112"/>
    <x v="96"/>
    <m/>
  </r>
  <r>
    <x v="2331"/>
    <x v="3249"/>
    <x v="10"/>
    <x v="1"/>
    <x v="1"/>
    <x v="3"/>
    <x v="10"/>
    <x v="0"/>
    <x v="3215"/>
    <n v="1427"/>
    <x v="229"/>
    <x v="0"/>
    <x v="794"/>
    <m/>
    <n v="0.76"/>
    <m/>
    <x v="7"/>
    <x v="62"/>
    <m/>
  </r>
  <r>
    <x v="2332"/>
    <x v="3250"/>
    <x v="10"/>
    <x v="1"/>
    <x v="1"/>
    <x v="3"/>
    <x v="10"/>
    <x v="0"/>
    <x v="3216"/>
    <n v="880"/>
    <x v="159"/>
    <x v="0"/>
    <x v="795"/>
    <m/>
    <n v="0.75"/>
    <m/>
    <x v="44"/>
    <x v="94"/>
    <m/>
  </r>
  <r>
    <x v="2333"/>
    <x v="3251"/>
    <x v="10"/>
    <x v="1"/>
    <x v="1"/>
    <x v="3"/>
    <x v="10"/>
    <x v="0"/>
    <x v="3217"/>
    <n v="848"/>
    <x v="65"/>
    <x v="0"/>
    <x v="241"/>
    <m/>
    <n v="0.23599999999999999"/>
    <m/>
    <x v="58"/>
    <x v="202"/>
    <m/>
  </r>
  <r>
    <x v="2334"/>
    <x v="3252"/>
    <x v="10"/>
    <x v="1"/>
    <x v="1"/>
    <x v="3"/>
    <x v="10"/>
    <x v="1"/>
    <x v="3218"/>
    <n v="1375"/>
    <x v="224"/>
    <x v="0"/>
    <x v="154"/>
    <m/>
    <n v="0.23499999999999999"/>
    <m/>
    <x v="18"/>
    <x v="133"/>
    <m/>
  </r>
  <r>
    <x v="2334"/>
    <x v="3253"/>
    <x v="10"/>
    <x v="1"/>
    <x v="1"/>
    <x v="3"/>
    <x v="10"/>
    <x v="1"/>
    <x v="3219"/>
    <n v="1375"/>
    <x v="224"/>
    <x v="0"/>
    <x v="366"/>
    <m/>
    <n v="0.252"/>
    <m/>
    <x v="18"/>
    <x v="133"/>
    <m/>
  </r>
  <r>
    <x v="2335"/>
    <x v="3254"/>
    <x v="10"/>
    <x v="1"/>
    <x v="1"/>
    <x v="3"/>
    <x v="10"/>
    <x v="0"/>
    <x v="3220"/>
    <n v="965"/>
    <x v="223"/>
    <x v="0"/>
    <x v="796"/>
    <m/>
    <n v="1.0880000000000001"/>
    <m/>
    <x v="127"/>
    <x v="111"/>
    <m/>
  </r>
  <r>
    <x v="2336"/>
    <x v="3255"/>
    <x v="10"/>
    <x v="1"/>
    <x v="1"/>
    <x v="3"/>
    <x v="10"/>
    <x v="0"/>
    <x v="3221"/>
    <n v="862"/>
    <x v="224"/>
    <x v="0"/>
    <x v="223"/>
    <m/>
    <n v="0.29399999999999998"/>
    <m/>
    <x v="3"/>
    <x v="24"/>
    <m/>
  </r>
  <r>
    <x v="2337"/>
    <x v="3256"/>
    <x v="10"/>
    <x v="1"/>
    <x v="1"/>
    <x v="3"/>
    <x v="10"/>
    <x v="0"/>
    <x v="3222"/>
    <n v="778"/>
    <x v="224"/>
    <x v="0"/>
    <x v="797"/>
    <m/>
    <n v="0.94799999999999995"/>
    <m/>
    <x v="59"/>
    <x v="239"/>
    <m/>
  </r>
  <r>
    <x v="2338"/>
    <x v="3257"/>
    <x v="10"/>
    <x v="1"/>
    <x v="1"/>
    <x v="3"/>
    <x v="10"/>
    <x v="0"/>
    <x v="3223"/>
    <n v="838"/>
    <x v="216"/>
    <x v="0"/>
    <x v="514"/>
    <m/>
    <n v="0.29099999999999998"/>
    <m/>
    <x v="59"/>
    <x v="131"/>
    <m/>
  </r>
  <r>
    <x v="2339"/>
    <x v="3258"/>
    <x v="10"/>
    <x v="1"/>
    <x v="1"/>
    <x v="3"/>
    <x v="10"/>
    <x v="0"/>
    <x v="3224"/>
    <n v="892"/>
    <x v="215"/>
    <x v="0"/>
    <x v="199"/>
    <m/>
    <n v="0.22600000000000001"/>
    <m/>
    <x v="45"/>
    <x v="24"/>
    <m/>
  </r>
  <r>
    <x v="2340"/>
    <x v="3259"/>
    <x v="10"/>
    <x v="1"/>
    <x v="1"/>
    <x v="3"/>
    <x v="10"/>
    <x v="0"/>
    <x v="3225"/>
    <n v="1236"/>
    <x v="208"/>
    <x v="0"/>
    <x v="798"/>
    <m/>
    <n v="0.29799999999999999"/>
    <m/>
    <x v="44"/>
    <x v="3"/>
    <m/>
  </r>
  <r>
    <x v="2341"/>
    <x v="3260"/>
    <x v="10"/>
    <x v="1"/>
    <x v="1"/>
    <x v="3"/>
    <x v="10"/>
    <x v="0"/>
    <x v="3226"/>
    <n v="1271"/>
    <x v="211"/>
    <x v="0"/>
    <x v="414"/>
    <m/>
    <n v="0.31900000000000001"/>
    <m/>
    <x v="23"/>
    <x v="33"/>
    <m/>
  </r>
  <r>
    <x v="2342"/>
    <x v="3261"/>
    <x v="10"/>
    <x v="1"/>
    <x v="1"/>
    <x v="3"/>
    <x v="10"/>
    <x v="1"/>
    <x v="3227"/>
    <n v="2020.2"/>
    <x v="66"/>
    <x v="0"/>
    <x v="159"/>
    <m/>
    <n v="1.1000000000000001"/>
    <m/>
    <x v="52"/>
    <x v="11"/>
    <n v="0.52900000000000003"/>
  </r>
  <r>
    <x v="2342"/>
    <x v="3262"/>
    <x v="5"/>
    <x v="1"/>
    <x v="1"/>
    <x v="3"/>
    <x v="10"/>
    <x v="1"/>
    <x v="3228"/>
    <n v="2020.2"/>
    <x v="66"/>
    <x v="0"/>
    <x v="799"/>
    <m/>
    <n v="0.14000000000000001"/>
    <m/>
    <x v="52"/>
    <x v="11"/>
    <n v="0.52900000000000003"/>
  </r>
  <r>
    <x v="2343"/>
    <x v="3263"/>
    <x v="10"/>
    <x v="1"/>
    <x v="1"/>
    <x v="3"/>
    <x v="10"/>
    <x v="0"/>
    <x v="3229"/>
    <n v="1311"/>
    <x v="44"/>
    <x v="0"/>
    <x v="800"/>
    <m/>
    <n v="1.238"/>
    <m/>
    <x v="18"/>
    <x v="124"/>
    <m/>
  </r>
  <r>
    <x v="2344"/>
    <x v="3264"/>
    <x v="10"/>
    <x v="1"/>
    <x v="1"/>
    <x v="3"/>
    <x v="10"/>
    <x v="1"/>
    <x v="3230"/>
    <n v="150"/>
    <x v="216"/>
    <x v="0"/>
    <x v="205"/>
    <m/>
    <n v="0.19400000000000001"/>
    <m/>
    <x v="31"/>
    <x v="78"/>
    <m/>
  </r>
  <r>
    <x v="2344"/>
    <x v="3265"/>
    <x v="10"/>
    <x v="1"/>
    <x v="1"/>
    <x v="3"/>
    <x v="10"/>
    <x v="1"/>
    <x v="3231"/>
    <n v="150"/>
    <x v="216"/>
    <x v="0"/>
    <x v="577"/>
    <m/>
    <n v="0.113"/>
    <m/>
    <x v="31"/>
    <x v="78"/>
    <m/>
  </r>
  <r>
    <x v="2345"/>
    <x v="3266"/>
    <x v="10"/>
    <x v="1"/>
    <x v="1"/>
    <x v="3"/>
    <x v="10"/>
    <x v="0"/>
    <x v="3232"/>
    <n v="980"/>
    <x v="211"/>
    <x v="0"/>
    <x v="366"/>
    <m/>
    <n v="0.252"/>
    <m/>
    <x v="3"/>
    <x v="24"/>
    <m/>
  </r>
  <r>
    <x v="2346"/>
    <x v="3267"/>
    <x v="10"/>
    <x v="1"/>
    <x v="1"/>
    <x v="3"/>
    <x v="10"/>
    <x v="0"/>
    <x v="3233"/>
    <n v="553"/>
    <x v="20"/>
    <x v="0"/>
    <x v="801"/>
    <m/>
    <n v="0.318"/>
    <m/>
    <x v="6"/>
    <x v="202"/>
    <m/>
  </r>
  <r>
    <x v="2347"/>
    <x v="3268"/>
    <x v="10"/>
    <x v="1"/>
    <x v="1"/>
    <x v="3"/>
    <x v="10"/>
    <x v="0"/>
    <x v="3234"/>
    <n v="790"/>
    <x v="224"/>
    <x v="0"/>
    <x v="356"/>
    <m/>
    <n v="0.26300000000000001"/>
    <m/>
    <x v="6"/>
    <x v="292"/>
    <m/>
  </r>
  <r>
    <x v="2348"/>
    <x v="3269"/>
    <x v="10"/>
    <x v="1"/>
    <x v="1"/>
    <x v="3"/>
    <x v="10"/>
    <x v="0"/>
    <x v="3235"/>
    <n v="1007"/>
    <x v="211"/>
    <x v="0"/>
    <x v="352"/>
    <m/>
    <n v="0.26100000000000001"/>
    <m/>
    <x v="126"/>
    <x v="130"/>
    <m/>
  </r>
  <r>
    <x v="2349"/>
    <x v="3270"/>
    <x v="10"/>
    <x v="1"/>
    <x v="1"/>
    <x v="3"/>
    <x v="10"/>
    <x v="0"/>
    <x v="3236"/>
    <n v="195"/>
    <x v="218"/>
    <x v="0"/>
    <x v="186"/>
    <m/>
    <n v="0.17499999999999999"/>
    <m/>
    <x v="192"/>
    <x v="320"/>
    <m/>
  </r>
  <r>
    <x v="2350"/>
    <x v="3271"/>
    <x v="10"/>
    <x v="1"/>
    <x v="1"/>
    <x v="3"/>
    <x v="10"/>
    <x v="0"/>
    <x v="3237"/>
    <n v="992"/>
    <x v="223"/>
    <x v="0"/>
    <x v="281"/>
    <m/>
    <n v="0.223"/>
    <m/>
    <x v="126"/>
    <x v="92"/>
    <m/>
  </r>
  <r>
    <x v="2351"/>
    <x v="3272"/>
    <x v="10"/>
    <x v="1"/>
    <x v="1"/>
    <x v="3"/>
    <x v="10"/>
    <x v="0"/>
    <x v="3238"/>
    <n v="1128"/>
    <x v="211"/>
    <x v="0"/>
    <x v="558"/>
    <m/>
    <n v="0.29599999999999999"/>
    <m/>
    <x v="89"/>
    <x v="52"/>
    <m/>
  </r>
  <r>
    <x v="2352"/>
    <x v="3273"/>
    <x v="7"/>
    <x v="1"/>
    <x v="1"/>
    <x v="3"/>
    <x v="10"/>
    <x v="0"/>
    <x v="3239"/>
    <n v="1330"/>
    <x v="290"/>
    <x v="457"/>
    <x v="605"/>
    <n v="0.63"/>
    <n v="0.96"/>
    <n v="0.88"/>
    <x v="112"/>
    <x v="40"/>
    <n v="1.3"/>
  </r>
  <r>
    <x v="2353"/>
    <x v="3274"/>
    <x v="10"/>
    <x v="1"/>
    <x v="1"/>
    <x v="3"/>
    <x v="10"/>
    <x v="0"/>
    <x v="3240"/>
    <n v="1262"/>
    <x v="215"/>
    <x v="0"/>
    <x v="42"/>
    <m/>
    <n v="0.40799999999999997"/>
    <m/>
    <x v="21"/>
    <x v="90"/>
    <m/>
  </r>
  <r>
    <x v="2354"/>
    <x v="3275"/>
    <x v="10"/>
    <x v="1"/>
    <x v="1"/>
    <x v="3"/>
    <x v="10"/>
    <x v="0"/>
    <x v="3241"/>
    <n v="1530"/>
    <x v="204"/>
    <x v="0"/>
    <x v="576"/>
    <m/>
    <n v="0.26500000000000001"/>
    <m/>
    <x v="56"/>
    <x v="89"/>
    <m/>
  </r>
  <r>
    <x v="2355"/>
    <x v="3276"/>
    <x v="10"/>
    <x v="1"/>
    <x v="1"/>
    <x v="3"/>
    <x v="10"/>
    <x v="0"/>
    <x v="3242"/>
    <n v="499"/>
    <x v="258"/>
    <x v="0"/>
    <x v="802"/>
    <m/>
    <n v="0.28899999999999998"/>
    <m/>
    <x v="99"/>
    <x v="32"/>
    <m/>
  </r>
  <r>
    <x v="2356"/>
    <x v="3277"/>
    <x v="10"/>
    <x v="1"/>
    <x v="1"/>
    <x v="3"/>
    <x v="10"/>
    <x v="0"/>
    <x v="3243"/>
    <n v="258"/>
    <x v="226"/>
    <x v="0"/>
    <x v="203"/>
    <m/>
    <n v="0.108"/>
    <m/>
    <x v="23"/>
    <x v="131"/>
    <m/>
  </r>
  <r>
    <x v="2357"/>
    <x v="3278"/>
    <x v="10"/>
    <x v="1"/>
    <x v="1"/>
    <x v="3"/>
    <x v="10"/>
    <x v="0"/>
    <x v="3244"/>
    <n v="486"/>
    <x v="228"/>
    <x v="0"/>
    <x v="44"/>
    <m/>
    <n v="0.14499999999999999"/>
    <m/>
    <x v="23"/>
    <x v="3"/>
    <m/>
  </r>
  <r>
    <x v="2358"/>
    <x v="3279"/>
    <x v="10"/>
    <x v="1"/>
    <x v="1"/>
    <x v="3"/>
    <x v="10"/>
    <x v="0"/>
    <x v="3245"/>
    <n v="1199"/>
    <x v="208"/>
    <x v="0"/>
    <x v="591"/>
    <m/>
    <n v="0.193"/>
    <m/>
    <x v="48"/>
    <x v="110"/>
    <m/>
  </r>
  <r>
    <x v="2359"/>
    <x v="3280"/>
    <x v="10"/>
    <x v="1"/>
    <x v="1"/>
    <x v="3"/>
    <x v="10"/>
    <x v="0"/>
    <x v="3246"/>
    <n v="450"/>
    <x v="245"/>
    <x v="0"/>
    <x v="508"/>
    <m/>
    <n v="9.9000000000000005E-2"/>
    <m/>
    <x v="21"/>
    <x v="3"/>
    <m/>
  </r>
  <r>
    <x v="2360"/>
    <x v="3281"/>
    <x v="10"/>
    <x v="1"/>
    <x v="1"/>
    <x v="3"/>
    <x v="10"/>
    <x v="0"/>
    <x v="3247"/>
    <n v="855"/>
    <x v="215"/>
    <x v="0"/>
    <x v="803"/>
    <m/>
    <n v="0.47"/>
    <m/>
    <x v="58"/>
    <x v="202"/>
    <m/>
  </r>
  <r>
    <x v="2361"/>
    <x v="3282"/>
    <x v="10"/>
    <x v="1"/>
    <x v="1"/>
    <x v="3"/>
    <x v="10"/>
    <x v="0"/>
    <x v="3248"/>
    <n v="1271"/>
    <x v="196"/>
    <x v="0"/>
    <x v="221"/>
    <m/>
    <n v="0.22500000000000001"/>
    <m/>
    <x v="154"/>
    <x v="95"/>
    <m/>
  </r>
  <r>
    <x v="2362"/>
    <x v="3283"/>
    <x v="10"/>
    <x v="1"/>
    <x v="1"/>
    <x v="3"/>
    <x v="10"/>
    <x v="0"/>
    <x v="3249"/>
    <n v="753"/>
    <x v="223"/>
    <x v="0"/>
    <x v="487"/>
    <m/>
    <n v="0.27700000000000002"/>
    <m/>
    <x v="137"/>
    <x v="91"/>
    <m/>
  </r>
  <r>
    <x v="2363"/>
    <x v="3284"/>
    <x v="7"/>
    <x v="1"/>
    <x v="1"/>
    <x v="3"/>
    <x v="10"/>
    <x v="0"/>
    <x v="3250"/>
    <n v="1140"/>
    <x v="72"/>
    <x v="458"/>
    <x v="19"/>
    <n v="10.1"/>
    <n v="1.05"/>
    <n v="11"/>
    <x v="21"/>
    <x v="111"/>
    <n v="1.85"/>
  </r>
  <r>
    <x v="2364"/>
    <x v="3285"/>
    <x v="10"/>
    <x v="1"/>
    <x v="1"/>
    <x v="3"/>
    <x v="10"/>
    <x v="1"/>
    <x v="3251"/>
    <n v="1181"/>
    <x v="231"/>
    <x v="0"/>
    <x v="604"/>
    <m/>
    <n v="0.27400000000000002"/>
    <m/>
    <x v="93"/>
    <x v="14"/>
    <m/>
  </r>
  <r>
    <x v="2364"/>
    <x v="3286"/>
    <x v="10"/>
    <x v="1"/>
    <x v="1"/>
    <x v="3"/>
    <x v="10"/>
    <x v="1"/>
    <x v="3252"/>
    <n v="1181"/>
    <x v="231"/>
    <x v="0"/>
    <x v="44"/>
    <m/>
    <n v="0.14499999999999999"/>
    <m/>
    <x v="93"/>
    <x v="14"/>
    <m/>
  </r>
  <r>
    <x v="2365"/>
    <x v="3287"/>
    <x v="10"/>
    <x v="1"/>
    <x v="1"/>
    <x v="3"/>
    <x v="10"/>
    <x v="0"/>
    <x v="3253"/>
    <n v="748"/>
    <x v="216"/>
    <x v="0"/>
    <x v="584"/>
    <m/>
    <n v="0.219"/>
    <m/>
    <x v="122"/>
    <x v="239"/>
    <m/>
  </r>
  <r>
    <x v="2366"/>
    <x v="3288"/>
    <x v="10"/>
    <x v="1"/>
    <x v="1"/>
    <x v="3"/>
    <x v="10"/>
    <x v="0"/>
    <x v="3254"/>
    <n v="1075"/>
    <x v="208"/>
    <x v="0"/>
    <x v="224"/>
    <m/>
    <n v="0.251"/>
    <m/>
    <x v="122"/>
    <x v="56"/>
    <m/>
  </r>
  <r>
    <x v="2367"/>
    <x v="3289"/>
    <x v="10"/>
    <x v="1"/>
    <x v="1"/>
    <x v="3"/>
    <x v="10"/>
    <x v="0"/>
    <x v="3255"/>
    <n v="278"/>
    <x v="159"/>
    <x v="0"/>
    <x v="3"/>
    <m/>
    <n v="0.17"/>
    <m/>
    <x v="72"/>
    <x v="272"/>
    <m/>
  </r>
  <r>
    <x v="2368"/>
    <x v="3290"/>
    <x v="10"/>
    <x v="1"/>
    <x v="1"/>
    <x v="3"/>
    <x v="10"/>
    <x v="0"/>
    <x v="3256"/>
    <n v="1192"/>
    <x v="44"/>
    <x v="0"/>
    <x v="201"/>
    <m/>
    <n v="0.17899999999999999"/>
    <m/>
    <x v="104"/>
    <x v="29"/>
    <m/>
  </r>
  <r>
    <x v="2369"/>
    <x v="3291"/>
    <x v="10"/>
    <x v="1"/>
    <x v="1"/>
    <x v="3"/>
    <x v="10"/>
    <x v="1"/>
    <x v="3257"/>
    <n v="368"/>
    <x v="65"/>
    <x v="0"/>
    <x v="498"/>
    <m/>
    <n v="0.157"/>
    <m/>
    <x v="58"/>
    <x v="57"/>
    <m/>
  </r>
  <r>
    <x v="2369"/>
    <x v="3292"/>
    <x v="10"/>
    <x v="1"/>
    <x v="1"/>
    <x v="3"/>
    <x v="10"/>
    <x v="1"/>
    <x v="3258"/>
    <n v="368"/>
    <x v="65"/>
    <x v="0"/>
    <x v="482"/>
    <m/>
    <n v="0.112"/>
    <m/>
    <x v="58"/>
    <x v="57"/>
    <m/>
  </r>
  <r>
    <x v="2370"/>
    <x v="3293"/>
    <x v="10"/>
    <x v="1"/>
    <x v="1"/>
    <x v="3"/>
    <x v="10"/>
    <x v="0"/>
    <x v="3259"/>
    <n v="852"/>
    <x v="216"/>
    <x v="0"/>
    <x v="507"/>
    <m/>
    <n v="0.1"/>
    <m/>
    <x v="58"/>
    <x v="38"/>
    <m/>
  </r>
  <r>
    <x v="2371"/>
    <x v="3294"/>
    <x v="10"/>
    <x v="1"/>
    <x v="1"/>
    <x v="3"/>
    <x v="10"/>
    <x v="0"/>
    <x v="3260"/>
    <n v="1016"/>
    <x v="222"/>
    <x v="0"/>
    <x v="554"/>
    <m/>
    <n v="0.121"/>
    <m/>
    <x v="4"/>
    <x v="4"/>
    <m/>
  </r>
  <r>
    <x v="2372"/>
    <x v="3295"/>
    <x v="10"/>
    <x v="1"/>
    <x v="1"/>
    <x v="3"/>
    <x v="10"/>
    <x v="4"/>
    <x v="3261"/>
    <n v="1353"/>
    <x v="44"/>
    <x v="0"/>
    <x v="233"/>
    <m/>
    <n v="0.221"/>
    <m/>
    <x v="56"/>
    <x v="212"/>
    <m/>
  </r>
  <r>
    <x v="2372"/>
    <x v="3296"/>
    <x v="10"/>
    <x v="1"/>
    <x v="1"/>
    <x v="3"/>
    <x v="10"/>
    <x v="4"/>
    <x v="3262"/>
    <n v="1353"/>
    <x v="44"/>
    <x v="0"/>
    <x v="529"/>
    <m/>
    <n v="0.151"/>
    <m/>
    <x v="56"/>
    <x v="212"/>
    <m/>
  </r>
  <r>
    <x v="2372"/>
    <x v="3297"/>
    <x v="10"/>
    <x v="1"/>
    <x v="1"/>
    <x v="3"/>
    <x v="10"/>
    <x v="4"/>
    <x v="3263"/>
    <n v="1353"/>
    <x v="44"/>
    <x v="0"/>
    <x v="333"/>
    <m/>
    <n v="0.189"/>
    <m/>
    <x v="56"/>
    <x v="212"/>
    <m/>
  </r>
  <r>
    <x v="2372"/>
    <x v="3298"/>
    <x v="10"/>
    <x v="1"/>
    <x v="1"/>
    <x v="3"/>
    <x v="10"/>
    <x v="4"/>
    <x v="3264"/>
    <n v="1353"/>
    <x v="44"/>
    <x v="0"/>
    <x v="544"/>
    <m/>
    <n v="0.13600000000000001"/>
    <m/>
    <x v="56"/>
    <x v="212"/>
    <m/>
  </r>
  <r>
    <x v="2373"/>
    <x v="3299"/>
    <x v="10"/>
    <x v="1"/>
    <x v="1"/>
    <x v="3"/>
    <x v="10"/>
    <x v="0"/>
    <x v="3265"/>
    <n v="892"/>
    <x v="218"/>
    <x v="0"/>
    <x v="519"/>
    <m/>
    <n v="0.20300000000000001"/>
    <m/>
    <x v="48"/>
    <x v="110"/>
    <m/>
  </r>
  <r>
    <x v="2374"/>
    <x v="3300"/>
    <x v="7"/>
    <x v="1"/>
    <x v="1"/>
    <x v="5"/>
    <x v="10"/>
    <x v="0"/>
    <x v="3266"/>
    <n v="844"/>
    <x v="0"/>
    <x v="459"/>
    <x v="804"/>
    <n v="2.0099999999999998"/>
    <n v="1.36"/>
    <n v="1.1000000000000001"/>
    <x v="141"/>
    <x v="106"/>
    <m/>
  </r>
  <r>
    <x v="2375"/>
    <x v="3301"/>
    <x v="10"/>
    <x v="1"/>
    <x v="1"/>
    <x v="3"/>
    <x v="10"/>
    <x v="1"/>
    <x v="3267"/>
    <n v="782"/>
    <x v="223"/>
    <x v="0"/>
    <x v="375"/>
    <m/>
    <n v="0.27300000000000002"/>
    <m/>
    <x v="45"/>
    <x v="131"/>
    <m/>
  </r>
  <r>
    <x v="2375"/>
    <x v="3302"/>
    <x v="10"/>
    <x v="1"/>
    <x v="1"/>
    <x v="3"/>
    <x v="10"/>
    <x v="1"/>
    <x v="3268"/>
    <n v="782"/>
    <x v="223"/>
    <x v="0"/>
    <x v="493"/>
    <m/>
    <n v="0.13200000000000001"/>
    <m/>
    <x v="45"/>
    <x v="131"/>
    <m/>
  </r>
  <r>
    <x v="2376"/>
    <x v="3303"/>
    <x v="10"/>
    <x v="1"/>
    <x v="1"/>
    <x v="3"/>
    <x v="10"/>
    <x v="0"/>
    <x v="3269"/>
    <n v="867"/>
    <x v="208"/>
    <x v="0"/>
    <x v="196"/>
    <m/>
    <n v="0.18099999999999999"/>
    <m/>
    <x v="44"/>
    <x v="3"/>
    <m/>
  </r>
  <r>
    <x v="2377"/>
    <x v="3304"/>
    <x v="10"/>
    <x v="1"/>
    <x v="1"/>
    <x v="3"/>
    <x v="10"/>
    <x v="0"/>
    <x v="3270"/>
    <n v="1465"/>
    <x v="44"/>
    <x v="0"/>
    <x v="805"/>
    <m/>
    <n v="1.131"/>
    <m/>
    <x v="104"/>
    <x v="29"/>
    <m/>
  </r>
  <r>
    <x v="2378"/>
    <x v="3305"/>
    <x v="10"/>
    <x v="1"/>
    <x v="1"/>
    <x v="3"/>
    <x v="10"/>
    <x v="0"/>
    <x v="3271"/>
    <n v="902"/>
    <x v="215"/>
    <x v="0"/>
    <x v="547"/>
    <m/>
    <n v="0.109"/>
    <m/>
    <x v="97"/>
    <x v="292"/>
    <m/>
  </r>
  <r>
    <x v="2379"/>
    <x v="3306"/>
    <x v="10"/>
    <x v="1"/>
    <x v="1"/>
    <x v="3"/>
    <x v="10"/>
    <x v="0"/>
    <x v="3272"/>
    <n v="1013"/>
    <x v="212"/>
    <x v="0"/>
    <x v="157"/>
    <m/>
    <n v="0.14599999999999999"/>
    <m/>
    <x v="127"/>
    <x v="111"/>
    <m/>
  </r>
  <r>
    <x v="2380"/>
    <x v="3307"/>
    <x v="10"/>
    <x v="1"/>
    <x v="1"/>
    <x v="3"/>
    <x v="10"/>
    <x v="0"/>
    <x v="3273"/>
    <n v="1000"/>
    <x v="196"/>
    <x v="0"/>
    <x v="312"/>
    <m/>
    <n v="0.217"/>
    <m/>
    <x v="52"/>
    <x v="124"/>
    <m/>
  </r>
  <r>
    <x v="2381"/>
    <x v="3308"/>
    <x v="10"/>
    <x v="1"/>
    <x v="1"/>
    <x v="3"/>
    <x v="10"/>
    <x v="0"/>
    <x v="3274"/>
    <n v="1614"/>
    <x v="159"/>
    <x v="0"/>
    <x v="687"/>
    <m/>
    <n v="0.30199999999999999"/>
    <m/>
    <x v="32"/>
    <x v="180"/>
    <m/>
  </r>
  <r>
    <x v="2382"/>
    <x v="3309"/>
    <x v="10"/>
    <x v="1"/>
    <x v="1"/>
    <x v="3"/>
    <x v="10"/>
    <x v="0"/>
    <x v="3275"/>
    <n v="1185"/>
    <x v="208"/>
    <x v="0"/>
    <x v="806"/>
    <m/>
    <n v="0.59199999999999997"/>
    <m/>
    <x v="50"/>
    <x v="16"/>
    <m/>
  </r>
  <r>
    <x v="2383"/>
    <x v="3310"/>
    <x v="10"/>
    <x v="1"/>
    <x v="1"/>
    <x v="3"/>
    <x v="10"/>
    <x v="0"/>
    <x v="3276"/>
    <n v="795"/>
    <x v="223"/>
    <x v="0"/>
    <x v="620"/>
    <m/>
    <n v="0.16"/>
    <m/>
    <x v="58"/>
    <x v="202"/>
    <m/>
  </r>
  <r>
    <x v="2384"/>
    <x v="3311"/>
    <x v="10"/>
    <x v="1"/>
    <x v="1"/>
    <x v="3"/>
    <x v="10"/>
    <x v="1"/>
    <x v="3277"/>
    <n v="1362"/>
    <x v="238"/>
    <x v="0"/>
    <x v="599"/>
    <m/>
    <n v="0.26100000000000001"/>
    <m/>
    <x v="128"/>
    <x v="182"/>
    <m/>
  </r>
  <r>
    <x v="2384"/>
    <x v="3312"/>
    <x v="10"/>
    <x v="1"/>
    <x v="1"/>
    <x v="3"/>
    <x v="10"/>
    <x v="1"/>
    <x v="3278"/>
    <n v="1362"/>
    <x v="238"/>
    <x v="0"/>
    <x v="620"/>
    <m/>
    <n v="0.16"/>
    <m/>
    <x v="128"/>
    <x v="182"/>
    <m/>
  </r>
  <r>
    <x v="2385"/>
    <x v="3313"/>
    <x v="7"/>
    <x v="1"/>
    <x v="1"/>
    <x v="3"/>
    <x v="10"/>
    <x v="0"/>
    <x v="3279"/>
    <n v="570"/>
    <x v="56"/>
    <x v="460"/>
    <x v="807"/>
    <n v="0.43"/>
    <n v="0.96"/>
    <n v="0.60299999999999998"/>
    <x v="44"/>
    <x v="173"/>
    <n v="1.365"/>
  </r>
  <r>
    <x v="2386"/>
    <x v="3314"/>
    <x v="10"/>
    <x v="1"/>
    <x v="1"/>
    <x v="3"/>
    <x v="10"/>
    <x v="2"/>
    <x v="3280"/>
    <n v="761"/>
    <x v="223"/>
    <x v="0"/>
    <x v="401"/>
    <m/>
    <n v="0.20499999999999999"/>
    <m/>
    <x v="23"/>
    <x v="94"/>
    <m/>
  </r>
  <r>
    <x v="2386"/>
    <x v="3315"/>
    <x v="10"/>
    <x v="1"/>
    <x v="1"/>
    <x v="3"/>
    <x v="10"/>
    <x v="2"/>
    <x v="3281"/>
    <n v="761"/>
    <x v="223"/>
    <x v="0"/>
    <x v="607"/>
    <m/>
    <n v="0.107"/>
    <m/>
    <x v="23"/>
    <x v="94"/>
    <m/>
  </r>
  <r>
    <x v="2386"/>
    <x v="3316"/>
    <x v="10"/>
    <x v="1"/>
    <x v="1"/>
    <x v="3"/>
    <x v="10"/>
    <x v="2"/>
    <x v="3282"/>
    <n v="761"/>
    <x v="223"/>
    <x v="0"/>
    <x v="297"/>
    <m/>
    <n v="0.125"/>
    <m/>
    <x v="23"/>
    <x v="94"/>
    <m/>
  </r>
  <r>
    <x v="2387"/>
    <x v="3317"/>
    <x v="10"/>
    <x v="1"/>
    <x v="1"/>
    <x v="3"/>
    <x v="10"/>
    <x v="0"/>
    <x v="3283"/>
    <n v="1000"/>
    <x v="196"/>
    <x v="0"/>
    <x v="37"/>
    <m/>
    <n v="0.16200000000000001"/>
    <m/>
    <x v="18"/>
    <x v="133"/>
    <m/>
  </r>
  <r>
    <x v="2388"/>
    <x v="3318"/>
    <x v="10"/>
    <x v="1"/>
    <x v="1"/>
    <x v="3"/>
    <x v="10"/>
    <x v="0"/>
    <x v="3284"/>
    <n v="689"/>
    <x v="282"/>
    <x v="0"/>
    <x v="37"/>
    <m/>
    <n v="0.16200000000000001"/>
    <m/>
    <x v="17"/>
    <x v="37"/>
    <m/>
  </r>
  <r>
    <x v="2389"/>
    <x v="3319"/>
    <x v="10"/>
    <x v="1"/>
    <x v="1"/>
    <x v="3"/>
    <x v="10"/>
    <x v="0"/>
    <x v="3285"/>
    <n v="528"/>
    <x v="232"/>
    <x v="0"/>
    <x v="557"/>
    <m/>
    <n v="0.128"/>
    <m/>
    <x v="48"/>
    <x v="41"/>
    <m/>
  </r>
  <r>
    <x v="2390"/>
    <x v="3320"/>
    <x v="10"/>
    <x v="1"/>
    <x v="1"/>
    <x v="3"/>
    <x v="10"/>
    <x v="0"/>
    <x v="3286"/>
    <n v="1190"/>
    <x v="235"/>
    <x v="0"/>
    <x v="276"/>
    <m/>
    <n v="0.28299999999999997"/>
    <m/>
    <x v="173"/>
    <x v="328"/>
    <m/>
  </r>
  <r>
    <x v="2391"/>
    <x v="3321"/>
    <x v="10"/>
    <x v="1"/>
    <x v="1"/>
    <x v="3"/>
    <x v="10"/>
    <x v="0"/>
    <x v="3287"/>
    <n v="400"/>
    <x v="226"/>
    <x v="0"/>
    <x v="451"/>
    <m/>
    <n v="0.106"/>
    <m/>
    <x v="127"/>
    <x v="239"/>
    <m/>
  </r>
  <r>
    <x v="2392"/>
    <x v="3322"/>
    <x v="10"/>
    <x v="1"/>
    <x v="1"/>
    <x v="3"/>
    <x v="10"/>
    <x v="0"/>
    <x v="3288"/>
    <n v="727"/>
    <x v="224"/>
    <x v="0"/>
    <x v="242"/>
    <m/>
    <n v="0.114"/>
    <m/>
    <x v="134"/>
    <x v="202"/>
    <m/>
  </r>
  <r>
    <x v="2393"/>
    <x v="3323"/>
    <x v="10"/>
    <x v="1"/>
    <x v="1"/>
    <x v="3"/>
    <x v="10"/>
    <x v="0"/>
    <x v="3289"/>
    <n v="383"/>
    <x v="204"/>
    <x v="0"/>
    <x v="415"/>
    <m/>
    <n v="0.13100000000000001"/>
    <m/>
    <x v="101"/>
    <x v="83"/>
    <m/>
  </r>
  <r>
    <x v="2394"/>
    <x v="3324"/>
    <x v="10"/>
    <x v="1"/>
    <x v="1"/>
    <x v="3"/>
    <x v="10"/>
    <x v="0"/>
    <x v="3290"/>
    <n v="899"/>
    <x v="221"/>
    <x v="0"/>
    <x v="586"/>
    <m/>
    <n v="0.15"/>
    <m/>
    <x v="94"/>
    <x v="57"/>
    <m/>
  </r>
  <r>
    <x v="2395"/>
    <x v="3325"/>
    <x v="10"/>
    <x v="1"/>
    <x v="1"/>
    <x v="3"/>
    <x v="10"/>
    <x v="0"/>
    <x v="3291"/>
    <n v="224"/>
    <x v="218"/>
    <x v="0"/>
    <x v="542"/>
    <m/>
    <n v="8.2000000000000003E-2"/>
    <m/>
    <x v="188"/>
    <x v="71"/>
    <m/>
  </r>
  <r>
    <x v="2396"/>
    <x v="3326"/>
    <x v="7"/>
    <x v="1"/>
    <x v="1"/>
    <x v="3"/>
    <x v="10"/>
    <x v="0"/>
    <x v="3292"/>
    <n v="124.36"/>
    <x v="0"/>
    <x v="45"/>
    <x v="808"/>
    <n v="0.01"/>
    <n v="0.1"/>
    <m/>
    <x v="97"/>
    <x v="91"/>
    <n v="2.84"/>
  </r>
  <r>
    <x v="2397"/>
    <x v="3327"/>
    <x v="10"/>
    <x v="1"/>
    <x v="1"/>
    <x v="3"/>
    <x v="10"/>
    <x v="0"/>
    <x v="3293"/>
    <n v="520"/>
    <x v="65"/>
    <x v="0"/>
    <x v="219"/>
    <m/>
    <n v="7.9000000000000001E-2"/>
    <m/>
    <x v="53"/>
    <x v="55"/>
    <m/>
  </r>
  <r>
    <x v="2398"/>
    <x v="3328"/>
    <x v="10"/>
    <x v="1"/>
    <x v="1"/>
    <x v="3"/>
    <x v="10"/>
    <x v="0"/>
    <x v="3294"/>
    <n v="1036"/>
    <x v="65"/>
    <x v="0"/>
    <x v="407"/>
    <m/>
    <n v="0.25800000000000001"/>
    <m/>
    <x v="94"/>
    <x v="202"/>
    <m/>
  </r>
  <r>
    <x v="2399"/>
    <x v="3329"/>
    <x v="10"/>
    <x v="1"/>
    <x v="1"/>
    <x v="3"/>
    <x v="10"/>
    <x v="0"/>
    <x v="3295"/>
    <n v="412"/>
    <x v="221"/>
    <x v="0"/>
    <x v="738"/>
    <m/>
    <n v="0.28599999999999998"/>
    <m/>
    <x v="17"/>
    <x v="41"/>
    <m/>
  </r>
  <r>
    <x v="2400"/>
    <x v="3330"/>
    <x v="10"/>
    <x v="1"/>
    <x v="1"/>
    <x v="3"/>
    <x v="10"/>
    <x v="0"/>
    <x v="3296"/>
    <n v="544"/>
    <x v="218"/>
    <x v="0"/>
    <x v="705"/>
    <m/>
    <n v="7.0000000000000007E-2"/>
    <m/>
    <x v="89"/>
    <x v="111"/>
    <m/>
  </r>
  <r>
    <x v="2401"/>
    <x v="3331"/>
    <x v="10"/>
    <x v="1"/>
    <x v="1"/>
    <x v="3"/>
    <x v="10"/>
    <x v="0"/>
    <x v="3297"/>
    <n v="604"/>
    <x v="291"/>
    <x v="0"/>
    <x v="406"/>
    <m/>
    <n v="0.14099999999999999"/>
    <m/>
    <x v="57"/>
    <x v="106"/>
    <m/>
  </r>
  <r>
    <x v="2402"/>
    <x v="3332"/>
    <x v="10"/>
    <x v="1"/>
    <x v="1"/>
    <x v="3"/>
    <x v="10"/>
    <x v="0"/>
    <x v="3298"/>
    <n v="666"/>
    <x v="232"/>
    <x v="0"/>
    <x v="809"/>
    <m/>
    <n v="1.1619999999999999"/>
    <m/>
    <x v="96"/>
    <x v="32"/>
    <m/>
  </r>
  <r>
    <x v="2403"/>
    <x v="3333"/>
    <x v="10"/>
    <x v="1"/>
    <x v="1"/>
    <x v="3"/>
    <x v="10"/>
    <x v="0"/>
    <x v="3299"/>
    <n v="512"/>
    <x v="257"/>
    <x v="0"/>
    <x v="312"/>
    <m/>
    <n v="0.217"/>
    <m/>
    <x v="94"/>
    <x v="36"/>
    <m/>
  </r>
  <r>
    <x v="2404"/>
    <x v="3334"/>
    <x v="10"/>
    <x v="1"/>
    <x v="1"/>
    <x v="3"/>
    <x v="10"/>
    <x v="0"/>
    <x v="3300"/>
    <n v="468"/>
    <x v="225"/>
    <x v="0"/>
    <x v="242"/>
    <m/>
    <n v="0.114"/>
    <m/>
    <x v="88"/>
    <x v="112"/>
    <m/>
  </r>
  <r>
    <x v="2405"/>
    <x v="3335"/>
    <x v="10"/>
    <x v="1"/>
    <x v="1"/>
    <x v="3"/>
    <x v="10"/>
    <x v="0"/>
    <x v="3301"/>
    <n v="1649"/>
    <x v="43"/>
    <x v="0"/>
    <x v="330"/>
    <m/>
    <n v="0.22700000000000001"/>
    <m/>
    <x v="56"/>
    <x v="14"/>
    <m/>
  </r>
  <r>
    <x v="2406"/>
    <x v="3336"/>
    <x v="10"/>
    <x v="1"/>
    <x v="1"/>
    <x v="3"/>
    <x v="10"/>
    <x v="0"/>
    <x v="3302"/>
    <n v="915"/>
    <x v="196"/>
    <x v="0"/>
    <x v="333"/>
    <m/>
    <n v="0.189"/>
    <m/>
    <x v="53"/>
    <x v="55"/>
    <m/>
  </r>
  <r>
    <x v="2407"/>
    <x v="3337"/>
    <x v="15"/>
    <x v="1"/>
    <x v="1"/>
    <x v="3"/>
    <x v="10"/>
    <x v="4"/>
    <x v="3303"/>
    <n v="995"/>
    <x v="292"/>
    <x v="236"/>
    <x v="810"/>
    <n v="3.4299999999999997E-2"/>
    <n v="0.31"/>
    <n v="1.43"/>
    <x v="63"/>
    <x v="96"/>
    <n v="0.74099999999999999"/>
  </r>
  <r>
    <x v="2407"/>
    <x v="3338"/>
    <x v="15"/>
    <x v="1"/>
    <x v="1"/>
    <x v="3"/>
    <x v="10"/>
    <x v="4"/>
    <x v="3304"/>
    <n v="995"/>
    <x v="292"/>
    <x v="461"/>
    <x v="811"/>
    <n v="1.9E-2"/>
    <n v="0.33200000000000002"/>
    <n v="0.62"/>
    <x v="63"/>
    <x v="96"/>
    <n v="0.74099999999999999"/>
  </r>
  <r>
    <x v="2407"/>
    <x v="3339"/>
    <x v="19"/>
    <x v="1"/>
    <x v="1"/>
    <x v="3"/>
    <x v="10"/>
    <x v="4"/>
    <x v="3305"/>
    <n v="995"/>
    <x v="292"/>
    <x v="369"/>
    <x v="812"/>
    <n v="1.9E-2"/>
    <n v="0.63900000000000001"/>
    <n v="0.09"/>
    <x v="63"/>
    <x v="96"/>
    <n v="0.74099999999999999"/>
  </r>
  <r>
    <x v="2407"/>
    <x v="3340"/>
    <x v="19"/>
    <x v="1"/>
    <x v="1"/>
    <x v="3"/>
    <x v="10"/>
    <x v="4"/>
    <x v="3306"/>
    <n v="995"/>
    <x v="292"/>
    <x v="462"/>
    <x v="321"/>
    <n v="1.2999999999999999E-2"/>
    <n v="0.311"/>
    <n v="0.53"/>
    <x v="63"/>
    <x v="96"/>
    <n v="0.74099999999999999"/>
  </r>
  <r>
    <x v="2408"/>
    <x v="3341"/>
    <x v="10"/>
    <x v="1"/>
    <x v="1"/>
    <x v="3"/>
    <x v="10"/>
    <x v="0"/>
    <x v="3307"/>
    <n v="727"/>
    <x v="65"/>
    <x v="0"/>
    <x v="205"/>
    <m/>
    <n v="0.19400000000000001"/>
    <m/>
    <x v="97"/>
    <x v="292"/>
    <m/>
  </r>
  <r>
    <x v="2409"/>
    <x v="3342"/>
    <x v="10"/>
    <x v="1"/>
    <x v="1"/>
    <x v="3"/>
    <x v="10"/>
    <x v="0"/>
    <x v="3308"/>
    <n v="1447"/>
    <x v="177"/>
    <x v="0"/>
    <x v="546"/>
    <m/>
    <n v="0.27200000000000002"/>
    <m/>
    <x v="123"/>
    <x v="113"/>
    <m/>
  </r>
  <r>
    <x v="2410"/>
    <x v="3343"/>
    <x v="10"/>
    <x v="1"/>
    <x v="1"/>
    <x v="3"/>
    <x v="10"/>
    <x v="0"/>
    <x v="3309"/>
    <n v="1205"/>
    <x v="225"/>
    <x v="0"/>
    <x v="186"/>
    <m/>
    <n v="0.17499999999999999"/>
    <m/>
    <x v="25"/>
    <x v="40"/>
    <m/>
  </r>
  <r>
    <x v="2411"/>
    <x v="3344"/>
    <x v="10"/>
    <x v="1"/>
    <x v="1"/>
    <x v="3"/>
    <x v="10"/>
    <x v="0"/>
    <x v="3310"/>
    <n v="794"/>
    <x v="211"/>
    <x v="0"/>
    <x v="563"/>
    <m/>
    <n v="0.122"/>
    <m/>
    <x v="17"/>
    <x v="193"/>
    <m/>
  </r>
  <r>
    <x v="2412"/>
    <x v="3345"/>
    <x v="10"/>
    <x v="1"/>
    <x v="1"/>
    <x v="3"/>
    <x v="10"/>
    <x v="0"/>
    <x v="3311"/>
    <n v="763"/>
    <x v="208"/>
    <x v="0"/>
    <x v="601"/>
    <m/>
    <n v="0.188"/>
    <m/>
    <x v="128"/>
    <x v="93"/>
    <m/>
  </r>
  <r>
    <x v="2413"/>
    <x v="3346"/>
    <x v="10"/>
    <x v="1"/>
    <x v="1"/>
    <x v="3"/>
    <x v="10"/>
    <x v="0"/>
    <x v="3312"/>
    <n v="458"/>
    <x v="205"/>
    <x v="0"/>
    <x v="586"/>
    <m/>
    <n v="0.15"/>
    <m/>
    <x v="23"/>
    <x v="18"/>
    <m/>
  </r>
  <r>
    <x v="2414"/>
    <x v="3347"/>
    <x v="10"/>
    <x v="1"/>
    <x v="1"/>
    <x v="3"/>
    <x v="10"/>
    <x v="0"/>
    <x v="3313"/>
    <n v="377"/>
    <x v="288"/>
    <x v="0"/>
    <x v="185"/>
    <m/>
    <n v="0.11600000000000001"/>
    <m/>
    <x v="89"/>
    <x v="121"/>
    <m/>
  </r>
  <r>
    <x v="2415"/>
    <x v="3348"/>
    <x v="10"/>
    <x v="1"/>
    <x v="1"/>
    <x v="3"/>
    <x v="10"/>
    <x v="0"/>
    <x v="3314"/>
    <n v="752"/>
    <x v="218"/>
    <x v="0"/>
    <x v="331"/>
    <m/>
    <n v="0.19400000000000001"/>
    <m/>
    <x v="50"/>
    <x v="105"/>
    <m/>
  </r>
  <r>
    <x v="2416"/>
    <x v="3349"/>
    <x v="10"/>
    <x v="1"/>
    <x v="1"/>
    <x v="3"/>
    <x v="10"/>
    <x v="0"/>
    <x v="3315"/>
    <n v="1085"/>
    <x v="232"/>
    <x v="0"/>
    <x v="158"/>
    <m/>
    <n v="0.21299999999999999"/>
    <m/>
    <x v="128"/>
    <x v="145"/>
    <m/>
  </r>
  <r>
    <x v="2417"/>
    <x v="3350"/>
    <x v="10"/>
    <x v="1"/>
    <x v="1"/>
    <x v="3"/>
    <x v="10"/>
    <x v="0"/>
    <x v="3316"/>
    <n v="1029"/>
    <x v="229"/>
    <x v="0"/>
    <x v="813"/>
    <m/>
    <n v="0.61399999999999999"/>
    <m/>
    <x v="44"/>
    <x v="3"/>
    <m/>
  </r>
  <r>
    <x v="2418"/>
    <x v="3351"/>
    <x v="6"/>
    <x v="1"/>
    <x v="1"/>
    <x v="3"/>
    <x v="10"/>
    <x v="0"/>
    <x v="3317"/>
    <n v="1330"/>
    <x v="0"/>
    <x v="463"/>
    <x v="814"/>
    <n v="0.59"/>
    <n v="1.4159999999999999"/>
    <n v="0.27"/>
    <x v="49"/>
    <x v="242"/>
    <m/>
  </r>
  <r>
    <x v="2419"/>
    <x v="3352"/>
    <x v="15"/>
    <x v="1"/>
    <x v="1"/>
    <x v="3"/>
    <x v="10"/>
    <x v="5"/>
    <x v="3318"/>
    <n v="357"/>
    <x v="24"/>
    <x v="464"/>
    <x v="344"/>
    <n v="2.18E-2"/>
    <n v="0.23799999999999999"/>
    <n v="1.38"/>
    <x v="69"/>
    <x v="85"/>
    <n v="2.33"/>
  </r>
  <r>
    <x v="2419"/>
    <x v="3353"/>
    <x v="15"/>
    <x v="1"/>
    <x v="1"/>
    <x v="3"/>
    <x v="10"/>
    <x v="5"/>
    <x v="3319"/>
    <n v="357"/>
    <x v="24"/>
    <x v="465"/>
    <x v="523"/>
    <n v="2.121E-2"/>
    <n v="0.24399999999999999"/>
    <n v="1.22"/>
    <x v="69"/>
    <x v="85"/>
    <n v="2.33"/>
  </r>
  <r>
    <x v="2419"/>
    <x v="3354"/>
    <x v="19"/>
    <x v="1"/>
    <x v="1"/>
    <x v="3"/>
    <x v="10"/>
    <x v="5"/>
    <x v="3320"/>
    <n v="357"/>
    <x v="24"/>
    <x v="466"/>
    <x v="544"/>
    <n v="2.1239999999999998E-2"/>
    <n v="0.13600000000000001"/>
    <n v="7.04"/>
    <x v="69"/>
    <x v="85"/>
    <n v="2.33"/>
  </r>
  <r>
    <x v="2419"/>
    <x v="3355"/>
    <x v="19"/>
    <x v="1"/>
    <x v="1"/>
    <x v="3"/>
    <x v="10"/>
    <x v="5"/>
    <x v="3321"/>
    <n v="357"/>
    <x v="24"/>
    <x v="467"/>
    <x v="492"/>
    <n v="1.299E-2"/>
    <n v="0.14299999999999999"/>
    <n v="3.75"/>
    <x v="69"/>
    <x v="85"/>
    <n v="2.33"/>
  </r>
  <r>
    <x v="2419"/>
    <x v="3356"/>
    <x v="10"/>
    <x v="1"/>
    <x v="1"/>
    <x v="3"/>
    <x v="10"/>
    <x v="5"/>
    <x v="3322"/>
    <n v="357"/>
    <x v="24"/>
    <x v="0"/>
    <x v="203"/>
    <m/>
    <n v="0.108"/>
    <m/>
    <x v="69"/>
    <x v="85"/>
    <n v="2.33"/>
  </r>
  <r>
    <x v="2419"/>
    <x v="3357"/>
    <x v="17"/>
    <x v="1"/>
    <x v="1"/>
    <x v="3"/>
    <x v="10"/>
    <x v="5"/>
    <x v="3323"/>
    <n v="357"/>
    <x v="24"/>
    <x v="0"/>
    <x v="559"/>
    <m/>
    <n v="0.10100000000000001"/>
    <m/>
    <x v="69"/>
    <x v="85"/>
    <n v="2.33"/>
  </r>
  <r>
    <x v="2420"/>
    <x v="3358"/>
    <x v="10"/>
    <x v="1"/>
    <x v="1"/>
    <x v="3"/>
    <x v="10"/>
    <x v="0"/>
    <x v="3324"/>
    <n v="1049"/>
    <x v="207"/>
    <x v="0"/>
    <x v="649"/>
    <m/>
    <n v="0.254"/>
    <m/>
    <x v="6"/>
    <x v="92"/>
    <m/>
  </r>
  <r>
    <x v="2421"/>
    <x v="3359"/>
    <x v="10"/>
    <x v="1"/>
    <x v="1"/>
    <x v="3"/>
    <x v="10"/>
    <x v="0"/>
    <x v="3325"/>
    <n v="419"/>
    <x v="220"/>
    <x v="0"/>
    <x v="184"/>
    <m/>
    <n v="0.17799999999999999"/>
    <m/>
    <x v="150"/>
    <x v="290"/>
    <m/>
  </r>
  <r>
    <x v="2422"/>
    <x v="3360"/>
    <x v="10"/>
    <x v="1"/>
    <x v="1"/>
    <x v="3"/>
    <x v="10"/>
    <x v="0"/>
    <x v="3326"/>
    <n v="828"/>
    <x v="207"/>
    <x v="0"/>
    <x v="567"/>
    <m/>
    <n v="0.316"/>
    <m/>
    <x v="89"/>
    <x v="52"/>
    <m/>
  </r>
  <r>
    <x v="2423"/>
    <x v="3361"/>
    <x v="10"/>
    <x v="1"/>
    <x v="1"/>
    <x v="3"/>
    <x v="10"/>
    <x v="0"/>
    <x v="3327"/>
    <n v="615"/>
    <x v="65"/>
    <x v="0"/>
    <x v="815"/>
    <m/>
    <n v="0.33800000000000002"/>
    <m/>
    <x v="52"/>
    <x v="40"/>
    <m/>
  </r>
  <r>
    <x v="2424"/>
    <x v="3362"/>
    <x v="10"/>
    <x v="1"/>
    <x v="1"/>
    <x v="3"/>
    <x v="10"/>
    <x v="1"/>
    <x v="3328"/>
    <n v="648"/>
    <x v="221"/>
    <x v="0"/>
    <x v="573"/>
    <m/>
    <n v="0.17299999999999999"/>
    <m/>
    <x v="53"/>
    <x v="133"/>
    <m/>
  </r>
  <r>
    <x v="2424"/>
    <x v="3363"/>
    <x v="10"/>
    <x v="1"/>
    <x v="1"/>
    <x v="3"/>
    <x v="10"/>
    <x v="1"/>
    <x v="3329"/>
    <n v="648"/>
    <x v="221"/>
    <x v="0"/>
    <x v="284"/>
    <m/>
    <n v="0.10199999999999999"/>
    <m/>
    <x v="53"/>
    <x v="133"/>
    <m/>
  </r>
  <r>
    <x v="2425"/>
    <x v="3364"/>
    <x v="10"/>
    <x v="1"/>
    <x v="1"/>
    <x v="3"/>
    <x v="10"/>
    <x v="0"/>
    <x v="3330"/>
    <n v="657"/>
    <x v="211"/>
    <x v="0"/>
    <x v="407"/>
    <m/>
    <n v="0.25800000000000001"/>
    <m/>
    <x v="128"/>
    <x v="46"/>
    <m/>
  </r>
  <r>
    <x v="2426"/>
    <x v="3365"/>
    <x v="10"/>
    <x v="1"/>
    <x v="1"/>
    <x v="3"/>
    <x v="10"/>
    <x v="0"/>
    <x v="3331"/>
    <n v="260"/>
    <x v="209"/>
    <x v="0"/>
    <x v="284"/>
    <m/>
    <n v="0.10199999999999999"/>
    <m/>
    <x v="7"/>
    <x v="220"/>
    <m/>
  </r>
  <r>
    <x v="2427"/>
    <x v="3366"/>
    <x v="10"/>
    <x v="1"/>
    <x v="1"/>
    <x v="3"/>
    <x v="10"/>
    <x v="0"/>
    <x v="3332"/>
    <n v="1312"/>
    <x v="196"/>
    <x v="0"/>
    <x v="816"/>
    <m/>
    <n v="0.93"/>
    <m/>
    <x v="48"/>
    <x v="124"/>
    <m/>
  </r>
  <r>
    <x v="2428"/>
    <x v="3367"/>
    <x v="10"/>
    <x v="1"/>
    <x v="1"/>
    <x v="3"/>
    <x v="10"/>
    <x v="0"/>
    <x v="3333"/>
    <n v="321"/>
    <x v="267"/>
    <x v="0"/>
    <x v="472"/>
    <m/>
    <n v="0.13"/>
    <m/>
    <x v="99"/>
    <x v="32"/>
    <m/>
  </r>
  <r>
    <x v="2429"/>
    <x v="3368"/>
    <x v="10"/>
    <x v="1"/>
    <x v="1"/>
    <x v="3"/>
    <x v="10"/>
    <x v="0"/>
    <x v="3334"/>
    <n v="933"/>
    <x v="224"/>
    <x v="0"/>
    <x v="383"/>
    <m/>
    <n v="0.26900000000000002"/>
    <m/>
    <x v="7"/>
    <x v="62"/>
    <m/>
  </r>
  <r>
    <x v="2430"/>
    <x v="3369"/>
    <x v="15"/>
    <x v="1"/>
    <x v="1"/>
    <x v="3"/>
    <x v="10"/>
    <x v="2"/>
    <x v="3335"/>
    <n v="366"/>
    <x v="0"/>
    <x v="0"/>
    <x v="391"/>
    <m/>
    <n v="0.216"/>
    <m/>
    <x v="29"/>
    <x v="285"/>
    <m/>
  </r>
  <r>
    <x v="2430"/>
    <x v="3370"/>
    <x v="15"/>
    <x v="1"/>
    <x v="1"/>
    <x v="3"/>
    <x v="10"/>
    <x v="2"/>
    <x v="3336"/>
    <n v="366"/>
    <x v="0"/>
    <x v="0"/>
    <x v="268"/>
    <m/>
    <n v="0.21099999999999999"/>
    <m/>
    <x v="29"/>
    <x v="285"/>
    <m/>
  </r>
  <r>
    <x v="2430"/>
    <x v="3371"/>
    <x v="19"/>
    <x v="1"/>
    <x v="1"/>
    <x v="3"/>
    <x v="10"/>
    <x v="2"/>
    <x v="3337"/>
    <n v="366"/>
    <x v="0"/>
    <x v="0"/>
    <x v="203"/>
    <m/>
    <n v="0.108"/>
    <m/>
    <x v="29"/>
    <x v="285"/>
    <m/>
  </r>
  <r>
    <x v="2431"/>
    <x v="3372"/>
    <x v="10"/>
    <x v="1"/>
    <x v="1"/>
    <x v="3"/>
    <x v="10"/>
    <x v="0"/>
    <x v="3338"/>
    <n v="1554"/>
    <x v="212"/>
    <x v="0"/>
    <x v="386"/>
    <m/>
    <n v="0.17199999999999999"/>
    <m/>
    <x v="18"/>
    <x v="110"/>
    <m/>
  </r>
  <r>
    <x v="2432"/>
    <x v="3373"/>
    <x v="10"/>
    <x v="1"/>
    <x v="1"/>
    <x v="3"/>
    <x v="10"/>
    <x v="0"/>
    <x v="3339"/>
    <n v="847"/>
    <x v="285"/>
    <x v="0"/>
    <x v="596"/>
    <m/>
    <n v="0.24099999999999999"/>
    <m/>
    <x v="53"/>
    <x v="89"/>
    <m/>
  </r>
  <r>
    <x v="2433"/>
    <x v="3374"/>
    <x v="10"/>
    <x v="1"/>
    <x v="1"/>
    <x v="3"/>
    <x v="10"/>
    <x v="0"/>
    <x v="3340"/>
    <n v="1482"/>
    <x v="263"/>
    <x v="0"/>
    <x v="469"/>
    <m/>
    <n v="0.317"/>
    <m/>
    <x v="103"/>
    <x v="128"/>
    <m/>
  </r>
  <r>
    <x v="2434"/>
    <x v="3375"/>
    <x v="10"/>
    <x v="1"/>
    <x v="1"/>
    <x v="3"/>
    <x v="10"/>
    <x v="0"/>
    <x v="3341"/>
    <n v="840"/>
    <x v="229"/>
    <x v="0"/>
    <x v="403"/>
    <m/>
    <n v="0.191"/>
    <m/>
    <x v="44"/>
    <x v="3"/>
    <m/>
  </r>
  <r>
    <x v="2435"/>
    <x v="3376"/>
    <x v="10"/>
    <x v="1"/>
    <x v="1"/>
    <x v="3"/>
    <x v="10"/>
    <x v="0"/>
    <x v="3342"/>
    <n v="1327"/>
    <x v="43"/>
    <x v="0"/>
    <x v="333"/>
    <m/>
    <n v="0.189"/>
    <m/>
    <x v="93"/>
    <x v="147"/>
    <m/>
  </r>
  <r>
    <x v="2436"/>
    <x v="3377"/>
    <x v="10"/>
    <x v="1"/>
    <x v="1"/>
    <x v="3"/>
    <x v="10"/>
    <x v="0"/>
    <x v="3343"/>
    <n v="1199"/>
    <x v="65"/>
    <x v="0"/>
    <x v="817"/>
    <m/>
    <n v="0.36699999999999999"/>
    <m/>
    <x v="119"/>
    <x v="329"/>
    <m/>
  </r>
  <r>
    <x v="2437"/>
    <x v="3378"/>
    <x v="10"/>
    <x v="1"/>
    <x v="1"/>
    <x v="3"/>
    <x v="10"/>
    <x v="0"/>
    <x v="3344"/>
    <n v="1059"/>
    <x v="212"/>
    <x v="0"/>
    <x v="818"/>
    <m/>
    <n v="0.91400000000000003"/>
    <m/>
    <x v="3"/>
    <x v="131"/>
    <m/>
  </r>
  <r>
    <x v="2438"/>
    <x v="3379"/>
    <x v="10"/>
    <x v="1"/>
    <x v="1"/>
    <x v="3"/>
    <x v="10"/>
    <x v="0"/>
    <x v="3345"/>
    <n v="1401"/>
    <x v="220"/>
    <x v="0"/>
    <x v="819"/>
    <m/>
    <n v="0.80600000000000005"/>
    <m/>
    <x v="18"/>
    <x v="171"/>
    <m/>
  </r>
  <r>
    <x v="2439"/>
    <x v="3380"/>
    <x v="10"/>
    <x v="1"/>
    <x v="1"/>
    <x v="3"/>
    <x v="10"/>
    <x v="0"/>
    <x v="3346"/>
    <n v="967"/>
    <x v="229"/>
    <x v="0"/>
    <x v="566"/>
    <m/>
    <n v="0.45600000000000002"/>
    <m/>
    <x v="23"/>
    <x v="94"/>
    <m/>
  </r>
  <r>
    <x v="2440"/>
    <x v="3381"/>
    <x v="10"/>
    <x v="1"/>
    <x v="1"/>
    <x v="3"/>
    <x v="10"/>
    <x v="0"/>
    <x v="3347"/>
    <n v="722"/>
    <x v="216"/>
    <x v="0"/>
    <x v="204"/>
    <m/>
    <n v="0.246"/>
    <m/>
    <x v="126"/>
    <x v="130"/>
    <m/>
  </r>
  <r>
    <x v="2441"/>
    <x v="3382"/>
    <x v="15"/>
    <x v="1"/>
    <x v="1"/>
    <x v="3"/>
    <x v="10"/>
    <x v="4"/>
    <x v="3348"/>
    <n v="987"/>
    <x v="0"/>
    <x v="0"/>
    <x v="672"/>
    <m/>
    <n v="0.35699999999999998"/>
    <m/>
    <x v="29"/>
    <x v="16"/>
    <m/>
  </r>
  <r>
    <x v="2441"/>
    <x v="3383"/>
    <x v="15"/>
    <x v="1"/>
    <x v="1"/>
    <x v="3"/>
    <x v="10"/>
    <x v="4"/>
    <x v="3349"/>
    <n v="987"/>
    <x v="0"/>
    <x v="0"/>
    <x v="684"/>
    <m/>
    <n v="0.47699999999999998"/>
    <m/>
    <x v="29"/>
    <x v="16"/>
    <m/>
  </r>
  <r>
    <x v="2441"/>
    <x v="3384"/>
    <x v="19"/>
    <x v="1"/>
    <x v="1"/>
    <x v="3"/>
    <x v="10"/>
    <x v="4"/>
    <x v="3350"/>
    <n v="987"/>
    <x v="0"/>
    <x v="0"/>
    <x v="541"/>
    <m/>
    <n v="0.158"/>
    <m/>
    <x v="29"/>
    <x v="16"/>
    <m/>
  </r>
  <r>
    <x v="2441"/>
    <x v="3385"/>
    <x v="19"/>
    <x v="1"/>
    <x v="1"/>
    <x v="3"/>
    <x v="10"/>
    <x v="4"/>
    <x v="3351"/>
    <n v="987"/>
    <x v="0"/>
    <x v="0"/>
    <x v="518"/>
    <m/>
    <n v="0.22"/>
    <m/>
    <x v="29"/>
    <x v="16"/>
    <m/>
  </r>
  <r>
    <x v="2442"/>
    <x v="3386"/>
    <x v="10"/>
    <x v="1"/>
    <x v="1"/>
    <x v="3"/>
    <x v="10"/>
    <x v="0"/>
    <x v="3352"/>
    <n v="989"/>
    <x v="266"/>
    <x v="0"/>
    <x v="820"/>
    <m/>
    <n v="0.54300000000000004"/>
    <m/>
    <x v="16"/>
    <x v="301"/>
    <m/>
  </r>
  <r>
    <x v="2443"/>
    <x v="3387"/>
    <x v="10"/>
    <x v="1"/>
    <x v="1"/>
    <x v="3"/>
    <x v="10"/>
    <x v="0"/>
    <x v="3353"/>
    <n v="619"/>
    <x v="215"/>
    <x v="0"/>
    <x v="166"/>
    <m/>
    <n v="0.11700000000000001"/>
    <m/>
    <x v="97"/>
    <x v="292"/>
    <m/>
  </r>
  <r>
    <x v="2444"/>
    <x v="3388"/>
    <x v="10"/>
    <x v="1"/>
    <x v="1"/>
    <x v="3"/>
    <x v="10"/>
    <x v="0"/>
    <x v="3354"/>
    <n v="956"/>
    <x v="220"/>
    <x v="0"/>
    <x v="541"/>
    <m/>
    <n v="0.158"/>
    <m/>
    <x v="104"/>
    <x v="29"/>
    <m/>
  </r>
  <r>
    <x v="2445"/>
    <x v="3389"/>
    <x v="10"/>
    <x v="1"/>
    <x v="1"/>
    <x v="3"/>
    <x v="10"/>
    <x v="0"/>
    <x v="3355"/>
    <n v="896"/>
    <x v="216"/>
    <x v="0"/>
    <x v="220"/>
    <m/>
    <n v="0.14000000000000001"/>
    <m/>
    <x v="17"/>
    <x v="18"/>
    <m/>
  </r>
  <r>
    <x v="2446"/>
    <x v="3390"/>
    <x v="10"/>
    <x v="1"/>
    <x v="1"/>
    <x v="3"/>
    <x v="10"/>
    <x v="0"/>
    <x v="3356"/>
    <n v="1352"/>
    <x v="222"/>
    <x v="0"/>
    <x v="294"/>
    <m/>
    <n v="0.16700000000000001"/>
    <m/>
    <x v="93"/>
    <x v="147"/>
    <m/>
  </r>
  <r>
    <x v="2447"/>
    <x v="3391"/>
    <x v="10"/>
    <x v="1"/>
    <x v="1"/>
    <x v="3"/>
    <x v="10"/>
    <x v="1"/>
    <x v="3357"/>
    <n v="820"/>
    <x v="220"/>
    <x v="0"/>
    <x v="544"/>
    <m/>
    <n v="0.13600000000000001"/>
    <m/>
    <x v="18"/>
    <x v="29"/>
    <m/>
  </r>
  <r>
    <x v="2447"/>
    <x v="3392"/>
    <x v="10"/>
    <x v="1"/>
    <x v="1"/>
    <x v="3"/>
    <x v="10"/>
    <x v="1"/>
    <x v="3358"/>
    <n v="820"/>
    <x v="220"/>
    <x v="0"/>
    <x v="307"/>
    <m/>
    <n v="0.16400000000000001"/>
    <m/>
    <x v="18"/>
    <x v="29"/>
    <m/>
  </r>
  <r>
    <x v="2448"/>
    <x v="3393"/>
    <x v="10"/>
    <x v="1"/>
    <x v="1"/>
    <x v="3"/>
    <x v="10"/>
    <x v="0"/>
    <x v="3359"/>
    <n v="649"/>
    <x v="224"/>
    <x v="0"/>
    <x v="211"/>
    <m/>
    <n v="0.112"/>
    <m/>
    <x v="52"/>
    <x v="180"/>
    <m/>
  </r>
  <r>
    <x v="2449"/>
    <x v="3394"/>
    <x v="10"/>
    <x v="1"/>
    <x v="1"/>
    <x v="3"/>
    <x v="10"/>
    <x v="0"/>
    <x v="3360"/>
    <n v="1352"/>
    <x v="224"/>
    <x v="0"/>
    <x v="821"/>
    <m/>
    <n v="0.502"/>
    <m/>
    <x v="89"/>
    <x v="33"/>
    <m/>
  </r>
  <r>
    <x v="2450"/>
    <x v="3395"/>
    <x v="10"/>
    <x v="1"/>
    <x v="1"/>
    <x v="3"/>
    <x v="10"/>
    <x v="0"/>
    <x v="3361"/>
    <n v="625"/>
    <x v="223"/>
    <x v="0"/>
    <x v="228"/>
    <m/>
    <n v="0.13500000000000001"/>
    <m/>
    <x v="94"/>
    <x v="57"/>
    <m/>
  </r>
  <r>
    <x v="2451"/>
    <x v="3396"/>
    <x v="10"/>
    <x v="1"/>
    <x v="1"/>
    <x v="3"/>
    <x v="10"/>
    <x v="0"/>
    <x v="3362"/>
    <n v="954"/>
    <x v="207"/>
    <x v="0"/>
    <x v="601"/>
    <m/>
    <n v="0.188"/>
    <m/>
    <x v="17"/>
    <x v="193"/>
    <m/>
  </r>
  <r>
    <x v="2452"/>
    <x v="3397"/>
    <x v="15"/>
    <x v="1"/>
    <x v="1"/>
    <x v="3"/>
    <x v="10"/>
    <x v="2"/>
    <x v="3363"/>
    <n v="365"/>
    <x v="0"/>
    <x v="0"/>
    <x v="279"/>
    <m/>
    <n v="0.252"/>
    <m/>
    <x v="29"/>
    <x v="285"/>
    <m/>
  </r>
  <r>
    <x v="2452"/>
    <x v="3398"/>
    <x v="15"/>
    <x v="1"/>
    <x v="1"/>
    <x v="3"/>
    <x v="10"/>
    <x v="2"/>
    <x v="3364"/>
    <n v="365"/>
    <x v="0"/>
    <x v="0"/>
    <x v="479"/>
    <m/>
    <n v="0.21099999999999999"/>
    <m/>
    <x v="29"/>
    <x v="285"/>
    <m/>
  </r>
  <r>
    <x v="2452"/>
    <x v="3399"/>
    <x v="19"/>
    <x v="1"/>
    <x v="1"/>
    <x v="3"/>
    <x v="10"/>
    <x v="2"/>
    <x v="3365"/>
    <n v="365"/>
    <x v="0"/>
    <x v="0"/>
    <x v="573"/>
    <m/>
    <n v="0.17299999999999999"/>
    <m/>
    <x v="29"/>
    <x v="285"/>
    <m/>
  </r>
  <r>
    <x v="2453"/>
    <x v="3400"/>
    <x v="10"/>
    <x v="1"/>
    <x v="1"/>
    <x v="3"/>
    <x v="10"/>
    <x v="0"/>
    <x v="3366"/>
    <n v="1122"/>
    <x v="242"/>
    <x v="0"/>
    <x v="169"/>
    <m/>
    <n v="0.152"/>
    <m/>
    <x v="154"/>
    <x v="37"/>
    <m/>
  </r>
  <r>
    <x v="2454"/>
    <x v="3401"/>
    <x v="10"/>
    <x v="1"/>
    <x v="1"/>
    <x v="3"/>
    <x v="10"/>
    <x v="0"/>
    <x v="3367"/>
    <n v="577"/>
    <x v="212"/>
    <x v="0"/>
    <x v="577"/>
    <m/>
    <n v="0.113"/>
    <m/>
    <x v="7"/>
    <x v="193"/>
    <m/>
  </r>
  <r>
    <x v="2455"/>
    <x v="3402"/>
    <x v="10"/>
    <x v="1"/>
    <x v="1"/>
    <x v="3"/>
    <x v="10"/>
    <x v="0"/>
    <x v="3368"/>
    <n v="1346"/>
    <x v="224"/>
    <x v="0"/>
    <x v="197"/>
    <m/>
    <n v="0.184"/>
    <m/>
    <x v="127"/>
    <x v="52"/>
    <m/>
  </r>
  <r>
    <x v="2456"/>
    <x v="3403"/>
    <x v="10"/>
    <x v="1"/>
    <x v="1"/>
    <x v="3"/>
    <x v="10"/>
    <x v="0"/>
    <x v="3369"/>
    <n v="421"/>
    <x v="196"/>
    <x v="0"/>
    <x v="244"/>
    <m/>
    <n v="0.18"/>
    <m/>
    <x v="191"/>
    <x v="112"/>
    <m/>
  </r>
  <r>
    <x v="2457"/>
    <x v="3404"/>
    <x v="10"/>
    <x v="1"/>
    <x v="1"/>
    <x v="3"/>
    <x v="10"/>
    <x v="0"/>
    <x v="3370"/>
    <n v="620"/>
    <x v="243"/>
    <x v="0"/>
    <x v="244"/>
    <m/>
    <n v="0.18"/>
    <m/>
    <x v="37"/>
    <x v="286"/>
    <m/>
  </r>
  <r>
    <x v="2458"/>
    <x v="3405"/>
    <x v="10"/>
    <x v="1"/>
    <x v="1"/>
    <x v="3"/>
    <x v="10"/>
    <x v="0"/>
    <x v="3371"/>
    <n v="2011"/>
    <x v="159"/>
    <x v="0"/>
    <x v="335"/>
    <m/>
    <n v="0.249"/>
    <m/>
    <x v="4"/>
    <x v="37"/>
    <m/>
  </r>
  <r>
    <x v="2459"/>
    <x v="3406"/>
    <x v="10"/>
    <x v="1"/>
    <x v="1"/>
    <x v="3"/>
    <x v="10"/>
    <x v="0"/>
    <x v="3372"/>
    <n v="1003"/>
    <x v="211"/>
    <x v="0"/>
    <x v="38"/>
    <m/>
    <n v="0.24399999999999999"/>
    <m/>
    <x v="18"/>
    <x v="110"/>
    <m/>
  </r>
  <r>
    <x v="2460"/>
    <x v="3407"/>
    <x v="10"/>
    <x v="1"/>
    <x v="1"/>
    <x v="3"/>
    <x v="10"/>
    <x v="0"/>
    <x v="3373"/>
    <n v="846"/>
    <x v="229"/>
    <x v="0"/>
    <x v="176"/>
    <m/>
    <n v="0.22800000000000001"/>
    <m/>
    <x v="6"/>
    <x v="130"/>
    <m/>
  </r>
  <r>
    <x v="2461"/>
    <x v="3408"/>
    <x v="10"/>
    <x v="1"/>
    <x v="1"/>
    <x v="3"/>
    <x v="10"/>
    <x v="0"/>
    <x v="3374"/>
    <n v="1210"/>
    <x v="212"/>
    <x v="0"/>
    <x v="38"/>
    <m/>
    <n v="0.24399999999999999"/>
    <m/>
    <x v="17"/>
    <x v="18"/>
    <m/>
  </r>
  <r>
    <x v="2462"/>
    <x v="3409"/>
    <x v="10"/>
    <x v="1"/>
    <x v="1"/>
    <x v="3"/>
    <x v="10"/>
    <x v="0"/>
    <x v="3375"/>
    <n v="833"/>
    <x v="232"/>
    <x v="0"/>
    <x v="334"/>
    <m/>
    <n v="0.22900000000000001"/>
    <m/>
    <x v="84"/>
    <x v="97"/>
    <m/>
  </r>
  <r>
    <x v="2463"/>
    <x v="3410"/>
    <x v="15"/>
    <x v="1"/>
    <x v="1"/>
    <x v="3"/>
    <x v="10"/>
    <x v="3"/>
    <x v="3376"/>
    <n v="1066"/>
    <x v="0"/>
    <x v="0"/>
    <x v="256"/>
    <m/>
    <n v="0.19900000000000001"/>
    <m/>
    <x v="29"/>
    <x v="54"/>
    <m/>
  </r>
  <r>
    <x v="2463"/>
    <x v="3411"/>
    <x v="15"/>
    <x v="1"/>
    <x v="1"/>
    <x v="3"/>
    <x v="10"/>
    <x v="3"/>
    <x v="3377"/>
    <n v="1066"/>
    <x v="0"/>
    <x v="0"/>
    <x v="479"/>
    <m/>
    <n v="0.21099999999999999"/>
    <m/>
    <x v="29"/>
    <x v="54"/>
    <m/>
  </r>
  <r>
    <x v="2463"/>
    <x v="3412"/>
    <x v="19"/>
    <x v="1"/>
    <x v="1"/>
    <x v="3"/>
    <x v="10"/>
    <x v="3"/>
    <x v="3378"/>
    <n v="1066"/>
    <x v="0"/>
    <x v="0"/>
    <x v="231"/>
    <m/>
    <n v="0.123"/>
    <m/>
    <x v="29"/>
    <x v="54"/>
    <m/>
  </r>
  <r>
    <x v="2463"/>
    <x v="3413"/>
    <x v="19"/>
    <x v="1"/>
    <x v="1"/>
    <x v="3"/>
    <x v="10"/>
    <x v="3"/>
    <x v="3379"/>
    <n v="1066"/>
    <x v="0"/>
    <x v="0"/>
    <x v="238"/>
    <m/>
    <n v="0.23200000000000001"/>
    <m/>
    <x v="29"/>
    <x v="54"/>
    <m/>
  </r>
  <r>
    <x v="2463"/>
    <x v="3414"/>
    <x v="19"/>
    <x v="1"/>
    <x v="1"/>
    <x v="3"/>
    <x v="10"/>
    <x v="3"/>
    <x v="3380"/>
    <n v="1066"/>
    <x v="0"/>
    <x v="0"/>
    <x v="359"/>
    <m/>
    <n v="0.19600000000000001"/>
    <m/>
    <x v="29"/>
    <x v="54"/>
    <m/>
  </r>
  <r>
    <x v="2464"/>
    <x v="3415"/>
    <x v="10"/>
    <x v="1"/>
    <x v="1"/>
    <x v="3"/>
    <x v="10"/>
    <x v="0"/>
    <x v="3381"/>
    <n v="778"/>
    <x v="218"/>
    <x v="0"/>
    <x v="822"/>
    <m/>
    <n v="1.5229999999999999"/>
    <m/>
    <x v="48"/>
    <x v="124"/>
    <m/>
  </r>
  <r>
    <x v="2465"/>
    <x v="3416"/>
    <x v="10"/>
    <x v="1"/>
    <x v="1"/>
    <x v="3"/>
    <x v="10"/>
    <x v="0"/>
    <x v="3382"/>
    <n v="1052"/>
    <x v="216"/>
    <x v="0"/>
    <x v="749"/>
    <m/>
    <n v="0.46700000000000003"/>
    <m/>
    <x v="6"/>
    <x v="130"/>
    <m/>
  </r>
  <r>
    <x v="2466"/>
    <x v="3417"/>
    <x v="10"/>
    <x v="1"/>
    <x v="1"/>
    <x v="3"/>
    <x v="10"/>
    <x v="0"/>
    <x v="3383"/>
    <n v="552"/>
    <x v="224"/>
    <x v="0"/>
    <x v="492"/>
    <m/>
    <n v="0.14299999999999999"/>
    <m/>
    <x v="110"/>
    <x v="142"/>
    <m/>
  </r>
  <r>
    <x v="2467"/>
    <x v="3418"/>
    <x v="10"/>
    <x v="1"/>
    <x v="1"/>
    <x v="3"/>
    <x v="10"/>
    <x v="0"/>
    <x v="3384"/>
    <n v="1247"/>
    <x v="212"/>
    <x v="0"/>
    <x v="368"/>
    <m/>
    <n v="0.23100000000000001"/>
    <m/>
    <x v="102"/>
    <x v="171"/>
    <m/>
  </r>
  <r>
    <x v="2468"/>
    <x v="3419"/>
    <x v="10"/>
    <x v="1"/>
    <x v="1"/>
    <x v="3"/>
    <x v="10"/>
    <x v="0"/>
    <x v="3385"/>
    <n v="394"/>
    <x v="44"/>
    <x v="0"/>
    <x v="586"/>
    <m/>
    <n v="0.15"/>
    <m/>
    <x v="83"/>
    <x v="60"/>
    <m/>
  </r>
  <r>
    <x v="2469"/>
    <x v="3420"/>
    <x v="10"/>
    <x v="1"/>
    <x v="1"/>
    <x v="3"/>
    <x v="10"/>
    <x v="0"/>
    <x v="3386"/>
    <n v="471"/>
    <x v="215"/>
    <x v="0"/>
    <x v="525"/>
    <m/>
    <n v="0.182"/>
    <m/>
    <x v="137"/>
    <x v="91"/>
    <m/>
  </r>
  <r>
    <x v="2470"/>
    <x v="3421"/>
    <x v="10"/>
    <x v="1"/>
    <x v="1"/>
    <x v="3"/>
    <x v="10"/>
    <x v="0"/>
    <x v="3387"/>
    <n v="1233"/>
    <x v="224"/>
    <x v="0"/>
    <x v="233"/>
    <m/>
    <n v="0.221"/>
    <m/>
    <x v="23"/>
    <x v="33"/>
    <m/>
  </r>
  <r>
    <x v="2471"/>
    <x v="3422"/>
    <x v="10"/>
    <x v="1"/>
    <x v="1"/>
    <x v="3"/>
    <x v="10"/>
    <x v="0"/>
    <x v="3388"/>
    <n v="529"/>
    <x v="218"/>
    <x v="0"/>
    <x v="475"/>
    <m/>
    <n v="0.105"/>
    <m/>
    <x v="134"/>
    <x v="57"/>
    <m/>
  </r>
  <r>
    <x v="2472"/>
    <x v="3423"/>
    <x v="10"/>
    <x v="1"/>
    <x v="1"/>
    <x v="3"/>
    <x v="10"/>
    <x v="0"/>
    <x v="3389"/>
    <n v="797"/>
    <x v="293"/>
    <x v="0"/>
    <x v="169"/>
    <m/>
    <n v="0.152"/>
    <m/>
    <x v="53"/>
    <x v="15"/>
    <m/>
  </r>
  <r>
    <x v="2473"/>
    <x v="3424"/>
    <x v="10"/>
    <x v="1"/>
    <x v="1"/>
    <x v="3"/>
    <x v="10"/>
    <x v="0"/>
    <x v="3390"/>
    <n v="747"/>
    <x v="229"/>
    <x v="0"/>
    <x v="748"/>
    <m/>
    <n v="0.63700000000000001"/>
    <m/>
    <x v="16"/>
    <x v="229"/>
    <m/>
  </r>
  <r>
    <x v="2474"/>
    <x v="3425"/>
    <x v="15"/>
    <x v="1"/>
    <x v="1"/>
    <x v="3"/>
    <x v="10"/>
    <x v="4"/>
    <x v="3391"/>
    <n v="789"/>
    <x v="0"/>
    <x v="0"/>
    <x v="206"/>
    <m/>
    <n v="0.17599999999999999"/>
    <m/>
    <x v="29"/>
    <x v="111"/>
    <m/>
  </r>
  <r>
    <x v="2474"/>
    <x v="3426"/>
    <x v="15"/>
    <x v="1"/>
    <x v="1"/>
    <x v="3"/>
    <x v="10"/>
    <x v="4"/>
    <x v="3392"/>
    <n v="789"/>
    <x v="0"/>
    <x v="0"/>
    <x v="205"/>
    <m/>
    <n v="0.19400000000000001"/>
    <m/>
    <x v="29"/>
    <x v="111"/>
    <m/>
  </r>
  <r>
    <x v="2474"/>
    <x v="3427"/>
    <x v="19"/>
    <x v="1"/>
    <x v="1"/>
    <x v="3"/>
    <x v="10"/>
    <x v="4"/>
    <x v="3393"/>
    <n v="789"/>
    <x v="0"/>
    <x v="0"/>
    <x v="607"/>
    <m/>
    <n v="0.107"/>
    <m/>
    <x v="29"/>
    <x v="111"/>
    <m/>
  </r>
  <r>
    <x v="2474"/>
    <x v="3428"/>
    <x v="19"/>
    <x v="1"/>
    <x v="1"/>
    <x v="3"/>
    <x v="10"/>
    <x v="4"/>
    <x v="3394"/>
    <n v="789"/>
    <x v="0"/>
    <x v="0"/>
    <x v="577"/>
    <m/>
    <n v="0.113"/>
    <m/>
    <x v="29"/>
    <x v="111"/>
    <m/>
  </r>
  <r>
    <x v="2475"/>
    <x v="3429"/>
    <x v="10"/>
    <x v="1"/>
    <x v="1"/>
    <x v="3"/>
    <x v="10"/>
    <x v="0"/>
    <x v="3395"/>
    <n v="1535"/>
    <x v="218"/>
    <x v="0"/>
    <x v="465"/>
    <m/>
    <n v="0.159"/>
    <m/>
    <x v="104"/>
    <x v="121"/>
    <m/>
  </r>
  <r>
    <x v="2476"/>
    <x v="3430"/>
    <x v="10"/>
    <x v="1"/>
    <x v="1"/>
    <x v="3"/>
    <x v="10"/>
    <x v="0"/>
    <x v="3396"/>
    <n v="869"/>
    <x v="216"/>
    <x v="0"/>
    <x v="586"/>
    <m/>
    <n v="0.15"/>
    <m/>
    <x v="45"/>
    <x v="131"/>
    <m/>
  </r>
  <r>
    <x v="2477"/>
    <x v="3431"/>
    <x v="10"/>
    <x v="1"/>
    <x v="1"/>
    <x v="3"/>
    <x v="10"/>
    <x v="0"/>
    <x v="3397"/>
    <n v="854"/>
    <x v="269"/>
    <x v="0"/>
    <x v="198"/>
    <m/>
    <n v="0.22700000000000001"/>
    <m/>
    <x v="128"/>
    <x v="220"/>
    <m/>
  </r>
  <r>
    <x v="2478"/>
    <x v="3432"/>
    <x v="10"/>
    <x v="1"/>
    <x v="1"/>
    <x v="3"/>
    <x v="10"/>
    <x v="0"/>
    <x v="3398"/>
    <n v="610"/>
    <x v="243"/>
    <x v="0"/>
    <x v="529"/>
    <m/>
    <n v="0.151"/>
    <m/>
    <x v="123"/>
    <x v="155"/>
    <m/>
  </r>
  <r>
    <x v="2479"/>
    <x v="3433"/>
    <x v="10"/>
    <x v="1"/>
    <x v="1"/>
    <x v="3"/>
    <x v="10"/>
    <x v="0"/>
    <x v="3399"/>
    <n v="741"/>
    <x v="43"/>
    <x v="0"/>
    <x v="823"/>
    <m/>
    <n v="1.492"/>
    <m/>
    <x v="63"/>
    <x v="223"/>
    <m/>
  </r>
  <r>
    <x v="2480"/>
    <x v="3434"/>
    <x v="10"/>
    <x v="1"/>
    <x v="1"/>
    <x v="3"/>
    <x v="10"/>
    <x v="0"/>
    <x v="3400"/>
    <n v="1043"/>
    <x v="212"/>
    <x v="0"/>
    <x v="824"/>
    <m/>
    <n v="0.745"/>
    <m/>
    <x v="18"/>
    <x v="171"/>
    <m/>
  </r>
  <r>
    <x v="2481"/>
    <x v="3435"/>
    <x v="10"/>
    <x v="1"/>
    <x v="1"/>
    <x v="3"/>
    <x v="10"/>
    <x v="0"/>
    <x v="3401"/>
    <n v="1175"/>
    <x v="211"/>
    <x v="0"/>
    <x v="825"/>
    <m/>
    <n v="0.83"/>
    <m/>
    <x v="50"/>
    <x v="3"/>
    <m/>
  </r>
  <r>
    <x v="2482"/>
    <x v="3436"/>
    <x v="10"/>
    <x v="1"/>
    <x v="1"/>
    <x v="3"/>
    <x v="10"/>
    <x v="0"/>
    <x v="3402"/>
    <n v="1039"/>
    <x v="211"/>
    <x v="0"/>
    <x v="826"/>
    <m/>
    <n v="0.60699999999999998"/>
    <m/>
    <x v="7"/>
    <x v="173"/>
    <m/>
  </r>
  <r>
    <x v="2483"/>
    <x v="3437"/>
    <x v="10"/>
    <x v="1"/>
    <x v="1"/>
    <x v="3"/>
    <x v="10"/>
    <x v="0"/>
    <x v="3403"/>
    <n v="296"/>
    <x v="225"/>
    <x v="0"/>
    <x v="827"/>
    <m/>
    <n v="0.434"/>
    <m/>
    <x v="50"/>
    <x v="33"/>
    <m/>
  </r>
  <r>
    <x v="2484"/>
    <x v="3438"/>
    <x v="10"/>
    <x v="1"/>
    <x v="1"/>
    <x v="3"/>
    <x v="10"/>
    <x v="0"/>
    <x v="3404"/>
    <n v="915"/>
    <x v="223"/>
    <x v="0"/>
    <x v="765"/>
    <m/>
    <n v="0.27600000000000002"/>
    <m/>
    <x v="94"/>
    <x v="57"/>
    <m/>
  </r>
  <r>
    <x v="2485"/>
    <x v="3439"/>
    <x v="10"/>
    <x v="1"/>
    <x v="1"/>
    <x v="3"/>
    <x v="10"/>
    <x v="0"/>
    <x v="3405"/>
    <n v="1295"/>
    <x v="211"/>
    <x v="0"/>
    <x v="802"/>
    <m/>
    <n v="0.28899999999999998"/>
    <m/>
    <x v="48"/>
    <x v="124"/>
    <m/>
  </r>
  <r>
    <x v="2486"/>
    <x v="3440"/>
    <x v="10"/>
    <x v="1"/>
    <x v="1"/>
    <x v="3"/>
    <x v="10"/>
    <x v="0"/>
    <x v="3406"/>
    <n v="806"/>
    <x v="216"/>
    <x v="0"/>
    <x v="478"/>
    <m/>
    <n v="0.20300000000000001"/>
    <m/>
    <x v="58"/>
    <x v="202"/>
    <m/>
  </r>
  <r>
    <x v="2487"/>
    <x v="3441"/>
    <x v="10"/>
    <x v="1"/>
    <x v="1"/>
    <x v="3"/>
    <x v="10"/>
    <x v="0"/>
    <x v="3407"/>
    <n v="806"/>
    <x v="215"/>
    <x v="0"/>
    <x v="481"/>
    <m/>
    <n v="0.19700000000000001"/>
    <m/>
    <x v="59"/>
    <x v="239"/>
    <m/>
  </r>
  <r>
    <x v="2488"/>
    <x v="3442"/>
    <x v="10"/>
    <x v="1"/>
    <x v="1"/>
    <x v="3"/>
    <x v="10"/>
    <x v="0"/>
    <x v="3408"/>
    <n v="1145"/>
    <x v="44"/>
    <x v="0"/>
    <x v="175"/>
    <m/>
    <n v="0.25900000000000001"/>
    <m/>
    <x v="50"/>
    <x v="105"/>
    <m/>
  </r>
  <r>
    <x v="2489"/>
    <x v="3443"/>
    <x v="10"/>
    <x v="1"/>
    <x v="1"/>
    <x v="3"/>
    <x v="10"/>
    <x v="0"/>
    <x v="3409"/>
    <n v="1573"/>
    <x v="207"/>
    <x v="0"/>
    <x v="445"/>
    <m/>
    <n v="0.214"/>
    <m/>
    <x v="57"/>
    <x v="45"/>
    <m/>
  </r>
  <r>
    <x v="2490"/>
    <x v="3444"/>
    <x v="10"/>
    <x v="1"/>
    <x v="1"/>
    <x v="3"/>
    <x v="10"/>
    <x v="0"/>
    <x v="3410"/>
    <n v="664"/>
    <x v="211"/>
    <x v="0"/>
    <x v="308"/>
    <m/>
    <n v="0.222"/>
    <m/>
    <x v="89"/>
    <x v="94"/>
    <m/>
  </r>
  <r>
    <x v="2491"/>
    <x v="3445"/>
    <x v="10"/>
    <x v="1"/>
    <x v="1"/>
    <x v="3"/>
    <x v="10"/>
    <x v="0"/>
    <x v="3411"/>
    <n v="690"/>
    <x v="211"/>
    <x v="0"/>
    <x v="341"/>
    <m/>
    <n v="0.14499999999999999"/>
    <m/>
    <x v="174"/>
    <x v="32"/>
    <m/>
  </r>
  <r>
    <x v="2492"/>
    <x v="3446"/>
    <x v="10"/>
    <x v="1"/>
    <x v="1"/>
    <x v="3"/>
    <x v="10"/>
    <x v="0"/>
    <x v="3412"/>
    <n v="824"/>
    <x v="286"/>
    <x v="0"/>
    <x v="654"/>
    <m/>
    <n v="0.41399999999999998"/>
    <m/>
    <x v="127"/>
    <x v="33"/>
    <m/>
  </r>
  <r>
    <x v="2493"/>
    <x v="3447"/>
    <x v="10"/>
    <x v="1"/>
    <x v="1"/>
    <x v="3"/>
    <x v="10"/>
    <x v="0"/>
    <x v="3413"/>
    <n v="1269"/>
    <x v="218"/>
    <x v="0"/>
    <x v="396"/>
    <m/>
    <n v="0.183"/>
    <m/>
    <x v="89"/>
    <x v="111"/>
    <m/>
  </r>
  <r>
    <x v="2494"/>
    <x v="3448"/>
    <x v="10"/>
    <x v="1"/>
    <x v="1"/>
    <x v="3"/>
    <x v="10"/>
    <x v="0"/>
    <x v="3414"/>
    <n v="957"/>
    <x v="215"/>
    <x v="0"/>
    <x v="623"/>
    <m/>
    <n v="0.32200000000000001"/>
    <m/>
    <x v="54"/>
    <x v="105"/>
    <m/>
  </r>
  <r>
    <x v="2495"/>
    <x v="3449"/>
    <x v="7"/>
    <x v="1"/>
    <x v="1"/>
    <x v="3"/>
    <x v="10"/>
    <x v="1"/>
    <x v="3415"/>
    <n v="1525"/>
    <x v="56"/>
    <x v="468"/>
    <x v="828"/>
    <n v="1.02"/>
    <n v="1.204"/>
    <n v="0.72899999999999998"/>
    <x v="32"/>
    <x v="87"/>
    <m/>
  </r>
  <r>
    <x v="2495"/>
    <x v="3450"/>
    <x v="7"/>
    <x v="1"/>
    <x v="1"/>
    <x v="3"/>
    <x v="10"/>
    <x v="1"/>
    <x v="3416"/>
    <n v="1525"/>
    <x v="56"/>
    <x v="469"/>
    <x v="726"/>
    <n v="0.02"/>
    <n v="0.54800000000000004"/>
    <n v="0.152"/>
    <x v="32"/>
    <x v="87"/>
    <m/>
  </r>
  <r>
    <x v="2496"/>
    <x v="3451"/>
    <x v="10"/>
    <x v="1"/>
    <x v="1"/>
    <x v="3"/>
    <x v="10"/>
    <x v="0"/>
    <x v="3417"/>
    <n v="1231"/>
    <x v="44"/>
    <x v="0"/>
    <x v="295"/>
    <m/>
    <n v="0.248"/>
    <m/>
    <x v="53"/>
    <x v="55"/>
    <m/>
  </r>
  <r>
    <x v="2497"/>
    <x v="3452"/>
    <x v="10"/>
    <x v="1"/>
    <x v="1"/>
    <x v="3"/>
    <x v="10"/>
    <x v="0"/>
    <x v="3418"/>
    <n v="1695"/>
    <x v="242"/>
    <x v="0"/>
    <x v="829"/>
    <m/>
    <n v="0.33400000000000002"/>
    <m/>
    <x v="129"/>
    <x v="48"/>
    <m/>
  </r>
  <r>
    <x v="2498"/>
    <x v="3453"/>
    <x v="10"/>
    <x v="1"/>
    <x v="1"/>
    <x v="3"/>
    <x v="10"/>
    <x v="0"/>
    <x v="3419"/>
    <n v="1114"/>
    <x v="212"/>
    <x v="0"/>
    <x v="236"/>
    <m/>
    <n v="0.17799999999999999"/>
    <m/>
    <x v="52"/>
    <x v="29"/>
    <m/>
  </r>
  <r>
    <x v="2499"/>
    <x v="3454"/>
    <x v="10"/>
    <x v="1"/>
    <x v="1"/>
    <x v="3"/>
    <x v="10"/>
    <x v="0"/>
    <x v="3420"/>
    <n v="1397"/>
    <x v="219"/>
    <x v="0"/>
    <x v="792"/>
    <m/>
    <n v="0.33500000000000002"/>
    <m/>
    <x v="112"/>
    <x v="223"/>
    <m/>
  </r>
  <r>
    <x v="2500"/>
    <x v="3455"/>
    <x v="10"/>
    <x v="1"/>
    <x v="1"/>
    <x v="3"/>
    <x v="10"/>
    <x v="0"/>
    <x v="3421"/>
    <n v="1072"/>
    <x v="222"/>
    <x v="0"/>
    <x v="665"/>
    <m/>
    <n v="0.35199999999999998"/>
    <m/>
    <x v="25"/>
    <x v="4"/>
    <m/>
  </r>
  <r>
    <x v="2501"/>
    <x v="3456"/>
    <x v="10"/>
    <x v="1"/>
    <x v="1"/>
    <x v="3"/>
    <x v="10"/>
    <x v="0"/>
    <x v="3422"/>
    <n v="1244"/>
    <x v="225"/>
    <x v="0"/>
    <x v="175"/>
    <m/>
    <n v="0.25900000000000001"/>
    <m/>
    <x v="104"/>
    <x v="37"/>
    <m/>
  </r>
  <r>
    <x v="2502"/>
    <x v="3457"/>
    <x v="10"/>
    <x v="1"/>
    <x v="1"/>
    <x v="3"/>
    <x v="10"/>
    <x v="0"/>
    <x v="3423"/>
    <n v="735"/>
    <x v="221"/>
    <x v="0"/>
    <x v="557"/>
    <m/>
    <n v="0.128"/>
    <m/>
    <x v="94"/>
    <x v="57"/>
    <m/>
  </r>
  <r>
    <x v="2503"/>
    <x v="3458"/>
    <x v="10"/>
    <x v="1"/>
    <x v="1"/>
    <x v="3"/>
    <x v="10"/>
    <x v="0"/>
    <x v="3424"/>
    <n v="572"/>
    <x v="223"/>
    <x v="0"/>
    <x v="333"/>
    <m/>
    <n v="0.189"/>
    <m/>
    <x v="6"/>
    <x v="130"/>
    <m/>
  </r>
  <r>
    <x v="2504"/>
    <x v="3459"/>
    <x v="10"/>
    <x v="1"/>
    <x v="1"/>
    <x v="3"/>
    <x v="10"/>
    <x v="0"/>
    <x v="3425"/>
    <n v="567"/>
    <x v="223"/>
    <x v="0"/>
    <x v="386"/>
    <m/>
    <n v="0.17199999999999999"/>
    <m/>
    <x v="94"/>
    <x v="57"/>
    <m/>
  </r>
  <r>
    <x v="2505"/>
    <x v="3460"/>
    <x v="10"/>
    <x v="1"/>
    <x v="1"/>
    <x v="3"/>
    <x v="10"/>
    <x v="0"/>
    <x v="3426"/>
    <n v="772"/>
    <x v="211"/>
    <x v="0"/>
    <x v="334"/>
    <m/>
    <n v="0.22900000000000001"/>
    <m/>
    <x v="102"/>
    <x v="55"/>
    <m/>
  </r>
  <r>
    <x v="2506"/>
    <x v="3461"/>
    <x v="10"/>
    <x v="1"/>
    <x v="1"/>
    <x v="3"/>
    <x v="10"/>
    <x v="0"/>
    <x v="3427"/>
    <n v="673"/>
    <x v="263"/>
    <x v="0"/>
    <x v="222"/>
    <m/>
    <n v="0.23699999999999999"/>
    <m/>
    <x v="158"/>
    <x v="123"/>
    <m/>
  </r>
  <r>
    <x v="2507"/>
    <x v="3462"/>
    <x v="10"/>
    <x v="1"/>
    <x v="1"/>
    <x v="3"/>
    <x v="10"/>
    <x v="0"/>
    <x v="3428"/>
    <n v="1364"/>
    <x v="44"/>
    <x v="0"/>
    <x v="465"/>
    <m/>
    <n v="0.159"/>
    <m/>
    <x v="104"/>
    <x v="121"/>
    <m/>
  </r>
  <r>
    <x v="2508"/>
    <x v="3463"/>
    <x v="10"/>
    <x v="1"/>
    <x v="1"/>
    <x v="3"/>
    <x v="10"/>
    <x v="0"/>
    <x v="3429"/>
    <n v="525"/>
    <x v="223"/>
    <x v="0"/>
    <x v="420"/>
    <m/>
    <n v="0.11"/>
    <m/>
    <x v="3"/>
    <x v="90"/>
    <m/>
  </r>
  <r>
    <x v="2509"/>
    <x v="3464"/>
    <x v="10"/>
    <x v="1"/>
    <x v="1"/>
    <x v="3"/>
    <x v="10"/>
    <x v="0"/>
    <x v="3430"/>
    <n v="549"/>
    <x v="43"/>
    <x v="0"/>
    <x v="465"/>
    <m/>
    <n v="0.159"/>
    <m/>
    <x v="104"/>
    <x v="121"/>
    <m/>
  </r>
  <r>
    <x v="2510"/>
    <x v="3465"/>
    <x v="10"/>
    <x v="1"/>
    <x v="1"/>
    <x v="3"/>
    <x v="10"/>
    <x v="0"/>
    <x v="3431"/>
    <n v="420"/>
    <x v="236"/>
    <x v="0"/>
    <x v="420"/>
    <m/>
    <n v="0.11"/>
    <m/>
    <x v="57"/>
    <x v="16"/>
    <m/>
  </r>
  <r>
    <x v="2511"/>
    <x v="3466"/>
    <x v="10"/>
    <x v="1"/>
    <x v="1"/>
    <x v="3"/>
    <x v="10"/>
    <x v="0"/>
    <x v="3432"/>
    <n v="632"/>
    <x v="204"/>
    <x v="0"/>
    <x v="281"/>
    <m/>
    <n v="0.223"/>
    <m/>
    <x v="49"/>
    <x v="311"/>
    <m/>
  </r>
  <r>
    <x v="2512"/>
    <x v="3467"/>
    <x v="10"/>
    <x v="1"/>
    <x v="1"/>
    <x v="3"/>
    <x v="10"/>
    <x v="0"/>
    <x v="3433"/>
    <n v="857"/>
    <x v="225"/>
    <x v="0"/>
    <x v="280"/>
    <m/>
    <n v="0.13600000000000001"/>
    <m/>
    <x v="32"/>
    <x v="220"/>
    <m/>
  </r>
  <r>
    <x v="2513"/>
    <x v="3468"/>
    <x v="10"/>
    <x v="1"/>
    <x v="1"/>
    <x v="3"/>
    <x v="10"/>
    <x v="1"/>
    <x v="3434"/>
    <n v="831"/>
    <x v="231"/>
    <x v="0"/>
    <x v="307"/>
    <m/>
    <n v="0.16400000000000001"/>
    <m/>
    <x v="128"/>
    <x v="145"/>
    <m/>
  </r>
  <r>
    <x v="2513"/>
    <x v="3469"/>
    <x v="10"/>
    <x v="1"/>
    <x v="1"/>
    <x v="3"/>
    <x v="10"/>
    <x v="1"/>
    <x v="3435"/>
    <n v="831"/>
    <x v="231"/>
    <x v="0"/>
    <x v="559"/>
    <m/>
    <n v="0.10100000000000001"/>
    <m/>
    <x v="128"/>
    <x v="145"/>
    <m/>
  </r>
  <r>
    <x v="2514"/>
    <x v="3470"/>
    <x v="10"/>
    <x v="1"/>
    <x v="1"/>
    <x v="3"/>
    <x v="10"/>
    <x v="0"/>
    <x v="3436"/>
    <n v="413"/>
    <x v="269"/>
    <x v="0"/>
    <x v="498"/>
    <m/>
    <n v="0.157"/>
    <m/>
    <x v="54"/>
    <x v="52"/>
    <m/>
  </r>
  <r>
    <x v="2515"/>
    <x v="3471"/>
    <x v="10"/>
    <x v="1"/>
    <x v="1"/>
    <x v="3"/>
    <x v="10"/>
    <x v="0"/>
    <x v="3437"/>
    <n v="513"/>
    <x v="229"/>
    <x v="0"/>
    <x v="530"/>
    <m/>
    <n v="9.7000000000000003E-2"/>
    <m/>
    <x v="30"/>
    <x v="167"/>
    <m/>
  </r>
  <r>
    <x v="2516"/>
    <x v="3472"/>
    <x v="10"/>
    <x v="1"/>
    <x v="1"/>
    <x v="3"/>
    <x v="10"/>
    <x v="0"/>
    <x v="3438"/>
    <n v="1387"/>
    <x v="159"/>
    <x v="0"/>
    <x v="830"/>
    <m/>
    <n v="0.79300000000000004"/>
    <m/>
    <x v="25"/>
    <x v="4"/>
    <m/>
  </r>
  <r>
    <x v="2517"/>
    <x v="3473"/>
    <x v="10"/>
    <x v="1"/>
    <x v="1"/>
    <x v="3"/>
    <x v="10"/>
    <x v="0"/>
    <x v="3439"/>
    <n v="1372"/>
    <x v="220"/>
    <x v="0"/>
    <x v="831"/>
    <m/>
    <n v="0.57199999999999995"/>
    <m/>
    <x v="104"/>
    <x v="88"/>
    <m/>
  </r>
  <r>
    <x v="2518"/>
    <x v="3474"/>
    <x v="10"/>
    <x v="1"/>
    <x v="1"/>
    <x v="3"/>
    <x v="10"/>
    <x v="0"/>
    <x v="3440"/>
    <n v="640"/>
    <x v="227"/>
    <x v="0"/>
    <x v="224"/>
    <m/>
    <n v="0.251"/>
    <m/>
    <x v="174"/>
    <x v="185"/>
    <m/>
  </r>
  <r>
    <x v="2519"/>
    <x v="3475"/>
    <x v="10"/>
    <x v="1"/>
    <x v="1"/>
    <x v="3"/>
    <x v="10"/>
    <x v="0"/>
    <x v="3441"/>
    <n v="1216"/>
    <x v="44"/>
    <x v="0"/>
    <x v="625"/>
    <m/>
    <n v="0.27"/>
    <m/>
    <x v="57"/>
    <x v="173"/>
    <m/>
  </r>
  <r>
    <x v="2520"/>
    <x v="3476"/>
    <x v="10"/>
    <x v="1"/>
    <x v="1"/>
    <x v="3"/>
    <x v="10"/>
    <x v="0"/>
    <x v="3442"/>
    <n v="1090"/>
    <x v="211"/>
    <x v="0"/>
    <x v="295"/>
    <m/>
    <n v="0.248"/>
    <m/>
    <x v="122"/>
    <x v="131"/>
    <m/>
  </r>
  <r>
    <x v="2521"/>
    <x v="3477"/>
    <x v="10"/>
    <x v="1"/>
    <x v="1"/>
    <x v="3"/>
    <x v="10"/>
    <x v="0"/>
    <x v="3443"/>
    <n v="516"/>
    <x v="266"/>
    <x v="0"/>
    <x v="322"/>
    <m/>
    <n v="0.13700000000000001"/>
    <m/>
    <x v="88"/>
    <x v="74"/>
    <m/>
  </r>
  <r>
    <x v="2522"/>
    <x v="3478"/>
    <x v="10"/>
    <x v="1"/>
    <x v="1"/>
    <x v="3"/>
    <x v="10"/>
    <x v="0"/>
    <x v="3444"/>
    <n v="896"/>
    <x v="227"/>
    <x v="0"/>
    <x v="199"/>
    <m/>
    <n v="0.22600000000000001"/>
    <m/>
    <x v="97"/>
    <x v="130"/>
    <m/>
  </r>
  <r>
    <x v="2523"/>
    <x v="3479"/>
    <x v="10"/>
    <x v="1"/>
    <x v="1"/>
    <x v="3"/>
    <x v="10"/>
    <x v="0"/>
    <x v="3445"/>
    <n v="1147"/>
    <x v="224"/>
    <x v="0"/>
    <x v="158"/>
    <m/>
    <n v="0.21299999999999999"/>
    <m/>
    <x v="18"/>
    <x v="110"/>
    <m/>
  </r>
  <r>
    <x v="2524"/>
    <x v="3480"/>
    <x v="10"/>
    <x v="1"/>
    <x v="1"/>
    <x v="3"/>
    <x v="10"/>
    <x v="0"/>
    <x v="3446"/>
    <n v="479"/>
    <x v="229"/>
    <x v="0"/>
    <x v="234"/>
    <m/>
    <n v="0.13300000000000001"/>
    <m/>
    <x v="88"/>
    <x v="112"/>
    <m/>
  </r>
  <r>
    <x v="2525"/>
    <x v="3481"/>
    <x v="10"/>
    <x v="1"/>
    <x v="1"/>
    <x v="3"/>
    <x v="10"/>
    <x v="0"/>
    <x v="3447"/>
    <n v="1038"/>
    <x v="208"/>
    <x v="0"/>
    <x v="400"/>
    <m/>
    <n v="0.23899999999999999"/>
    <m/>
    <x v="89"/>
    <x v="33"/>
    <m/>
  </r>
  <r>
    <x v="2526"/>
    <x v="3482"/>
    <x v="6"/>
    <x v="1"/>
    <x v="1"/>
    <x v="3"/>
    <x v="10"/>
    <x v="2"/>
    <x v="3448"/>
    <n v="650"/>
    <x v="40"/>
    <x v="470"/>
    <x v="832"/>
    <n v="0.252"/>
    <n v="0.84199999999999997"/>
    <n v="0.52400000000000002"/>
    <x v="154"/>
    <x v="55"/>
    <m/>
  </r>
  <r>
    <x v="2526"/>
    <x v="3483"/>
    <x v="6"/>
    <x v="1"/>
    <x v="1"/>
    <x v="3"/>
    <x v="10"/>
    <x v="2"/>
    <x v="3449"/>
    <n v="650"/>
    <x v="40"/>
    <x v="471"/>
    <x v="833"/>
    <n v="0.17100000000000001"/>
    <n v="0.82299999999999995"/>
    <n v="0.38300000000000001"/>
    <x v="154"/>
    <x v="55"/>
    <m/>
  </r>
  <r>
    <x v="2526"/>
    <x v="3484"/>
    <x v="6"/>
    <x v="1"/>
    <x v="1"/>
    <x v="3"/>
    <x v="10"/>
    <x v="2"/>
    <x v="3450"/>
    <n v="650"/>
    <x v="40"/>
    <x v="0"/>
    <x v="157"/>
    <m/>
    <n v="0.14599999999999999"/>
    <m/>
    <x v="154"/>
    <x v="55"/>
    <m/>
  </r>
  <r>
    <x v="2527"/>
    <x v="3485"/>
    <x v="10"/>
    <x v="1"/>
    <x v="1"/>
    <x v="3"/>
    <x v="10"/>
    <x v="0"/>
    <x v="3451"/>
    <n v="505"/>
    <x v="223"/>
    <x v="0"/>
    <x v="488"/>
    <m/>
    <n v="0.186"/>
    <m/>
    <x v="110"/>
    <x v="142"/>
    <m/>
  </r>
  <r>
    <x v="2528"/>
    <x v="3486"/>
    <x v="10"/>
    <x v="1"/>
    <x v="1"/>
    <x v="3"/>
    <x v="10"/>
    <x v="0"/>
    <x v="3452"/>
    <n v="241"/>
    <x v="44"/>
    <x v="0"/>
    <x v="563"/>
    <m/>
    <n v="0.122"/>
    <m/>
    <x v="83"/>
    <x v="60"/>
    <m/>
  </r>
  <r>
    <x v="2529"/>
    <x v="3487"/>
    <x v="10"/>
    <x v="1"/>
    <x v="1"/>
    <x v="3"/>
    <x v="10"/>
    <x v="0"/>
    <x v="3453"/>
    <n v="904"/>
    <x v="224"/>
    <x v="0"/>
    <x v="198"/>
    <m/>
    <n v="0.22700000000000001"/>
    <m/>
    <x v="44"/>
    <x v="3"/>
    <m/>
  </r>
  <r>
    <x v="2530"/>
    <x v="3488"/>
    <x v="10"/>
    <x v="1"/>
    <x v="1"/>
    <x v="3"/>
    <x v="10"/>
    <x v="1"/>
    <x v="3454"/>
    <n v="829"/>
    <x v="215"/>
    <x v="0"/>
    <x v="201"/>
    <m/>
    <n v="0.17899999999999999"/>
    <m/>
    <x v="17"/>
    <x v="193"/>
    <m/>
  </r>
  <r>
    <x v="2530"/>
    <x v="3489"/>
    <x v="10"/>
    <x v="1"/>
    <x v="1"/>
    <x v="3"/>
    <x v="10"/>
    <x v="1"/>
    <x v="3455"/>
    <n v="829"/>
    <x v="215"/>
    <x v="0"/>
    <x v="199"/>
    <m/>
    <n v="0.22600000000000001"/>
    <m/>
    <x v="17"/>
    <x v="193"/>
    <m/>
  </r>
  <r>
    <x v="2531"/>
    <x v="3490"/>
    <x v="10"/>
    <x v="1"/>
    <x v="1"/>
    <x v="3"/>
    <x v="10"/>
    <x v="0"/>
    <x v="3456"/>
    <n v="1151"/>
    <x v="43"/>
    <x v="0"/>
    <x v="541"/>
    <m/>
    <n v="0.158"/>
    <m/>
    <x v="56"/>
    <x v="167"/>
    <m/>
  </r>
  <r>
    <x v="2532"/>
    <x v="3491"/>
    <x v="10"/>
    <x v="1"/>
    <x v="1"/>
    <x v="3"/>
    <x v="10"/>
    <x v="0"/>
    <x v="3457"/>
    <n v="521"/>
    <x v="263"/>
    <x v="0"/>
    <x v="353"/>
    <m/>
    <n v="0.126"/>
    <m/>
    <x v="44"/>
    <x v="24"/>
    <m/>
  </r>
  <r>
    <x v="2533"/>
    <x v="3492"/>
    <x v="10"/>
    <x v="1"/>
    <x v="1"/>
    <x v="3"/>
    <x v="10"/>
    <x v="0"/>
    <x v="3458"/>
    <n v="758"/>
    <x v="226"/>
    <x v="0"/>
    <x v="601"/>
    <m/>
    <n v="0.188"/>
    <m/>
    <x v="104"/>
    <x v="55"/>
    <m/>
  </r>
  <r>
    <x v="2534"/>
    <x v="3493"/>
    <x v="10"/>
    <x v="1"/>
    <x v="1"/>
    <x v="3"/>
    <x v="10"/>
    <x v="0"/>
    <x v="3459"/>
    <n v="352"/>
    <x v="233"/>
    <x v="0"/>
    <x v="607"/>
    <m/>
    <n v="0.107"/>
    <m/>
    <x v="4"/>
    <x v="93"/>
    <m/>
  </r>
  <r>
    <x v="2535"/>
    <x v="3494"/>
    <x v="10"/>
    <x v="1"/>
    <x v="1"/>
    <x v="3"/>
    <x v="10"/>
    <x v="0"/>
    <x v="3460"/>
    <n v="250"/>
    <x v="43"/>
    <x v="0"/>
    <x v="547"/>
    <m/>
    <n v="0.109"/>
    <m/>
    <x v="129"/>
    <x v="40"/>
    <m/>
  </r>
  <r>
    <x v="2536"/>
    <x v="3495"/>
    <x v="10"/>
    <x v="1"/>
    <x v="1"/>
    <x v="3"/>
    <x v="10"/>
    <x v="0"/>
    <x v="3461"/>
    <n v="318"/>
    <x v="238"/>
    <x v="0"/>
    <x v="415"/>
    <m/>
    <n v="0.13100000000000001"/>
    <m/>
    <x v="63"/>
    <x v="14"/>
    <m/>
  </r>
  <r>
    <x v="2537"/>
    <x v="3496"/>
    <x v="7"/>
    <x v="1"/>
    <x v="1"/>
    <x v="3"/>
    <x v="10"/>
    <x v="0"/>
    <x v="3462"/>
    <n v="1030"/>
    <x v="0"/>
    <x v="472"/>
    <x v="834"/>
    <n v="0.81"/>
    <n v="1.367"/>
    <n v="0.4"/>
    <x v="106"/>
    <x v="330"/>
    <m/>
  </r>
  <r>
    <x v="2538"/>
    <x v="3497"/>
    <x v="10"/>
    <x v="1"/>
    <x v="1"/>
    <x v="3"/>
    <x v="10"/>
    <x v="0"/>
    <x v="3463"/>
    <n v="402"/>
    <x v="225"/>
    <x v="0"/>
    <x v="497"/>
    <m/>
    <n v="7.2999999999999995E-2"/>
    <m/>
    <x v="113"/>
    <x v="151"/>
    <m/>
  </r>
  <r>
    <x v="2539"/>
    <x v="3498"/>
    <x v="10"/>
    <x v="1"/>
    <x v="1"/>
    <x v="3"/>
    <x v="10"/>
    <x v="0"/>
    <x v="3464"/>
    <n v="567"/>
    <x v="220"/>
    <x v="0"/>
    <x v="238"/>
    <m/>
    <n v="0.23200000000000001"/>
    <m/>
    <x v="151"/>
    <x v="331"/>
    <m/>
  </r>
  <r>
    <x v="2540"/>
    <x v="3499"/>
    <x v="10"/>
    <x v="1"/>
    <x v="1"/>
    <x v="3"/>
    <x v="10"/>
    <x v="0"/>
    <x v="3465"/>
    <n v="1265"/>
    <x v="204"/>
    <x v="0"/>
    <x v="388"/>
    <m/>
    <n v="0.25"/>
    <m/>
    <x v="154"/>
    <x v="37"/>
    <m/>
  </r>
  <r>
    <x v="2541"/>
    <x v="3500"/>
    <x v="10"/>
    <x v="1"/>
    <x v="1"/>
    <x v="3"/>
    <x v="10"/>
    <x v="0"/>
    <x v="3466"/>
    <n v="597"/>
    <x v="254"/>
    <x v="0"/>
    <x v="197"/>
    <m/>
    <n v="0.184"/>
    <m/>
    <x v="80"/>
    <x v="74"/>
    <m/>
  </r>
  <r>
    <x v="2542"/>
    <x v="3501"/>
    <x v="10"/>
    <x v="1"/>
    <x v="1"/>
    <x v="3"/>
    <x v="10"/>
    <x v="0"/>
    <x v="3467"/>
    <n v="678"/>
    <x v="229"/>
    <x v="0"/>
    <x v="231"/>
    <m/>
    <n v="0.123"/>
    <m/>
    <x v="32"/>
    <x v="180"/>
    <m/>
  </r>
  <r>
    <x v="2543"/>
    <x v="3502"/>
    <x v="10"/>
    <x v="1"/>
    <x v="1"/>
    <x v="3"/>
    <x v="10"/>
    <x v="0"/>
    <x v="3468"/>
    <n v="806"/>
    <x v="225"/>
    <x v="0"/>
    <x v="467"/>
    <m/>
    <n v="0.13400000000000001"/>
    <m/>
    <x v="49"/>
    <x v="93"/>
    <m/>
  </r>
  <r>
    <x v="2544"/>
    <x v="3503"/>
    <x v="10"/>
    <x v="1"/>
    <x v="1"/>
    <x v="3"/>
    <x v="10"/>
    <x v="0"/>
    <x v="3469"/>
    <n v="769"/>
    <x v="215"/>
    <x v="0"/>
    <x v="498"/>
    <m/>
    <n v="0.157"/>
    <m/>
    <x v="6"/>
    <x v="130"/>
    <m/>
  </r>
  <r>
    <x v="2545"/>
    <x v="3504"/>
    <x v="10"/>
    <x v="1"/>
    <x v="1"/>
    <x v="3"/>
    <x v="10"/>
    <x v="0"/>
    <x v="3470"/>
    <n v="1027"/>
    <x v="212"/>
    <x v="0"/>
    <x v="3"/>
    <m/>
    <n v="0.17"/>
    <m/>
    <x v="34"/>
    <x v="153"/>
    <m/>
  </r>
  <r>
    <x v="2546"/>
    <x v="3505"/>
    <x v="10"/>
    <x v="1"/>
    <x v="1"/>
    <x v="3"/>
    <x v="10"/>
    <x v="0"/>
    <x v="3471"/>
    <n v="1245"/>
    <x v="109"/>
    <x v="0"/>
    <x v="339"/>
    <m/>
    <n v="0.155"/>
    <m/>
    <x v="129"/>
    <x v="48"/>
    <m/>
  </r>
  <r>
    <x v="2547"/>
    <x v="3506"/>
    <x v="10"/>
    <x v="1"/>
    <x v="1"/>
    <x v="3"/>
    <x v="10"/>
    <x v="0"/>
    <x v="3472"/>
    <n v="1219"/>
    <x v="43"/>
    <x v="0"/>
    <x v="422"/>
    <m/>
    <n v="0.20100000000000001"/>
    <m/>
    <x v="93"/>
    <x v="42"/>
    <m/>
  </r>
  <r>
    <x v="2548"/>
    <x v="3507"/>
    <x v="7"/>
    <x v="1"/>
    <x v="1"/>
    <x v="3"/>
    <x v="10"/>
    <x v="2"/>
    <x v="3473"/>
    <n v="444"/>
    <x v="0"/>
    <x v="473"/>
    <x v="662"/>
    <n v="0.20200000000000001"/>
    <n v="0.313"/>
    <m/>
    <x v="29"/>
    <x v="104"/>
    <m/>
  </r>
  <r>
    <x v="2548"/>
    <x v="3508"/>
    <x v="7"/>
    <x v="1"/>
    <x v="1"/>
    <x v="3"/>
    <x v="10"/>
    <x v="2"/>
    <x v="3474"/>
    <n v="444"/>
    <x v="0"/>
    <x v="380"/>
    <x v="238"/>
    <n v="1.9E-2"/>
    <n v="0.23200000000000001"/>
    <m/>
    <x v="29"/>
    <x v="104"/>
    <m/>
  </r>
  <r>
    <x v="2548"/>
    <x v="3509"/>
    <x v="8"/>
    <x v="1"/>
    <x v="1"/>
    <x v="3"/>
    <x v="10"/>
    <x v="2"/>
    <x v="3475"/>
    <n v="444"/>
    <x v="0"/>
    <x v="0"/>
    <x v="835"/>
    <m/>
    <n v="0.184"/>
    <m/>
    <x v="29"/>
    <x v="104"/>
    <m/>
  </r>
  <r>
    <x v="2549"/>
    <x v="3510"/>
    <x v="10"/>
    <x v="1"/>
    <x v="1"/>
    <x v="3"/>
    <x v="10"/>
    <x v="1"/>
    <x v="3476"/>
    <n v="926"/>
    <x v="224"/>
    <x v="0"/>
    <x v="391"/>
    <m/>
    <n v="0.216"/>
    <m/>
    <x v="45"/>
    <x v="131"/>
    <m/>
  </r>
  <r>
    <x v="2549"/>
    <x v="3511"/>
    <x v="10"/>
    <x v="1"/>
    <x v="1"/>
    <x v="3"/>
    <x v="10"/>
    <x v="1"/>
    <x v="3477"/>
    <n v="926"/>
    <x v="224"/>
    <x v="0"/>
    <x v="836"/>
    <m/>
    <n v="0.33900000000000002"/>
    <m/>
    <x v="45"/>
    <x v="131"/>
    <m/>
  </r>
  <r>
    <x v="2550"/>
    <x v="3512"/>
    <x v="10"/>
    <x v="1"/>
    <x v="1"/>
    <x v="3"/>
    <x v="10"/>
    <x v="0"/>
    <x v="3478"/>
    <n v="847"/>
    <x v="211"/>
    <x v="0"/>
    <x v="272"/>
    <m/>
    <n v="0.25600000000000001"/>
    <m/>
    <x v="89"/>
    <x v="33"/>
    <m/>
  </r>
  <r>
    <x v="2551"/>
    <x v="3513"/>
    <x v="10"/>
    <x v="1"/>
    <x v="1"/>
    <x v="3"/>
    <x v="10"/>
    <x v="0"/>
    <x v="3479"/>
    <n v="558"/>
    <x v="224"/>
    <x v="0"/>
    <x v="208"/>
    <m/>
    <n v="0.127"/>
    <m/>
    <x v="44"/>
    <x v="3"/>
    <m/>
  </r>
  <r>
    <x v="2552"/>
    <x v="3514"/>
    <x v="10"/>
    <x v="1"/>
    <x v="1"/>
    <x v="3"/>
    <x v="10"/>
    <x v="0"/>
    <x v="3480"/>
    <n v="966"/>
    <x v="207"/>
    <x v="0"/>
    <x v="231"/>
    <m/>
    <n v="0.123"/>
    <m/>
    <x v="129"/>
    <x v="308"/>
    <m/>
  </r>
  <r>
    <x v="2553"/>
    <x v="3515"/>
    <x v="10"/>
    <x v="1"/>
    <x v="1"/>
    <x v="3"/>
    <x v="10"/>
    <x v="0"/>
    <x v="3481"/>
    <n v="995"/>
    <x v="231"/>
    <x v="0"/>
    <x v="604"/>
    <m/>
    <n v="0.27400000000000002"/>
    <m/>
    <x v="30"/>
    <x v="14"/>
    <m/>
  </r>
  <r>
    <x v="2554"/>
    <x v="3516"/>
    <x v="10"/>
    <x v="1"/>
    <x v="1"/>
    <x v="3"/>
    <x v="10"/>
    <x v="0"/>
    <x v="3482"/>
    <n v="623"/>
    <x v="258"/>
    <x v="0"/>
    <x v="361"/>
    <m/>
    <n v="0.20899999999999999"/>
    <m/>
    <x v="96"/>
    <x v="185"/>
    <m/>
  </r>
  <r>
    <x v="2555"/>
    <x v="3517"/>
    <x v="10"/>
    <x v="1"/>
    <x v="1"/>
    <x v="3"/>
    <x v="10"/>
    <x v="0"/>
    <x v="3483"/>
    <n v="771"/>
    <x v="224"/>
    <x v="0"/>
    <x v="269"/>
    <m/>
    <n v="0.20599999999999999"/>
    <m/>
    <x v="53"/>
    <x v="41"/>
    <m/>
  </r>
  <r>
    <x v="2556"/>
    <x v="3518"/>
    <x v="10"/>
    <x v="1"/>
    <x v="1"/>
    <x v="3"/>
    <x v="10"/>
    <x v="0"/>
    <x v="3484"/>
    <n v="879"/>
    <x v="224"/>
    <x v="0"/>
    <x v="587"/>
    <m/>
    <n v="0.153"/>
    <m/>
    <x v="7"/>
    <x v="173"/>
    <m/>
  </r>
  <r>
    <x v="2557"/>
    <x v="3519"/>
    <x v="10"/>
    <x v="1"/>
    <x v="1"/>
    <x v="3"/>
    <x v="10"/>
    <x v="0"/>
    <x v="3485"/>
    <n v="532"/>
    <x v="224"/>
    <x v="0"/>
    <x v="397"/>
    <m/>
    <n v="0.14199999999999999"/>
    <m/>
    <x v="69"/>
    <x v="86"/>
    <m/>
  </r>
  <r>
    <x v="2558"/>
    <x v="3520"/>
    <x v="10"/>
    <x v="1"/>
    <x v="1"/>
    <x v="3"/>
    <x v="10"/>
    <x v="0"/>
    <x v="3486"/>
    <n v="820"/>
    <x v="242"/>
    <x v="0"/>
    <x v="508"/>
    <m/>
    <n v="9.9000000000000005E-2"/>
    <m/>
    <x v="53"/>
    <x v="55"/>
    <m/>
  </r>
  <r>
    <x v="2559"/>
    <x v="3521"/>
    <x v="19"/>
    <x v="1"/>
    <x v="1"/>
    <x v="3"/>
    <x v="10"/>
    <x v="1"/>
    <x v="3487"/>
    <n v="95.9"/>
    <x v="0"/>
    <x v="45"/>
    <x v="799"/>
    <n v="0.01"/>
    <n v="0.14000000000000001"/>
    <m/>
    <x v="25"/>
    <x v="62"/>
    <n v="1.65"/>
  </r>
  <r>
    <x v="2559"/>
    <x v="3522"/>
    <x v="19"/>
    <x v="1"/>
    <x v="0"/>
    <x v="0"/>
    <x v="3"/>
    <x v="1"/>
    <x v="3488"/>
    <n v="95.9"/>
    <x v="0"/>
    <x v="474"/>
    <x v="0"/>
    <n v="3"/>
    <m/>
    <m/>
    <x v="25"/>
    <x v="62"/>
    <n v="1.65"/>
  </r>
  <r>
    <x v="2560"/>
    <x v="3523"/>
    <x v="10"/>
    <x v="1"/>
    <x v="1"/>
    <x v="3"/>
    <x v="10"/>
    <x v="0"/>
    <x v="3489"/>
    <n v="905"/>
    <x v="20"/>
    <x v="0"/>
    <x v="533"/>
    <m/>
    <n v="0.19"/>
    <m/>
    <x v="119"/>
    <x v="107"/>
    <m/>
  </r>
  <r>
    <x v="2561"/>
    <x v="3524"/>
    <x v="10"/>
    <x v="1"/>
    <x v="1"/>
    <x v="3"/>
    <x v="10"/>
    <x v="0"/>
    <x v="3490"/>
    <n v="490"/>
    <x v="207"/>
    <x v="0"/>
    <x v="232"/>
    <m/>
    <n v="0.11899999999999999"/>
    <m/>
    <x v="126"/>
    <x v="130"/>
    <m/>
  </r>
  <r>
    <x v="2562"/>
    <x v="3525"/>
    <x v="10"/>
    <x v="1"/>
    <x v="1"/>
    <x v="3"/>
    <x v="10"/>
    <x v="0"/>
    <x v="3491"/>
    <n v="478"/>
    <x v="207"/>
    <x v="0"/>
    <x v="563"/>
    <m/>
    <n v="0.122"/>
    <m/>
    <x v="122"/>
    <x v="239"/>
    <m/>
  </r>
  <r>
    <x v="2563"/>
    <x v="3526"/>
    <x v="10"/>
    <x v="1"/>
    <x v="1"/>
    <x v="3"/>
    <x v="10"/>
    <x v="0"/>
    <x v="3492"/>
    <n v="922"/>
    <x v="207"/>
    <x v="0"/>
    <x v="584"/>
    <m/>
    <n v="0.219"/>
    <m/>
    <x v="122"/>
    <x v="239"/>
    <m/>
  </r>
  <r>
    <x v="2564"/>
    <x v="3527"/>
    <x v="10"/>
    <x v="1"/>
    <x v="1"/>
    <x v="3"/>
    <x v="10"/>
    <x v="0"/>
    <x v="3493"/>
    <n v="603"/>
    <x v="216"/>
    <x v="0"/>
    <x v="490"/>
    <m/>
    <n v="0.186"/>
    <m/>
    <x v="94"/>
    <x v="57"/>
    <m/>
  </r>
  <r>
    <x v="2565"/>
    <x v="3528"/>
    <x v="10"/>
    <x v="1"/>
    <x v="1"/>
    <x v="3"/>
    <x v="10"/>
    <x v="0"/>
    <x v="3494"/>
    <n v="482"/>
    <x v="44"/>
    <x v="0"/>
    <x v="278"/>
    <m/>
    <n v="0.12"/>
    <m/>
    <x v="110"/>
    <x v="142"/>
    <m/>
  </r>
  <r>
    <x v="2566"/>
    <x v="3529"/>
    <x v="10"/>
    <x v="1"/>
    <x v="1"/>
    <x v="3"/>
    <x v="10"/>
    <x v="0"/>
    <x v="3495"/>
    <n v="687"/>
    <x v="223"/>
    <x v="0"/>
    <x v="218"/>
    <m/>
    <n v="0.129"/>
    <m/>
    <x v="127"/>
    <x v="111"/>
    <m/>
  </r>
  <r>
    <x v="2567"/>
    <x v="3530"/>
    <x v="10"/>
    <x v="1"/>
    <x v="1"/>
    <x v="3"/>
    <x v="10"/>
    <x v="1"/>
    <x v="3496"/>
    <n v="1482"/>
    <x v="109"/>
    <x v="0"/>
    <x v="811"/>
    <m/>
    <n v="0.33200000000000002"/>
    <m/>
    <x v="93"/>
    <x v="147"/>
    <m/>
  </r>
  <r>
    <x v="2567"/>
    <x v="3531"/>
    <x v="10"/>
    <x v="1"/>
    <x v="1"/>
    <x v="3"/>
    <x v="10"/>
    <x v="1"/>
    <x v="3497"/>
    <n v="1482"/>
    <x v="109"/>
    <x v="0"/>
    <x v="344"/>
    <m/>
    <n v="0.23799999999999999"/>
    <m/>
    <x v="93"/>
    <x v="147"/>
    <m/>
  </r>
  <r>
    <x v="2568"/>
    <x v="3532"/>
    <x v="10"/>
    <x v="1"/>
    <x v="1"/>
    <x v="3"/>
    <x v="10"/>
    <x v="0"/>
    <x v="3498"/>
    <n v="861"/>
    <x v="211"/>
    <x v="0"/>
    <x v="476"/>
    <m/>
    <n v="0.19800000000000001"/>
    <m/>
    <x v="127"/>
    <x v="111"/>
    <m/>
  </r>
  <r>
    <x v="2569"/>
    <x v="3533"/>
    <x v="10"/>
    <x v="1"/>
    <x v="1"/>
    <x v="3"/>
    <x v="10"/>
    <x v="0"/>
    <x v="3499"/>
    <n v="1029"/>
    <x v="216"/>
    <x v="0"/>
    <x v="314"/>
    <m/>
    <n v="0.156"/>
    <m/>
    <x v="59"/>
    <x v="131"/>
    <m/>
  </r>
  <r>
    <x v="2570"/>
    <x v="3534"/>
    <x v="19"/>
    <x v="1"/>
    <x v="1"/>
    <x v="3"/>
    <x v="10"/>
    <x v="1"/>
    <x v="3500"/>
    <n v="191"/>
    <x v="106"/>
    <x v="475"/>
    <x v="662"/>
    <n v="3.4000000000000002E-2"/>
    <n v="0.313"/>
    <n v="1.45"/>
    <x v="94"/>
    <x v="153"/>
    <n v="2.9"/>
  </r>
  <r>
    <x v="2570"/>
    <x v="3535"/>
    <x v="19"/>
    <x v="1"/>
    <x v="0"/>
    <x v="0"/>
    <x v="3"/>
    <x v="1"/>
    <x v="3501"/>
    <n v="191"/>
    <x v="106"/>
    <x v="476"/>
    <x v="0"/>
    <n v="9.8360000000000003"/>
    <m/>
    <m/>
    <x v="94"/>
    <x v="153"/>
    <n v="2.9"/>
  </r>
  <r>
    <x v="2571"/>
    <x v="3536"/>
    <x v="10"/>
    <x v="1"/>
    <x v="1"/>
    <x v="3"/>
    <x v="10"/>
    <x v="0"/>
    <x v="3502"/>
    <n v="1317"/>
    <x v="159"/>
    <x v="0"/>
    <x v="798"/>
    <m/>
    <n v="0.29799999999999999"/>
    <m/>
    <x v="54"/>
    <x v="18"/>
    <m/>
  </r>
  <r>
    <x v="2572"/>
    <x v="3537"/>
    <x v="10"/>
    <x v="1"/>
    <x v="1"/>
    <x v="3"/>
    <x v="10"/>
    <x v="0"/>
    <x v="3503"/>
    <n v="1105"/>
    <x v="208"/>
    <x v="0"/>
    <x v="660"/>
    <m/>
    <n v="0.27500000000000002"/>
    <m/>
    <x v="45"/>
    <x v="24"/>
    <m/>
  </r>
  <r>
    <x v="2573"/>
    <x v="3538"/>
    <x v="10"/>
    <x v="1"/>
    <x v="1"/>
    <x v="3"/>
    <x v="10"/>
    <x v="0"/>
    <x v="3504"/>
    <n v="218"/>
    <x v="212"/>
    <x v="0"/>
    <x v="533"/>
    <m/>
    <n v="0.19"/>
    <m/>
    <x v="94"/>
    <x v="91"/>
    <m/>
  </r>
  <r>
    <x v="2574"/>
    <x v="3539"/>
    <x v="10"/>
    <x v="1"/>
    <x v="1"/>
    <x v="3"/>
    <x v="10"/>
    <x v="0"/>
    <x v="3505"/>
    <n v="1239"/>
    <x v="211"/>
    <x v="0"/>
    <x v="837"/>
    <m/>
    <n v="0.52900000000000003"/>
    <m/>
    <x v="89"/>
    <x v="33"/>
    <m/>
  </r>
  <r>
    <x v="2575"/>
    <x v="3540"/>
    <x v="10"/>
    <x v="1"/>
    <x v="1"/>
    <x v="3"/>
    <x v="10"/>
    <x v="0"/>
    <x v="3506"/>
    <n v="1035"/>
    <x v="216"/>
    <x v="0"/>
    <x v="154"/>
    <m/>
    <n v="0.23499999999999999"/>
    <m/>
    <x v="126"/>
    <x v="56"/>
    <m/>
  </r>
  <r>
    <x v="2576"/>
    <x v="3541"/>
    <x v="10"/>
    <x v="1"/>
    <x v="1"/>
    <x v="3"/>
    <x v="10"/>
    <x v="0"/>
    <x v="3507"/>
    <n v="1543"/>
    <x v="216"/>
    <x v="0"/>
    <x v="154"/>
    <m/>
    <n v="0.23499999999999999"/>
    <m/>
    <x v="54"/>
    <x v="193"/>
    <m/>
  </r>
  <r>
    <x v="2577"/>
    <x v="3542"/>
    <x v="10"/>
    <x v="1"/>
    <x v="1"/>
    <x v="3"/>
    <x v="10"/>
    <x v="0"/>
    <x v="3508"/>
    <n v="918"/>
    <x v="212"/>
    <x v="0"/>
    <x v="386"/>
    <m/>
    <n v="0.17199999999999999"/>
    <m/>
    <x v="23"/>
    <x v="3"/>
    <m/>
  </r>
  <r>
    <x v="2578"/>
    <x v="3543"/>
    <x v="10"/>
    <x v="1"/>
    <x v="1"/>
    <x v="3"/>
    <x v="10"/>
    <x v="0"/>
    <x v="3509"/>
    <n v="1188"/>
    <x v="211"/>
    <x v="0"/>
    <x v="478"/>
    <m/>
    <n v="0.20300000000000001"/>
    <m/>
    <x v="3"/>
    <x v="90"/>
    <m/>
  </r>
  <r>
    <x v="2579"/>
    <x v="3544"/>
    <x v="10"/>
    <x v="1"/>
    <x v="1"/>
    <x v="3"/>
    <x v="10"/>
    <x v="0"/>
    <x v="3510"/>
    <n v="884"/>
    <x v="212"/>
    <x v="0"/>
    <x v="381"/>
    <m/>
    <n v="0.16500000000000001"/>
    <m/>
    <x v="50"/>
    <x v="16"/>
    <m/>
  </r>
  <r>
    <x v="2580"/>
    <x v="3545"/>
    <x v="10"/>
    <x v="1"/>
    <x v="1"/>
    <x v="3"/>
    <x v="10"/>
    <x v="0"/>
    <x v="3511"/>
    <n v="572"/>
    <x v="223"/>
    <x v="0"/>
    <x v="217"/>
    <m/>
    <n v="0.26"/>
    <m/>
    <x v="45"/>
    <x v="24"/>
    <m/>
  </r>
  <r>
    <x v="2581"/>
    <x v="3546"/>
    <x v="19"/>
    <x v="1"/>
    <x v="1"/>
    <x v="3"/>
    <x v="10"/>
    <x v="0"/>
    <x v="3512"/>
    <n v="443"/>
    <x v="194"/>
    <x v="477"/>
    <x v="532"/>
    <n v="4.1000000000000002E-2"/>
    <n v="0.30499999999999999"/>
    <n v="1.71"/>
    <x v="4"/>
    <x v="11"/>
    <n v="0.54"/>
  </r>
  <r>
    <x v="2582"/>
    <x v="3547"/>
    <x v="10"/>
    <x v="1"/>
    <x v="1"/>
    <x v="3"/>
    <x v="10"/>
    <x v="0"/>
    <x v="3513"/>
    <n v="1489"/>
    <x v="44"/>
    <x v="0"/>
    <x v="838"/>
    <m/>
    <n v="0.80100000000000005"/>
    <m/>
    <x v="102"/>
    <x v="55"/>
    <m/>
  </r>
  <r>
    <x v="2583"/>
    <x v="3548"/>
    <x v="10"/>
    <x v="1"/>
    <x v="1"/>
    <x v="3"/>
    <x v="10"/>
    <x v="0"/>
    <x v="3514"/>
    <n v="408"/>
    <x v="211"/>
    <x v="0"/>
    <x v="839"/>
    <m/>
    <n v="0.499"/>
    <m/>
    <x v="96"/>
    <x v="142"/>
    <m/>
  </r>
  <r>
    <x v="2584"/>
    <x v="3549"/>
    <x v="10"/>
    <x v="1"/>
    <x v="1"/>
    <x v="3"/>
    <x v="10"/>
    <x v="0"/>
    <x v="3515"/>
    <n v="1167"/>
    <x v="211"/>
    <x v="0"/>
    <x v="840"/>
    <m/>
    <n v="0.68200000000000005"/>
    <m/>
    <x v="57"/>
    <x v="173"/>
    <m/>
  </r>
  <r>
    <x v="2585"/>
    <x v="3550"/>
    <x v="10"/>
    <x v="1"/>
    <x v="1"/>
    <x v="3"/>
    <x v="10"/>
    <x v="1"/>
    <x v="3516"/>
    <n v="240"/>
    <x v="245"/>
    <x v="0"/>
    <x v="602"/>
    <m/>
    <n v="0.376"/>
    <m/>
    <x v="44"/>
    <x v="173"/>
    <m/>
  </r>
  <r>
    <x v="2585"/>
    <x v="3551"/>
    <x v="10"/>
    <x v="1"/>
    <x v="1"/>
    <x v="3"/>
    <x v="10"/>
    <x v="1"/>
    <x v="3517"/>
    <n v="240"/>
    <x v="245"/>
    <x v="0"/>
    <x v="451"/>
    <m/>
    <n v="0.106"/>
    <m/>
    <x v="44"/>
    <x v="173"/>
    <m/>
  </r>
  <r>
    <x v="2586"/>
    <x v="3552"/>
    <x v="10"/>
    <x v="1"/>
    <x v="1"/>
    <x v="3"/>
    <x v="10"/>
    <x v="0"/>
    <x v="3518"/>
    <n v="224"/>
    <x v="225"/>
    <x v="0"/>
    <x v="152"/>
    <m/>
    <n v="0.20699999999999999"/>
    <m/>
    <x v="58"/>
    <x v="153"/>
    <m/>
  </r>
  <r>
    <x v="2587"/>
    <x v="3553"/>
    <x v="10"/>
    <x v="1"/>
    <x v="1"/>
    <x v="3"/>
    <x v="10"/>
    <x v="0"/>
    <x v="3519"/>
    <n v="637"/>
    <x v="224"/>
    <x v="0"/>
    <x v="290"/>
    <m/>
    <n v="0.27900000000000003"/>
    <m/>
    <x v="45"/>
    <x v="239"/>
    <m/>
  </r>
  <r>
    <x v="2588"/>
    <x v="3554"/>
    <x v="10"/>
    <x v="1"/>
    <x v="1"/>
    <x v="3"/>
    <x v="10"/>
    <x v="0"/>
    <x v="3520"/>
    <n v="631"/>
    <x v="242"/>
    <x v="0"/>
    <x v="343"/>
    <m/>
    <n v="0.26800000000000002"/>
    <m/>
    <x v="32"/>
    <x v="180"/>
    <m/>
  </r>
  <r>
    <x v="2589"/>
    <x v="3555"/>
    <x v="10"/>
    <x v="1"/>
    <x v="1"/>
    <x v="3"/>
    <x v="10"/>
    <x v="0"/>
    <x v="3521"/>
    <n v="749"/>
    <x v="237"/>
    <x v="0"/>
    <x v="440"/>
    <m/>
    <n v="0.49099999999999999"/>
    <m/>
    <x v="94"/>
    <x v="91"/>
    <m/>
  </r>
  <r>
    <x v="2590"/>
    <x v="3556"/>
    <x v="10"/>
    <x v="1"/>
    <x v="1"/>
    <x v="3"/>
    <x v="10"/>
    <x v="0"/>
    <x v="3522"/>
    <n v="467"/>
    <x v="224"/>
    <x v="0"/>
    <x v="197"/>
    <m/>
    <n v="0.184"/>
    <m/>
    <x v="21"/>
    <x v="24"/>
    <m/>
  </r>
  <r>
    <x v="2591"/>
    <x v="3557"/>
    <x v="10"/>
    <x v="1"/>
    <x v="1"/>
    <x v="3"/>
    <x v="10"/>
    <x v="0"/>
    <x v="3523"/>
    <n v="1003"/>
    <x v="162"/>
    <x v="0"/>
    <x v="841"/>
    <m/>
    <n v="0.39100000000000001"/>
    <m/>
    <x v="171"/>
    <x v="332"/>
    <m/>
  </r>
  <r>
    <x v="2592"/>
    <x v="3558"/>
    <x v="19"/>
    <x v="1"/>
    <x v="1"/>
    <x v="3"/>
    <x v="10"/>
    <x v="0"/>
    <x v="3524"/>
    <n v="134"/>
    <x v="20"/>
    <x v="478"/>
    <x v="344"/>
    <n v="2.7E-2"/>
    <n v="0.23799999999999999"/>
    <n v="2.2599999999999998"/>
    <x v="57"/>
    <x v="55"/>
    <n v="1.54"/>
  </r>
  <r>
    <x v="2593"/>
    <x v="3559"/>
    <x v="10"/>
    <x v="1"/>
    <x v="1"/>
    <x v="3"/>
    <x v="10"/>
    <x v="0"/>
    <x v="3525"/>
    <n v="298"/>
    <x v="159"/>
    <x v="0"/>
    <x v="235"/>
    <m/>
    <n v="0.20399999999999999"/>
    <m/>
    <x v="96"/>
    <x v="185"/>
    <m/>
  </r>
  <r>
    <x v="2594"/>
    <x v="3560"/>
    <x v="10"/>
    <x v="1"/>
    <x v="1"/>
    <x v="3"/>
    <x v="10"/>
    <x v="0"/>
    <x v="3526"/>
    <n v="607"/>
    <x v="232"/>
    <x v="0"/>
    <x v="330"/>
    <m/>
    <n v="0.22700000000000001"/>
    <m/>
    <x v="50"/>
    <x v="52"/>
    <m/>
  </r>
  <r>
    <x v="2595"/>
    <x v="3561"/>
    <x v="10"/>
    <x v="1"/>
    <x v="1"/>
    <x v="3"/>
    <x v="10"/>
    <x v="0"/>
    <x v="3527"/>
    <n v="439"/>
    <x v="155"/>
    <x v="0"/>
    <x v="206"/>
    <m/>
    <n v="0.17599999999999999"/>
    <m/>
    <x v="89"/>
    <x v="24"/>
    <m/>
  </r>
  <r>
    <x v="2596"/>
    <x v="3562"/>
    <x v="10"/>
    <x v="1"/>
    <x v="1"/>
    <x v="3"/>
    <x v="10"/>
    <x v="0"/>
    <x v="3528"/>
    <n v="786"/>
    <x v="208"/>
    <x v="0"/>
    <x v="222"/>
    <m/>
    <n v="0.23699999999999999"/>
    <m/>
    <x v="21"/>
    <x v="90"/>
    <m/>
  </r>
  <r>
    <x v="2597"/>
    <x v="3563"/>
    <x v="10"/>
    <x v="1"/>
    <x v="1"/>
    <x v="3"/>
    <x v="10"/>
    <x v="0"/>
    <x v="3529"/>
    <n v="478"/>
    <x v="264"/>
    <x v="0"/>
    <x v="333"/>
    <m/>
    <n v="0.189"/>
    <m/>
    <x v="89"/>
    <x v="239"/>
    <m/>
  </r>
  <r>
    <x v="2598"/>
    <x v="3564"/>
    <x v="10"/>
    <x v="1"/>
    <x v="1"/>
    <x v="3"/>
    <x v="10"/>
    <x v="0"/>
    <x v="3530"/>
    <n v="618"/>
    <x v="73"/>
    <x v="0"/>
    <x v="585"/>
    <m/>
    <n v="0.30199999999999999"/>
    <m/>
    <x v="52"/>
    <x v="180"/>
    <m/>
  </r>
  <r>
    <x v="2599"/>
    <x v="3565"/>
    <x v="10"/>
    <x v="1"/>
    <x v="1"/>
    <x v="3"/>
    <x v="10"/>
    <x v="0"/>
    <x v="3531"/>
    <n v="773"/>
    <x v="208"/>
    <x v="0"/>
    <x v="784"/>
    <m/>
    <n v="0.36799999999999999"/>
    <m/>
    <x v="102"/>
    <x v="55"/>
    <m/>
  </r>
  <r>
    <x v="2600"/>
    <x v="3566"/>
    <x v="10"/>
    <x v="1"/>
    <x v="1"/>
    <x v="3"/>
    <x v="10"/>
    <x v="1"/>
    <x v="3532"/>
    <n v="499"/>
    <x v="286"/>
    <x v="0"/>
    <x v="338"/>
    <m/>
    <n v="0.21"/>
    <m/>
    <x v="97"/>
    <x v="292"/>
    <m/>
  </r>
  <r>
    <x v="2600"/>
    <x v="3567"/>
    <x v="10"/>
    <x v="1"/>
    <x v="1"/>
    <x v="3"/>
    <x v="10"/>
    <x v="1"/>
    <x v="3533"/>
    <n v="499"/>
    <x v="286"/>
    <x v="0"/>
    <x v="527"/>
    <m/>
    <n v="0.32600000000000001"/>
    <m/>
    <x v="97"/>
    <x v="292"/>
    <m/>
  </r>
  <r>
    <x v="2601"/>
    <x v="3568"/>
    <x v="10"/>
    <x v="1"/>
    <x v="1"/>
    <x v="3"/>
    <x v="10"/>
    <x v="1"/>
    <x v="3534"/>
    <n v="312"/>
    <x v="235"/>
    <x v="0"/>
    <x v="184"/>
    <m/>
    <n v="0.17799999999999999"/>
    <m/>
    <x v="99"/>
    <x v="86"/>
    <m/>
  </r>
  <r>
    <x v="2601"/>
    <x v="3569"/>
    <x v="10"/>
    <x v="1"/>
    <x v="1"/>
    <x v="3"/>
    <x v="10"/>
    <x v="1"/>
    <x v="3535"/>
    <n v="312"/>
    <x v="235"/>
    <x v="0"/>
    <x v="529"/>
    <m/>
    <n v="0.151"/>
    <m/>
    <x v="99"/>
    <x v="86"/>
    <m/>
  </r>
  <r>
    <x v="2602"/>
    <x v="3570"/>
    <x v="10"/>
    <x v="1"/>
    <x v="1"/>
    <x v="3"/>
    <x v="10"/>
    <x v="1"/>
    <x v="3536"/>
    <n v="411"/>
    <x v="255"/>
    <x v="0"/>
    <x v="46"/>
    <m/>
    <n v="0.185"/>
    <m/>
    <x v="127"/>
    <x v="92"/>
    <m/>
  </r>
  <r>
    <x v="2602"/>
    <x v="3571"/>
    <x v="10"/>
    <x v="1"/>
    <x v="1"/>
    <x v="3"/>
    <x v="10"/>
    <x v="1"/>
    <x v="3537"/>
    <n v="411"/>
    <x v="255"/>
    <x v="0"/>
    <x v="216"/>
    <m/>
    <n v="8.7999999999999995E-2"/>
    <m/>
    <x v="127"/>
    <x v="92"/>
    <m/>
  </r>
  <r>
    <x v="2603"/>
    <x v="3572"/>
    <x v="19"/>
    <x v="1"/>
    <x v="1"/>
    <x v="3"/>
    <x v="10"/>
    <x v="1"/>
    <x v="3538"/>
    <n v="393"/>
    <x v="294"/>
    <x v="479"/>
    <x v="493"/>
    <n v="1.0999999999999999E-2"/>
    <n v="0.13200000000000001"/>
    <n v="5.44"/>
    <x v="23"/>
    <x v="62"/>
    <n v="1.53"/>
  </r>
  <r>
    <x v="2603"/>
    <x v="3573"/>
    <x v="19"/>
    <x v="1"/>
    <x v="0"/>
    <x v="0"/>
    <x v="3"/>
    <x v="1"/>
    <x v="3539"/>
    <n v="393"/>
    <x v="294"/>
    <x v="480"/>
    <x v="0"/>
    <n v="1.08"/>
    <m/>
    <m/>
    <x v="23"/>
    <x v="62"/>
    <n v="1.53"/>
  </r>
  <r>
    <x v="2604"/>
    <x v="3574"/>
    <x v="10"/>
    <x v="1"/>
    <x v="1"/>
    <x v="3"/>
    <x v="10"/>
    <x v="0"/>
    <x v="3540"/>
    <n v="350"/>
    <x v="207"/>
    <x v="0"/>
    <x v="412"/>
    <m/>
    <n v="0.247"/>
    <m/>
    <x v="37"/>
    <x v="282"/>
    <m/>
  </r>
  <r>
    <x v="2605"/>
    <x v="3575"/>
    <x v="10"/>
    <x v="1"/>
    <x v="1"/>
    <x v="3"/>
    <x v="10"/>
    <x v="0"/>
    <x v="3541"/>
    <n v="345"/>
    <x v="216"/>
    <x v="0"/>
    <x v="533"/>
    <m/>
    <n v="0.19"/>
    <m/>
    <x v="59"/>
    <x v="131"/>
    <m/>
  </r>
  <r>
    <x v="2606"/>
    <x v="3576"/>
    <x v="10"/>
    <x v="1"/>
    <x v="1"/>
    <x v="3"/>
    <x v="10"/>
    <x v="0"/>
    <x v="3542"/>
    <n v="1304"/>
    <x v="232"/>
    <x v="0"/>
    <x v="733"/>
    <m/>
    <n v="0.41499999999999998"/>
    <m/>
    <x v="93"/>
    <x v="147"/>
    <m/>
  </r>
  <r>
    <x v="2607"/>
    <x v="3577"/>
    <x v="10"/>
    <x v="1"/>
    <x v="1"/>
    <x v="3"/>
    <x v="10"/>
    <x v="0"/>
    <x v="3543"/>
    <n v="297"/>
    <x v="249"/>
    <x v="0"/>
    <x v="186"/>
    <m/>
    <n v="0.17499999999999999"/>
    <m/>
    <x v="126"/>
    <x v="202"/>
    <m/>
  </r>
  <r>
    <x v="2608"/>
    <x v="3578"/>
    <x v="10"/>
    <x v="1"/>
    <x v="1"/>
    <x v="3"/>
    <x v="10"/>
    <x v="0"/>
    <x v="3544"/>
    <n v="121"/>
    <x v="224"/>
    <x v="0"/>
    <x v="220"/>
    <m/>
    <n v="0.14000000000000001"/>
    <m/>
    <x v="85"/>
    <x v="70"/>
    <m/>
  </r>
  <r>
    <x v="2609"/>
    <x v="3579"/>
    <x v="10"/>
    <x v="1"/>
    <x v="1"/>
    <x v="3"/>
    <x v="10"/>
    <x v="0"/>
    <x v="3545"/>
    <n v="404"/>
    <x v="218"/>
    <x v="0"/>
    <x v="493"/>
    <m/>
    <n v="0.13200000000000001"/>
    <m/>
    <x v="34"/>
    <x v="91"/>
    <m/>
  </r>
  <r>
    <x v="2610"/>
    <x v="3580"/>
    <x v="10"/>
    <x v="1"/>
    <x v="1"/>
    <x v="3"/>
    <x v="10"/>
    <x v="0"/>
    <x v="3546"/>
    <n v="1020"/>
    <x v="207"/>
    <x v="0"/>
    <x v="177"/>
    <m/>
    <n v="0.35299999999999998"/>
    <m/>
    <x v="122"/>
    <x v="56"/>
    <m/>
  </r>
  <r>
    <x v="2611"/>
    <x v="3581"/>
    <x v="10"/>
    <x v="1"/>
    <x v="1"/>
    <x v="3"/>
    <x v="10"/>
    <x v="0"/>
    <x v="3547"/>
    <n v="664"/>
    <x v="223"/>
    <x v="0"/>
    <x v="727"/>
    <m/>
    <n v="0.23400000000000001"/>
    <m/>
    <x v="122"/>
    <x v="56"/>
    <m/>
  </r>
  <r>
    <x v="2612"/>
    <x v="3582"/>
    <x v="10"/>
    <x v="1"/>
    <x v="1"/>
    <x v="3"/>
    <x v="10"/>
    <x v="0"/>
    <x v="3548"/>
    <n v="624"/>
    <x v="159"/>
    <x v="0"/>
    <x v="539"/>
    <m/>
    <n v="0.26700000000000002"/>
    <m/>
    <x v="154"/>
    <x v="121"/>
    <m/>
  </r>
  <r>
    <x v="2613"/>
    <x v="3583"/>
    <x v="10"/>
    <x v="1"/>
    <x v="1"/>
    <x v="3"/>
    <x v="10"/>
    <x v="0"/>
    <x v="3549"/>
    <n v="606"/>
    <x v="223"/>
    <x v="0"/>
    <x v="394"/>
    <m/>
    <n v="0.24299999999999999"/>
    <m/>
    <x v="122"/>
    <x v="56"/>
    <m/>
  </r>
  <r>
    <x v="2614"/>
    <x v="3584"/>
    <x v="19"/>
    <x v="1"/>
    <x v="1"/>
    <x v="3"/>
    <x v="10"/>
    <x v="0"/>
    <x v="3550"/>
    <n v="390"/>
    <x v="295"/>
    <x v="481"/>
    <x v="236"/>
    <n v="1.0999999999999999E-2"/>
    <n v="0.17799999999999999"/>
    <n v="2.1800000000000002"/>
    <x v="7"/>
    <x v="37"/>
    <n v="1.1200000000000001"/>
  </r>
  <r>
    <x v="2615"/>
    <x v="3585"/>
    <x v="10"/>
    <x v="1"/>
    <x v="1"/>
    <x v="3"/>
    <x v="10"/>
    <x v="0"/>
    <x v="3551"/>
    <n v="804"/>
    <x v="220"/>
    <x v="0"/>
    <x v="344"/>
    <m/>
    <n v="0.23799999999999999"/>
    <m/>
    <x v="52"/>
    <x v="124"/>
    <m/>
  </r>
  <r>
    <x v="2616"/>
    <x v="3586"/>
    <x v="10"/>
    <x v="1"/>
    <x v="1"/>
    <x v="3"/>
    <x v="10"/>
    <x v="0"/>
    <x v="3552"/>
    <n v="913"/>
    <x v="208"/>
    <x v="0"/>
    <x v="269"/>
    <m/>
    <n v="0.20599999999999999"/>
    <m/>
    <x v="17"/>
    <x v="18"/>
    <m/>
  </r>
  <r>
    <x v="2617"/>
    <x v="3587"/>
    <x v="10"/>
    <x v="1"/>
    <x v="1"/>
    <x v="3"/>
    <x v="10"/>
    <x v="0"/>
    <x v="3553"/>
    <n v="702"/>
    <x v="220"/>
    <x v="0"/>
    <x v="422"/>
    <m/>
    <n v="0.20100000000000001"/>
    <m/>
    <x v="56"/>
    <x v="145"/>
    <m/>
  </r>
  <r>
    <x v="2618"/>
    <x v="3588"/>
    <x v="10"/>
    <x v="1"/>
    <x v="1"/>
    <x v="3"/>
    <x v="10"/>
    <x v="0"/>
    <x v="3554"/>
    <n v="655"/>
    <x v="106"/>
    <x v="0"/>
    <x v="479"/>
    <m/>
    <n v="0.21099999999999999"/>
    <m/>
    <x v="47"/>
    <x v="29"/>
    <m/>
  </r>
  <r>
    <x v="2619"/>
    <x v="3589"/>
    <x v="10"/>
    <x v="1"/>
    <x v="1"/>
    <x v="3"/>
    <x v="10"/>
    <x v="0"/>
    <x v="3555"/>
    <n v="461"/>
    <x v="229"/>
    <x v="0"/>
    <x v="333"/>
    <m/>
    <n v="0.189"/>
    <m/>
    <x v="50"/>
    <x v="3"/>
    <m/>
  </r>
  <r>
    <x v="2620"/>
    <x v="3590"/>
    <x v="10"/>
    <x v="1"/>
    <x v="1"/>
    <x v="3"/>
    <x v="10"/>
    <x v="0"/>
    <x v="3556"/>
    <n v="741"/>
    <x v="225"/>
    <x v="0"/>
    <x v="363"/>
    <m/>
    <n v="0.26600000000000001"/>
    <m/>
    <x v="21"/>
    <x v="131"/>
    <m/>
  </r>
  <r>
    <x v="2621"/>
    <x v="3591"/>
    <x v="10"/>
    <x v="1"/>
    <x v="1"/>
    <x v="3"/>
    <x v="10"/>
    <x v="0"/>
    <x v="3557"/>
    <n v="563"/>
    <x v="210"/>
    <x v="0"/>
    <x v="479"/>
    <m/>
    <n v="0.21099999999999999"/>
    <m/>
    <x v="50"/>
    <x v="62"/>
    <m/>
  </r>
  <r>
    <x v="2622"/>
    <x v="3592"/>
    <x v="10"/>
    <x v="1"/>
    <x v="1"/>
    <x v="3"/>
    <x v="10"/>
    <x v="0"/>
    <x v="3558"/>
    <n v="936"/>
    <x v="236"/>
    <x v="0"/>
    <x v="514"/>
    <m/>
    <n v="0.29099999999999998"/>
    <m/>
    <x v="54"/>
    <x v="33"/>
    <m/>
  </r>
  <r>
    <x v="2623"/>
    <x v="3593"/>
    <x v="10"/>
    <x v="1"/>
    <x v="1"/>
    <x v="3"/>
    <x v="10"/>
    <x v="0"/>
    <x v="3559"/>
    <n v="248"/>
    <x v="204"/>
    <x v="0"/>
    <x v="46"/>
    <m/>
    <n v="0.185"/>
    <m/>
    <x v="87"/>
    <x v="81"/>
    <m/>
  </r>
  <r>
    <x v="2624"/>
    <x v="3594"/>
    <x v="10"/>
    <x v="1"/>
    <x v="1"/>
    <x v="3"/>
    <x v="10"/>
    <x v="0"/>
    <x v="3560"/>
    <n v="484"/>
    <x v="207"/>
    <x v="0"/>
    <x v="481"/>
    <m/>
    <n v="0.19700000000000001"/>
    <m/>
    <x v="58"/>
    <x v="202"/>
    <m/>
  </r>
  <r>
    <x v="2625"/>
    <x v="3595"/>
    <x v="19"/>
    <x v="1"/>
    <x v="1"/>
    <x v="3"/>
    <x v="10"/>
    <x v="0"/>
    <x v="3561"/>
    <n v="210"/>
    <x v="296"/>
    <x v="482"/>
    <x v="493"/>
    <n v="1.9E-2"/>
    <n v="0.13200000000000001"/>
    <n v="10.9"/>
    <x v="137"/>
    <x v="142"/>
    <n v="2.86"/>
  </r>
  <r>
    <x v="2626"/>
    <x v="3596"/>
    <x v="10"/>
    <x v="1"/>
    <x v="1"/>
    <x v="3"/>
    <x v="10"/>
    <x v="1"/>
    <x v="3562"/>
    <n v="933"/>
    <x v="220"/>
    <x v="0"/>
    <x v="238"/>
    <m/>
    <n v="0.23200000000000001"/>
    <m/>
    <x v="52"/>
    <x v="29"/>
    <m/>
  </r>
  <r>
    <x v="2626"/>
    <x v="3597"/>
    <x v="10"/>
    <x v="1"/>
    <x v="1"/>
    <x v="3"/>
    <x v="10"/>
    <x v="1"/>
    <x v="3563"/>
    <n v="933"/>
    <x v="220"/>
    <x v="0"/>
    <x v="544"/>
    <m/>
    <n v="0.13600000000000001"/>
    <m/>
    <x v="52"/>
    <x v="29"/>
    <m/>
  </r>
  <r>
    <x v="2627"/>
    <x v="3598"/>
    <x v="10"/>
    <x v="1"/>
    <x v="1"/>
    <x v="3"/>
    <x v="10"/>
    <x v="0"/>
    <x v="3564"/>
    <n v="370"/>
    <x v="242"/>
    <x v="0"/>
    <x v="198"/>
    <m/>
    <n v="0.22700000000000001"/>
    <m/>
    <x v="191"/>
    <x v="74"/>
    <m/>
  </r>
  <r>
    <x v="2628"/>
    <x v="3599"/>
    <x v="10"/>
    <x v="1"/>
    <x v="1"/>
    <x v="3"/>
    <x v="10"/>
    <x v="0"/>
    <x v="3565"/>
    <n v="268"/>
    <x v="43"/>
    <x v="0"/>
    <x v="44"/>
    <m/>
    <n v="0.14499999999999999"/>
    <m/>
    <x v="34"/>
    <x v="36"/>
    <m/>
  </r>
  <r>
    <x v="2629"/>
    <x v="3600"/>
    <x v="10"/>
    <x v="1"/>
    <x v="1"/>
    <x v="3"/>
    <x v="10"/>
    <x v="0"/>
    <x v="3566"/>
    <n v="298"/>
    <x v="218"/>
    <x v="0"/>
    <x v="576"/>
    <m/>
    <n v="0.26500000000000001"/>
    <m/>
    <x v="40"/>
    <x v="80"/>
    <m/>
  </r>
  <r>
    <x v="2630"/>
    <x v="3601"/>
    <x v="10"/>
    <x v="1"/>
    <x v="1"/>
    <x v="3"/>
    <x v="10"/>
    <x v="0"/>
    <x v="3567"/>
    <n v="170"/>
    <x v="109"/>
    <x v="0"/>
    <x v="492"/>
    <m/>
    <n v="0.14299999999999999"/>
    <m/>
    <x v="92"/>
    <x v="80"/>
    <m/>
  </r>
  <r>
    <x v="2631"/>
    <x v="3602"/>
    <x v="10"/>
    <x v="1"/>
    <x v="1"/>
    <x v="3"/>
    <x v="10"/>
    <x v="0"/>
    <x v="3568"/>
    <n v="659"/>
    <x v="227"/>
    <x v="0"/>
    <x v="596"/>
    <m/>
    <n v="0.24099999999999999"/>
    <m/>
    <x v="134"/>
    <x v="292"/>
    <m/>
  </r>
  <r>
    <x v="2632"/>
    <x v="3603"/>
    <x v="10"/>
    <x v="1"/>
    <x v="1"/>
    <x v="3"/>
    <x v="10"/>
    <x v="0"/>
    <x v="3569"/>
    <n v="1098"/>
    <x v="159"/>
    <x v="0"/>
    <x v="35"/>
    <m/>
    <n v="0.17699999999999999"/>
    <m/>
    <x v="25"/>
    <x v="48"/>
    <m/>
  </r>
  <r>
    <x v="2633"/>
    <x v="3604"/>
    <x v="10"/>
    <x v="1"/>
    <x v="1"/>
    <x v="3"/>
    <x v="10"/>
    <x v="0"/>
    <x v="3570"/>
    <n v="470"/>
    <x v="159"/>
    <x v="0"/>
    <x v="554"/>
    <m/>
    <n v="0.121"/>
    <m/>
    <x v="84"/>
    <x v="53"/>
    <m/>
  </r>
  <r>
    <x v="2634"/>
    <x v="3605"/>
    <x v="10"/>
    <x v="1"/>
    <x v="1"/>
    <x v="3"/>
    <x v="10"/>
    <x v="0"/>
    <x v="3571"/>
    <n v="996"/>
    <x v="222"/>
    <x v="0"/>
    <x v="152"/>
    <m/>
    <n v="0.20699999999999999"/>
    <m/>
    <x v="20"/>
    <x v="201"/>
    <m/>
  </r>
  <r>
    <x v="2635"/>
    <x v="3606"/>
    <x v="10"/>
    <x v="1"/>
    <x v="1"/>
    <x v="3"/>
    <x v="10"/>
    <x v="0"/>
    <x v="3572"/>
    <n v="568"/>
    <x v="231"/>
    <x v="0"/>
    <x v="361"/>
    <m/>
    <n v="0.20899999999999999"/>
    <m/>
    <x v="51"/>
    <x v="46"/>
    <m/>
  </r>
  <r>
    <x v="2636"/>
    <x v="3607"/>
    <x v="17"/>
    <x v="0"/>
    <x v="0"/>
    <x v="3"/>
    <x v="23"/>
    <x v="1"/>
    <x v="3573"/>
    <n v="12.47"/>
    <x v="30"/>
    <x v="483"/>
    <x v="842"/>
    <n v="2.196E-2"/>
    <n v="0.154"/>
    <n v="7.5"/>
    <x v="67"/>
    <x v="63"/>
    <m/>
  </r>
  <r>
    <x v="2636"/>
    <x v="3608"/>
    <x v="5"/>
    <x v="0"/>
    <x v="2"/>
    <x v="3"/>
    <x v="4"/>
    <x v="1"/>
    <x v="3574"/>
    <n v="12.47"/>
    <x v="30"/>
    <x v="484"/>
    <x v="843"/>
    <n v="5.6899999999999997E-3"/>
    <n v="0.114"/>
    <n v="4.7"/>
    <x v="67"/>
    <x v="63"/>
    <m/>
  </r>
  <r>
    <x v="2637"/>
    <x v="3609"/>
    <x v="20"/>
    <x v="0"/>
    <x v="1"/>
    <x v="3"/>
    <x v="24"/>
    <x v="0"/>
    <x v="3575"/>
    <n v="14.9"/>
    <x v="0"/>
    <x v="0"/>
    <x v="844"/>
    <m/>
    <n v="0.11600000000000001"/>
    <m/>
    <x v="68"/>
    <x v="66"/>
    <n v="31.73"/>
  </r>
  <r>
    <x v="2638"/>
    <x v="3610"/>
    <x v="8"/>
    <x v="0"/>
    <x v="0"/>
    <x v="1"/>
    <x v="40"/>
    <x v="1"/>
    <x v="6"/>
    <n v="158.87"/>
    <x v="0"/>
    <x v="0"/>
    <x v="0"/>
    <m/>
    <m/>
    <m/>
    <x v="29"/>
    <x v="6"/>
    <m/>
  </r>
  <r>
    <x v="2638"/>
    <x v="3611"/>
    <x v="8"/>
    <x v="0"/>
    <x v="0"/>
    <x v="1"/>
    <x v="40"/>
    <x v="1"/>
    <x v="6"/>
    <n v="158.87"/>
    <x v="0"/>
    <x v="0"/>
    <x v="0"/>
    <m/>
    <m/>
    <m/>
    <x v="29"/>
    <x v="6"/>
    <m/>
  </r>
  <r>
    <x v="2639"/>
    <x v="3612"/>
    <x v="0"/>
    <x v="0"/>
    <x v="0"/>
    <x v="3"/>
    <x v="4"/>
    <x v="0"/>
    <x v="3576"/>
    <n v="2000"/>
    <x v="0"/>
    <x v="485"/>
    <x v="845"/>
    <n v="0.81"/>
    <n v="0.89"/>
    <n v="1.4"/>
    <x v="122"/>
    <x v="92"/>
    <m/>
  </r>
  <r>
    <x v="2640"/>
    <x v="3613"/>
    <x v="17"/>
    <x v="0"/>
    <x v="0"/>
    <x v="3"/>
    <x v="4"/>
    <x v="0"/>
    <x v="3577"/>
    <n v="188.7"/>
    <x v="40"/>
    <x v="245"/>
    <x v="111"/>
    <n v="3.7"/>
    <n v="1.5"/>
    <n v="1.5"/>
    <x v="170"/>
    <x v="333"/>
    <n v="0.33"/>
  </r>
  <r>
    <x v="2641"/>
    <x v="3614"/>
    <x v="2"/>
    <x v="0"/>
    <x v="0"/>
    <x v="7"/>
    <x v="41"/>
    <x v="0"/>
    <x v="6"/>
    <n v="1000"/>
    <x v="0"/>
    <x v="486"/>
    <x v="0"/>
    <n v="0.01"/>
    <m/>
    <m/>
    <x v="207"/>
    <x v="6"/>
    <m/>
  </r>
  <r>
    <x v="2642"/>
    <x v="3615"/>
    <x v="2"/>
    <x v="0"/>
    <x v="0"/>
    <x v="7"/>
    <x v="41"/>
    <x v="0"/>
    <x v="6"/>
    <n v="5800"/>
    <x v="0"/>
    <x v="487"/>
    <x v="0"/>
    <n v="0.83"/>
    <m/>
    <m/>
    <x v="86"/>
    <x v="6"/>
    <m/>
  </r>
  <r>
    <x v="2643"/>
    <x v="3616"/>
    <x v="1"/>
    <x v="0"/>
    <x v="0"/>
    <x v="7"/>
    <x v="41"/>
    <x v="0"/>
    <x v="6"/>
    <n v="7700"/>
    <x v="0"/>
    <x v="488"/>
    <x v="0"/>
    <n v="7.3620000000000005E-2"/>
    <m/>
    <m/>
    <x v="208"/>
    <x v="6"/>
    <m/>
  </r>
  <r>
    <x v="2644"/>
    <x v="3617"/>
    <x v="7"/>
    <x v="0"/>
    <x v="0"/>
    <x v="7"/>
    <x v="41"/>
    <x v="0"/>
    <x v="6"/>
    <n v="3300"/>
    <x v="0"/>
    <x v="374"/>
    <x v="0"/>
    <n v="4.0999999999999996"/>
    <m/>
    <m/>
    <x v="92"/>
    <x v="6"/>
    <m/>
  </r>
  <r>
    <x v="2645"/>
    <x v="3618"/>
    <x v="14"/>
    <x v="0"/>
    <x v="0"/>
    <x v="7"/>
    <x v="41"/>
    <x v="0"/>
    <x v="3578"/>
    <n v="3040"/>
    <x v="0"/>
    <x v="489"/>
    <x v="0"/>
    <n v="3.3000000000000002E-2"/>
    <m/>
    <m/>
    <x v="92"/>
    <x v="6"/>
    <m/>
  </r>
  <r>
    <x v="2646"/>
    <x v="3619"/>
    <x v="6"/>
    <x v="0"/>
    <x v="0"/>
    <x v="7"/>
    <x v="41"/>
    <x v="0"/>
    <x v="6"/>
    <n v="6100"/>
    <x v="0"/>
    <x v="490"/>
    <x v="0"/>
    <n v="0.16"/>
    <m/>
    <m/>
    <x v="189"/>
    <x v="6"/>
    <m/>
  </r>
  <r>
    <x v="2647"/>
    <x v="3620"/>
    <x v="6"/>
    <x v="0"/>
    <x v="0"/>
    <x v="7"/>
    <x v="41"/>
    <x v="0"/>
    <x v="3579"/>
    <n v="5690"/>
    <x v="0"/>
    <x v="491"/>
    <x v="0"/>
    <n v="2.56"/>
    <m/>
    <m/>
    <x v="209"/>
    <x v="6"/>
    <m/>
  </r>
  <r>
    <x v="2648"/>
    <x v="3621"/>
    <x v="15"/>
    <x v="0"/>
    <x v="0"/>
    <x v="7"/>
    <x v="41"/>
    <x v="0"/>
    <x v="6"/>
    <n v="2800"/>
    <x v="0"/>
    <x v="51"/>
    <x v="0"/>
    <n v="11"/>
    <m/>
    <m/>
    <x v="75"/>
    <x v="6"/>
    <m/>
  </r>
  <r>
    <x v="2649"/>
    <x v="3622"/>
    <x v="5"/>
    <x v="0"/>
    <x v="0"/>
    <x v="7"/>
    <x v="41"/>
    <x v="0"/>
    <x v="6"/>
    <n v="3500"/>
    <x v="0"/>
    <x v="492"/>
    <x v="0"/>
    <n v="0.54"/>
    <m/>
    <m/>
    <x v="101"/>
    <x v="6"/>
    <m/>
  </r>
  <r>
    <x v="2650"/>
    <x v="3623"/>
    <x v="7"/>
    <x v="0"/>
    <x v="0"/>
    <x v="7"/>
    <x v="41"/>
    <x v="0"/>
    <x v="6"/>
    <n v="810"/>
    <x v="0"/>
    <x v="493"/>
    <x v="0"/>
    <n v="2.895E-2"/>
    <m/>
    <m/>
    <x v="10"/>
    <x v="6"/>
    <m/>
  </r>
  <r>
    <x v="2651"/>
    <x v="3624"/>
    <x v="8"/>
    <x v="0"/>
    <x v="0"/>
    <x v="7"/>
    <x v="41"/>
    <x v="0"/>
    <x v="6"/>
    <n v="6430"/>
    <x v="0"/>
    <x v="494"/>
    <x v="0"/>
    <n v="0.27"/>
    <m/>
    <m/>
    <x v="67"/>
    <x v="6"/>
    <m/>
  </r>
  <r>
    <x v="2652"/>
    <x v="3625"/>
    <x v="15"/>
    <x v="0"/>
    <x v="0"/>
    <x v="7"/>
    <x v="41"/>
    <x v="0"/>
    <x v="6"/>
    <n v="2300"/>
    <x v="0"/>
    <x v="495"/>
    <x v="0"/>
    <n v="1.5"/>
    <m/>
    <m/>
    <x v="150"/>
    <x v="6"/>
    <m/>
  </r>
  <r>
    <x v="2653"/>
    <x v="3626"/>
    <x v="10"/>
    <x v="0"/>
    <x v="0"/>
    <x v="7"/>
    <x v="41"/>
    <x v="0"/>
    <x v="6"/>
    <n v="7380"/>
    <x v="0"/>
    <x v="496"/>
    <x v="0"/>
    <n v="9.4390000000000002E-2"/>
    <m/>
    <m/>
    <x v="174"/>
    <x v="6"/>
    <m/>
  </r>
  <r>
    <x v="2654"/>
    <x v="3627"/>
    <x v="19"/>
    <x v="0"/>
    <x v="0"/>
    <x v="7"/>
    <x v="41"/>
    <x v="0"/>
    <x v="6"/>
    <n v="7000"/>
    <x v="0"/>
    <x v="497"/>
    <x v="0"/>
    <n v="5.663E-2"/>
    <m/>
    <m/>
    <x v="210"/>
    <x v="6"/>
    <m/>
  </r>
  <r>
    <x v="2655"/>
    <x v="3628"/>
    <x v="5"/>
    <x v="0"/>
    <x v="0"/>
    <x v="7"/>
    <x v="41"/>
    <x v="0"/>
    <x v="6"/>
    <n v="4400"/>
    <x v="0"/>
    <x v="497"/>
    <x v="0"/>
    <n v="5.663E-2"/>
    <m/>
    <m/>
    <x v="68"/>
    <x v="6"/>
    <m/>
  </r>
  <r>
    <x v="2656"/>
    <x v="3629"/>
    <x v="15"/>
    <x v="0"/>
    <x v="0"/>
    <x v="7"/>
    <x v="41"/>
    <x v="0"/>
    <x v="6"/>
    <n v="7720"/>
    <x v="0"/>
    <x v="498"/>
    <x v="0"/>
    <n v="4.8"/>
    <m/>
    <m/>
    <x v="126"/>
    <x v="6"/>
    <m/>
  </r>
  <r>
    <x v="2657"/>
    <x v="3630"/>
    <x v="7"/>
    <x v="0"/>
    <x v="0"/>
    <x v="7"/>
    <x v="41"/>
    <x v="0"/>
    <x v="6"/>
    <n v="7560"/>
    <x v="0"/>
    <x v="499"/>
    <x v="0"/>
    <n v="11.6"/>
    <m/>
    <m/>
    <x v="81"/>
    <x v="6"/>
    <m/>
  </r>
  <r>
    <x v="2658"/>
    <x v="3631"/>
    <x v="17"/>
    <x v="0"/>
    <x v="0"/>
    <x v="7"/>
    <x v="4"/>
    <x v="0"/>
    <x v="6"/>
    <n v="5300"/>
    <x v="0"/>
    <x v="500"/>
    <x v="0"/>
    <n v="8.4"/>
    <m/>
    <m/>
    <x v="31"/>
    <x v="6"/>
    <m/>
  </r>
  <r>
    <x v="2659"/>
    <x v="3632"/>
    <x v="17"/>
    <x v="0"/>
    <x v="0"/>
    <x v="7"/>
    <x v="41"/>
    <x v="0"/>
    <x v="6"/>
    <n v="7210"/>
    <x v="0"/>
    <x v="501"/>
    <x v="0"/>
    <n v="2.1080000000000002E-2"/>
    <m/>
    <m/>
    <x v="211"/>
    <x v="6"/>
    <m/>
  </r>
  <r>
    <x v="2660"/>
    <x v="3633"/>
    <x v="10"/>
    <x v="0"/>
    <x v="0"/>
    <x v="7"/>
    <x v="41"/>
    <x v="0"/>
    <x v="6"/>
    <m/>
    <x v="0"/>
    <x v="392"/>
    <x v="0"/>
    <n v="1.0070000000000001E-2"/>
    <m/>
    <m/>
    <x v="212"/>
    <x v="6"/>
    <m/>
  </r>
  <r>
    <x v="2661"/>
    <x v="3634"/>
    <x v="5"/>
    <x v="0"/>
    <x v="0"/>
    <x v="7"/>
    <x v="41"/>
    <x v="0"/>
    <x v="6"/>
    <n v="7100"/>
    <x v="0"/>
    <x v="502"/>
    <x v="0"/>
    <n v="0.10603"/>
    <m/>
    <m/>
    <x v="213"/>
    <x v="6"/>
    <m/>
  </r>
  <r>
    <x v="2662"/>
    <x v="3635"/>
    <x v="17"/>
    <x v="0"/>
    <x v="0"/>
    <x v="7"/>
    <x v="41"/>
    <x v="0"/>
    <x v="6"/>
    <n v="6500"/>
    <x v="0"/>
    <x v="503"/>
    <x v="0"/>
    <n v="2.8"/>
    <m/>
    <m/>
    <x v="71"/>
    <x v="6"/>
    <m/>
  </r>
  <r>
    <x v="2663"/>
    <x v="3636"/>
    <x v="5"/>
    <x v="0"/>
    <x v="0"/>
    <x v="7"/>
    <x v="41"/>
    <x v="0"/>
    <x v="6"/>
    <n v="6800"/>
    <x v="0"/>
    <x v="504"/>
    <x v="0"/>
    <n v="0.62"/>
    <m/>
    <m/>
    <x v="68"/>
    <x v="6"/>
    <m/>
  </r>
  <r>
    <x v="2664"/>
    <x v="3637"/>
    <x v="15"/>
    <x v="0"/>
    <x v="0"/>
    <x v="7"/>
    <x v="41"/>
    <x v="0"/>
    <x v="6"/>
    <n v="5100"/>
    <x v="0"/>
    <x v="505"/>
    <x v="0"/>
    <n v="3.7"/>
    <m/>
    <m/>
    <x v="174"/>
    <x v="6"/>
    <m/>
  </r>
  <r>
    <x v="2665"/>
    <x v="3638"/>
    <x v="17"/>
    <x v="0"/>
    <x v="1"/>
    <x v="2"/>
    <x v="4"/>
    <x v="0"/>
    <x v="3580"/>
    <m/>
    <x v="0"/>
    <x v="506"/>
    <x v="0"/>
    <n v="23.7"/>
    <m/>
    <m/>
    <x v="214"/>
    <x v="6"/>
    <m/>
  </r>
  <r>
    <x v="2666"/>
    <x v="3639"/>
    <x v="19"/>
    <x v="0"/>
    <x v="0"/>
    <x v="0"/>
    <x v="4"/>
    <x v="0"/>
    <x v="3581"/>
    <n v="837.03"/>
    <x v="0"/>
    <x v="0"/>
    <x v="0"/>
    <n v="6.69"/>
    <m/>
    <m/>
    <x v="215"/>
    <x v="334"/>
    <m/>
  </r>
  <r>
    <x v="2667"/>
    <x v="3640"/>
    <x v="17"/>
    <x v="0"/>
    <x v="0"/>
    <x v="0"/>
    <x v="4"/>
    <x v="0"/>
    <x v="3582"/>
    <n v="842.01"/>
    <x v="0"/>
    <x v="0"/>
    <x v="0"/>
    <n v="2.1800000000000002"/>
    <m/>
    <m/>
    <x v="55"/>
    <x v="6"/>
    <m/>
  </r>
  <r>
    <x v="2668"/>
    <x v="3641"/>
    <x v="19"/>
    <x v="0"/>
    <x v="0"/>
    <x v="0"/>
    <x v="4"/>
    <x v="0"/>
    <x v="3583"/>
    <n v="895.73"/>
    <x v="0"/>
    <x v="0"/>
    <x v="0"/>
    <n v="0.32"/>
    <m/>
    <m/>
    <x v="53"/>
    <x v="6"/>
    <m/>
  </r>
  <r>
    <x v="2669"/>
    <x v="3642"/>
    <x v="19"/>
    <x v="0"/>
    <x v="0"/>
    <x v="0"/>
    <x v="4"/>
    <x v="0"/>
    <x v="3584"/>
    <n v="939.38"/>
    <x v="0"/>
    <x v="0"/>
    <x v="0"/>
    <n v="0.4"/>
    <m/>
    <m/>
    <x v="50"/>
    <x v="6"/>
    <m/>
  </r>
  <r>
    <x v="2670"/>
    <x v="3643"/>
    <x v="10"/>
    <x v="0"/>
    <x v="0"/>
    <x v="0"/>
    <x v="17"/>
    <x v="0"/>
    <x v="3585"/>
    <n v="851.36"/>
    <x v="0"/>
    <x v="0"/>
    <x v="0"/>
    <n v="0.46"/>
    <m/>
    <m/>
    <x v="30"/>
    <x v="6"/>
    <m/>
  </r>
  <r>
    <x v="2671"/>
    <x v="3644"/>
    <x v="17"/>
    <x v="0"/>
    <x v="0"/>
    <x v="3"/>
    <x v="9"/>
    <x v="0"/>
    <x v="3586"/>
    <n v="224"/>
    <x v="0"/>
    <x v="507"/>
    <x v="125"/>
    <n v="0.81200000000000006"/>
    <n v="1.33"/>
    <n v="0.42"/>
    <x v="138"/>
    <x v="60"/>
    <n v="4.4000000000000004"/>
  </r>
  <r>
    <x v="2672"/>
    <x v="3645"/>
    <x v="5"/>
    <x v="0"/>
    <x v="0"/>
    <x v="3"/>
    <x v="9"/>
    <x v="0"/>
    <x v="3587"/>
    <n v="360.3"/>
    <x v="95"/>
    <x v="508"/>
    <x v="846"/>
    <n v="0.74"/>
    <n v="1.595"/>
    <n v="0.22600000000000001"/>
    <x v="120"/>
    <x v="109"/>
    <n v="0.47699999999999998"/>
  </r>
  <r>
    <x v="2673"/>
    <x v="3646"/>
    <x v="5"/>
    <x v="0"/>
    <x v="0"/>
    <x v="3"/>
    <x v="9"/>
    <x v="0"/>
    <x v="3588"/>
    <n v="1010"/>
    <x v="0"/>
    <x v="509"/>
    <x v="93"/>
    <n v="2.38"/>
    <n v="1.48"/>
    <n v="0.31"/>
    <x v="102"/>
    <x v="3"/>
    <n v="1.0900000000000001"/>
  </r>
  <r>
    <x v="2674"/>
    <x v="3647"/>
    <x v="20"/>
    <x v="0"/>
    <x v="0"/>
    <x v="3"/>
    <x v="9"/>
    <x v="0"/>
    <x v="3589"/>
    <n v="282.60000000000002"/>
    <x v="0"/>
    <x v="510"/>
    <x v="512"/>
    <n v="6.4810000000000006E-2"/>
    <n v="0.28399999999999997"/>
    <n v="3.45"/>
    <x v="174"/>
    <x v="239"/>
    <n v="1.91"/>
  </r>
  <r>
    <x v="2675"/>
    <x v="3648"/>
    <x v="20"/>
    <x v="0"/>
    <x v="0"/>
    <x v="3"/>
    <x v="9"/>
    <x v="0"/>
    <x v="3590"/>
    <n v="309.5"/>
    <x v="0"/>
    <x v="511"/>
    <x v="589"/>
    <n v="0.22900000000000001"/>
    <n v="1.1359999999999999"/>
    <m/>
    <x v="62"/>
    <x v="36"/>
    <m/>
  </r>
  <r>
    <x v="2676"/>
    <x v="3649"/>
    <x v="6"/>
    <x v="0"/>
    <x v="0"/>
    <x v="2"/>
    <x v="4"/>
    <x v="1"/>
    <x v="3591"/>
    <n v="500"/>
    <x v="0"/>
    <x v="512"/>
    <x v="0"/>
    <n v="7.33"/>
    <m/>
    <m/>
    <x v="77"/>
    <x v="6"/>
    <m/>
  </r>
  <r>
    <x v="2676"/>
    <x v="3650"/>
    <x v="6"/>
    <x v="0"/>
    <x v="0"/>
    <x v="2"/>
    <x v="4"/>
    <x v="1"/>
    <x v="3592"/>
    <n v="500"/>
    <x v="0"/>
    <x v="513"/>
    <x v="0"/>
    <n v="2.2999999999999998"/>
    <m/>
    <m/>
    <x v="77"/>
    <x v="6"/>
    <m/>
  </r>
  <r>
    <x v="2677"/>
    <x v="3651"/>
    <x v="14"/>
    <x v="0"/>
    <x v="0"/>
    <x v="2"/>
    <x v="4"/>
    <x v="0"/>
    <x v="3593"/>
    <n v="551.99"/>
    <x v="0"/>
    <x v="0"/>
    <x v="0"/>
    <n v="2.78"/>
    <m/>
    <m/>
    <x v="29"/>
    <x v="6"/>
    <m/>
  </r>
  <r>
    <x v="2678"/>
    <x v="3652"/>
    <x v="9"/>
    <x v="0"/>
    <x v="0"/>
    <x v="7"/>
    <x v="42"/>
    <x v="0"/>
    <x v="6"/>
    <n v="5800"/>
    <x v="0"/>
    <x v="514"/>
    <x v="0"/>
    <n v="2.6"/>
    <m/>
    <m/>
    <x v="80"/>
    <x v="6"/>
    <m/>
  </r>
  <r>
    <x v="2679"/>
    <x v="3653"/>
    <x v="16"/>
    <x v="0"/>
    <x v="0"/>
    <x v="7"/>
    <x v="42"/>
    <x v="0"/>
    <x v="6"/>
    <n v="3200"/>
    <x v="0"/>
    <x v="515"/>
    <x v="0"/>
    <n v="3.8"/>
    <m/>
    <m/>
    <x v="188"/>
    <x v="6"/>
    <m/>
  </r>
  <r>
    <x v="2680"/>
    <x v="3654"/>
    <x v="11"/>
    <x v="0"/>
    <x v="0"/>
    <x v="7"/>
    <x v="42"/>
    <x v="0"/>
    <x v="6"/>
    <n v="4100"/>
    <x v="0"/>
    <x v="516"/>
    <x v="0"/>
    <n v="4.4359999999999997E-2"/>
    <m/>
    <m/>
    <x v="74"/>
    <x v="6"/>
    <m/>
  </r>
  <r>
    <x v="2681"/>
    <x v="3655"/>
    <x v="16"/>
    <x v="0"/>
    <x v="0"/>
    <x v="7"/>
    <x v="42"/>
    <x v="0"/>
    <x v="3594"/>
    <n v="6600"/>
    <x v="0"/>
    <x v="517"/>
    <x v="0"/>
    <n v="1.7000000000000001E-2"/>
    <m/>
    <m/>
    <x v="203"/>
    <x v="6"/>
    <m/>
  </r>
  <r>
    <x v="2682"/>
    <x v="3656"/>
    <x v="2"/>
    <x v="0"/>
    <x v="0"/>
    <x v="7"/>
    <x v="42"/>
    <x v="1"/>
    <x v="3595"/>
    <n v="1510"/>
    <x v="0"/>
    <x v="518"/>
    <x v="0"/>
    <n v="0.73"/>
    <m/>
    <m/>
    <x v="192"/>
    <x v="6"/>
    <m/>
  </r>
  <r>
    <x v="2682"/>
    <x v="3657"/>
    <x v="2"/>
    <x v="0"/>
    <x v="0"/>
    <x v="7"/>
    <x v="42"/>
    <x v="1"/>
    <x v="3596"/>
    <n v="1510"/>
    <x v="0"/>
    <x v="519"/>
    <x v="0"/>
    <n v="0.27"/>
    <m/>
    <m/>
    <x v="192"/>
    <x v="6"/>
    <m/>
  </r>
  <r>
    <x v="2683"/>
    <x v="3658"/>
    <x v="10"/>
    <x v="0"/>
    <x v="0"/>
    <x v="7"/>
    <x v="42"/>
    <x v="0"/>
    <x v="3597"/>
    <n v="2760"/>
    <x v="0"/>
    <x v="520"/>
    <x v="0"/>
    <n v="0.25170999999999999"/>
    <m/>
    <m/>
    <x v="82"/>
    <x v="6"/>
    <m/>
  </r>
  <r>
    <x v="2684"/>
    <x v="3659"/>
    <x v="1"/>
    <x v="0"/>
    <x v="0"/>
    <x v="7"/>
    <x v="42"/>
    <x v="0"/>
    <x v="6"/>
    <n v="5900"/>
    <x v="0"/>
    <x v="521"/>
    <x v="0"/>
    <n v="0.06"/>
    <m/>
    <m/>
    <x v="191"/>
    <x v="6"/>
    <m/>
  </r>
  <r>
    <x v="2685"/>
    <x v="3660"/>
    <x v="19"/>
    <x v="0"/>
    <x v="0"/>
    <x v="7"/>
    <x v="42"/>
    <x v="0"/>
    <x v="6"/>
    <n v="8100"/>
    <x v="0"/>
    <x v="522"/>
    <x v="0"/>
    <n v="0.18"/>
    <m/>
    <m/>
    <x v="159"/>
    <x v="6"/>
    <m/>
  </r>
  <r>
    <x v="2686"/>
    <x v="3661"/>
    <x v="19"/>
    <x v="0"/>
    <x v="0"/>
    <x v="7"/>
    <x v="42"/>
    <x v="0"/>
    <x v="6"/>
    <n v="6800"/>
    <x v="0"/>
    <x v="523"/>
    <x v="0"/>
    <n v="4.5999999999999996"/>
    <m/>
    <m/>
    <x v="199"/>
    <x v="6"/>
    <m/>
  </r>
  <r>
    <x v="2687"/>
    <x v="3662"/>
    <x v="5"/>
    <x v="0"/>
    <x v="0"/>
    <x v="7"/>
    <x v="42"/>
    <x v="0"/>
    <x v="6"/>
    <n v="6100"/>
    <x v="0"/>
    <x v="524"/>
    <x v="0"/>
    <n v="0.19"/>
    <m/>
    <m/>
    <x v="82"/>
    <x v="6"/>
    <m/>
  </r>
  <r>
    <x v="2688"/>
    <x v="3663"/>
    <x v="15"/>
    <x v="0"/>
    <x v="0"/>
    <x v="7"/>
    <x v="42"/>
    <x v="0"/>
    <x v="6"/>
    <n v="2570"/>
    <x v="0"/>
    <x v="525"/>
    <x v="0"/>
    <n v="0.53"/>
    <m/>
    <m/>
    <x v="190"/>
    <x v="6"/>
    <m/>
  </r>
  <r>
    <x v="2689"/>
    <x v="3664"/>
    <x v="8"/>
    <x v="0"/>
    <x v="0"/>
    <x v="7"/>
    <x v="42"/>
    <x v="0"/>
    <x v="6"/>
    <n v="4380"/>
    <x v="0"/>
    <x v="526"/>
    <x v="0"/>
    <n v="0.88"/>
    <m/>
    <m/>
    <x v="208"/>
    <x v="6"/>
    <m/>
  </r>
  <r>
    <x v="2690"/>
    <x v="3665"/>
    <x v="15"/>
    <x v="0"/>
    <x v="0"/>
    <x v="7"/>
    <x v="42"/>
    <x v="1"/>
    <x v="6"/>
    <n v="4019"/>
    <x v="30"/>
    <x v="527"/>
    <x v="0"/>
    <n v="0.14499999999999999"/>
    <m/>
    <m/>
    <x v="104"/>
    <x v="6"/>
    <m/>
  </r>
  <r>
    <x v="2690"/>
    <x v="3666"/>
    <x v="15"/>
    <x v="0"/>
    <x v="0"/>
    <x v="7"/>
    <x v="42"/>
    <x v="1"/>
    <x v="6"/>
    <n v="4019"/>
    <x v="30"/>
    <x v="219"/>
    <x v="0"/>
    <n v="0.86"/>
    <m/>
    <m/>
    <x v="104"/>
    <x v="6"/>
    <m/>
  </r>
  <r>
    <x v="2691"/>
    <x v="3667"/>
    <x v="7"/>
    <x v="0"/>
    <x v="0"/>
    <x v="7"/>
    <x v="42"/>
    <x v="0"/>
    <x v="6"/>
    <n v="1760"/>
    <x v="0"/>
    <x v="528"/>
    <x v="0"/>
    <n v="1.85"/>
    <m/>
    <m/>
    <x v="11"/>
    <x v="6"/>
    <m/>
  </r>
  <r>
    <x v="2692"/>
    <x v="3668"/>
    <x v="7"/>
    <x v="0"/>
    <x v="0"/>
    <x v="7"/>
    <x v="42"/>
    <x v="0"/>
    <x v="6"/>
    <n v="4970"/>
    <x v="0"/>
    <x v="529"/>
    <x v="0"/>
    <n v="2.73"/>
    <m/>
    <m/>
    <x v="193"/>
    <x v="6"/>
    <m/>
  </r>
  <r>
    <x v="2693"/>
    <x v="3669"/>
    <x v="8"/>
    <x v="0"/>
    <x v="0"/>
    <x v="7"/>
    <x v="42"/>
    <x v="0"/>
    <x v="6"/>
    <n v="1300"/>
    <x v="0"/>
    <x v="530"/>
    <x v="0"/>
    <n v="0.39"/>
    <m/>
    <m/>
    <x v="205"/>
    <x v="6"/>
    <m/>
  </r>
  <r>
    <x v="2694"/>
    <x v="3670"/>
    <x v="10"/>
    <x v="0"/>
    <x v="0"/>
    <x v="7"/>
    <x v="42"/>
    <x v="0"/>
    <x v="6"/>
    <n v="6700"/>
    <x v="0"/>
    <x v="531"/>
    <x v="0"/>
    <n v="0.47"/>
    <m/>
    <m/>
    <x v="71"/>
    <x v="6"/>
    <m/>
  </r>
  <r>
    <x v="2695"/>
    <x v="3671"/>
    <x v="10"/>
    <x v="0"/>
    <x v="0"/>
    <x v="7"/>
    <x v="42"/>
    <x v="0"/>
    <x v="6"/>
    <n v="3000"/>
    <x v="0"/>
    <x v="286"/>
    <x v="0"/>
    <n v="0.11012"/>
    <m/>
    <m/>
    <x v="92"/>
    <x v="6"/>
    <m/>
  </r>
  <r>
    <x v="2696"/>
    <x v="3672"/>
    <x v="19"/>
    <x v="0"/>
    <x v="0"/>
    <x v="7"/>
    <x v="42"/>
    <x v="0"/>
    <x v="6"/>
    <n v="3040"/>
    <x v="0"/>
    <x v="18"/>
    <x v="0"/>
    <n v="12.569000000000001"/>
    <m/>
    <m/>
    <x v="211"/>
    <x v="6"/>
    <m/>
  </r>
  <r>
    <x v="2697"/>
    <x v="3673"/>
    <x v="17"/>
    <x v="0"/>
    <x v="0"/>
    <x v="7"/>
    <x v="42"/>
    <x v="0"/>
    <x v="6"/>
    <n v="3900"/>
    <x v="0"/>
    <x v="532"/>
    <x v="0"/>
    <n v="0.28999999999999998"/>
    <m/>
    <m/>
    <x v="77"/>
    <x v="6"/>
    <m/>
  </r>
  <r>
    <x v="2698"/>
    <x v="3674"/>
    <x v="19"/>
    <x v="0"/>
    <x v="0"/>
    <x v="7"/>
    <x v="42"/>
    <x v="0"/>
    <x v="6"/>
    <n v="1161"/>
    <x v="0"/>
    <x v="533"/>
    <x v="0"/>
    <n v="7.3000000000000001E-3"/>
    <m/>
    <m/>
    <x v="68"/>
    <x v="6"/>
    <m/>
  </r>
  <r>
    <x v="2699"/>
    <x v="3675"/>
    <x v="17"/>
    <x v="0"/>
    <x v="0"/>
    <x v="7"/>
    <x v="42"/>
    <x v="0"/>
    <x v="6"/>
    <n v="6300"/>
    <x v="0"/>
    <x v="534"/>
    <x v="0"/>
    <n v="0.64"/>
    <m/>
    <m/>
    <x v="188"/>
    <x v="6"/>
    <m/>
  </r>
  <r>
    <x v="2700"/>
    <x v="3676"/>
    <x v="5"/>
    <x v="0"/>
    <x v="0"/>
    <x v="7"/>
    <x v="42"/>
    <x v="0"/>
    <x v="6"/>
    <n v="6900"/>
    <x v="0"/>
    <x v="535"/>
    <x v="0"/>
    <n v="2.7"/>
    <m/>
    <m/>
    <x v="61"/>
    <x v="6"/>
    <m/>
  </r>
  <r>
    <x v="2701"/>
    <x v="3677"/>
    <x v="8"/>
    <x v="0"/>
    <x v="0"/>
    <x v="7"/>
    <x v="42"/>
    <x v="0"/>
    <x v="6"/>
    <n v="4100"/>
    <x v="0"/>
    <x v="536"/>
    <x v="0"/>
    <n v="0.51"/>
    <m/>
    <m/>
    <x v="159"/>
    <x v="6"/>
    <m/>
  </r>
  <r>
    <x v="2702"/>
    <x v="3678"/>
    <x v="10"/>
    <x v="0"/>
    <x v="0"/>
    <x v="7"/>
    <x v="42"/>
    <x v="0"/>
    <x v="6"/>
    <n v="2220"/>
    <x v="0"/>
    <x v="537"/>
    <x v="0"/>
    <n v="3.09"/>
    <m/>
    <m/>
    <x v="138"/>
    <x v="6"/>
    <m/>
  </r>
  <r>
    <x v="2703"/>
    <x v="3679"/>
    <x v="5"/>
    <x v="0"/>
    <x v="0"/>
    <x v="7"/>
    <x v="42"/>
    <x v="1"/>
    <x v="6"/>
    <n v="6400"/>
    <x v="0"/>
    <x v="538"/>
    <x v="0"/>
    <n v="0.17399000000000001"/>
    <m/>
    <m/>
    <x v="9"/>
    <x v="6"/>
    <m/>
  </r>
  <r>
    <x v="2703"/>
    <x v="3680"/>
    <x v="5"/>
    <x v="0"/>
    <x v="0"/>
    <x v="7"/>
    <x v="42"/>
    <x v="1"/>
    <x v="6"/>
    <n v="6400"/>
    <x v="0"/>
    <x v="539"/>
    <x v="0"/>
    <n v="0.26334999999999997"/>
    <m/>
    <m/>
    <x v="9"/>
    <x v="6"/>
    <m/>
  </r>
  <r>
    <x v="2704"/>
    <x v="3681"/>
    <x v="10"/>
    <x v="0"/>
    <x v="0"/>
    <x v="7"/>
    <x v="42"/>
    <x v="0"/>
    <x v="6"/>
    <n v="6860"/>
    <x v="0"/>
    <x v="151"/>
    <x v="0"/>
    <n v="0.56000000000000005"/>
    <m/>
    <m/>
    <x v="192"/>
    <x v="6"/>
    <m/>
  </r>
  <r>
    <x v="2705"/>
    <x v="3682"/>
    <x v="10"/>
    <x v="0"/>
    <x v="0"/>
    <x v="7"/>
    <x v="42"/>
    <x v="0"/>
    <x v="6"/>
    <n v="8200"/>
    <x v="0"/>
    <x v="540"/>
    <x v="0"/>
    <n v="0.72"/>
    <m/>
    <m/>
    <x v="211"/>
    <x v="6"/>
    <m/>
  </r>
  <r>
    <x v="2706"/>
    <x v="3683"/>
    <x v="10"/>
    <x v="0"/>
    <x v="0"/>
    <x v="7"/>
    <x v="38"/>
    <x v="0"/>
    <x v="6"/>
    <n v="600"/>
    <x v="0"/>
    <x v="162"/>
    <x v="0"/>
    <n v="3.4"/>
    <m/>
    <m/>
    <x v="86"/>
    <x v="6"/>
    <m/>
  </r>
  <r>
    <x v="2707"/>
    <x v="3684"/>
    <x v="10"/>
    <x v="0"/>
    <x v="0"/>
    <x v="7"/>
    <x v="42"/>
    <x v="0"/>
    <x v="6"/>
    <n v="2500"/>
    <x v="0"/>
    <x v="541"/>
    <x v="0"/>
    <n v="6.6070000000000004E-2"/>
    <m/>
    <m/>
    <x v="189"/>
    <x v="6"/>
    <m/>
  </r>
  <r>
    <x v="2708"/>
    <x v="3685"/>
    <x v="17"/>
    <x v="0"/>
    <x v="0"/>
    <x v="7"/>
    <x v="42"/>
    <x v="0"/>
    <x v="6"/>
    <n v="6500"/>
    <x v="0"/>
    <x v="542"/>
    <x v="0"/>
    <n v="4.0999999999999996"/>
    <m/>
    <m/>
    <x v="204"/>
    <x v="6"/>
    <m/>
  </r>
  <r>
    <x v="2709"/>
    <x v="3686"/>
    <x v="17"/>
    <x v="0"/>
    <x v="0"/>
    <x v="7"/>
    <x v="42"/>
    <x v="0"/>
    <x v="6"/>
    <n v="3410"/>
    <x v="0"/>
    <x v="543"/>
    <x v="0"/>
    <n v="4.18"/>
    <m/>
    <m/>
    <x v="145"/>
    <x v="6"/>
    <m/>
  </r>
  <r>
    <x v="2710"/>
    <x v="3687"/>
    <x v="17"/>
    <x v="0"/>
    <x v="0"/>
    <x v="7"/>
    <x v="42"/>
    <x v="0"/>
    <x v="3598"/>
    <n v="6770"/>
    <x v="0"/>
    <x v="544"/>
    <x v="0"/>
    <n v="13.38"/>
    <m/>
    <m/>
    <x v="59"/>
    <x v="6"/>
    <m/>
  </r>
  <r>
    <x v="2711"/>
    <x v="3688"/>
    <x v="17"/>
    <x v="0"/>
    <x v="0"/>
    <x v="7"/>
    <x v="42"/>
    <x v="0"/>
    <x v="6"/>
    <n v="3910"/>
    <x v="0"/>
    <x v="545"/>
    <x v="0"/>
    <n v="4.4999999999999997E-3"/>
    <m/>
    <m/>
    <x v="13"/>
    <x v="6"/>
    <m/>
  </r>
  <r>
    <x v="2712"/>
    <x v="3689"/>
    <x v="5"/>
    <x v="0"/>
    <x v="0"/>
    <x v="7"/>
    <x v="42"/>
    <x v="0"/>
    <x v="6"/>
    <n v="4705"/>
    <x v="0"/>
    <x v="546"/>
    <x v="0"/>
    <n v="1.0290000000000001E-2"/>
    <m/>
    <m/>
    <x v="9"/>
    <x v="6"/>
    <m/>
  </r>
  <r>
    <x v="2713"/>
    <x v="3690"/>
    <x v="5"/>
    <x v="0"/>
    <x v="0"/>
    <x v="7"/>
    <x v="42"/>
    <x v="0"/>
    <x v="6"/>
    <n v="5915"/>
    <x v="0"/>
    <x v="547"/>
    <x v="0"/>
    <n v="0.40100000000000002"/>
    <m/>
    <m/>
    <x v="216"/>
    <x v="6"/>
    <m/>
  </r>
  <r>
    <x v="2714"/>
    <x v="3691"/>
    <x v="5"/>
    <x v="0"/>
    <x v="0"/>
    <x v="7"/>
    <x v="42"/>
    <x v="0"/>
    <x v="6"/>
    <n v="5800"/>
    <x v="0"/>
    <x v="279"/>
    <x v="0"/>
    <n v="2.8320000000000001E-2"/>
    <m/>
    <m/>
    <x v="217"/>
    <x v="6"/>
    <m/>
  </r>
  <r>
    <x v="2715"/>
    <x v="3692"/>
    <x v="5"/>
    <x v="0"/>
    <x v="0"/>
    <x v="7"/>
    <x v="42"/>
    <x v="0"/>
    <x v="6"/>
    <m/>
    <x v="0"/>
    <x v="147"/>
    <x v="0"/>
    <n v="1.59"/>
    <m/>
    <m/>
    <x v="208"/>
    <x v="6"/>
    <m/>
  </r>
  <r>
    <x v="2716"/>
    <x v="3693"/>
    <x v="5"/>
    <x v="0"/>
    <x v="0"/>
    <x v="7"/>
    <x v="42"/>
    <x v="0"/>
    <x v="6"/>
    <n v="860"/>
    <x v="0"/>
    <x v="548"/>
    <x v="0"/>
    <n v="1.4E-2"/>
    <m/>
    <m/>
    <x v="218"/>
    <x v="6"/>
    <m/>
  </r>
  <r>
    <x v="2717"/>
    <x v="3694"/>
    <x v="5"/>
    <x v="0"/>
    <x v="0"/>
    <x v="7"/>
    <x v="42"/>
    <x v="0"/>
    <x v="6"/>
    <m/>
    <x v="0"/>
    <x v="84"/>
    <x v="0"/>
    <n v="0.75"/>
    <m/>
    <m/>
    <x v="198"/>
    <x v="6"/>
    <m/>
  </r>
  <r>
    <x v="2718"/>
    <x v="3695"/>
    <x v="3"/>
    <x v="0"/>
    <x v="0"/>
    <x v="3"/>
    <x v="42"/>
    <x v="0"/>
    <x v="3599"/>
    <n v="282.83999999999997"/>
    <x v="0"/>
    <x v="445"/>
    <x v="847"/>
    <n v="1.39"/>
    <n v="1.363"/>
    <n v="0.68"/>
    <x v="29"/>
    <x v="6"/>
    <m/>
  </r>
  <r>
    <x v="2719"/>
    <x v="3696"/>
    <x v="9"/>
    <x v="0"/>
    <x v="0"/>
    <x v="3"/>
    <x v="42"/>
    <x v="0"/>
    <x v="3600"/>
    <n v="1386.23"/>
    <x v="0"/>
    <x v="549"/>
    <x v="848"/>
    <n v="0.62"/>
    <n v="1.25"/>
    <n v="0.4"/>
    <x v="30"/>
    <x v="54"/>
    <m/>
  </r>
  <r>
    <x v="2720"/>
    <x v="3697"/>
    <x v="9"/>
    <x v="0"/>
    <x v="0"/>
    <x v="3"/>
    <x v="42"/>
    <x v="0"/>
    <x v="3601"/>
    <n v="1096.98"/>
    <x v="0"/>
    <x v="0"/>
    <x v="849"/>
    <m/>
    <n v="1.0189999999999999"/>
    <m/>
    <x v="6"/>
    <x v="56"/>
    <m/>
  </r>
  <r>
    <x v="2721"/>
    <x v="3698"/>
    <x v="9"/>
    <x v="0"/>
    <x v="0"/>
    <x v="3"/>
    <x v="42"/>
    <x v="0"/>
    <x v="3602"/>
    <n v="600"/>
    <x v="0"/>
    <x v="550"/>
    <x v="850"/>
    <n v="1.26"/>
    <n v="1.093"/>
    <n v="1.2"/>
    <x v="110"/>
    <x v="57"/>
    <m/>
  </r>
  <r>
    <x v="2722"/>
    <x v="3699"/>
    <x v="9"/>
    <x v="0"/>
    <x v="0"/>
    <x v="3"/>
    <x v="42"/>
    <x v="0"/>
    <x v="3603"/>
    <n v="2500"/>
    <x v="85"/>
    <x v="551"/>
    <x v="703"/>
    <n v="1.18"/>
    <n v="1.2"/>
    <n v="0.85"/>
    <x v="123"/>
    <x v="106"/>
    <n v="0.72"/>
  </r>
  <r>
    <x v="2723"/>
    <x v="3700"/>
    <x v="0"/>
    <x v="0"/>
    <x v="0"/>
    <x v="3"/>
    <x v="42"/>
    <x v="0"/>
    <x v="3604"/>
    <n v="2669.56"/>
    <x v="0"/>
    <x v="552"/>
    <x v="131"/>
    <n v="1.01"/>
    <n v="1.1299999999999999"/>
    <m/>
    <x v="30"/>
    <x v="48"/>
    <m/>
  </r>
  <r>
    <x v="2724"/>
    <x v="3701"/>
    <x v="0"/>
    <x v="0"/>
    <x v="0"/>
    <x v="3"/>
    <x v="42"/>
    <x v="0"/>
    <x v="3605"/>
    <n v="1574.54"/>
    <x v="0"/>
    <x v="553"/>
    <x v="804"/>
    <n v="1.03"/>
    <n v="1.36"/>
    <m/>
    <x v="98"/>
    <x v="229"/>
    <m/>
  </r>
  <r>
    <x v="2725"/>
    <x v="3702"/>
    <x v="2"/>
    <x v="0"/>
    <x v="0"/>
    <x v="3"/>
    <x v="42"/>
    <x v="0"/>
    <x v="3606"/>
    <n v="1704.36"/>
    <x v="0"/>
    <x v="554"/>
    <x v="851"/>
    <n v="4.5"/>
    <n v="1.61"/>
    <m/>
    <x v="24"/>
    <x v="104"/>
    <m/>
  </r>
  <r>
    <x v="2726"/>
    <x v="3703"/>
    <x v="11"/>
    <x v="0"/>
    <x v="0"/>
    <x v="1"/>
    <x v="5"/>
    <x v="0"/>
    <x v="3607"/>
    <n v="125"/>
    <x v="30"/>
    <x v="555"/>
    <x v="0"/>
    <n v="14"/>
    <m/>
    <m/>
    <x v="11"/>
    <x v="6"/>
    <m/>
  </r>
  <r>
    <x v="2727"/>
    <x v="3704"/>
    <x v="5"/>
    <x v="0"/>
    <x v="0"/>
    <x v="1"/>
    <x v="9"/>
    <x v="0"/>
    <x v="3608"/>
    <n v="113.43"/>
    <x v="1"/>
    <x v="556"/>
    <x v="17"/>
    <n v="8"/>
    <n v="1.3"/>
    <m/>
    <x v="99"/>
    <x v="308"/>
    <m/>
  </r>
  <r>
    <x v="2728"/>
    <x v="3705"/>
    <x v="15"/>
    <x v="1"/>
    <x v="1"/>
    <x v="3"/>
    <x v="10"/>
    <x v="0"/>
    <x v="3609"/>
    <n v="1000"/>
    <x v="24"/>
    <x v="557"/>
    <x v="696"/>
    <n v="0.53100000000000003"/>
    <n v="0.55100000000000005"/>
    <m/>
    <x v="166"/>
    <x v="98"/>
    <n v="0.29299999999999998"/>
  </r>
  <r>
    <x v="2729"/>
    <x v="3706"/>
    <x v="7"/>
    <x v="1"/>
    <x v="1"/>
    <x v="3"/>
    <x v="10"/>
    <x v="0"/>
    <x v="3610"/>
    <n v="346"/>
    <x v="0"/>
    <x v="0"/>
    <x v="852"/>
    <m/>
    <n v="0.90300000000000002"/>
    <m/>
    <x v="23"/>
    <x v="45"/>
    <n v="1.3"/>
  </r>
  <r>
    <x v="2730"/>
    <x v="3707"/>
    <x v="7"/>
    <x v="0"/>
    <x v="0"/>
    <x v="3"/>
    <x v="17"/>
    <x v="0"/>
    <x v="3611"/>
    <n v="1200"/>
    <x v="0"/>
    <x v="558"/>
    <x v="853"/>
    <n v="2.31"/>
    <n v="0.94099999999999995"/>
    <m/>
    <x v="74"/>
    <x v="285"/>
    <n v="4.8140000000000001"/>
  </r>
  <r>
    <x v="2731"/>
    <x v="3708"/>
    <x v="25"/>
    <x v="0"/>
    <x v="0"/>
    <x v="9"/>
    <x v="43"/>
    <x v="2"/>
    <x v="3612"/>
    <n v="600"/>
    <x v="23"/>
    <x v="559"/>
    <x v="0"/>
    <n v="6.0000000000000002E-5"/>
    <m/>
    <m/>
    <x v="28"/>
    <x v="6"/>
    <m/>
  </r>
  <r>
    <x v="2731"/>
    <x v="3709"/>
    <x v="26"/>
    <x v="0"/>
    <x v="0"/>
    <x v="9"/>
    <x v="43"/>
    <x v="2"/>
    <x v="3613"/>
    <n v="600"/>
    <x v="23"/>
    <x v="295"/>
    <x v="0"/>
    <n v="1.353E-2"/>
    <m/>
    <m/>
    <x v="28"/>
    <x v="6"/>
    <m/>
  </r>
  <r>
    <x v="2731"/>
    <x v="3710"/>
    <x v="26"/>
    <x v="0"/>
    <x v="0"/>
    <x v="9"/>
    <x v="43"/>
    <x v="2"/>
    <x v="3614"/>
    <n v="600"/>
    <x v="23"/>
    <x v="311"/>
    <x v="0"/>
    <n v="1.227E-2"/>
    <m/>
    <m/>
    <x v="28"/>
    <x v="6"/>
    <m/>
  </r>
  <r>
    <x v="2732"/>
    <x v="3711"/>
    <x v="23"/>
    <x v="0"/>
    <x v="1"/>
    <x v="9"/>
    <x v="8"/>
    <x v="0"/>
    <x v="6"/>
    <m/>
    <x v="0"/>
    <x v="560"/>
    <x v="0"/>
    <n v="2.5"/>
    <m/>
    <m/>
    <x v="131"/>
    <x v="6"/>
    <m/>
  </r>
  <r>
    <x v="2733"/>
    <x v="3712"/>
    <x v="14"/>
    <x v="0"/>
    <x v="0"/>
    <x v="9"/>
    <x v="44"/>
    <x v="0"/>
    <x v="3615"/>
    <n v="1200"/>
    <x v="297"/>
    <x v="561"/>
    <x v="0"/>
    <n v="1.2"/>
    <m/>
    <n v="23"/>
    <x v="28"/>
    <x v="335"/>
    <m/>
  </r>
  <r>
    <x v="2734"/>
    <x v="3713"/>
    <x v="17"/>
    <x v="0"/>
    <x v="0"/>
    <x v="9"/>
    <x v="44"/>
    <x v="0"/>
    <x v="3616"/>
    <n v="230"/>
    <x v="0"/>
    <x v="0"/>
    <x v="0"/>
    <n v="0.79490000000000005"/>
    <m/>
    <n v="1.84"/>
    <x v="28"/>
    <x v="6"/>
    <m/>
  </r>
  <r>
    <x v="2735"/>
    <x v="3714"/>
    <x v="15"/>
    <x v="0"/>
    <x v="0"/>
    <x v="0"/>
    <x v="33"/>
    <x v="0"/>
    <x v="3617"/>
    <n v="181.54"/>
    <x v="0"/>
    <x v="0"/>
    <x v="0"/>
    <n v="0.54"/>
    <m/>
    <m/>
    <x v="100"/>
    <x v="180"/>
    <m/>
  </r>
  <r>
    <x v="2736"/>
    <x v="3715"/>
    <x v="15"/>
    <x v="0"/>
    <x v="0"/>
    <x v="0"/>
    <x v="33"/>
    <x v="1"/>
    <x v="3618"/>
    <n v="183.68"/>
    <x v="298"/>
    <x v="0"/>
    <x v="0"/>
    <n v="1.88"/>
    <m/>
    <m/>
    <x v="23"/>
    <x v="56"/>
    <m/>
  </r>
  <r>
    <x v="2736"/>
    <x v="3716"/>
    <x v="10"/>
    <x v="0"/>
    <x v="0"/>
    <x v="0"/>
    <x v="15"/>
    <x v="1"/>
    <x v="3619"/>
    <n v="183.68"/>
    <x v="298"/>
    <x v="0"/>
    <x v="0"/>
    <n v="7.79"/>
    <m/>
    <m/>
    <x v="23"/>
    <x v="56"/>
    <m/>
  </r>
  <r>
    <x v="2737"/>
    <x v="3717"/>
    <x v="10"/>
    <x v="0"/>
    <x v="0"/>
    <x v="0"/>
    <x v="45"/>
    <x v="0"/>
    <x v="3620"/>
    <n v="1.29"/>
    <x v="0"/>
    <x v="0"/>
    <x v="0"/>
    <n v="4.0000000000000001E-3"/>
    <m/>
    <m/>
    <x v="210"/>
    <x v="336"/>
    <m/>
  </r>
  <r>
    <x v="2738"/>
    <x v="3718"/>
    <x v="6"/>
    <x v="0"/>
    <x v="0"/>
    <x v="3"/>
    <x v="25"/>
    <x v="0"/>
    <x v="3621"/>
    <n v="186.61"/>
    <x v="0"/>
    <x v="562"/>
    <x v="854"/>
    <n v="1.294"/>
    <n v="1.143"/>
    <n v="1.0760000000000001"/>
    <x v="97"/>
    <x v="292"/>
    <n v="2.286"/>
  </r>
  <r>
    <x v="2739"/>
    <x v="3719"/>
    <x v="20"/>
    <x v="0"/>
    <x v="0"/>
    <x v="3"/>
    <x v="25"/>
    <x v="0"/>
    <x v="3622"/>
    <n v="539"/>
    <x v="74"/>
    <x v="563"/>
    <x v="855"/>
    <n v="0.73599999999999999"/>
    <n v="1.5429999999999999"/>
    <n v="0.248"/>
    <x v="56"/>
    <x v="167"/>
    <n v="0.82299999999999995"/>
  </r>
  <r>
    <x v="2740"/>
    <x v="3720"/>
    <x v="14"/>
    <x v="0"/>
    <x v="0"/>
    <x v="3"/>
    <x v="25"/>
    <x v="0"/>
    <x v="3623"/>
    <n v="182.32"/>
    <x v="30"/>
    <x v="564"/>
    <x v="856"/>
    <n v="2.4940000000000002"/>
    <n v="1.254"/>
    <n v="1.573"/>
    <x v="36"/>
    <x v="202"/>
    <n v="2.2410000000000001"/>
  </r>
  <r>
    <x v="2741"/>
    <x v="3721"/>
    <x v="17"/>
    <x v="0"/>
    <x v="0"/>
    <x v="3"/>
    <x v="25"/>
    <x v="0"/>
    <x v="3624"/>
    <n v="750.99"/>
    <x v="299"/>
    <x v="565"/>
    <x v="857"/>
    <n v="4.3099999999999996"/>
    <n v="1.0960000000000001"/>
    <n v="4"/>
    <x v="93"/>
    <x v="223"/>
    <n v="0.78"/>
  </r>
  <r>
    <x v="2742"/>
    <x v="3722"/>
    <x v="17"/>
    <x v="0"/>
    <x v="0"/>
    <x v="3"/>
    <x v="25"/>
    <x v="0"/>
    <x v="3625"/>
    <n v="332.17"/>
    <x v="300"/>
    <x v="566"/>
    <x v="63"/>
    <n v="6.1"/>
    <n v="1.135"/>
    <n v="5.0999999999999996"/>
    <x v="3"/>
    <x v="131"/>
    <n v="2.0699999999999998"/>
  </r>
  <r>
    <x v="2743"/>
    <x v="3723"/>
    <x v="17"/>
    <x v="0"/>
    <x v="0"/>
    <x v="3"/>
    <x v="25"/>
    <x v="0"/>
    <x v="3626"/>
    <n v="371.39"/>
    <x v="301"/>
    <x v="567"/>
    <x v="858"/>
    <n v="4.32"/>
    <n v="1.107"/>
    <n v="3.95"/>
    <x v="47"/>
    <x v="29"/>
    <n v="1.286"/>
  </r>
  <r>
    <x v="2744"/>
    <x v="3724"/>
    <x v="20"/>
    <x v="0"/>
    <x v="0"/>
    <x v="3"/>
    <x v="25"/>
    <x v="0"/>
    <x v="3627"/>
    <n v="725"/>
    <x v="302"/>
    <x v="149"/>
    <x v="859"/>
    <n v="1.88"/>
    <n v="1.7"/>
    <n v="0.502"/>
    <x v="130"/>
    <x v="53"/>
    <n v="0.52100000000000002"/>
  </r>
  <r>
    <x v="2745"/>
    <x v="3725"/>
    <x v="20"/>
    <x v="0"/>
    <x v="0"/>
    <x v="3"/>
    <x v="25"/>
    <x v="0"/>
    <x v="3628"/>
    <n v="276.7"/>
    <x v="303"/>
    <x v="568"/>
    <x v="860"/>
    <n v="0.371"/>
    <n v="1.2849999999999999"/>
    <n v="0.216"/>
    <x v="18"/>
    <x v="97"/>
    <n v="0.64100000000000001"/>
  </r>
  <r>
    <x v="2746"/>
    <x v="3726"/>
    <x v="20"/>
    <x v="0"/>
    <x v="0"/>
    <x v="3"/>
    <x v="25"/>
    <x v="0"/>
    <x v="3629"/>
    <n v="211.4"/>
    <x v="56"/>
    <x v="101"/>
    <x v="87"/>
    <n v="1.19"/>
    <n v="1.0089999999999999"/>
    <n v="1.43"/>
    <x v="145"/>
    <x v="86"/>
    <n v="3.0150000000000001"/>
  </r>
  <r>
    <x v="2747"/>
    <x v="3727"/>
    <x v="7"/>
    <x v="0"/>
    <x v="0"/>
    <x v="1"/>
    <x v="3"/>
    <x v="0"/>
    <x v="6"/>
    <n v="120"/>
    <x v="7"/>
    <x v="569"/>
    <x v="0"/>
    <n v="16"/>
    <m/>
    <m/>
    <x v="122"/>
    <x v="6"/>
    <m/>
  </r>
  <r>
    <x v="2748"/>
    <x v="3728"/>
    <x v="7"/>
    <x v="0"/>
    <x v="0"/>
    <x v="1"/>
    <x v="4"/>
    <x v="0"/>
    <x v="6"/>
    <n v="135"/>
    <x v="304"/>
    <x v="570"/>
    <x v="0"/>
    <n v="9"/>
    <m/>
    <m/>
    <x v="57"/>
    <x v="6"/>
    <m/>
  </r>
  <r>
    <x v="2749"/>
    <x v="3729"/>
    <x v="15"/>
    <x v="0"/>
    <x v="0"/>
    <x v="2"/>
    <x v="46"/>
    <x v="0"/>
    <x v="3630"/>
    <n v="21.2"/>
    <x v="0"/>
    <x v="0"/>
    <x v="0"/>
    <n v="4.2"/>
    <m/>
    <m/>
    <x v="193"/>
    <x v="6"/>
    <m/>
  </r>
  <r>
    <x v="2750"/>
    <x v="3730"/>
    <x v="17"/>
    <x v="0"/>
    <x v="0"/>
    <x v="0"/>
    <x v="17"/>
    <x v="0"/>
    <x v="3631"/>
    <n v="3.38"/>
    <x v="30"/>
    <x v="0"/>
    <x v="0"/>
    <n v="4.4000000000000003E-3"/>
    <m/>
    <m/>
    <x v="219"/>
    <x v="309"/>
    <m/>
  </r>
  <r>
    <x v="2751"/>
    <x v="3731"/>
    <x v="6"/>
    <x v="0"/>
    <x v="0"/>
    <x v="1"/>
    <x v="30"/>
    <x v="0"/>
    <x v="6"/>
    <n v="11.51"/>
    <x v="0"/>
    <x v="571"/>
    <x v="861"/>
    <n v="6.2853599999999998"/>
    <n v="1.22"/>
    <m/>
    <x v="31"/>
    <x v="290"/>
    <m/>
  </r>
  <r>
    <x v="2752"/>
    <x v="3732"/>
    <x v="6"/>
    <x v="0"/>
    <x v="0"/>
    <x v="1"/>
    <x v="47"/>
    <x v="0"/>
    <x v="6"/>
    <n v="112.32"/>
    <x v="0"/>
    <x v="572"/>
    <x v="0"/>
    <n v="13"/>
    <m/>
    <m/>
    <x v="29"/>
    <x v="6"/>
    <m/>
  </r>
  <r>
    <x v="2753"/>
    <x v="3733"/>
    <x v="11"/>
    <x v="0"/>
    <x v="1"/>
    <x v="3"/>
    <x v="8"/>
    <x v="0"/>
    <x v="3632"/>
    <n v="8500"/>
    <x v="0"/>
    <x v="573"/>
    <x v="131"/>
    <n v="9.6999999999999993"/>
    <n v="1.1299999999999999"/>
    <m/>
    <x v="32"/>
    <x v="150"/>
    <m/>
  </r>
  <r>
    <x v="2754"/>
    <x v="3734"/>
    <x v="11"/>
    <x v="0"/>
    <x v="1"/>
    <x v="3"/>
    <x v="8"/>
    <x v="0"/>
    <x v="3633"/>
    <n v="8500"/>
    <x v="0"/>
    <x v="515"/>
    <x v="862"/>
    <n v="3.8"/>
    <n v="0.81"/>
    <m/>
    <x v="100"/>
    <x v="201"/>
    <m/>
  </r>
  <r>
    <x v="2755"/>
    <x v="3735"/>
    <x v="17"/>
    <x v="0"/>
    <x v="0"/>
    <x v="0"/>
    <x v="32"/>
    <x v="0"/>
    <x v="3634"/>
    <n v="147"/>
    <x v="181"/>
    <x v="0"/>
    <x v="0"/>
    <n v="1.66"/>
    <m/>
    <m/>
    <x v="48"/>
    <x v="54"/>
    <m/>
  </r>
  <r>
    <x v="2756"/>
    <x v="3736"/>
    <x v="5"/>
    <x v="0"/>
    <x v="0"/>
    <x v="7"/>
    <x v="4"/>
    <x v="0"/>
    <x v="6"/>
    <n v="380"/>
    <x v="0"/>
    <x v="493"/>
    <x v="0"/>
    <n v="2.895E-2"/>
    <m/>
    <m/>
    <x v="216"/>
    <x v="6"/>
    <m/>
  </r>
  <r>
    <x v="2757"/>
    <x v="3737"/>
    <x v="20"/>
    <x v="0"/>
    <x v="1"/>
    <x v="3"/>
    <x v="24"/>
    <x v="0"/>
    <x v="3635"/>
    <n v="336.47"/>
    <x v="156"/>
    <x v="574"/>
    <x v="863"/>
    <n v="5.42"/>
    <n v="0.96499999999999997"/>
    <n v="7.53"/>
    <x v="47"/>
    <x v="51"/>
    <n v="0.28599999999999998"/>
  </r>
  <r>
    <x v="2758"/>
    <x v="3738"/>
    <x v="20"/>
    <x v="0"/>
    <x v="1"/>
    <x v="3"/>
    <x v="24"/>
    <x v="1"/>
    <x v="3636"/>
    <n v="178.84"/>
    <x v="0"/>
    <x v="496"/>
    <x v="864"/>
    <n v="9.4390000000000002E-2"/>
    <n v="0.68600000000000005"/>
    <n v="0.34"/>
    <x v="122"/>
    <x v="239"/>
    <n v="2.38"/>
  </r>
  <r>
    <x v="2758"/>
    <x v="3739"/>
    <x v="20"/>
    <x v="0"/>
    <x v="1"/>
    <x v="3"/>
    <x v="24"/>
    <x v="1"/>
    <x v="3637"/>
    <n v="178.84"/>
    <x v="0"/>
    <x v="575"/>
    <x v="865"/>
    <n v="0.62927"/>
    <n v="1.0069999999999999"/>
    <n v="0.76"/>
    <x v="122"/>
    <x v="239"/>
    <n v="2.38"/>
  </r>
  <r>
    <x v="2759"/>
    <x v="3740"/>
    <x v="10"/>
    <x v="0"/>
    <x v="0"/>
    <x v="3"/>
    <x v="17"/>
    <x v="7"/>
    <x v="3638"/>
    <n v="12.1"/>
    <x v="0"/>
    <x v="576"/>
    <x v="866"/>
    <n v="2.6700000000000001E-3"/>
    <n v="9.7000000000000003E-2"/>
    <n v="3.6"/>
    <x v="13"/>
    <x v="10"/>
    <n v="71.5"/>
  </r>
  <r>
    <x v="2759"/>
    <x v="3741"/>
    <x v="10"/>
    <x v="0"/>
    <x v="0"/>
    <x v="3"/>
    <x v="17"/>
    <x v="7"/>
    <x v="3639"/>
    <n v="12.1"/>
    <x v="0"/>
    <x v="577"/>
    <x v="867"/>
    <n v="4.3400000000000001E-3"/>
    <n v="9.4E-2"/>
    <n v="6.45"/>
    <x v="13"/>
    <x v="10"/>
    <n v="71.5"/>
  </r>
  <r>
    <x v="2759"/>
    <x v="3742"/>
    <x v="10"/>
    <x v="0"/>
    <x v="0"/>
    <x v="3"/>
    <x v="17"/>
    <x v="7"/>
    <x v="3640"/>
    <n v="12.1"/>
    <x v="0"/>
    <x v="578"/>
    <x v="868"/>
    <n v="1.2899999999999999E-3"/>
    <n v="6.9000000000000006E-2"/>
    <n v="4.9000000000000004"/>
    <x v="13"/>
    <x v="10"/>
    <n v="71.5"/>
  </r>
  <r>
    <x v="2759"/>
    <x v="3743"/>
    <x v="17"/>
    <x v="0"/>
    <x v="2"/>
    <x v="3"/>
    <x v="4"/>
    <x v="7"/>
    <x v="3641"/>
    <n v="12.1"/>
    <x v="0"/>
    <x v="579"/>
    <x v="869"/>
    <n v="1.9499999999999999E-3"/>
    <n v="8.2000000000000003E-2"/>
    <n v="4.4000000000000004"/>
    <x v="13"/>
    <x v="10"/>
    <n v="71.5"/>
  </r>
  <r>
    <x v="2759"/>
    <x v="3744"/>
    <x v="17"/>
    <x v="0"/>
    <x v="2"/>
    <x v="3"/>
    <x v="4"/>
    <x v="7"/>
    <x v="3642"/>
    <n v="12.1"/>
    <x v="0"/>
    <x v="580"/>
    <x v="870"/>
    <n v="2.14E-3"/>
    <n v="9.2999999999999999E-2"/>
    <n v="3.3"/>
    <x v="13"/>
    <x v="10"/>
    <n v="71.5"/>
  </r>
  <r>
    <x v="2759"/>
    <x v="3745"/>
    <x v="17"/>
    <x v="0"/>
    <x v="2"/>
    <x v="3"/>
    <x v="4"/>
    <x v="7"/>
    <x v="3643"/>
    <n v="12.1"/>
    <x v="0"/>
    <x v="581"/>
    <x v="871"/>
    <n v="4.2199999999999998E-3"/>
    <n v="0.10100000000000001"/>
    <n v="5.2"/>
    <x v="13"/>
    <x v="10"/>
    <n v="71.5"/>
  </r>
  <r>
    <x v="2759"/>
    <x v="3746"/>
    <x v="17"/>
    <x v="0"/>
    <x v="2"/>
    <x v="3"/>
    <x v="4"/>
    <x v="7"/>
    <x v="3644"/>
    <n v="12.1"/>
    <x v="0"/>
    <x v="0"/>
    <x v="872"/>
    <m/>
    <n v="6.7000000000000004E-2"/>
    <m/>
    <x v="13"/>
    <x v="10"/>
    <n v="71.5"/>
  </r>
  <r>
    <x v="2760"/>
    <x v="3747"/>
    <x v="19"/>
    <x v="0"/>
    <x v="0"/>
    <x v="0"/>
    <x v="4"/>
    <x v="1"/>
    <x v="3645"/>
    <n v="759"/>
    <x v="286"/>
    <x v="0"/>
    <x v="0"/>
    <n v="2.5"/>
    <m/>
    <m/>
    <x v="93"/>
    <x v="337"/>
    <m/>
  </r>
  <r>
    <x v="2760"/>
    <x v="3748"/>
    <x v="19"/>
    <x v="0"/>
    <x v="0"/>
    <x v="0"/>
    <x v="4"/>
    <x v="1"/>
    <x v="3646"/>
    <n v="759"/>
    <x v="286"/>
    <x v="0"/>
    <x v="0"/>
    <n v="10"/>
    <m/>
    <m/>
    <x v="93"/>
    <x v="337"/>
    <m/>
  </r>
  <r>
    <x v="2761"/>
    <x v="3749"/>
    <x v="5"/>
    <x v="0"/>
    <x v="0"/>
    <x v="0"/>
    <x v="4"/>
    <x v="0"/>
    <x v="3647"/>
    <n v="497.41"/>
    <x v="0"/>
    <x v="0"/>
    <x v="0"/>
    <n v="3.42"/>
    <m/>
    <m/>
    <x v="128"/>
    <x v="338"/>
    <m/>
  </r>
  <r>
    <x v="2762"/>
    <x v="3750"/>
    <x v="10"/>
    <x v="0"/>
    <x v="0"/>
    <x v="0"/>
    <x v="12"/>
    <x v="0"/>
    <x v="3648"/>
    <n v="481"/>
    <x v="162"/>
    <x v="0"/>
    <x v="0"/>
    <n v="5.4"/>
    <m/>
    <m/>
    <x v="220"/>
    <x v="339"/>
    <m/>
  </r>
  <r>
    <x v="2763"/>
    <x v="3751"/>
    <x v="17"/>
    <x v="0"/>
    <x v="0"/>
    <x v="0"/>
    <x v="15"/>
    <x v="0"/>
    <x v="3649"/>
    <n v="700"/>
    <x v="305"/>
    <x v="0"/>
    <x v="0"/>
    <n v="10.78"/>
    <m/>
    <m/>
    <x v="54"/>
    <x v="340"/>
    <m/>
  </r>
  <r>
    <x v="2764"/>
    <x v="3752"/>
    <x v="9"/>
    <x v="0"/>
    <x v="0"/>
    <x v="3"/>
    <x v="48"/>
    <x v="0"/>
    <x v="3650"/>
    <n v="150"/>
    <x v="0"/>
    <x v="48"/>
    <x v="131"/>
    <n v="0.84"/>
    <n v="1.1299999999999999"/>
    <m/>
    <x v="48"/>
    <x v="131"/>
    <n v="2.37"/>
  </r>
  <r>
    <x v="2765"/>
    <x v="3753"/>
    <x v="11"/>
    <x v="1"/>
    <x v="0"/>
    <x v="3"/>
    <x v="48"/>
    <x v="0"/>
    <x v="3651"/>
    <n v="213"/>
    <x v="0"/>
    <x v="582"/>
    <x v="804"/>
    <n v="1.49"/>
    <n v="1.36"/>
    <m/>
    <x v="169"/>
    <x v="40"/>
    <n v="1.38"/>
  </r>
  <r>
    <x v="2766"/>
    <x v="3754"/>
    <x v="0"/>
    <x v="0"/>
    <x v="0"/>
    <x v="3"/>
    <x v="48"/>
    <x v="0"/>
    <x v="3652"/>
    <n v="228"/>
    <x v="0"/>
    <x v="583"/>
    <x v="873"/>
    <n v="1.91"/>
    <n v="1.3360000000000001"/>
    <n v="0.99399999999999999"/>
    <x v="89"/>
    <x v="56"/>
    <m/>
  </r>
  <r>
    <x v="2767"/>
    <x v="3755"/>
    <x v="0"/>
    <x v="0"/>
    <x v="0"/>
    <x v="3"/>
    <x v="48"/>
    <x v="0"/>
    <x v="3653"/>
    <n v="492"/>
    <x v="0"/>
    <x v="584"/>
    <x v="851"/>
    <n v="0.78"/>
    <n v="1.61"/>
    <m/>
    <x v="4"/>
    <x v="135"/>
    <n v="0.33"/>
  </r>
  <r>
    <x v="2768"/>
    <x v="3756"/>
    <x v="14"/>
    <x v="0"/>
    <x v="0"/>
    <x v="3"/>
    <x v="48"/>
    <x v="0"/>
    <x v="3654"/>
    <n v="360"/>
    <x v="0"/>
    <x v="585"/>
    <x v="112"/>
    <n v="1.79"/>
    <n v="1.194"/>
    <n v="1.31"/>
    <x v="3"/>
    <x v="90"/>
    <n v="1.9450000000000001"/>
  </r>
  <r>
    <x v="2769"/>
    <x v="3757"/>
    <x v="5"/>
    <x v="0"/>
    <x v="0"/>
    <x v="7"/>
    <x v="49"/>
    <x v="0"/>
    <x v="6"/>
    <n v="6300"/>
    <x v="0"/>
    <x v="122"/>
    <x v="0"/>
    <n v="1.28"/>
    <m/>
    <m/>
    <x v="94"/>
    <x v="6"/>
    <m/>
  </r>
  <r>
    <x v="2770"/>
    <x v="3758"/>
    <x v="2"/>
    <x v="0"/>
    <x v="0"/>
    <x v="1"/>
    <x v="50"/>
    <x v="0"/>
    <x v="6"/>
    <n v="144.29"/>
    <x v="0"/>
    <x v="555"/>
    <x v="0"/>
    <n v="14"/>
    <m/>
    <m/>
    <x v="207"/>
    <x v="6"/>
    <m/>
  </r>
  <r>
    <x v="2771"/>
    <x v="3759"/>
    <x v="14"/>
    <x v="0"/>
    <x v="0"/>
    <x v="2"/>
    <x v="4"/>
    <x v="1"/>
    <x v="3655"/>
    <n v="239.6"/>
    <x v="0"/>
    <x v="586"/>
    <x v="0"/>
    <n v="6.3"/>
    <m/>
    <m/>
    <x v="37"/>
    <x v="6"/>
    <m/>
  </r>
  <r>
    <x v="2771"/>
    <x v="3760"/>
    <x v="14"/>
    <x v="0"/>
    <x v="0"/>
    <x v="2"/>
    <x v="4"/>
    <x v="1"/>
    <x v="3656"/>
    <n v="239.6"/>
    <x v="0"/>
    <x v="587"/>
    <x v="0"/>
    <n v="7.7"/>
    <m/>
    <m/>
    <x v="37"/>
    <x v="6"/>
    <m/>
  </r>
  <r>
    <x v="2772"/>
    <x v="3761"/>
    <x v="0"/>
    <x v="0"/>
    <x v="0"/>
    <x v="6"/>
    <x v="4"/>
    <x v="0"/>
    <x v="3657"/>
    <n v="1400"/>
    <x v="113"/>
    <x v="0"/>
    <x v="0"/>
    <n v="3.2"/>
    <m/>
    <m/>
    <x v="38"/>
    <x v="341"/>
    <m/>
  </r>
  <r>
    <x v="2773"/>
    <x v="3762"/>
    <x v="10"/>
    <x v="0"/>
    <x v="0"/>
    <x v="0"/>
    <x v="4"/>
    <x v="0"/>
    <x v="3658"/>
    <n v="150"/>
    <x v="22"/>
    <x v="152"/>
    <x v="0"/>
    <n v="0.7"/>
    <m/>
    <m/>
    <x v="57"/>
    <x v="118"/>
    <m/>
  </r>
  <r>
    <x v="2774"/>
    <x v="3763"/>
    <x v="8"/>
    <x v="0"/>
    <x v="0"/>
    <x v="1"/>
    <x v="9"/>
    <x v="0"/>
    <x v="6"/>
    <n v="12.7"/>
    <x v="306"/>
    <x v="588"/>
    <x v="0"/>
    <n v="11.2"/>
    <m/>
    <m/>
    <x v="60"/>
    <x v="6"/>
    <m/>
  </r>
  <r>
    <x v="2775"/>
    <x v="3764"/>
    <x v="0"/>
    <x v="0"/>
    <x v="0"/>
    <x v="3"/>
    <x v="51"/>
    <x v="0"/>
    <x v="3659"/>
    <n v="408"/>
    <x v="307"/>
    <x v="589"/>
    <x v="874"/>
    <n v="0.85399999999999998"/>
    <n v="1.4830000000000001"/>
    <n v="0.34799999999999998"/>
    <x v="100"/>
    <x v="113"/>
    <n v="0.54800000000000004"/>
  </r>
  <r>
    <x v="2776"/>
    <x v="3765"/>
    <x v="2"/>
    <x v="0"/>
    <x v="0"/>
    <x v="3"/>
    <x v="51"/>
    <x v="0"/>
    <x v="3660"/>
    <n v="90"/>
    <x v="0"/>
    <x v="590"/>
    <x v="875"/>
    <n v="3.15"/>
    <n v="1.08"/>
    <n v="4.1399999999999997"/>
    <x v="174"/>
    <x v="86"/>
    <m/>
  </r>
  <r>
    <x v="2777"/>
    <x v="3766"/>
    <x v="19"/>
    <x v="0"/>
    <x v="0"/>
    <x v="3"/>
    <x v="51"/>
    <x v="0"/>
    <x v="3661"/>
    <n v="368.28"/>
    <x v="0"/>
    <x v="591"/>
    <x v="125"/>
    <n v="1.26"/>
    <n v="1.33"/>
    <m/>
    <x v="96"/>
    <x v="119"/>
    <n v="0.28000000000000003"/>
  </r>
  <r>
    <x v="2778"/>
    <x v="3767"/>
    <x v="19"/>
    <x v="0"/>
    <x v="0"/>
    <x v="3"/>
    <x v="51"/>
    <x v="0"/>
    <x v="3662"/>
    <n v="202.39"/>
    <x v="0"/>
    <x v="592"/>
    <x v="119"/>
    <n v="0.51"/>
    <n v="1.43"/>
    <m/>
    <x v="130"/>
    <x v="97"/>
    <n v="0.89"/>
  </r>
  <r>
    <x v="2779"/>
    <x v="3768"/>
    <x v="19"/>
    <x v="0"/>
    <x v="0"/>
    <x v="3"/>
    <x v="51"/>
    <x v="0"/>
    <x v="3663"/>
    <n v="470"/>
    <x v="12"/>
    <x v="593"/>
    <x v="876"/>
    <n v="1.49"/>
    <n v="1.528"/>
    <n v="0.55000000000000004"/>
    <x v="84"/>
    <x v="132"/>
    <n v="0.58299999999999996"/>
  </r>
  <r>
    <x v="2780"/>
    <x v="3769"/>
    <x v="19"/>
    <x v="0"/>
    <x v="0"/>
    <x v="3"/>
    <x v="51"/>
    <x v="0"/>
    <x v="3664"/>
    <n v="143"/>
    <x v="23"/>
    <x v="594"/>
    <x v="877"/>
    <n v="1.272"/>
    <n v="1.137"/>
    <n v="1.0740000000000001"/>
    <x v="4"/>
    <x v="18"/>
    <n v="1.7"/>
  </r>
  <r>
    <x v="2781"/>
    <x v="3770"/>
    <x v="17"/>
    <x v="0"/>
    <x v="0"/>
    <x v="3"/>
    <x v="52"/>
    <x v="0"/>
    <x v="3665"/>
    <n v="252.52"/>
    <x v="0"/>
    <x v="595"/>
    <x v="807"/>
    <n v="1.8"/>
    <n v="0.96"/>
    <n v="2.65"/>
    <x v="45"/>
    <x v="52"/>
    <n v="1.73"/>
  </r>
  <r>
    <x v="2782"/>
    <x v="3771"/>
    <x v="19"/>
    <x v="0"/>
    <x v="0"/>
    <x v="3"/>
    <x v="51"/>
    <x v="0"/>
    <x v="3666"/>
    <n v="283"/>
    <x v="0"/>
    <x v="596"/>
    <x v="123"/>
    <n v="1.62"/>
    <n v="1.02"/>
    <m/>
    <x v="89"/>
    <x v="97"/>
    <n v="0.56999999999999995"/>
  </r>
  <r>
    <x v="2783"/>
    <x v="3772"/>
    <x v="17"/>
    <x v="0"/>
    <x v="0"/>
    <x v="3"/>
    <x v="52"/>
    <x v="0"/>
    <x v="3667"/>
    <n v="64.86"/>
    <x v="0"/>
    <x v="170"/>
    <x v="67"/>
    <n v="0.12"/>
    <n v="0.94"/>
    <n v="0.19"/>
    <x v="74"/>
    <x v="286"/>
    <n v="3.45"/>
  </r>
  <r>
    <x v="2784"/>
    <x v="3773"/>
    <x v="2"/>
    <x v="0"/>
    <x v="0"/>
    <x v="3"/>
    <x v="51"/>
    <x v="0"/>
    <x v="3668"/>
    <n v="121.7"/>
    <x v="0"/>
    <x v="597"/>
    <x v="60"/>
    <n v="0.79"/>
    <n v="1.1100000000000001"/>
    <m/>
    <x v="116"/>
    <x v="111"/>
    <n v="2.8"/>
  </r>
  <r>
    <x v="2785"/>
    <x v="3774"/>
    <x v="10"/>
    <x v="0"/>
    <x v="0"/>
    <x v="3"/>
    <x v="53"/>
    <x v="0"/>
    <x v="3669"/>
    <n v="360"/>
    <x v="72"/>
    <x v="598"/>
    <x v="878"/>
    <n v="0.47499999999999998"/>
    <n v="1.409"/>
    <n v="0.22800000000000001"/>
    <x v="64"/>
    <x v="49"/>
    <n v="0.44700000000000001"/>
  </r>
  <r>
    <x v="2786"/>
    <x v="3775"/>
    <x v="10"/>
    <x v="0"/>
    <x v="0"/>
    <x v="3"/>
    <x v="53"/>
    <x v="0"/>
    <x v="3670"/>
    <n v="460"/>
    <x v="75"/>
    <x v="599"/>
    <x v="879"/>
    <n v="1.7689999999999999"/>
    <n v="1.339"/>
    <n v="0.97"/>
    <x v="51"/>
    <x v="126"/>
    <n v="0.61899999999999999"/>
  </r>
  <r>
    <x v="2787"/>
    <x v="3776"/>
    <x v="19"/>
    <x v="0"/>
    <x v="0"/>
    <x v="3"/>
    <x v="51"/>
    <x v="0"/>
    <x v="3671"/>
    <n v="158.69"/>
    <x v="0"/>
    <x v="600"/>
    <x v="54"/>
    <n v="0.3"/>
    <n v="1.06"/>
    <m/>
    <x v="51"/>
    <x v="147"/>
    <n v="1"/>
  </r>
  <r>
    <x v="2788"/>
    <x v="3777"/>
    <x v="10"/>
    <x v="0"/>
    <x v="0"/>
    <x v="3"/>
    <x v="51"/>
    <x v="0"/>
    <x v="3672"/>
    <n v="380.53"/>
    <x v="308"/>
    <x v="601"/>
    <x v="1"/>
    <n v="0.51400000000000001"/>
    <n v="1.44"/>
    <n v="0.23300000000000001"/>
    <x v="64"/>
    <x v="109"/>
    <n v="0.38200000000000001"/>
  </r>
  <r>
    <x v="2789"/>
    <x v="3778"/>
    <x v="10"/>
    <x v="0"/>
    <x v="0"/>
    <x v="3"/>
    <x v="52"/>
    <x v="0"/>
    <x v="3673"/>
    <n v="333"/>
    <x v="97"/>
    <x v="602"/>
    <x v="96"/>
    <n v="1.23"/>
    <n v="1.4"/>
    <n v="0.7"/>
    <x v="102"/>
    <x v="15"/>
    <n v="0.76"/>
  </r>
  <r>
    <x v="2790"/>
    <x v="3779"/>
    <x v="2"/>
    <x v="0"/>
    <x v="0"/>
    <x v="3"/>
    <x v="51"/>
    <x v="0"/>
    <x v="3674"/>
    <n v="432.48"/>
    <x v="0"/>
    <x v="256"/>
    <x v="880"/>
    <n v="1.31"/>
    <n v="1.82"/>
    <m/>
    <x v="141"/>
    <x v="44"/>
    <n v="0.42"/>
  </r>
  <r>
    <x v="2791"/>
    <x v="3780"/>
    <x v="10"/>
    <x v="0"/>
    <x v="0"/>
    <x v="3"/>
    <x v="51"/>
    <x v="0"/>
    <x v="3675"/>
    <n v="437"/>
    <x v="195"/>
    <x v="603"/>
    <x v="881"/>
    <n v="4.8499999999999996"/>
    <n v="1.4730000000000001"/>
    <n v="2"/>
    <x v="139"/>
    <x v="125"/>
    <n v="0.29899999999999999"/>
  </r>
  <r>
    <x v="2792"/>
    <x v="3781"/>
    <x v="10"/>
    <x v="0"/>
    <x v="0"/>
    <x v="3"/>
    <x v="51"/>
    <x v="0"/>
    <x v="3676"/>
    <n v="270"/>
    <x v="176"/>
    <x v="604"/>
    <x v="882"/>
    <n v="1.1830000000000001"/>
    <n v="1.865"/>
    <n v="0.24299999999999999"/>
    <x v="131"/>
    <x v="134"/>
    <n v="0.61599999999999999"/>
  </r>
  <r>
    <x v="2793"/>
    <x v="3782"/>
    <x v="10"/>
    <x v="0"/>
    <x v="0"/>
    <x v="3"/>
    <x v="51"/>
    <x v="0"/>
    <x v="3677"/>
    <n v="214"/>
    <x v="41"/>
    <x v="605"/>
    <x v="88"/>
    <n v="0.89900000000000002"/>
    <n v="1.3180000000000001"/>
    <n v="0.52100000000000002"/>
    <x v="63"/>
    <x v="182"/>
    <n v="0.77300000000000002"/>
  </r>
  <r>
    <x v="2794"/>
    <x v="3783"/>
    <x v="10"/>
    <x v="0"/>
    <x v="0"/>
    <x v="3"/>
    <x v="52"/>
    <x v="0"/>
    <x v="3678"/>
    <n v="433"/>
    <x v="67"/>
    <x v="606"/>
    <x v="883"/>
    <n v="0.6"/>
    <n v="1.24"/>
    <n v="0.43"/>
    <x v="154"/>
    <x v="55"/>
    <n v="1.39"/>
  </r>
  <r>
    <x v="2795"/>
    <x v="3784"/>
    <x v="10"/>
    <x v="0"/>
    <x v="0"/>
    <x v="3"/>
    <x v="52"/>
    <x v="0"/>
    <x v="3679"/>
    <n v="234"/>
    <x v="128"/>
    <x v="607"/>
    <x v="807"/>
    <n v="0.28000000000000003"/>
    <n v="0.96"/>
    <n v="0.41"/>
    <x v="20"/>
    <x v="223"/>
    <n v="0.79"/>
  </r>
  <r>
    <x v="2796"/>
    <x v="3785"/>
    <x v="10"/>
    <x v="0"/>
    <x v="0"/>
    <x v="3"/>
    <x v="51"/>
    <x v="0"/>
    <x v="3680"/>
    <n v="102"/>
    <x v="309"/>
    <x v="608"/>
    <x v="884"/>
    <n v="0.18"/>
    <n v="1.37"/>
    <n v="0.09"/>
    <x v="4"/>
    <x v="61"/>
    <n v="0.56899999999999995"/>
  </r>
  <r>
    <x v="2797"/>
    <x v="3786"/>
    <x v="10"/>
    <x v="0"/>
    <x v="0"/>
    <x v="3"/>
    <x v="52"/>
    <x v="0"/>
    <x v="3681"/>
    <n v="246"/>
    <x v="40"/>
    <x v="609"/>
    <x v="885"/>
    <n v="1"/>
    <n v="0.93"/>
    <n v="1.6"/>
    <x v="57"/>
    <x v="52"/>
    <n v="1.94"/>
  </r>
  <r>
    <x v="2798"/>
    <x v="3787"/>
    <x v="1"/>
    <x v="0"/>
    <x v="0"/>
    <x v="3"/>
    <x v="51"/>
    <x v="0"/>
    <x v="3682"/>
    <n v="155"/>
    <x v="0"/>
    <x v="610"/>
    <x v="861"/>
    <n v="0.36"/>
    <n v="1.22"/>
    <m/>
    <x v="145"/>
    <x v="39"/>
    <n v="0.4"/>
  </r>
  <r>
    <x v="2799"/>
    <x v="3788"/>
    <x v="10"/>
    <x v="0"/>
    <x v="0"/>
    <x v="3"/>
    <x v="52"/>
    <x v="0"/>
    <x v="3683"/>
    <n v="180"/>
    <x v="24"/>
    <x v="602"/>
    <x v="845"/>
    <n v="1.23"/>
    <n v="0.89"/>
    <n v="2.34"/>
    <x v="48"/>
    <x v="18"/>
    <n v="1.66"/>
  </r>
  <r>
    <x v="2800"/>
    <x v="3789"/>
    <x v="10"/>
    <x v="0"/>
    <x v="0"/>
    <x v="3"/>
    <x v="52"/>
    <x v="0"/>
    <x v="3684"/>
    <n v="250"/>
    <x v="35"/>
    <x v="494"/>
    <x v="861"/>
    <n v="0.27"/>
    <n v="1.22"/>
    <n v="0.2"/>
    <x v="104"/>
    <x v="104"/>
    <n v="0.41099999999999998"/>
  </r>
  <r>
    <x v="2801"/>
    <x v="3790"/>
    <x v="10"/>
    <x v="0"/>
    <x v="0"/>
    <x v="3"/>
    <x v="52"/>
    <x v="0"/>
    <x v="3685"/>
    <n v="120"/>
    <x v="280"/>
    <x v="611"/>
    <x v="886"/>
    <n v="0.41"/>
    <n v="0.87"/>
    <n v="0.84"/>
    <x v="34"/>
    <x v="36"/>
    <n v="2.82"/>
  </r>
  <r>
    <x v="2802"/>
    <x v="3791"/>
    <x v="10"/>
    <x v="0"/>
    <x v="0"/>
    <x v="3"/>
    <x v="52"/>
    <x v="0"/>
    <x v="3686"/>
    <n v="547"/>
    <x v="110"/>
    <x v="612"/>
    <x v="84"/>
    <n v="1.1599999999999999"/>
    <n v="1.21"/>
    <n v="0.88"/>
    <x v="56"/>
    <x v="132"/>
    <n v="0.55000000000000004"/>
  </r>
  <r>
    <x v="2803"/>
    <x v="3792"/>
    <x v="8"/>
    <x v="0"/>
    <x v="0"/>
    <x v="3"/>
    <x v="51"/>
    <x v="0"/>
    <x v="3687"/>
    <n v="300"/>
    <x v="187"/>
    <x v="6"/>
    <x v="17"/>
    <n v="1.9"/>
    <n v="1.3"/>
    <n v="1.1599999999999999"/>
    <x v="17"/>
    <x v="18"/>
    <n v="1.58"/>
  </r>
  <r>
    <x v="2804"/>
    <x v="3793"/>
    <x v="10"/>
    <x v="0"/>
    <x v="0"/>
    <x v="3"/>
    <x v="51"/>
    <x v="0"/>
    <x v="3688"/>
    <n v="164"/>
    <x v="310"/>
    <x v="613"/>
    <x v="887"/>
    <n v="1.51"/>
    <n v="1.38"/>
    <n v="0.77300000000000002"/>
    <x v="130"/>
    <x v="342"/>
    <n v="0.186"/>
  </r>
  <r>
    <x v="2805"/>
    <x v="3794"/>
    <x v="10"/>
    <x v="0"/>
    <x v="0"/>
    <x v="3"/>
    <x v="51"/>
    <x v="0"/>
    <x v="3689"/>
    <n v="308"/>
    <x v="292"/>
    <x v="614"/>
    <x v="62"/>
    <n v="1.22"/>
    <n v="1.0900000000000001"/>
    <n v="1.2"/>
    <x v="84"/>
    <x v="301"/>
    <n v="0.68700000000000006"/>
  </r>
  <r>
    <x v="2806"/>
    <x v="3795"/>
    <x v="10"/>
    <x v="0"/>
    <x v="0"/>
    <x v="3"/>
    <x v="52"/>
    <x v="0"/>
    <x v="3690"/>
    <n v="230"/>
    <x v="280"/>
    <x v="615"/>
    <x v="888"/>
    <n v="0.11700000000000001"/>
    <n v="0.8"/>
    <n v="0.31"/>
    <x v="127"/>
    <x v="292"/>
    <n v="2.5"/>
  </r>
  <r>
    <x v="2807"/>
    <x v="3796"/>
    <x v="2"/>
    <x v="0"/>
    <x v="0"/>
    <x v="3"/>
    <x v="51"/>
    <x v="0"/>
    <x v="3691"/>
    <n v="160"/>
    <x v="0"/>
    <x v="616"/>
    <x v="887"/>
    <n v="8.84"/>
    <n v="1.38"/>
    <m/>
    <x v="149"/>
    <x v="107"/>
    <n v="0.83"/>
  </r>
  <r>
    <x v="2808"/>
    <x v="3797"/>
    <x v="10"/>
    <x v="0"/>
    <x v="0"/>
    <x v="3"/>
    <x v="52"/>
    <x v="0"/>
    <x v="3692"/>
    <n v="180"/>
    <x v="280"/>
    <x v="135"/>
    <x v="1"/>
    <n v="2.44"/>
    <n v="1.44"/>
    <n v="1.1000000000000001"/>
    <x v="3"/>
    <x v="90"/>
    <n v="1.94"/>
  </r>
  <r>
    <x v="2809"/>
    <x v="3798"/>
    <x v="10"/>
    <x v="0"/>
    <x v="0"/>
    <x v="3"/>
    <x v="52"/>
    <x v="0"/>
    <x v="3693"/>
    <n v="570"/>
    <x v="30"/>
    <x v="617"/>
    <x v="84"/>
    <n v="2.69"/>
    <n v="1.21"/>
    <n v="1.98"/>
    <x v="119"/>
    <x v="39"/>
    <n v="0.69"/>
  </r>
  <r>
    <x v="2810"/>
    <x v="3799"/>
    <x v="10"/>
    <x v="0"/>
    <x v="0"/>
    <x v="3"/>
    <x v="52"/>
    <x v="0"/>
    <x v="3694"/>
    <n v="840"/>
    <x v="24"/>
    <x v="48"/>
    <x v="889"/>
    <n v="0.84"/>
    <n v="1.53"/>
    <n v="0.31"/>
    <x v="98"/>
    <x v="229"/>
    <n v="0.42"/>
  </r>
  <r>
    <x v="2811"/>
    <x v="3800"/>
    <x v="5"/>
    <x v="0"/>
    <x v="0"/>
    <x v="3"/>
    <x v="52"/>
    <x v="0"/>
    <x v="3695"/>
    <n v="358.72"/>
    <x v="245"/>
    <x v="618"/>
    <x v="346"/>
    <n v="0.44"/>
    <n v="0.85"/>
    <n v="0.95"/>
    <x v="94"/>
    <x v="130"/>
    <n v="2.17"/>
  </r>
  <r>
    <x v="2812"/>
    <x v="3801"/>
    <x v="5"/>
    <x v="0"/>
    <x v="0"/>
    <x v="3"/>
    <x v="52"/>
    <x v="0"/>
    <x v="3696"/>
    <n v="91.54"/>
    <x v="135"/>
    <x v="619"/>
    <x v="26"/>
    <n v="0.89"/>
    <n v="0.9"/>
    <n v="1.6"/>
    <x v="99"/>
    <x v="85"/>
    <n v="3.36"/>
  </r>
  <r>
    <x v="2813"/>
    <x v="3802"/>
    <x v="5"/>
    <x v="0"/>
    <x v="0"/>
    <x v="3"/>
    <x v="52"/>
    <x v="0"/>
    <x v="3697"/>
    <n v="426"/>
    <x v="311"/>
    <x v="620"/>
    <x v="890"/>
    <n v="0.27500000000000002"/>
    <n v="1.115"/>
    <n v="0.26300000000000001"/>
    <x v="48"/>
    <x v="126"/>
    <n v="0.50900000000000001"/>
  </r>
  <r>
    <x v="2814"/>
    <x v="3803"/>
    <x v="1"/>
    <x v="0"/>
    <x v="0"/>
    <x v="3"/>
    <x v="51"/>
    <x v="0"/>
    <x v="3698"/>
    <n v="284.35000000000002"/>
    <x v="0"/>
    <x v="492"/>
    <x v="132"/>
    <n v="0.54"/>
    <n v="1.41"/>
    <m/>
    <x v="112"/>
    <x v="129"/>
    <n v="0.52"/>
  </r>
  <r>
    <x v="2815"/>
    <x v="3804"/>
    <x v="17"/>
    <x v="0"/>
    <x v="0"/>
    <x v="3"/>
    <x v="52"/>
    <x v="0"/>
    <x v="3699"/>
    <n v="458.91"/>
    <x v="100"/>
    <x v="621"/>
    <x v="131"/>
    <n v="0.31"/>
    <n v="1.1299999999999999"/>
    <n v="0.28999999999999998"/>
    <x v="4"/>
    <x v="48"/>
    <n v="1.02"/>
  </r>
  <r>
    <x v="2816"/>
    <x v="3805"/>
    <x v="17"/>
    <x v="0"/>
    <x v="0"/>
    <x v="3"/>
    <x v="51"/>
    <x v="0"/>
    <x v="3700"/>
    <n v="430"/>
    <x v="12"/>
    <x v="155"/>
    <x v="891"/>
    <n v="0.39"/>
    <n v="1.55"/>
    <n v="0.15"/>
    <x v="151"/>
    <x v="98"/>
    <n v="0.37"/>
  </r>
  <r>
    <x v="2817"/>
    <x v="3806"/>
    <x v="17"/>
    <x v="0"/>
    <x v="0"/>
    <x v="3"/>
    <x v="51"/>
    <x v="0"/>
    <x v="3701"/>
    <n v="140"/>
    <x v="128"/>
    <x v="622"/>
    <x v="892"/>
    <n v="0.128"/>
    <n v="0.51"/>
    <n v="1.3"/>
    <x v="97"/>
    <x v="153"/>
    <n v="2.68"/>
  </r>
  <r>
    <x v="2818"/>
    <x v="3807"/>
    <x v="10"/>
    <x v="0"/>
    <x v="0"/>
    <x v="3"/>
    <x v="51"/>
    <x v="0"/>
    <x v="3702"/>
    <n v="337.71"/>
    <x v="0"/>
    <x v="0"/>
    <x v="893"/>
    <m/>
    <n v="0.998"/>
    <m/>
    <x v="104"/>
    <x v="95"/>
    <n v="1.4"/>
  </r>
  <r>
    <x v="2819"/>
    <x v="3808"/>
    <x v="5"/>
    <x v="0"/>
    <x v="0"/>
    <x v="3"/>
    <x v="52"/>
    <x v="0"/>
    <x v="3703"/>
    <n v="532.91999999999996"/>
    <x v="312"/>
    <x v="623"/>
    <x v="171"/>
    <n v="2.79"/>
    <n v="1.07"/>
    <n v="3.1"/>
    <x v="124"/>
    <x v="61"/>
    <n v="0.75"/>
  </r>
  <r>
    <x v="2820"/>
    <x v="3809"/>
    <x v="5"/>
    <x v="0"/>
    <x v="0"/>
    <x v="3"/>
    <x v="52"/>
    <x v="0"/>
    <x v="3704"/>
    <n v="730.5"/>
    <x v="307"/>
    <x v="624"/>
    <x v="887"/>
    <n v="0.55000000000000004"/>
    <n v="1.38"/>
    <n v="0.28000000000000003"/>
    <x v="130"/>
    <x v="136"/>
    <n v="0.21"/>
  </r>
  <r>
    <x v="2821"/>
    <x v="3810"/>
    <x v="1"/>
    <x v="0"/>
    <x v="0"/>
    <x v="3"/>
    <x v="51"/>
    <x v="0"/>
    <x v="3705"/>
    <n v="195.2"/>
    <x v="0"/>
    <x v="625"/>
    <x v="861"/>
    <n v="1.24"/>
    <n v="1.22"/>
    <m/>
    <x v="132"/>
    <x v="48"/>
    <n v="1.68"/>
  </r>
  <r>
    <x v="2822"/>
    <x v="3811"/>
    <x v="5"/>
    <x v="0"/>
    <x v="0"/>
    <x v="3"/>
    <x v="52"/>
    <x v="0"/>
    <x v="3706"/>
    <n v="284"/>
    <x v="313"/>
    <x v="626"/>
    <x v="62"/>
    <n v="0.27800000000000002"/>
    <n v="1.0900000000000001"/>
    <n v="0.28399999999999997"/>
    <x v="122"/>
    <x v="90"/>
    <n v="1.89"/>
  </r>
  <r>
    <x v="2823"/>
    <x v="3812"/>
    <x v="5"/>
    <x v="0"/>
    <x v="0"/>
    <x v="3"/>
    <x v="52"/>
    <x v="0"/>
    <x v="3707"/>
    <n v="346.46"/>
    <x v="0"/>
    <x v="627"/>
    <x v="854"/>
    <n v="2.4900000000000002"/>
    <n v="1.143"/>
    <n v="2.2000000000000002"/>
    <x v="139"/>
    <x v="128"/>
    <n v="0.39800000000000002"/>
  </r>
  <r>
    <x v="2824"/>
    <x v="3813"/>
    <x v="5"/>
    <x v="0"/>
    <x v="0"/>
    <x v="3"/>
    <x v="52"/>
    <x v="0"/>
    <x v="3708"/>
    <n v="313.60000000000002"/>
    <x v="314"/>
    <x v="628"/>
    <x v="323"/>
    <n v="5.2"/>
    <n v="1"/>
    <n v="6.9"/>
    <x v="44"/>
    <x v="37"/>
    <n v="1"/>
  </r>
  <r>
    <x v="2825"/>
    <x v="3814"/>
    <x v="5"/>
    <x v="0"/>
    <x v="0"/>
    <x v="3"/>
    <x v="52"/>
    <x v="0"/>
    <x v="3709"/>
    <n v="263.29000000000002"/>
    <x v="0"/>
    <x v="629"/>
    <x v="894"/>
    <n v="1.87"/>
    <n v="1.202"/>
    <n v="1.42"/>
    <x v="54"/>
    <x v="41"/>
    <n v="1.3"/>
  </r>
  <r>
    <x v="2826"/>
    <x v="3815"/>
    <x v="5"/>
    <x v="0"/>
    <x v="0"/>
    <x v="3"/>
    <x v="52"/>
    <x v="0"/>
    <x v="3710"/>
    <n v="322"/>
    <x v="315"/>
    <x v="630"/>
    <x v="895"/>
    <n v="2.13"/>
    <n v="1.1279999999999999"/>
    <n v="1.96"/>
    <x v="44"/>
    <x v="3"/>
    <n v="1.6419999999999999"/>
  </r>
  <r>
    <x v="2827"/>
    <x v="3816"/>
    <x v="5"/>
    <x v="0"/>
    <x v="0"/>
    <x v="3"/>
    <x v="52"/>
    <x v="0"/>
    <x v="3711"/>
    <n v="583"/>
    <x v="316"/>
    <x v="631"/>
    <x v="110"/>
    <n v="0.65800000000000003"/>
    <n v="1.26"/>
    <n v="0.44"/>
    <x v="119"/>
    <x v="138"/>
    <n v="0.32800000000000001"/>
  </r>
  <r>
    <x v="2828"/>
    <x v="3817"/>
    <x v="17"/>
    <x v="0"/>
    <x v="0"/>
    <x v="3"/>
    <x v="4"/>
    <x v="0"/>
    <x v="3712"/>
    <n v="381"/>
    <x v="317"/>
    <x v="556"/>
    <x v="124"/>
    <n v="8"/>
    <n v="1.58"/>
    <m/>
    <x v="140"/>
    <x v="50"/>
    <n v="0.39"/>
  </r>
  <r>
    <x v="2829"/>
    <x v="3818"/>
    <x v="5"/>
    <x v="0"/>
    <x v="0"/>
    <x v="3"/>
    <x v="52"/>
    <x v="0"/>
    <x v="3713"/>
    <n v="306.63"/>
    <x v="318"/>
    <x v="632"/>
    <x v="111"/>
    <n v="0.42"/>
    <n v="1.5"/>
    <n v="0.16"/>
    <x v="4"/>
    <x v="40"/>
    <n v="1.1000000000000001"/>
  </r>
  <r>
    <x v="2830"/>
    <x v="3819"/>
    <x v="1"/>
    <x v="0"/>
    <x v="0"/>
    <x v="3"/>
    <x v="51"/>
    <x v="0"/>
    <x v="3714"/>
    <n v="400"/>
    <x v="0"/>
    <x v="584"/>
    <x v="896"/>
    <n v="0.78"/>
    <n v="1.87"/>
    <m/>
    <x v="133"/>
    <x v="242"/>
    <n v="0.98"/>
  </r>
  <r>
    <x v="2831"/>
    <x v="3820"/>
    <x v="5"/>
    <x v="0"/>
    <x v="0"/>
    <x v="3"/>
    <x v="52"/>
    <x v="0"/>
    <x v="3715"/>
    <n v="308.27"/>
    <x v="0"/>
    <x v="633"/>
    <x v="857"/>
    <n v="1.6"/>
    <n v="1.0960000000000001"/>
    <n v="1.6"/>
    <x v="89"/>
    <x v="16"/>
    <n v="1.58"/>
  </r>
  <r>
    <x v="2832"/>
    <x v="3821"/>
    <x v="5"/>
    <x v="0"/>
    <x v="0"/>
    <x v="3"/>
    <x v="52"/>
    <x v="0"/>
    <x v="3716"/>
    <n v="546.02"/>
    <x v="319"/>
    <x v="531"/>
    <x v="122"/>
    <n v="0.47"/>
    <n v="1.57"/>
    <n v="0.16"/>
    <x v="144"/>
    <x v="224"/>
    <n v="0.3"/>
  </r>
  <r>
    <x v="2833"/>
    <x v="3822"/>
    <x v="5"/>
    <x v="0"/>
    <x v="0"/>
    <x v="3"/>
    <x v="52"/>
    <x v="0"/>
    <x v="3717"/>
    <n v="234.54"/>
    <x v="320"/>
    <x v="634"/>
    <x v="897"/>
    <n v="3.69"/>
    <n v="1.2"/>
    <n v="2.84"/>
    <x v="52"/>
    <x v="37"/>
    <n v="1.1000000000000001"/>
  </r>
  <r>
    <x v="2834"/>
    <x v="3823"/>
    <x v="5"/>
    <x v="0"/>
    <x v="0"/>
    <x v="3"/>
    <x v="52"/>
    <x v="0"/>
    <x v="3718"/>
    <n v="414.69"/>
    <x v="321"/>
    <x v="635"/>
    <x v="17"/>
    <n v="1.3"/>
    <n v="1.3"/>
    <m/>
    <x v="123"/>
    <x v="97"/>
    <n v="0.8"/>
  </r>
  <r>
    <x v="2835"/>
    <x v="3824"/>
    <x v="20"/>
    <x v="0"/>
    <x v="0"/>
    <x v="3"/>
    <x v="51"/>
    <x v="0"/>
    <x v="3719"/>
    <n v="178"/>
    <x v="68"/>
    <x v="636"/>
    <x v="124"/>
    <n v="0.50800000000000001"/>
    <n v="1.58"/>
    <n v="0.17199999999999999"/>
    <x v="59"/>
    <x v="111"/>
    <n v="1.78"/>
  </r>
  <r>
    <x v="2836"/>
    <x v="3825"/>
    <x v="1"/>
    <x v="0"/>
    <x v="0"/>
    <x v="3"/>
    <x v="51"/>
    <x v="0"/>
    <x v="3720"/>
    <n v="123.92"/>
    <x v="0"/>
    <x v="637"/>
    <x v="897"/>
    <n v="11.44"/>
    <n v="1.2"/>
    <m/>
    <x v="158"/>
    <x v="145"/>
    <n v="0.97"/>
  </r>
  <r>
    <x v="2837"/>
    <x v="3826"/>
    <x v="20"/>
    <x v="0"/>
    <x v="0"/>
    <x v="3"/>
    <x v="51"/>
    <x v="0"/>
    <x v="3721"/>
    <n v="443"/>
    <x v="49"/>
    <x v="638"/>
    <x v="898"/>
    <n v="0.29899999999999999"/>
    <n v="1.1839999999999999"/>
    <n v="0.23699999999999999"/>
    <x v="48"/>
    <x v="18"/>
    <n v="1.64"/>
  </r>
  <r>
    <x v="2838"/>
    <x v="3827"/>
    <x v="20"/>
    <x v="0"/>
    <x v="0"/>
    <x v="3"/>
    <x v="51"/>
    <x v="0"/>
    <x v="3722"/>
    <n v="328"/>
    <x v="322"/>
    <x v="639"/>
    <x v="899"/>
    <n v="0.502"/>
    <n v="1.47"/>
    <n v="0.21"/>
    <x v="110"/>
    <x v="90"/>
    <n v="1.68"/>
  </r>
  <r>
    <x v="2839"/>
    <x v="3828"/>
    <x v="1"/>
    <x v="0"/>
    <x v="0"/>
    <x v="3"/>
    <x v="51"/>
    <x v="0"/>
    <x v="3723"/>
    <n v="250"/>
    <x v="0"/>
    <x v="640"/>
    <x v="900"/>
    <n v="1.069"/>
    <n v="1.3919999999999999"/>
    <n v="0.49199999999999999"/>
    <x v="3"/>
    <x v="45"/>
    <m/>
  </r>
  <r>
    <x v="2840"/>
    <x v="3829"/>
    <x v="20"/>
    <x v="0"/>
    <x v="0"/>
    <x v="3"/>
    <x v="54"/>
    <x v="0"/>
    <x v="3724"/>
    <n v="550.76"/>
    <x v="0"/>
    <x v="609"/>
    <x v="61"/>
    <n v="1"/>
    <n v="1.1499999999999999"/>
    <m/>
    <x v="131"/>
    <x v="246"/>
    <n v="0.48"/>
  </r>
  <r>
    <x v="2841"/>
    <x v="3830"/>
    <x v="0"/>
    <x v="0"/>
    <x v="0"/>
    <x v="3"/>
    <x v="51"/>
    <x v="0"/>
    <x v="3725"/>
    <n v="166"/>
    <x v="323"/>
    <x v="641"/>
    <x v="901"/>
    <n v="0.91500000000000004"/>
    <n v="1.071"/>
    <n v="0.92"/>
    <x v="45"/>
    <x v="239"/>
    <n v="2.0499999999999998"/>
  </r>
  <r>
    <x v="2842"/>
    <x v="3831"/>
    <x v="8"/>
    <x v="0"/>
    <x v="0"/>
    <x v="3"/>
    <x v="51"/>
    <x v="0"/>
    <x v="3726"/>
    <n v="210"/>
    <x v="172"/>
    <x v="642"/>
    <x v="902"/>
    <n v="0.311"/>
    <n v="1.462"/>
    <n v="0.13200000000000001"/>
    <x v="141"/>
    <x v="61"/>
    <n v="0.63"/>
  </r>
  <r>
    <x v="2843"/>
    <x v="3832"/>
    <x v="6"/>
    <x v="0"/>
    <x v="0"/>
    <x v="3"/>
    <x v="51"/>
    <x v="0"/>
    <x v="3727"/>
    <n v="242"/>
    <x v="38"/>
    <x v="643"/>
    <x v="757"/>
    <n v="0.3"/>
    <n v="1.07"/>
    <n v="0.32"/>
    <x v="45"/>
    <x v="48"/>
    <n v="0.85499999999999998"/>
  </r>
  <r>
    <x v="2844"/>
    <x v="3833"/>
    <x v="6"/>
    <x v="0"/>
    <x v="0"/>
    <x v="3"/>
    <x v="51"/>
    <x v="0"/>
    <x v="3728"/>
    <n v="300"/>
    <x v="0"/>
    <x v="644"/>
    <x v="118"/>
    <n v="0.67"/>
    <n v="1.23"/>
    <m/>
    <x v="158"/>
    <x v="89"/>
    <n v="1.08"/>
  </r>
  <r>
    <x v="2845"/>
    <x v="3834"/>
    <x v="6"/>
    <x v="0"/>
    <x v="0"/>
    <x v="3"/>
    <x v="51"/>
    <x v="0"/>
    <x v="3729"/>
    <n v="208.74"/>
    <x v="0"/>
    <x v="645"/>
    <x v="903"/>
    <n v="0.88400000000000001"/>
    <n v="0.96199999999999997"/>
    <m/>
    <x v="110"/>
    <x v="57"/>
    <m/>
  </r>
  <r>
    <x v="2846"/>
    <x v="3835"/>
    <x v="6"/>
    <x v="0"/>
    <x v="0"/>
    <x v="3"/>
    <x v="51"/>
    <x v="0"/>
    <x v="3730"/>
    <n v="325.05"/>
    <x v="0"/>
    <x v="625"/>
    <x v="887"/>
    <n v="1.24"/>
    <n v="1.38"/>
    <m/>
    <x v="157"/>
    <x v="212"/>
    <n v="0.71"/>
  </r>
  <r>
    <x v="2847"/>
    <x v="3836"/>
    <x v="6"/>
    <x v="0"/>
    <x v="0"/>
    <x v="3"/>
    <x v="51"/>
    <x v="0"/>
    <x v="3731"/>
    <n v="212.7"/>
    <x v="0"/>
    <x v="618"/>
    <x v="171"/>
    <n v="0.44"/>
    <n v="1.07"/>
    <m/>
    <x v="150"/>
    <x v="292"/>
    <n v="1.82"/>
  </r>
  <r>
    <x v="2848"/>
    <x v="3837"/>
    <x v="6"/>
    <x v="0"/>
    <x v="0"/>
    <x v="3"/>
    <x v="51"/>
    <x v="0"/>
    <x v="3732"/>
    <n v="250"/>
    <x v="0"/>
    <x v="40"/>
    <x v="84"/>
    <n v="0.85"/>
    <n v="1.21"/>
    <m/>
    <x v="126"/>
    <x v="147"/>
    <n v="0.66"/>
  </r>
  <r>
    <x v="2849"/>
    <x v="3838"/>
    <x v="19"/>
    <x v="0"/>
    <x v="0"/>
    <x v="3"/>
    <x v="51"/>
    <x v="0"/>
    <x v="3733"/>
    <n v="410"/>
    <x v="30"/>
    <x v="646"/>
    <x v="904"/>
    <n v="0.90700000000000003"/>
    <n v="1.2130000000000001"/>
    <n v="0.67600000000000005"/>
    <x v="102"/>
    <x v="121"/>
    <n v="1.1040000000000001"/>
  </r>
  <r>
    <x v="2850"/>
    <x v="3839"/>
    <x v="6"/>
    <x v="0"/>
    <x v="0"/>
    <x v="3"/>
    <x v="51"/>
    <x v="0"/>
    <x v="3734"/>
    <n v="70"/>
    <x v="0"/>
    <x v="647"/>
    <x v="905"/>
    <n v="0.23"/>
    <n v="0.77"/>
    <m/>
    <x v="96"/>
    <x v="38"/>
    <n v="2.2200000000000002"/>
  </r>
  <r>
    <x v="2851"/>
    <x v="3840"/>
    <x v="0"/>
    <x v="0"/>
    <x v="0"/>
    <x v="3"/>
    <x v="51"/>
    <x v="0"/>
    <x v="3735"/>
    <n v="220"/>
    <x v="0"/>
    <x v="648"/>
    <x v="53"/>
    <n v="2.4300000000000002"/>
    <n v="1.42"/>
    <m/>
    <x v="149"/>
    <x v="132"/>
    <n v="0.77"/>
  </r>
  <r>
    <x v="2852"/>
    <x v="3841"/>
    <x v="6"/>
    <x v="0"/>
    <x v="0"/>
    <x v="3"/>
    <x v="51"/>
    <x v="0"/>
    <x v="3736"/>
    <n v="360"/>
    <x v="0"/>
    <x v="649"/>
    <x v="906"/>
    <n v="0.47799999999999998"/>
    <n v="1.5489999999999999"/>
    <n v="0.17199999999999999"/>
    <x v="56"/>
    <x v="167"/>
    <m/>
  </r>
  <r>
    <x v="2853"/>
    <x v="3842"/>
    <x v="6"/>
    <x v="0"/>
    <x v="0"/>
    <x v="3"/>
    <x v="51"/>
    <x v="0"/>
    <x v="3737"/>
    <n v="278.17"/>
    <x v="0"/>
    <x v="650"/>
    <x v="807"/>
    <n v="2.63"/>
    <n v="0.96"/>
    <m/>
    <x v="145"/>
    <x v="105"/>
    <n v="1.18"/>
  </r>
  <r>
    <x v="2854"/>
    <x v="3843"/>
    <x v="6"/>
    <x v="0"/>
    <x v="0"/>
    <x v="3"/>
    <x v="51"/>
    <x v="0"/>
    <x v="3738"/>
    <n v="122.36"/>
    <x v="0"/>
    <x v="651"/>
    <x v="437"/>
    <n v="1.17"/>
    <n v="1.6"/>
    <m/>
    <x v="221"/>
    <x v="155"/>
    <n v="0.7"/>
  </r>
  <r>
    <x v="2855"/>
    <x v="3844"/>
    <x v="6"/>
    <x v="0"/>
    <x v="0"/>
    <x v="3"/>
    <x v="51"/>
    <x v="0"/>
    <x v="3739"/>
    <n v="120"/>
    <x v="0"/>
    <x v="151"/>
    <x v="323"/>
    <n v="0.56000000000000005"/>
    <n v="1"/>
    <m/>
    <x v="50"/>
    <x v="33"/>
    <n v="1.78"/>
  </r>
  <r>
    <x v="2856"/>
    <x v="3845"/>
    <x v="14"/>
    <x v="0"/>
    <x v="0"/>
    <x v="3"/>
    <x v="51"/>
    <x v="0"/>
    <x v="3740"/>
    <n v="203.39"/>
    <x v="0"/>
    <x v="272"/>
    <x v="17"/>
    <n v="0.71"/>
    <n v="1.3"/>
    <m/>
    <x v="52"/>
    <x v="29"/>
    <n v="1.17"/>
  </r>
  <r>
    <x v="2857"/>
    <x v="3846"/>
    <x v="14"/>
    <x v="0"/>
    <x v="0"/>
    <x v="3"/>
    <x v="51"/>
    <x v="0"/>
    <x v="3741"/>
    <n v="450"/>
    <x v="102"/>
    <x v="652"/>
    <x v="907"/>
    <n v="2.3610000000000002"/>
    <n v="1.327"/>
    <n v="1.26"/>
    <x v="4"/>
    <x v="62"/>
    <n v="1.595"/>
  </r>
  <r>
    <x v="2858"/>
    <x v="3847"/>
    <x v="6"/>
    <x v="0"/>
    <x v="0"/>
    <x v="3"/>
    <x v="51"/>
    <x v="0"/>
    <x v="3742"/>
    <n v="343"/>
    <x v="0"/>
    <x v="653"/>
    <x v="908"/>
    <n v="1.8"/>
    <n v="1.1599999999999999"/>
    <n v="1.53"/>
    <x v="89"/>
    <x v="45"/>
    <m/>
  </r>
  <r>
    <x v="2859"/>
    <x v="3848"/>
    <x v="6"/>
    <x v="0"/>
    <x v="0"/>
    <x v="3"/>
    <x v="51"/>
    <x v="0"/>
    <x v="3743"/>
    <n v="110"/>
    <x v="0"/>
    <x v="74"/>
    <x v="118"/>
    <n v="3.44"/>
    <n v="1.23"/>
    <m/>
    <x v="195"/>
    <x v="250"/>
    <n v="0.71"/>
  </r>
  <r>
    <x v="2860"/>
    <x v="3849"/>
    <x v="14"/>
    <x v="0"/>
    <x v="0"/>
    <x v="3"/>
    <x v="51"/>
    <x v="0"/>
    <x v="3744"/>
    <n v="230"/>
    <x v="0"/>
    <x v="654"/>
    <x v="909"/>
    <n v="0.28000000000000003"/>
    <n v="1.27"/>
    <n v="0.186"/>
    <x v="89"/>
    <x v="52"/>
    <m/>
  </r>
  <r>
    <x v="2861"/>
    <x v="3850"/>
    <x v="0"/>
    <x v="0"/>
    <x v="0"/>
    <x v="3"/>
    <x v="51"/>
    <x v="0"/>
    <x v="3745"/>
    <n v="300"/>
    <x v="0"/>
    <x v="258"/>
    <x v="125"/>
    <n v="1.18"/>
    <n v="1.33"/>
    <m/>
    <x v="122"/>
    <x v="52"/>
    <n v="1.69"/>
  </r>
  <r>
    <x v="2862"/>
    <x v="3851"/>
    <x v="15"/>
    <x v="0"/>
    <x v="0"/>
    <x v="3"/>
    <x v="51"/>
    <x v="1"/>
    <x v="3746"/>
    <n v="180"/>
    <x v="0"/>
    <x v="40"/>
    <x v="159"/>
    <n v="0.85"/>
    <n v="1.1000000000000001"/>
    <m/>
    <x v="94"/>
    <x v="56"/>
    <n v="2.0099999999999998"/>
  </r>
  <r>
    <x v="2862"/>
    <x v="3852"/>
    <x v="8"/>
    <x v="0"/>
    <x v="0"/>
    <x v="0"/>
    <x v="17"/>
    <x v="1"/>
    <x v="3747"/>
    <n v="180"/>
    <x v="0"/>
    <x v="0"/>
    <x v="0"/>
    <n v="3.18"/>
    <m/>
    <m/>
    <x v="94"/>
    <x v="56"/>
    <n v="2.0099999999999998"/>
  </r>
  <r>
    <x v="2863"/>
    <x v="3853"/>
    <x v="15"/>
    <x v="0"/>
    <x v="0"/>
    <x v="3"/>
    <x v="51"/>
    <x v="0"/>
    <x v="3748"/>
    <n v="160"/>
    <x v="21"/>
    <x v="118"/>
    <x v="910"/>
    <n v="0.52700000000000002"/>
    <n v="1.1220000000000001"/>
    <n v="0.46400000000000002"/>
    <x v="44"/>
    <x v="111"/>
    <n v="1.885"/>
  </r>
  <r>
    <x v="2864"/>
    <x v="3854"/>
    <x v="14"/>
    <x v="0"/>
    <x v="0"/>
    <x v="3"/>
    <x v="51"/>
    <x v="0"/>
    <x v="3749"/>
    <n v="80"/>
    <x v="0"/>
    <x v="655"/>
    <x v="885"/>
    <n v="1.78"/>
    <n v="0.93"/>
    <n v="2.9390000000000001"/>
    <x v="101"/>
    <x v="284"/>
    <m/>
  </r>
  <r>
    <x v="2865"/>
    <x v="3855"/>
    <x v="14"/>
    <x v="0"/>
    <x v="0"/>
    <x v="3"/>
    <x v="51"/>
    <x v="0"/>
    <x v="3750"/>
    <n v="368.31"/>
    <x v="0"/>
    <x v="656"/>
    <x v="911"/>
    <n v="0.88900000000000001"/>
    <n v="1.1399999999999999"/>
    <n v="0.81100000000000005"/>
    <x v="44"/>
    <x v="3"/>
    <m/>
  </r>
  <r>
    <x v="2866"/>
    <x v="3856"/>
    <x v="14"/>
    <x v="0"/>
    <x v="0"/>
    <x v="3"/>
    <x v="51"/>
    <x v="0"/>
    <x v="3751"/>
    <n v="212.48"/>
    <x v="0"/>
    <x v="657"/>
    <x v="911"/>
    <n v="1.04"/>
    <n v="1.1399999999999999"/>
    <m/>
    <x v="44"/>
    <x v="18"/>
    <n v="1.53"/>
  </r>
  <r>
    <x v="2867"/>
    <x v="3857"/>
    <x v="14"/>
    <x v="0"/>
    <x v="0"/>
    <x v="3"/>
    <x v="51"/>
    <x v="0"/>
    <x v="3752"/>
    <n v="379.36"/>
    <x v="324"/>
    <x v="658"/>
    <x v="912"/>
    <n v="1.91"/>
    <n v="1.1739999999999999"/>
    <n v="1.4670000000000001"/>
    <x v="134"/>
    <x v="24"/>
    <n v="1.845"/>
  </r>
  <r>
    <x v="2868"/>
    <x v="3858"/>
    <x v="15"/>
    <x v="0"/>
    <x v="0"/>
    <x v="3"/>
    <x v="51"/>
    <x v="4"/>
    <x v="3753"/>
    <n v="200"/>
    <x v="0"/>
    <x v="659"/>
    <x v="913"/>
    <n v="1.1424300000000001"/>
    <n v="1.127"/>
    <n v="0.99299999999999999"/>
    <x v="48"/>
    <x v="48"/>
    <n v="0.999"/>
  </r>
  <r>
    <x v="2868"/>
    <x v="3859"/>
    <x v="8"/>
    <x v="0"/>
    <x v="0"/>
    <x v="0"/>
    <x v="17"/>
    <x v="4"/>
    <x v="3754"/>
    <n v="200"/>
    <x v="0"/>
    <x v="0"/>
    <x v="0"/>
    <n v="1.2528699999999999"/>
    <m/>
    <m/>
    <x v="48"/>
    <x v="48"/>
    <n v="0.999"/>
  </r>
  <r>
    <x v="2868"/>
    <x v="3860"/>
    <x v="8"/>
    <x v="0"/>
    <x v="1"/>
    <x v="3"/>
    <x v="16"/>
    <x v="4"/>
    <x v="3755"/>
    <n v="200"/>
    <x v="0"/>
    <x v="337"/>
    <x v="914"/>
    <n v="4.122E-2"/>
    <n v="0.31900000000000001"/>
    <n v="1.58"/>
    <x v="48"/>
    <x v="48"/>
    <n v="0.999"/>
  </r>
  <r>
    <x v="2868"/>
    <x v="3861"/>
    <x v="8"/>
    <x v="0"/>
    <x v="1"/>
    <x v="3"/>
    <x v="16"/>
    <x v="4"/>
    <x v="3756"/>
    <n v="200"/>
    <x v="0"/>
    <x v="63"/>
    <x v="502"/>
    <n v="2.1489999999999999E-2"/>
    <n v="0.161"/>
    <n v="6.35"/>
    <x v="48"/>
    <x v="48"/>
    <n v="0.999"/>
  </r>
  <r>
    <x v="2869"/>
    <x v="3862"/>
    <x v="14"/>
    <x v="0"/>
    <x v="0"/>
    <x v="3"/>
    <x v="51"/>
    <x v="0"/>
    <x v="3757"/>
    <n v="460.14"/>
    <x v="0"/>
    <x v="660"/>
    <x v="111"/>
    <n v="0.8"/>
    <n v="1.5"/>
    <m/>
    <x v="59"/>
    <x v="259"/>
    <n v="0.32"/>
  </r>
  <r>
    <x v="2870"/>
    <x v="3863"/>
    <x v="15"/>
    <x v="0"/>
    <x v="0"/>
    <x v="3"/>
    <x v="51"/>
    <x v="0"/>
    <x v="3758"/>
    <n v="170"/>
    <x v="0"/>
    <x v="661"/>
    <x v="60"/>
    <n v="0.37"/>
    <n v="1.1100000000000001"/>
    <m/>
    <x v="127"/>
    <x v="193"/>
    <n v="1.43"/>
  </r>
  <r>
    <x v="2871"/>
    <x v="3864"/>
    <x v="2"/>
    <x v="0"/>
    <x v="0"/>
    <x v="3"/>
    <x v="51"/>
    <x v="0"/>
    <x v="3759"/>
    <n v="300"/>
    <x v="325"/>
    <x v="662"/>
    <x v="915"/>
    <n v="1.58"/>
    <n v="1.087"/>
    <n v="1.64"/>
    <x v="50"/>
    <x v="171"/>
    <n v="1.24"/>
  </r>
  <r>
    <x v="2872"/>
    <x v="3865"/>
    <x v="14"/>
    <x v="0"/>
    <x v="0"/>
    <x v="3"/>
    <x v="51"/>
    <x v="0"/>
    <x v="3760"/>
    <n v="230"/>
    <x v="0"/>
    <x v="663"/>
    <x v="861"/>
    <n v="1.65"/>
    <n v="1.22"/>
    <m/>
    <x v="104"/>
    <x v="111"/>
    <n v="2.12"/>
  </r>
  <r>
    <x v="2873"/>
    <x v="3866"/>
    <x v="15"/>
    <x v="0"/>
    <x v="0"/>
    <x v="3"/>
    <x v="51"/>
    <x v="0"/>
    <x v="3761"/>
    <n v="140"/>
    <x v="326"/>
    <x v="664"/>
    <x v="916"/>
    <n v="0.46"/>
    <n v="1.27"/>
    <n v="0.28999999999999998"/>
    <x v="122"/>
    <x v="38"/>
    <n v="2.48"/>
  </r>
  <r>
    <x v="2874"/>
    <x v="3867"/>
    <x v="17"/>
    <x v="0"/>
    <x v="0"/>
    <x v="3"/>
    <x v="32"/>
    <x v="1"/>
    <x v="3762"/>
    <n v="202.51"/>
    <x v="0"/>
    <x v="665"/>
    <x v="917"/>
    <n v="2.1320000000000001"/>
    <n v="1.0740000000000001"/>
    <n v="2.2799999999999998"/>
    <x v="97"/>
    <x v="292"/>
    <n v="2.323"/>
  </r>
  <r>
    <x v="2874"/>
    <x v="3868"/>
    <x v="17"/>
    <x v="0"/>
    <x v="0"/>
    <x v="3"/>
    <x v="32"/>
    <x v="1"/>
    <x v="3763"/>
    <n v="202.51"/>
    <x v="0"/>
    <x v="0"/>
    <x v="0"/>
    <n v="16.350000000000001"/>
    <m/>
    <m/>
    <x v="97"/>
    <x v="292"/>
    <n v="2.323"/>
  </r>
  <r>
    <x v="2875"/>
    <x v="3869"/>
    <x v="15"/>
    <x v="0"/>
    <x v="0"/>
    <x v="3"/>
    <x v="51"/>
    <x v="0"/>
    <x v="3764"/>
    <n v="200"/>
    <x v="0"/>
    <x v="463"/>
    <x v="124"/>
    <n v="0.59"/>
    <n v="1.58"/>
    <m/>
    <x v="4"/>
    <x v="192"/>
    <n v="0.28000000000000003"/>
  </r>
  <r>
    <x v="2876"/>
    <x v="3870"/>
    <x v="15"/>
    <x v="0"/>
    <x v="0"/>
    <x v="3"/>
    <x v="51"/>
    <x v="0"/>
    <x v="3765"/>
    <n v="330"/>
    <x v="0"/>
    <x v="666"/>
    <x v="125"/>
    <n v="0.61"/>
    <n v="1.33"/>
    <m/>
    <x v="129"/>
    <x v="121"/>
    <n v="1.2"/>
  </r>
  <r>
    <x v="2877"/>
    <x v="3871"/>
    <x v="15"/>
    <x v="0"/>
    <x v="0"/>
    <x v="3"/>
    <x v="51"/>
    <x v="0"/>
    <x v="3766"/>
    <n v="255"/>
    <x v="0"/>
    <x v="667"/>
    <x v="67"/>
    <n v="0.45"/>
    <n v="0.94"/>
    <m/>
    <x v="159"/>
    <x v="18"/>
    <n v="1.1399999999999999"/>
  </r>
  <r>
    <x v="2878"/>
    <x v="3872"/>
    <x v="15"/>
    <x v="0"/>
    <x v="0"/>
    <x v="3"/>
    <x v="51"/>
    <x v="0"/>
    <x v="3767"/>
    <n v="455"/>
    <x v="0"/>
    <x v="668"/>
    <x v="56"/>
    <n v="0.64400000000000002"/>
    <n v="1.05"/>
    <n v="0.69299999999999995"/>
    <x v="45"/>
    <x v="3"/>
    <n v="1.5680000000000001"/>
  </r>
  <r>
    <x v="2879"/>
    <x v="3873"/>
    <x v="15"/>
    <x v="0"/>
    <x v="0"/>
    <x v="3"/>
    <x v="51"/>
    <x v="0"/>
    <x v="3768"/>
    <n v="300"/>
    <x v="0"/>
    <x v="437"/>
    <x v="119"/>
    <n v="0.97"/>
    <n v="1.43"/>
    <m/>
    <x v="104"/>
    <x v="147"/>
    <n v="0.83"/>
  </r>
  <r>
    <x v="2880"/>
    <x v="3874"/>
    <x v="15"/>
    <x v="0"/>
    <x v="0"/>
    <x v="3"/>
    <x v="51"/>
    <x v="0"/>
    <x v="3769"/>
    <n v="125"/>
    <x v="280"/>
    <x v="669"/>
    <x v="918"/>
    <n v="0.86299999999999999"/>
    <n v="0.77500000000000002"/>
    <n v="2.4"/>
    <x v="145"/>
    <x v="74"/>
    <n v="4.38"/>
  </r>
  <r>
    <x v="2881"/>
    <x v="3875"/>
    <x v="1"/>
    <x v="0"/>
    <x v="0"/>
    <x v="3"/>
    <x v="51"/>
    <x v="0"/>
    <x v="3770"/>
    <n v="198.23"/>
    <x v="0"/>
    <x v="661"/>
    <x v="461"/>
    <n v="0.37"/>
    <n v="1.03"/>
    <m/>
    <x v="87"/>
    <x v="142"/>
    <n v="2.0099999999999998"/>
  </r>
  <r>
    <x v="2882"/>
    <x v="3876"/>
    <x v="15"/>
    <x v="0"/>
    <x v="0"/>
    <x v="3"/>
    <x v="51"/>
    <x v="0"/>
    <x v="3771"/>
    <n v="400"/>
    <x v="0"/>
    <x v="624"/>
    <x v="919"/>
    <n v="0.55000000000000004"/>
    <n v="0.88"/>
    <m/>
    <x v="128"/>
    <x v="54"/>
    <n v="1.03"/>
  </r>
  <r>
    <x v="2883"/>
    <x v="3877"/>
    <x v="15"/>
    <x v="0"/>
    <x v="0"/>
    <x v="3"/>
    <x v="51"/>
    <x v="0"/>
    <x v="3772"/>
    <n v="480"/>
    <x v="0"/>
    <x v="670"/>
    <x v="132"/>
    <n v="2.68"/>
    <n v="1.41"/>
    <m/>
    <x v="107"/>
    <x v="155"/>
    <n v="0.69"/>
  </r>
  <r>
    <x v="2884"/>
    <x v="3878"/>
    <x v="15"/>
    <x v="0"/>
    <x v="0"/>
    <x v="3"/>
    <x v="51"/>
    <x v="0"/>
    <x v="3773"/>
    <n v="160"/>
    <x v="0"/>
    <x v="264"/>
    <x v="920"/>
    <n v="0.52"/>
    <n v="1.32"/>
    <m/>
    <x v="129"/>
    <x v="14"/>
    <n v="0.85"/>
  </r>
  <r>
    <x v="2885"/>
    <x v="3879"/>
    <x v="15"/>
    <x v="0"/>
    <x v="0"/>
    <x v="3"/>
    <x v="51"/>
    <x v="0"/>
    <x v="3774"/>
    <n v="330"/>
    <x v="0"/>
    <x v="661"/>
    <x v="132"/>
    <n v="0.37"/>
    <n v="1.41"/>
    <m/>
    <x v="114"/>
    <x v="115"/>
    <n v="0.28000000000000003"/>
  </r>
  <r>
    <x v="2886"/>
    <x v="3880"/>
    <x v="15"/>
    <x v="0"/>
    <x v="0"/>
    <x v="3"/>
    <x v="51"/>
    <x v="0"/>
    <x v="3775"/>
    <n v="350"/>
    <x v="85"/>
    <x v="671"/>
    <x v="921"/>
    <n v="1.2709999999999999"/>
    <n v="1.2709999999999999"/>
    <n v="0.82299999999999995"/>
    <x v="57"/>
    <x v="124"/>
    <n v="1.196"/>
  </r>
  <r>
    <x v="2887"/>
    <x v="3881"/>
    <x v="7"/>
    <x v="0"/>
    <x v="0"/>
    <x v="3"/>
    <x v="51"/>
    <x v="0"/>
    <x v="3776"/>
    <n v="310"/>
    <x v="97"/>
    <x v="672"/>
    <x v="922"/>
    <n v="1.55"/>
    <n v="1.1120000000000001"/>
    <n v="1.5"/>
    <x v="89"/>
    <x v="41"/>
    <n v="1.28"/>
  </r>
  <r>
    <x v="2888"/>
    <x v="3882"/>
    <x v="15"/>
    <x v="0"/>
    <x v="0"/>
    <x v="3"/>
    <x v="51"/>
    <x v="0"/>
    <x v="3777"/>
    <n v="380"/>
    <x v="0"/>
    <x v="673"/>
    <x v="96"/>
    <n v="2.35"/>
    <n v="1.4"/>
    <m/>
    <x v="98"/>
    <x v="192"/>
    <n v="0.34"/>
  </r>
  <r>
    <x v="2889"/>
    <x v="3883"/>
    <x v="15"/>
    <x v="0"/>
    <x v="0"/>
    <x v="3"/>
    <x v="51"/>
    <x v="0"/>
    <x v="3778"/>
    <n v="225"/>
    <x v="0"/>
    <x v="674"/>
    <x v="61"/>
    <n v="0.43"/>
    <n v="1.1499999999999999"/>
    <m/>
    <x v="21"/>
    <x v="100"/>
    <n v="1.88"/>
  </r>
  <r>
    <x v="2890"/>
    <x v="3884"/>
    <x v="19"/>
    <x v="0"/>
    <x v="0"/>
    <x v="3"/>
    <x v="51"/>
    <x v="0"/>
    <x v="3779"/>
    <n v="227.87"/>
    <x v="0"/>
    <x v="675"/>
    <x v="920"/>
    <n v="1.08"/>
    <n v="1.32"/>
    <m/>
    <x v="144"/>
    <x v="50"/>
    <n v="0.36"/>
  </r>
  <r>
    <x v="2891"/>
    <x v="3885"/>
    <x v="19"/>
    <x v="0"/>
    <x v="0"/>
    <x v="3"/>
    <x v="51"/>
    <x v="0"/>
    <x v="3780"/>
    <n v="50"/>
    <x v="0"/>
    <x v="532"/>
    <x v="60"/>
    <n v="0.28999999999999998"/>
    <n v="1.1100000000000001"/>
    <m/>
    <x v="17"/>
    <x v="24"/>
    <n v="2.1800000000000002"/>
  </r>
  <r>
    <x v="2892"/>
    <x v="3886"/>
    <x v="2"/>
    <x v="0"/>
    <x v="0"/>
    <x v="3"/>
    <x v="51"/>
    <x v="0"/>
    <x v="3781"/>
    <n v="140"/>
    <x v="155"/>
    <x v="164"/>
    <x v="125"/>
    <n v="0.96"/>
    <n v="1.33"/>
    <n v="0.55000000000000004"/>
    <x v="114"/>
    <x v="126"/>
    <n v="0.61099999999999999"/>
  </r>
  <r>
    <x v="2893"/>
    <x v="3887"/>
    <x v="19"/>
    <x v="0"/>
    <x v="0"/>
    <x v="3"/>
    <x v="51"/>
    <x v="0"/>
    <x v="3782"/>
    <n v="245"/>
    <x v="66"/>
    <x v="676"/>
    <x v="923"/>
    <n v="0.59"/>
    <n v="1.1639999999999999"/>
    <n v="0.499"/>
    <x v="129"/>
    <x v="147"/>
    <n v="0.872"/>
  </r>
  <r>
    <x v="2894"/>
    <x v="3888"/>
    <x v="15"/>
    <x v="0"/>
    <x v="0"/>
    <x v="3"/>
    <x v="51"/>
    <x v="0"/>
    <x v="3783"/>
    <n v="345"/>
    <x v="0"/>
    <x v="265"/>
    <x v="126"/>
    <n v="1.39"/>
    <n v="1.18"/>
    <m/>
    <x v="99"/>
    <x v="87"/>
    <n v="0.18"/>
  </r>
  <r>
    <x v="2895"/>
    <x v="3889"/>
    <x v="15"/>
    <x v="0"/>
    <x v="0"/>
    <x v="3"/>
    <x v="51"/>
    <x v="0"/>
    <x v="3784"/>
    <n v="340"/>
    <x v="0"/>
    <x v="677"/>
    <x v="15"/>
    <n v="2.2999999999999998"/>
    <n v="1.29"/>
    <m/>
    <x v="1"/>
    <x v="343"/>
    <n v="0.38"/>
  </r>
  <r>
    <x v="2896"/>
    <x v="3890"/>
    <x v="19"/>
    <x v="0"/>
    <x v="0"/>
    <x v="3"/>
    <x v="51"/>
    <x v="0"/>
    <x v="3785"/>
    <n v="319.57"/>
    <x v="0"/>
    <x v="678"/>
    <x v="53"/>
    <n v="2.86"/>
    <n v="1.42"/>
    <m/>
    <x v="196"/>
    <x v="117"/>
    <n v="0.21"/>
  </r>
  <r>
    <x v="2897"/>
    <x v="3891"/>
    <x v="8"/>
    <x v="0"/>
    <x v="0"/>
    <x v="3"/>
    <x v="51"/>
    <x v="0"/>
    <x v="3786"/>
    <n v="120"/>
    <x v="0"/>
    <x v="540"/>
    <x v="804"/>
    <n v="0.72"/>
    <n v="1.36"/>
    <m/>
    <x v="17"/>
    <x v="212"/>
    <n v="0.48"/>
  </r>
  <r>
    <x v="2898"/>
    <x v="3892"/>
    <x v="7"/>
    <x v="0"/>
    <x v="0"/>
    <x v="3"/>
    <x v="51"/>
    <x v="0"/>
    <x v="3787"/>
    <n v="260"/>
    <x v="76"/>
    <x v="679"/>
    <x v="909"/>
    <n v="1.07"/>
    <n v="1.27"/>
    <n v="0.69"/>
    <x v="30"/>
    <x v="308"/>
    <n v="0.79"/>
  </r>
  <r>
    <x v="2899"/>
    <x v="3893"/>
    <x v="10"/>
    <x v="0"/>
    <x v="0"/>
    <x v="3"/>
    <x v="51"/>
    <x v="0"/>
    <x v="3788"/>
    <n v="120"/>
    <x v="251"/>
    <x v="92"/>
    <x v="924"/>
    <n v="0.92"/>
    <n v="1.83"/>
    <n v="0.20100000000000001"/>
    <x v="158"/>
    <x v="98"/>
    <n v="0.40300000000000002"/>
  </r>
  <r>
    <x v="2900"/>
    <x v="3894"/>
    <x v="15"/>
    <x v="0"/>
    <x v="0"/>
    <x v="3"/>
    <x v="51"/>
    <x v="0"/>
    <x v="3789"/>
    <n v="93"/>
    <x v="0"/>
    <x v="680"/>
    <x v="887"/>
    <n v="2.29"/>
    <n v="1.38"/>
    <m/>
    <x v="144"/>
    <x v="121"/>
    <n v="1.64"/>
  </r>
  <r>
    <x v="2901"/>
    <x v="3895"/>
    <x v="15"/>
    <x v="0"/>
    <x v="0"/>
    <x v="3"/>
    <x v="51"/>
    <x v="0"/>
    <x v="3790"/>
    <n v="550"/>
    <x v="0"/>
    <x v="681"/>
    <x v="925"/>
    <n v="1.1100000000000001"/>
    <n v="1.93"/>
    <m/>
    <x v="220"/>
    <x v="344"/>
    <n v="0.18"/>
  </r>
  <r>
    <x v="2902"/>
    <x v="3896"/>
    <x v="15"/>
    <x v="0"/>
    <x v="0"/>
    <x v="3"/>
    <x v="51"/>
    <x v="0"/>
    <x v="3791"/>
    <n v="240"/>
    <x v="0"/>
    <x v="40"/>
    <x v="926"/>
    <n v="0.85"/>
    <n v="1.67"/>
    <m/>
    <x v="157"/>
    <x v="246"/>
    <n v="0.49"/>
  </r>
  <r>
    <x v="2903"/>
    <x v="3897"/>
    <x v="6"/>
    <x v="0"/>
    <x v="0"/>
    <x v="3"/>
    <x v="51"/>
    <x v="1"/>
    <x v="3792"/>
    <n v="87"/>
    <x v="0"/>
    <x v="682"/>
    <x v="131"/>
    <n v="2.54"/>
    <n v="1.1299999999999999"/>
    <m/>
    <x v="151"/>
    <x v="171"/>
    <n v="1.74"/>
  </r>
  <r>
    <x v="2903"/>
    <x v="3898"/>
    <x v="7"/>
    <x v="0"/>
    <x v="0"/>
    <x v="0"/>
    <x v="51"/>
    <x v="1"/>
    <x v="3793"/>
    <n v="87"/>
    <x v="0"/>
    <x v="0"/>
    <x v="0"/>
    <n v="9.4499999999999993"/>
    <m/>
    <m/>
    <x v="151"/>
    <x v="171"/>
    <n v="1.74"/>
  </r>
  <r>
    <x v="2904"/>
    <x v="3899"/>
    <x v="15"/>
    <x v="0"/>
    <x v="0"/>
    <x v="3"/>
    <x v="51"/>
    <x v="0"/>
    <x v="3794"/>
    <n v="60"/>
    <x v="0"/>
    <x v="683"/>
    <x v="927"/>
    <n v="0.53800000000000003"/>
    <n v="0.999"/>
    <n v="0.71699999999999997"/>
    <x v="101"/>
    <x v="285"/>
    <n v="4.05"/>
  </r>
  <r>
    <x v="2905"/>
    <x v="3900"/>
    <x v="17"/>
    <x v="0"/>
    <x v="0"/>
    <x v="3"/>
    <x v="32"/>
    <x v="0"/>
    <x v="3795"/>
    <n v="402.96"/>
    <x v="0"/>
    <x v="684"/>
    <x v="928"/>
    <n v="0.72899999999999998"/>
    <n v="1.429"/>
    <n v="0.33200000000000002"/>
    <x v="4"/>
    <x v="182"/>
    <n v="0.72299999999999998"/>
  </r>
  <r>
    <x v="2906"/>
    <x v="3901"/>
    <x v="8"/>
    <x v="0"/>
    <x v="0"/>
    <x v="3"/>
    <x v="51"/>
    <x v="0"/>
    <x v="3796"/>
    <n v="200"/>
    <x v="0"/>
    <x v="651"/>
    <x v="438"/>
    <n v="1.17"/>
    <n v="1.62"/>
    <m/>
    <x v="153"/>
    <x v="333"/>
    <n v="0.22"/>
  </r>
  <r>
    <x v="2907"/>
    <x v="3902"/>
    <x v="8"/>
    <x v="0"/>
    <x v="0"/>
    <x v="3"/>
    <x v="51"/>
    <x v="0"/>
    <x v="3797"/>
    <n v="300"/>
    <x v="30"/>
    <x v="600"/>
    <x v="929"/>
    <n v="0.3"/>
    <n v="1.04"/>
    <n v="0.35"/>
    <x v="129"/>
    <x v="133"/>
    <n v="1.4"/>
  </r>
  <r>
    <x v="2908"/>
    <x v="3903"/>
    <x v="19"/>
    <x v="0"/>
    <x v="0"/>
    <x v="3"/>
    <x v="51"/>
    <x v="0"/>
    <x v="3798"/>
    <n v="125"/>
    <x v="40"/>
    <x v="685"/>
    <x v="930"/>
    <n v="0.69399999999999995"/>
    <n v="0.94199999999999995"/>
    <n v="1.1040000000000001"/>
    <x v="97"/>
    <x v="91"/>
    <n v="2.839"/>
  </r>
  <r>
    <x v="2909"/>
    <x v="3904"/>
    <x v="10"/>
    <x v="0"/>
    <x v="1"/>
    <x v="3"/>
    <x v="16"/>
    <x v="0"/>
    <x v="3799"/>
    <n v="142.46"/>
    <x v="0"/>
    <x v="686"/>
    <x v="883"/>
    <n v="1.2649999999999999"/>
    <n v="1.24"/>
    <n v="0.88"/>
    <x v="25"/>
    <x v="16"/>
    <n v="1.875"/>
  </r>
  <r>
    <x v="2910"/>
    <x v="3905"/>
    <x v="19"/>
    <x v="0"/>
    <x v="0"/>
    <x v="3"/>
    <x v="51"/>
    <x v="0"/>
    <x v="3800"/>
    <n v="531.61"/>
    <x v="0"/>
    <x v="632"/>
    <x v="931"/>
    <n v="0.42"/>
    <n v="1.46"/>
    <m/>
    <x v="23"/>
    <x v="319"/>
    <n v="0.23"/>
  </r>
  <r>
    <x v="2911"/>
    <x v="3906"/>
    <x v="8"/>
    <x v="0"/>
    <x v="0"/>
    <x v="3"/>
    <x v="51"/>
    <x v="0"/>
    <x v="3801"/>
    <n v="293.38"/>
    <x v="151"/>
    <x v="687"/>
    <x v="929"/>
    <n v="5.9"/>
    <n v="1.04"/>
    <n v="7"/>
    <x v="127"/>
    <x v="100"/>
    <n v="1.92"/>
  </r>
  <r>
    <x v="2912"/>
    <x v="3907"/>
    <x v="10"/>
    <x v="0"/>
    <x v="0"/>
    <x v="3"/>
    <x v="51"/>
    <x v="0"/>
    <x v="3802"/>
    <n v="340"/>
    <x v="21"/>
    <x v="145"/>
    <x v="932"/>
    <n v="0.63"/>
    <n v="1.63"/>
    <n v="0.193"/>
    <x v="105"/>
    <x v="315"/>
    <n v="0.28000000000000003"/>
  </r>
  <r>
    <x v="2913"/>
    <x v="3908"/>
    <x v="17"/>
    <x v="0"/>
    <x v="0"/>
    <x v="3"/>
    <x v="52"/>
    <x v="0"/>
    <x v="3803"/>
    <n v="150.59"/>
    <x v="0"/>
    <x v="83"/>
    <x v="461"/>
    <n v="1.34"/>
    <n v="1.03"/>
    <n v="1.59"/>
    <x v="97"/>
    <x v="24"/>
    <n v="1.83"/>
  </r>
  <r>
    <x v="2914"/>
    <x v="3909"/>
    <x v="10"/>
    <x v="0"/>
    <x v="0"/>
    <x v="3"/>
    <x v="51"/>
    <x v="0"/>
    <x v="3804"/>
    <n v="530"/>
    <x v="249"/>
    <x v="688"/>
    <x v="933"/>
    <n v="0.80500000000000005"/>
    <n v="1.4610000000000001"/>
    <n v="0.34599999999999997"/>
    <x v="128"/>
    <x v="156"/>
    <n v="0.69699999999999995"/>
  </r>
  <r>
    <x v="2915"/>
    <x v="3910"/>
    <x v="10"/>
    <x v="0"/>
    <x v="0"/>
    <x v="3"/>
    <x v="51"/>
    <x v="0"/>
    <x v="3805"/>
    <n v="250"/>
    <x v="327"/>
    <x v="134"/>
    <x v="934"/>
    <n v="1.47"/>
    <n v="1.597"/>
    <n v="0.47899999999999998"/>
    <x v="98"/>
    <x v="250"/>
    <n v="0.53"/>
  </r>
  <r>
    <x v="2916"/>
    <x v="3911"/>
    <x v="19"/>
    <x v="0"/>
    <x v="0"/>
    <x v="3"/>
    <x v="51"/>
    <x v="0"/>
    <x v="3806"/>
    <n v="180"/>
    <x v="0"/>
    <x v="211"/>
    <x v="124"/>
    <n v="0.5"/>
    <n v="1.58"/>
    <m/>
    <x v="35"/>
    <x v="129"/>
    <n v="0.73"/>
  </r>
  <r>
    <x v="2917"/>
    <x v="3912"/>
    <x v="19"/>
    <x v="0"/>
    <x v="0"/>
    <x v="0"/>
    <x v="51"/>
    <x v="0"/>
    <x v="3807"/>
    <n v="180"/>
    <x v="12"/>
    <x v="0"/>
    <x v="0"/>
    <n v="0.61799999999999999"/>
    <m/>
    <m/>
    <x v="100"/>
    <x v="311"/>
    <m/>
  </r>
  <r>
    <x v="2918"/>
    <x v="3913"/>
    <x v="19"/>
    <x v="0"/>
    <x v="0"/>
    <x v="3"/>
    <x v="51"/>
    <x v="0"/>
    <x v="3808"/>
    <n v="138.09"/>
    <x v="0"/>
    <x v="689"/>
    <x v="118"/>
    <n v="1.44"/>
    <n v="1.23"/>
    <m/>
    <x v="158"/>
    <x v="14"/>
    <n v="1.0900000000000001"/>
  </r>
  <r>
    <x v="2919"/>
    <x v="3914"/>
    <x v="19"/>
    <x v="0"/>
    <x v="0"/>
    <x v="3"/>
    <x v="51"/>
    <x v="0"/>
    <x v="3809"/>
    <n v="356.02"/>
    <x v="97"/>
    <x v="690"/>
    <x v="703"/>
    <n v="0.48"/>
    <n v="1.2"/>
    <n v="0.37"/>
    <x v="104"/>
    <x v="133"/>
    <n v="1.2989999999999999"/>
  </r>
  <r>
    <x v="2920"/>
    <x v="3915"/>
    <x v="19"/>
    <x v="0"/>
    <x v="0"/>
    <x v="3"/>
    <x v="51"/>
    <x v="0"/>
    <x v="3810"/>
    <n v="151.72999999999999"/>
    <x v="0"/>
    <x v="691"/>
    <x v="911"/>
    <n v="1.36"/>
    <n v="1.1399999999999999"/>
    <m/>
    <x v="112"/>
    <x v="29"/>
    <n v="1.34"/>
  </r>
  <r>
    <x v="2921"/>
    <x v="3916"/>
    <x v="19"/>
    <x v="0"/>
    <x v="0"/>
    <x v="3"/>
    <x v="51"/>
    <x v="0"/>
    <x v="3811"/>
    <n v="284.05"/>
    <x v="3"/>
    <x v="692"/>
    <x v="935"/>
    <n v="0.92200000000000004"/>
    <n v="1.1439999999999999"/>
    <n v="0.76400000000000001"/>
    <x v="94"/>
    <x v="36"/>
    <n v="2.8010000000000002"/>
  </r>
  <r>
    <x v="2922"/>
    <x v="3917"/>
    <x v="19"/>
    <x v="0"/>
    <x v="0"/>
    <x v="3"/>
    <x v="51"/>
    <x v="0"/>
    <x v="3812"/>
    <n v="159.38999999999999"/>
    <x v="0"/>
    <x v="648"/>
    <x v="123"/>
    <n v="2.4300000000000002"/>
    <n v="1.02"/>
    <m/>
    <x v="49"/>
    <x v="229"/>
    <n v="0.39"/>
  </r>
  <r>
    <x v="2923"/>
    <x v="3918"/>
    <x v="14"/>
    <x v="0"/>
    <x v="1"/>
    <x v="1"/>
    <x v="21"/>
    <x v="0"/>
    <x v="6"/>
    <n v="19.2"/>
    <x v="176"/>
    <x v="4"/>
    <x v="0"/>
    <n v="7.5"/>
    <m/>
    <m/>
    <x v="138"/>
    <x v="6"/>
    <m/>
  </r>
  <r>
    <x v="2924"/>
    <x v="3919"/>
    <x v="15"/>
    <x v="0"/>
    <x v="0"/>
    <x v="1"/>
    <x v="3"/>
    <x v="0"/>
    <x v="6"/>
    <n v="10.1"/>
    <x v="42"/>
    <x v="693"/>
    <x v="936"/>
    <n v="22"/>
    <n v="0.93400000000000005"/>
    <m/>
    <x v="212"/>
    <x v="345"/>
    <m/>
  </r>
  <r>
    <x v="2925"/>
    <x v="3920"/>
    <x v="15"/>
    <x v="0"/>
    <x v="0"/>
    <x v="3"/>
    <x v="55"/>
    <x v="0"/>
    <x v="3813"/>
    <n v="3200"/>
    <x v="179"/>
    <x v="694"/>
    <x v="6"/>
    <n v="4.01"/>
    <n v="1.49"/>
    <n v="1.61"/>
    <x v="141"/>
    <x v="180"/>
    <n v="1.1129"/>
  </r>
  <r>
    <x v="2926"/>
    <x v="3921"/>
    <x v="19"/>
    <x v="0"/>
    <x v="0"/>
    <x v="3"/>
    <x v="55"/>
    <x v="0"/>
    <x v="3814"/>
    <n v="1000"/>
    <x v="187"/>
    <x v="695"/>
    <x v="847"/>
    <n v="1.1200000000000001"/>
    <n v="1.363"/>
    <n v="0.54"/>
    <x v="58"/>
    <x v="91"/>
    <n v="2.72"/>
  </r>
  <r>
    <x v="2927"/>
    <x v="3922"/>
    <x v="8"/>
    <x v="0"/>
    <x v="0"/>
    <x v="0"/>
    <x v="17"/>
    <x v="2"/>
    <x v="3815"/>
    <n v="4.3099999999999996"/>
    <x v="0"/>
    <x v="0"/>
    <x v="0"/>
    <n v="6.0099999999999997E-3"/>
    <m/>
    <m/>
    <x v="71"/>
    <x v="79"/>
    <m/>
  </r>
  <r>
    <x v="2927"/>
    <x v="3923"/>
    <x v="8"/>
    <x v="0"/>
    <x v="0"/>
    <x v="0"/>
    <x v="17"/>
    <x v="2"/>
    <x v="3816"/>
    <n v="4.3099999999999996"/>
    <x v="0"/>
    <x v="0"/>
    <x v="0"/>
    <n v="1.073E-2"/>
    <m/>
    <m/>
    <x v="71"/>
    <x v="79"/>
    <m/>
  </r>
  <r>
    <x v="2927"/>
    <x v="3924"/>
    <x v="8"/>
    <x v="0"/>
    <x v="0"/>
    <x v="0"/>
    <x v="17"/>
    <x v="2"/>
    <x v="3817"/>
    <n v="4.3099999999999996"/>
    <x v="0"/>
    <x v="0"/>
    <x v="0"/>
    <n v="2.4230000000000002E-2"/>
    <m/>
    <m/>
    <x v="71"/>
    <x v="79"/>
    <m/>
  </r>
  <r>
    <x v="2928"/>
    <x v="3925"/>
    <x v="5"/>
    <x v="0"/>
    <x v="1"/>
    <x v="3"/>
    <x v="16"/>
    <x v="0"/>
    <x v="3818"/>
    <n v="44.58"/>
    <x v="34"/>
    <x v="0"/>
    <x v="196"/>
    <m/>
    <n v="0.18099999999999999"/>
    <m/>
    <x v="74"/>
    <x v="67"/>
    <m/>
  </r>
  <r>
    <x v="2929"/>
    <x v="3926"/>
    <x v="11"/>
    <x v="0"/>
    <x v="0"/>
    <x v="3"/>
    <x v="56"/>
    <x v="0"/>
    <x v="3819"/>
    <n v="172"/>
    <x v="0"/>
    <x v="90"/>
    <x v="911"/>
    <n v="0.83"/>
    <n v="1.1399999999999999"/>
    <m/>
    <x v="59"/>
    <x v="100"/>
    <n v="1.79"/>
  </r>
  <r>
    <x v="2930"/>
    <x v="3927"/>
    <x v="0"/>
    <x v="0"/>
    <x v="0"/>
    <x v="3"/>
    <x v="56"/>
    <x v="0"/>
    <x v="3820"/>
    <n v="145.5"/>
    <x v="0"/>
    <x v="696"/>
    <x v="937"/>
    <n v="0.56599999999999995"/>
    <n v="0.99299999999999999"/>
    <n v="0.71499999999999997"/>
    <x v="54"/>
    <x v="173"/>
    <n v="1.41"/>
  </r>
  <r>
    <x v="2931"/>
    <x v="3928"/>
    <x v="19"/>
    <x v="0"/>
    <x v="0"/>
    <x v="0"/>
    <x v="15"/>
    <x v="1"/>
    <x v="3821"/>
    <n v="148"/>
    <x v="0"/>
    <x v="0"/>
    <x v="0"/>
    <n v="0.26"/>
    <m/>
    <m/>
    <x v="17"/>
    <x v="45"/>
    <m/>
  </r>
  <r>
    <x v="2931"/>
    <x v="3929"/>
    <x v="19"/>
    <x v="0"/>
    <x v="0"/>
    <x v="0"/>
    <x v="15"/>
    <x v="1"/>
    <x v="3822"/>
    <n v="148"/>
    <x v="0"/>
    <x v="0"/>
    <x v="0"/>
    <n v="1.37"/>
    <m/>
    <m/>
    <x v="17"/>
    <x v="45"/>
    <m/>
  </r>
  <r>
    <x v="2932"/>
    <x v="3930"/>
    <x v="0"/>
    <x v="0"/>
    <x v="0"/>
    <x v="3"/>
    <x v="56"/>
    <x v="0"/>
    <x v="3823"/>
    <n v="174"/>
    <x v="0"/>
    <x v="697"/>
    <x v="132"/>
    <n v="7.29"/>
    <n v="1.41"/>
    <m/>
    <x v="101"/>
    <x v="120"/>
    <n v="0.22"/>
  </r>
  <r>
    <x v="2933"/>
    <x v="3931"/>
    <x v="2"/>
    <x v="0"/>
    <x v="0"/>
    <x v="3"/>
    <x v="56"/>
    <x v="0"/>
    <x v="3824"/>
    <n v="293"/>
    <x v="0"/>
    <x v="222"/>
    <x v="848"/>
    <n v="1.42"/>
    <n v="1.25"/>
    <m/>
    <x v="32"/>
    <x v="150"/>
    <n v="0.5"/>
  </r>
  <r>
    <x v="2934"/>
    <x v="3932"/>
    <x v="2"/>
    <x v="0"/>
    <x v="0"/>
    <x v="3"/>
    <x v="56"/>
    <x v="0"/>
    <x v="3825"/>
    <n v="260"/>
    <x v="0"/>
    <x v="698"/>
    <x v="938"/>
    <n v="1.19"/>
    <n v="1.1399999999999999"/>
    <n v="1.06"/>
    <x v="48"/>
    <x v="4"/>
    <n v="1.01"/>
  </r>
  <r>
    <x v="2935"/>
    <x v="3933"/>
    <x v="10"/>
    <x v="0"/>
    <x v="0"/>
    <x v="3"/>
    <x v="56"/>
    <x v="0"/>
    <x v="3826"/>
    <n v="237.06"/>
    <x v="328"/>
    <x v="699"/>
    <x v="939"/>
    <n v="4.4000000000000004"/>
    <n v="2.0699999999999998"/>
    <n v="0.62"/>
    <x v="39"/>
    <x v="194"/>
    <n v="1"/>
  </r>
  <r>
    <x v="2936"/>
    <x v="3934"/>
    <x v="17"/>
    <x v="0"/>
    <x v="0"/>
    <x v="0"/>
    <x v="17"/>
    <x v="2"/>
    <x v="3827"/>
    <n v="3.6"/>
    <x v="30"/>
    <x v="0"/>
    <x v="0"/>
    <n v="2.3600000000000001E-3"/>
    <m/>
    <m/>
    <x v="204"/>
    <x v="323"/>
    <m/>
  </r>
  <r>
    <x v="2936"/>
    <x v="3935"/>
    <x v="17"/>
    <x v="0"/>
    <x v="0"/>
    <x v="0"/>
    <x v="17"/>
    <x v="2"/>
    <x v="3828"/>
    <n v="3.6"/>
    <x v="30"/>
    <x v="0"/>
    <x v="0"/>
    <n v="3.0799999999999998E-3"/>
    <m/>
    <m/>
    <x v="204"/>
    <x v="323"/>
    <m/>
  </r>
  <r>
    <x v="2936"/>
    <x v="3936"/>
    <x v="17"/>
    <x v="0"/>
    <x v="0"/>
    <x v="0"/>
    <x v="17"/>
    <x v="2"/>
    <x v="3829"/>
    <n v="3.6"/>
    <x v="30"/>
    <x v="0"/>
    <x v="0"/>
    <n v="3.5899999999999999E-3"/>
    <m/>
    <m/>
    <x v="204"/>
    <x v="323"/>
    <m/>
  </r>
  <r>
    <x v="2937"/>
    <x v="3937"/>
    <x v="6"/>
    <x v="0"/>
    <x v="0"/>
    <x v="0"/>
    <x v="14"/>
    <x v="0"/>
    <x v="3830"/>
    <n v="20.21"/>
    <x v="0"/>
    <x v="0"/>
    <x v="0"/>
    <n v="1.8"/>
    <m/>
    <m/>
    <x v="125"/>
    <x v="346"/>
    <m/>
  </r>
  <r>
    <x v="2938"/>
    <x v="3938"/>
    <x v="8"/>
    <x v="0"/>
    <x v="0"/>
    <x v="0"/>
    <x v="4"/>
    <x v="0"/>
    <x v="3831"/>
    <n v="20.43"/>
    <x v="329"/>
    <x v="0"/>
    <x v="0"/>
    <n v="6.47"/>
    <m/>
    <m/>
    <x v="47"/>
    <x v="347"/>
    <m/>
  </r>
  <r>
    <x v="2939"/>
    <x v="3939"/>
    <x v="19"/>
    <x v="0"/>
    <x v="0"/>
    <x v="0"/>
    <x v="14"/>
    <x v="0"/>
    <x v="3832"/>
    <n v="90.54"/>
    <x v="330"/>
    <x v="0"/>
    <x v="0"/>
    <n v="7.8"/>
    <m/>
    <m/>
    <x v="168"/>
    <x v="348"/>
    <m/>
  </r>
  <r>
    <x v="2940"/>
    <x v="3940"/>
    <x v="2"/>
    <x v="0"/>
    <x v="0"/>
    <x v="1"/>
    <x v="9"/>
    <x v="0"/>
    <x v="3833"/>
    <n v="19.75"/>
    <x v="0"/>
    <x v="0"/>
    <x v="0"/>
    <m/>
    <m/>
    <m/>
    <x v="195"/>
    <x v="6"/>
    <m/>
  </r>
  <r>
    <x v="2941"/>
    <x v="3941"/>
    <x v="19"/>
    <x v="0"/>
    <x v="0"/>
    <x v="0"/>
    <x v="14"/>
    <x v="0"/>
    <x v="3834"/>
    <n v="38.78"/>
    <x v="219"/>
    <x v="0"/>
    <x v="0"/>
    <n v="6.1"/>
    <m/>
    <m/>
    <x v="28"/>
    <x v="349"/>
    <m/>
  </r>
  <r>
    <x v="2942"/>
    <x v="3942"/>
    <x v="15"/>
    <x v="0"/>
    <x v="0"/>
    <x v="0"/>
    <x v="14"/>
    <x v="0"/>
    <x v="3835"/>
    <n v="69.98"/>
    <x v="230"/>
    <x v="0"/>
    <x v="0"/>
    <n v="6.7"/>
    <m/>
    <m/>
    <x v="168"/>
    <x v="350"/>
    <m/>
  </r>
  <r>
    <x v="2943"/>
    <x v="3943"/>
    <x v="18"/>
    <x v="0"/>
    <x v="0"/>
    <x v="0"/>
    <x v="4"/>
    <x v="0"/>
    <x v="3836"/>
    <n v="3.21"/>
    <x v="290"/>
    <x v="700"/>
    <x v="0"/>
    <n v="1.55"/>
    <m/>
    <m/>
    <x v="134"/>
    <x v="6"/>
    <m/>
  </r>
  <r>
    <x v="2944"/>
    <x v="3944"/>
    <x v="11"/>
    <x v="0"/>
    <x v="0"/>
    <x v="0"/>
    <x v="2"/>
    <x v="0"/>
    <x v="3837"/>
    <n v="49.23"/>
    <x v="0"/>
    <x v="0"/>
    <x v="0"/>
    <n v="7.6"/>
    <m/>
    <m/>
    <x v="0"/>
    <x v="351"/>
    <m/>
  </r>
  <r>
    <x v="2945"/>
    <x v="3945"/>
    <x v="1"/>
    <x v="0"/>
    <x v="0"/>
    <x v="0"/>
    <x v="14"/>
    <x v="0"/>
    <x v="420"/>
    <n v="38.520000000000003"/>
    <x v="0"/>
    <x v="0"/>
    <x v="0"/>
    <n v="8.7799999999999994"/>
    <m/>
    <m/>
    <x v="16"/>
    <x v="352"/>
    <m/>
  </r>
  <r>
    <x v="2946"/>
    <x v="3946"/>
    <x v="23"/>
    <x v="0"/>
    <x v="0"/>
    <x v="0"/>
    <x v="4"/>
    <x v="0"/>
    <x v="3838"/>
    <n v="13.54"/>
    <x v="0"/>
    <x v="0"/>
    <x v="0"/>
    <n v="1.85"/>
    <m/>
    <m/>
    <x v="28"/>
    <x v="8"/>
    <m/>
  </r>
  <r>
    <x v="2947"/>
    <x v="3947"/>
    <x v="5"/>
    <x v="0"/>
    <x v="0"/>
    <x v="0"/>
    <x v="2"/>
    <x v="1"/>
    <x v="3839"/>
    <n v="47.43"/>
    <x v="232"/>
    <x v="0"/>
    <x v="0"/>
    <n v="1.02"/>
    <m/>
    <m/>
    <x v="39"/>
    <x v="353"/>
    <m/>
  </r>
  <r>
    <x v="2947"/>
    <x v="3948"/>
    <x v="5"/>
    <x v="0"/>
    <x v="0"/>
    <x v="0"/>
    <x v="2"/>
    <x v="1"/>
    <x v="3840"/>
    <n v="47.43"/>
    <x v="232"/>
    <x v="0"/>
    <x v="0"/>
    <n v="4.58"/>
    <m/>
    <m/>
    <x v="39"/>
    <x v="353"/>
    <m/>
  </r>
  <r>
    <x v="2948"/>
    <x v="3949"/>
    <x v="3"/>
    <x v="0"/>
    <x v="0"/>
    <x v="0"/>
    <x v="6"/>
    <x v="0"/>
    <x v="3841"/>
    <n v="31.67"/>
    <x v="0"/>
    <x v="0"/>
    <x v="0"/>
    <n v="8.82"/>
    <m/>
    <m/>
    <x v="52"/>
    <x v="6"/>
    <m/>
  </r>
  <r>
    <x v="2949"/>
    <x v="3950"/>
    <x v="15"/>
    <x v="0"/>
    <x v="0"/>
    <x v="1"/>
    <x v="19"/>
    <x v="0"/>
    <x v="6"/>
    <n v="50.06"/>
    <x v="16"/>
    <x v="701"/>
    <x v="0"/>
    <n v="13.616"/>
    <m/>
    <m/>
    <x v="222"/>
    <x v="6"/>
    <m/>
  </r>
  <r>
    <x v="2950"/>
    <x v="3951"/>
    <x v="0"/>
    <x v="0"/>
    <x v="0"/>
    <x v="0"/>
    <x v="6"/>
    <x v="0"/>
    <x v="3842"/>
    <n v="30.5"/>
    <x v="0"/>
    <x v="0"/>
    <x v="0"/>
    <n v="1.8109999999999999"/>
    <m/>
    <m/>
    <x v="125"/>
    <x v="354"/>
    <m/>
  </r>
  <r>
    <x v="2951"/>
    <x v="3952"/>
    <x v="19"/>
    <x v="0"/>
    <x v="0"/>
    <x v="0"/>
    <x v="14"/>
    <x v="0"/>
    <x v="3843"/>
    <n v="32.630000000000003"/>
    <x v="331"/>
    <x v="0"/>
    <x v="0"/>
    <n v="2.4"/>
    <m/>
    <m/>
    <x v="125"/>
    <x v="355"/>
    <m/>
  </r>
  <r>
    <x v="2952"/>
    <x v="3953"/>
    <x v="15"/>
    <x v="0"/>
    <x v="0"/>
    <x v="0"/>
    <x v="2"/>
    <x v="1"/>
    <x v="3844"/>
    <n v="43.38"/>
    <x v="0"/>
    <x v="0"/>
    <x v="0"/>
    <n v="24"/>
    <m/>
    <m/>
    <x v="223"/>
    <x v="356"/>
    <m/>
  </r>
  <r>
    <x v="2952"/>
    <x v="3954"/>
    <x v="15"/>
    <x v="0"/>
    <x v="0"/>
    <x v="0"/>
    <x v="2"/>
    <x v="1"/>
    <x v="3845"/>
    <n v="43.38"/>
    <x v="0"/>
    <x v="0"/>
    <x v="0"/>
    <n v="27"/>
    <m/>
    <m/>
    <x v="223"/>
    <x v="356"/>
    <m/>
  </r>
  <r>
    <x v="2953"/>
    <x v="3955"/>
    <x v="7"/>
    <x v="0"/>
    <x v="0"/>
    <x v="0"/>
    <x v="2"/>
    <x v="0"/>
    <x v="3846"/>
    <n v="76.91"/>
    <x v="0"/>
    <x v="0"/>
    <x v="0"/>
    <n v="1.7"/>
    <m/>
    <m/>
    <x v="142"/>
    <x v="357"/>
    <m/>
  </r>
  <r>
    <x v="2954"/>
    <x v="3956"/>
    <x v="15"/>
    <x v="0"/>
    <x v="0"/>
    <x v="0"/>
    <x v="2"/>
    <x v="0"/>
    <x v="3847"/>
    <n v="84.99"/>
    <x v="0"/>
    <x v="0"/>
    <x v="0"/>
    <n v="1.5"/>
    <m/>
    <m/>
    <x v="224"/>
    <x v="21"/>
    <m/>
  </r>
  <r>
    <x v="2955"/>
    <x v="3957"/>
    <x v="15"/>
    <x v="0"/>
    <x v="0"/>
    <x v="0"/>
    <x v="2"/>
    <x v="0"/>
    <x v="3848"/>
    <n v="60.5"/>
    <x v="0"/>
    <x v="0"/>
    <x v="0"/>
    <n v="4.0999999999999996"/>
    <m/>
    <m/>
    <x v="225"/>
    <x v="358"/>
    <m/>
  </r>
  <r>
    <x v="550"/>
    <x v="3958"/>
    <x v="5"/>
    <x v="0"/>
    <x v="1"/>
    <x v="3"/>
    <x v="24"/>
    <x v="1"/>
    <x v="3849"/>
    <n v="18.28"/>
    <x v="161"/>
    <x v="702"/>
    <x v="940"/>
    <n v="1.5169999999999999E-2"/>
    <n v="0.182"/>
    <n v="2.97"/>
    <x v="25"/>
    <x v="95"/>
    <n v="1.1479999999999999"/>
  </r>
  <r>
    <x v="2956"/>
    <x v="3959"/>
    <x v="8"/>
    <x v="0"/>
    <x v="0"/>
    <x v="0"/>
    <x v="12"/>
    <x v="0"/>
    <x v="3850"/>
    <n v="22.16"/>
    <x v="32"/>
    <x v="0"/>
    <x v="0"/>
    <n v="1.53"/>
    <m/>
    <m/>
    <x v="128"/>
    <x v="6"/>
    <m/>
  </r>
  <r>
    <x v="2957"/>
    <x v="3960"/>
    <x v="27"/>
    <x v="0"/>
    <x v="0"/>
    <x v="0"/>
    <x v="33"/>
    <x v="1"/>
    <x v="3851"/>
    <n v="17.239999999999998"/>
    <x v="0"/>
    <x v="0"/>
    <x v="0"/>
    <n v="1.0448999999999999"/>
    <m/>
    <m/>
    <x v="45"/>
    <x v="301"/>
    <m/>
  </r>
  <r>
    <x v="2957"/>
    <x v="3961"/>
    <x v="10"/>
    <x v="0"/>
    <x v="0"/>
    <x v="0"/>
    <x v="4"/>
    <x v="1"/>
    <x v="3852"/>
    <n v="17.239999999999998"/>
    <x v="0"/>
    <x v="0"/>
    <x v="0"/>
    <n v="7.8659999999999994E-2"/>
    <m/>
    <m/>
    <x v="45"/>
    <x v="301"/>
    <m/>
  </r>
  <r>
    <x v="2958"/>
    <x v="3962"/>
    <x v="4"/>
    <x v="0"/>
    <x v="0"/>
    <x v="0"/>
    <x v="15"/>
    <x v="0"/>
    <x v="3853"/>
    <n v="15.66"/>
    <x v="0"/>
    <x v="0"/>
    <x v="0"/>
    <n v="4.32"/>
    <m/>
    <m/>
    <x v="151"/>
    <x v="134"/>
    <m/>
  </r>
  <r>
    <x v="2959"/>
    <x v="3963"/>
    <x v="17"/>
    <x v="0"/>
    <x v="0"/>
    <x v="0"/>
    <x v="4"/>
    <x v="4"/>
    <x v="3854"/>
    <n v="3.6"/>
    <x v="0"/>
    <x v="0"/>
    <x v="0"/>
    <n v="1.2370000000000001E-2"/>
    <m/>
    <m/>
    <x v="110"/>
    <x v="6"/>
    <m/>
  </r>
  <r>
    <x v="2959"/>
    <x v="3964"/>
    <x v="17"/>
    <x v="0"/>
    <x v="0"/>
    <x v="0"/>
    <x v="4"/>
    <x v="4"/>
    <x v="3855"/>
    <n v="3.6"/>
    <x v="0"/>
    <x v="0"/>
    <x v="0"/>
    <n v="1.2370000000000001E-2"/>
    <m/>
    <m/>
    <x v="110"/>
    <x v="6"/>
    <m/>
  </r>
  <r>
    <x v="2959"/>
    <x v="3965"/>
    <x v="17"/>
    <x v="0"/>
    <x v="0"/>
    <x v="0"/>
    <x v="4"/>
    <x v="4"/>
    <x v="3856"/>
    <n v="3.6"/>
    <x v="0"/>
    <x v="0"/>
    <x v="0"/>
    <n v="5.5100000000000001E-3"/>
    <m/>
    <m/>
    <x v="110"/>
    <x v="6"/>
    <m/>
  </r>
  <r>
    <x v="2959"/>
    <x v="3966"/>
    <x v="17"/>
    <x v="0"/>
    <x v="0"/>
    <x v="0"/>
    <x v="4"/>
    <x v="4"/>
    <x v="3857"/>
    <n v="3.6"/>
    <x v="0"/>
    <x v="0"/>
    <x v="0"/>
    <n v="5.7600000000000004E-3"/>
    <m/>
    <m/>
    <x v="110"/>
    <x v="6"/>
    <m/>
  </r>
  <r>
    <x v="2960"/>
    <x v="3967"/>
    <x v="7"/>
    <x v="0"/>
    <x v="0"/>
    <x v="0"/>
    <x v="6"/>
    <x v="0"/>
    <x v="3858"/>
    <n v="112.64"/>
    <x v="332"/>
    <x v="0"/>
    <x v="0"/>
    <n v="20.6"/>
    <m/>
    <m/>
    <x v="5"/>
    <x v="359"/>
    <m/>
  </r>
  <r>
    <x v="2961"/>
    <x v="3968"/>
    <x v="4"/>
    <x v="0"/>
    <x v="0"/>
    <x v="0"/>
    <x v="6"/>
    <x v="2"/>
    <x v="3859"/>
    <n v="13.41"/>
    <x v="30"/>
    <x v="0"/>
    <x v="0"/>
    <n v="0.68759999999999999"/>
    <m/>
    <m/>
    <x v="123"/>
    <x v="53"/>
    <m/>
  </r>
  <r>
    <x v="2961"/>
    <x v="3969"/>
    <x v="21"/>
    <x v="0"/>
    <x v="0"/>
    <x v="0"/>
    <x v="4"/>
    <x v="2"/>
    <x v="3860"/>
    <n v="13.41"/>
    <x v="30"/>
    <x v="0"/>
    <x v="0"/>
    <n v="1.9810000000000001"/>
    <m/>
    <m/>
    <x v="123"/>
    <x v="53"/>
    <m/>
  </r>
  <r>
    <x v="2961"/>
    <x v="3970"/>
    <x v="21"/>
    <x v="0"/>
    <x v="0"/>
    <x v="0"/>
    <x v="4"/>
    <x v="2"/>
    <x v="3861"/>
    <n v="13.41"/>
    <x v="30"/>
    <x v="0"/>
    <x v="0"/>
    <n v="4.1319999999999997"/>
    <m/>
    <m/>
    <x v="123"/>
    <x v="53"/>
    <m/>
  </r>
  <r>
    <x v="2962"/>
    <x v="3971"/>
    <x v="0"/>
    <x v="0"/>
    <x v="0"/>
    <x v="0"/>
    <x v="2"/>
    <x v="0"/>
    <x v="3862"/>
    <n v="56.27"/>
    <x v="0"/>
    <x v="0"/>
    <x v="0"/>
    <n v="2.8"/>
    <m/>
    <m/>
    <x v="2"/>
    <x v="36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85B46-ABDE-024D-A93F-F403CA42E9B4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B19" firstHeaderRow="1" firstDataRow="1" firstDataCol="1"/>
  <pivotFields count="19">
    <pivotField showAll="0">
      <items count="296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2937"/>
        <item x="2938"/>
        <item x="42"/>
        <item x="43"/>
        <item x="44"/>
        <item x="45"/>
        <item x="46"/>
        <item x="47"/>
        <item x="32"/>
        <item x="33"/>
        <item x="34"/>
        <item x="35"/>
        <item x="36"/>
        <item x="37"/>
        <item x="38"/>
        <item x="39"/>
        <item x="40"/>
        <item x="41"/>
        <item x="2939"/>
        <item x="2940"/>
        <item x="2941"/>
        <item x="48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50"/>
        <item x="80"/>
        <item x="81"/>
        <item x="82"/>
        <item x="83"/>
        <item x="84"/>
        <item x="85"/>
        <item x="86"/>
        <item x="2942"/>
        <item x="2943"/>
        <item x="2944"/>
        <item x="88"/>
        <item x="87"/>
        <item x="2945"/>
        <item x="2946"/>
        <item x="294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2"/>
        <item x="133"/>
        <item x="129"/>
        <item x="130"/>
        <item x="131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2948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2949"/>
        <item x="2950"/>
        <item x="1004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979"/>
        <item x="980"/>
        <item x="981"/>
        <item x="982"/>
        <item x="983"/>
        <item x="984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985"/>
        <item x="1002"/>
        <item x="1003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951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952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953"/>
        <item x="2954"/>
        <item x="2955"/>
        <item x="2726"/>
        <item x="2727"/>
        <item x="2728"/>
        <item x="2729"/>
        <item x="2730"/>
        <item x="2735"/>
        <item x="2736"/>
        <item x="2737"/>
        <item x="2956"/>
        <item x="2731"/>
        <item x="2732"/>
        <item x="2733"/>
        <item x="2734"/>
        <item x="2738"/>
        <item x="2739"/>
        <item x="2740"/>
        <item x="2741"/>
        <item x="2742"/>
        <item x="2743"/>
        <item x="2744"/>
        <item x="2745"/>
        <item x="2746"/>
        <item x="2957"/>
        <item x="2750"/>
        <item x="2751"/>
        <item x="2747"/>
        <item x="2748"/>
        <item x="2749"/>
        <item x="2752"/>
        <item x="2753"/>
        <item x="2754"/>
        <item x="2755"/>
        <item x="2958"/>
        <item x="2959"/>
        <item x="2960"/>
        <item x="2756"/>
        <item x="2757"/>
        <item x="2758"/>
        <item x="2759"/>
        <item x="2764"/>
        <item x="2765"/>
        <item x="2766"/>
        <item x="2767"/>
        <item x="2768"/>
        <item x="2760"/>
        <item x="2761"/>
        <item x="2762"/>
        <item x="2763"/>
        <item x="2769"/>
        <item x="2961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7"/>
        <item x="2928"/>
        <item x="2925"/>
        <item x="2926"/>
        <item x="2962"/>
        <item x="2929"/>
        <item x="2930"/>
        <item x="2931"/>
        <item x="2932"/>
        <item x="2933"/>
        <item x="2934"/>
        <item x="2935"/>
        <item x="2936"/>
        <item t="default"/>
      </items>
    </pivotField>
    <pivotField dataField="1" showAll="0">
      <items count="39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3937"/>
        <item x="3938"/>
        <item x="52"/>
        <item x="53"/>
        <item x="54"/>
        <item x="55"/>
        <item x="56"/>
        <item x="57"/>
        <item x="58"/>
        <item x="59"/>
        <item x="41"/>
        <item x="42"/>
        <item x="43"/>
        <item x="44"/>
        <item x="45"/>
        <item x="46"/>
        <item x="47"/>
        <item x="48"/>
        <item x="49"/>
        <item x="50"/>
        <item x="51"/>
        <item x="3939"/>
        <item x="3940"/>
        <item x="3941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62"/>
        <item x="95"/>
        <item x="96"/>
        <item x="97"/>
        <item x="98"/>
        <item x="99"/>
        <item x="100"/>
        <item x="101"/>
        <item x="102"/>
        <item x="3942"/>
        <item x="3943"/>
        <item x="3944"/>
        <item x="104"/>
        <item x="103"/>
        <item x="3945"/>
        <item x="3946"/>
        <item x="3947"/>
        <item x="3948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6"/>
        <item x="177"/>
        <item x="173"/>
        <item x="174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3949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3950"/>
        <item x="3951"/>
        <item x="1297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952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953"/>
        <item x="3954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955"/>
        <item x="3956"/>
        <item x="3957"/>
        <item x="3703"/>
        <item x="3704"/>
        <item x="3705"/>
        <item x="3706"/>
        <item x="3958"/>
        <item x="3707"/>
        <item x="3714"/>
        <item x="3715"/>
        <item x="3716"/>
        <item x="3717"/>
        <item x="3959"/>
        <item x="3708"/>
        <item x="3709"/>
        <item x="3710"/>
        <item x="3711"/>
        <item x="3712"/>
        <item x="3713"/>
        <item x="3718"/>
        <item x="3719"/>
        <item x="3720"/>
        <item x="3721"/>
        <item x="3722"/>
        <item x="3723"/>
        <item x="3724"/>
        <item x="3725"/>
        <item x="3726"/>
        <item x="3960"/>
        <item x="3961"/>
        <item x="3730"/>
        <item x="3731"/>
        <item x="3727"/>
        <item x="3728"/>
        <item x="3729"/>
        <item x="3732"/>
        <item x="3733"/>
        <item x="3734"/>
        <item x="3735"/>
        <item x="3962"/>
        <item x="3963"/>
        <item x="3964"/>
        <item x="3965"/>
        <item x="3966"/>
        <item x="3967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52"/>
        <item x="3753"/>
        <item x="3754"/>
        <item x="3755"/>
        <item x="3756"/>
        <item x="3747"/>
        <item x="3748"/>
        <item x="3749"/>
        <item x="3750"/>
        <item x="3751"/>
        <item x="3757"/>
        <item x="3968"/>
        <item x="3969"/>
        <item x="3970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2"/>
        <item x="3923"/>
        <item x="3924"/>
        <item x="3925"/>
        <item x="3920"/>
        <item x="3921"/>
        <item x="3971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t="default"/>
      </items>
    </pivotField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pl_name" fld="1" subtotal="count" showDataAs="percentOfTotal" baseField="0" baseItem="0" numFmtId="10"/>
  </dataFields>
  <formats count="2">
    <format dxfId="4">
      <pivotArea collapsedLevelsAreSubtotals="1" fieldPosition="0">
        <references count="1">
          <reference field="3" count="0"/>
        </references>
      </pivotArea>
    </format>
    <format dxfId="3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1:B12" firstHeaderRow="0" firstDataRow="1" firstDataCol="0" rowPageCount="5" colPageCount="1"/>
  <pivotFields count="19">
    <pivotField showAll="0">
      <items count="296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2937"/>
        <item x="2938"/>
        <item x="42"/>
        <item x="43"/>
        <item x="44"/>
        <item x="45"/>
        <item x="46"/>
        <item x="47"/>
        <item x="32"/>
        <item x="33"/>
        <item x="34"/>
        <item x="35"/>
        <item x="36"/>
        <item x="37"/>
        <item x="38"/>
        <item x="39"/>
        <item x="40"/>
        <item x="41"/>
        <item x="2939"/>
        <item x="2940"/>
        <item x="2941"/>
        <item x="48"/>
        <item x="49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50"/>
        <item x="80"/>
        <item x="81"/>
        <item x="82"/>
        <item x="83"/>
        <item x="84"/>
        <item x="85"/>
        <item x="86"/>
        <item x="2942"/>
        <item x="2943"/>
        <item x="2944"/>
        <item x="88"/>
        <item x="87"/>
        <item x="2945"/>
        <item x="2946"/>
        <item x="294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2"/>
        <item x="133"/>
        <item x="129"/>
        <item x="130"/>
        <item x="131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2948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2949"/>
        <item x="2950"/>
        <item x="1004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979"/>
        <item x="980"/>
        <item x="981"/>
        <item x="982"/>
        <item x="983"/>
        <item x="984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985"/>
        <item x="1002"/>
        <item x="1003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951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952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953"/>
        <item x="2954"/>
        <item x="2955"/>
        <item x="2726"/>
        <item x="2727"/>
        <item x="2728"/>
        <item x="2729"/>
        <item x="2730"/>
        <item x="2735"/>
        <item x="2736"/>
        <item x="2737"/>
        <item x="2956"/>
        <item x="2731"/>
        <item x="2732"/>
        <item x="2733"/>
        <item x="2734"/>
        <item x="2738"/>
        <item x="2739"/>
        <item x="2740"/>
        <item x="2741"/>
        <item x="2742"/>
        <item x="2743"/>
        <item x="2744"/>
        <item x="2745"/>
        <item x="2746"/>
        <item x="2957"/>
        <item x="2750"/>
        <item x="2751"/>
        <item x="2747"/>
        <item x="2748"/>
        <item x="2749"/>
        <item x="2752"/>
        <item x="2753"/>
        <item x="2754"/>
        <item x="2755"/>
        <item x="2958"/>
        <item x="2959"/>
        <item x="2960"/>
        <item x="2756"/>
        <item x="2757"/>
        <item x="2758"/>
        <item x="2759"/>
        <item x="2764"/>
        <item x="2765"/>
        <item x="2766"/>
        <item x="2767"/>
        <item x="2768"/>
        <item x="2760"/>
        <item x="2761"/>
        <item x="2762"/>
        <item x="2763"/>
        <item x="2769"/>
        <item x="2961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7"/>
        <item x="2928"/>
        <item x="2925"/>
        <item x="2926"/>
        <item x="2962"/>
        <item x="2929"/>
        <item x="2930"/>
        <item x="2931"/>
        <item x="2932"/>
        <item x="2933"/>
        <item x="2934"/>
        <item x="2935"/>
        <item x="2936"/>
        <item t="default"/>
      </items>
    </pivotField>
    <pivotField dataField="1" showAll="0">
      <items count="39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3937"/>
        <item x="3938"/>
        <item x="52"/>
        <item x="53"/>
        <item x="54"/>
        <item x="55"/>
        <item x="56"/>
        <item x="57"/>
        <item x="58"/>
        <item x="59"/>
        <item x="41"/>
        <item x="42"/>
        <item x="43"/>
        <item x="44"/>
        <item x="45"/>
        <item x="46"/>
        <item x="47"/>
        <item x="48"/>
        <item x="49"/>
        <item x="50"/>
        <item x="51"/>
        <item x="3939"/>
        <item x="3940"/>
        <item x="3941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62"/>
        <item x="95"/>
        <item x="96"/>
        <item x="97"/>
        <item x="98"/>
        <item x="99"/>
        <item x="100"/>
        <item x="101"/>
        <item x="102"/>
        <item x="3942"/>
        <item x="3943"/>
        <item x="3944"/>
        <item x="104"/>
        <item x="103"/>
        <item x="3945"/>
        <item x="3946"/>
        <item x="3947"/>
        <item x="3948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6"/>
        <item x="177"/>
        <item x="173"/>
        <item x="174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3949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3950"/>
        <item x="3951"/>
        <item x="1297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952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953"/>
        <item x="3954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955"/>
        <item x="3956"/>
        <item x="3957"/>
        <item x="3703"/>
        <item x="3704"/>
        <item x="3705"/>
        <item x="3706"/>
        <item x="3958"/>
        <item x="3707"/>
        <item x="3714"/>
        <item x="3715"/>
        <item x="3716"/>
        <item x="3717"/>
        <item x="3959"/>
        <item x="3708"/>
        <item x="3709"/>
        <item x="3710"/>
        <item x="3711"/>
        <item x="3712"/>
        <item x="3713"/>
        <item x="3718"/>
        <item x="3719"/>
        <item x="3720"/>
        <item x="3721"/>
        <item x="3722"/>
        <item x="3723"/>
        <item x="3724"/>
        <item x="3725"/>
        <item x="3726"/>
        <item x="3960"/>
        <item x="3961"/>
        <item x="3730"/>
        <item x="3731"/>
        <item x="3727"/>
        <item x="3728"/>
        <item x="3729"/>
        <item x="3732"/>
        <item x="3733"/>
        <item x="3734"/>
        <item x="3735"/>
        <item x="3962"/>
        <item x="3963"/>
        <item x="3964"/>
        <item x="3965"/>
        <item x="3966"/>
        <item x="3967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52"/>
        <item x="3753"/>
        <item x="3754"/>
        <item x="3755"/>
        <item x="3756"/>
        <item x="3747"/>
        <item x="3748"/>
        <item x="3749"/>
        <item x="3750"/>
        <item x="3751"/>
        <item x="3757"/>
        <item x="3968"/>
        <item x="3969"/>
        <item x="3970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2"/>
        <item x="3923"/>
        <item x="3924"/>
        <item x="3925"/>
        <item x="3920"/>
        <item x="3921"/>
        <item x="3971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t="default"/>
      </items>
    </pivotField>
    <pivotField axis="axisPage" showAll="0">
      <items count="29">
        <item x="24"/>
        <item x="26"/>
        <item x="25"/>
        <item x="13"/>
        <item x="4"/>
        <item x="27"/>
        <item x="22"/>
        <item x="21"/>
        <item x="18"/>
        <item x="12"/>
        <item x="3"/>
        <item x="23"/>
        <item x="9"/>
        <item x="16"/>
        <item x="11"/>
        <item x="0"/>
        <item x="2"/>
        <item x="1"/>
        <item x="6"/>
        <item x="14"/>
        <item x="15"/>
        <item x="7"/>
        <item x="19"/>
        <item x="8"/>
        <item x="10"/>
        <item x="17"/>
        <item x="5"/>
        <item x="2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4">
        <item x="0"/>
        <item x="2"/>
        <item x="1"/>
        <item t="default"/>
      </items>
    </pivotField>
    <pivotField axis="axisPage" showAll="0">
      <items count="11">
        <item x="4"/>
        <item x="2"/>
        <item x="1"/>
        <item x="7"/>
        <item x="5"/>
        <item x="9"/>
        <item x="6"/>
        <item x="0"/>
        <item x="3"/>
        <item x="8"/>
        <item t="default"/>
      </items>
    </pivotField>
    <pivotField axis="axisPage" showAll="0">
      <items count="58">
        <item x="39"/>
        <item x="13"/>
        <item x="34"/>
        <item x="43"/>
        <item x="14"/>
        <item x="22"/>
        <item x="7"/>
        <item x="18"/>
        <item x="45"/>
        <item x="33"/>
        <item x="5"/>
        <item x="27"/>
        <item x="28"/>
        <item x="11"/>
        <item x="8"/>
        <item x="47"/>
        <item x="16"/>
        <item x="35"/>
        <item x="37"/>
        <item x="36"/>
        <item x="10"/>
        <item x="29"/>
        <item x="38"/>
        <item x="17"/>
        <item x="40"/>
        <item x="30"/>
        <item x="46"/>
        <item x="6"/>
        <item x="49"/>
        <item x="12"/>
        <item x="23"/>
        <item x="41"/>
        <item x="32"/>
        <item x="4"/>
        <item x="31"/>
        <item x="42"/>
        <item x="2"/>
        <item x="26"/>
        <item x="9"/>
        <item x="44"/>
        <item x="25"/>
        <item x="15"/>
        <item x="21"/>
        <item x="19"/>
        <item x="51"/>
        <item x="53"/>
        <item x="52"/>
        <item x="50"/>
        <item x="1"/>
        <item x="24"/>
        <item x="48"/>
        <item x="55"/>
        <item x="3"/>
        <item x="54"/>
        <item x="0"/>
        <item x="56"/>
        <item x="20"/>
        <item t="default"/>
      </items>
    </pivotField>
    <pivotField showAll="0"/>
    <pivotField showAll="0"/>
    <pivotField showAll="0"/>
    <pivotField dataField="1" showAll="0">
      <items count="334">
        <item x="6"/>
        <item x="22"/>
        <item x="304"/>
        <item x="1"/>
        <item x="7"/>
        <item x="198"/>
        <item x="104"/>
        <item x="185"/>
        <item x="181"/>
        <item x="11"/>
        <item x="16"/>
        <item x="5"/>
        <item x="47"/>
        <item x="173"/>
        <item x="4"/>
        <item x="108"/>
        <item x="45"/>
        <item x="300"/>
        <item x="287"/>
        <item x="141"/>
        <item x="306"/>
        <item x="121"/>
        <item x="299"/>
        <item x="193"/>
        <item x="326"/>
        <item x="280"/>
        <item x="96"/>
        <item x="301"/>
        <item x="46"/>
        <item x="298"/>
        <item x="187"/>
        <item x="201"/>
        <item x="119"/>
        <item x="327"/>
        <item x="115"/>
        <item x="189"/>
        <item x="290"/>
        <item x="99"/>
        <item x="199"/>
        <item x="69"/>
        <item x="105"/>
        <item x="112"/>
        <item x="169"/>
        <item x="40"/>
        <item x="101"/>
        <item x="247"/>
        <item x="188"/>
        <item x="308"/>
        <item x="85"/>
        <item x="332"/>
        <item x="64"/>
        <item x="126"/>
        <item x="206"/>
        <item x="317"/>
        <item x="151"/>
        <item x="139"/>
        <item x="81"/>
        <item x="162"/>
        <item x="144"/>
        <item x="250"/>
        <item x="102"/>
        <item x="106"/>
        <item x="192"/>
        <item x="52"/>
        <item x="171"/>
        <item x="296"/>
        <item x="269"/>
        <item x="176"/>
        <item x="255"/>
        <item x="83"/>
        <item x="252"/>
        <item x="217"/>
        <item x="125"/>
        <item x="164"/>
        <item x="253"/>
        <item x="26"/>
        <item x="321"/>
        <item x="263"/>
        <item x="302"/>
        <item x="140"/>
        <item x="168"/>
        <item x="230"/>
        <item x="130"/>
        <item x="111"/>
        <item x="94"/>
        <item x="319"/>
        <item x="262"/>
        <item x="330"/>
        <item x="226"/>
        <item x="93"/>
        <item x="328"/>
        <item x="107"/>
        <item x="264"/>
        <item x="312"/>
        <item x="267"/>
        <item x="24"/>
        <item x="244"/>
        <item x="79"/>
        <item x="80"/>
        <item x="246"/>
        <item x="67"/>
        <item x="78"/>
        <item x="235"/>
        <item x="166"/>
        <item x="95"/>
        <item x="270"/>
        <item x="39"/>
        <item x="177"/>
        <item x="278"/>
        <item x="249"/>
        <item x="71"/>
        <item x="114"/>
        <item x="129"/>
        <item x="20"/>
        <item x="163"/>
        <item x="155"/>
        <item x="122"/>
        <item x="182"/>
        <item x="236"/>
        <item x="281"/>
        <item x="49"/>
        <item x="257"/>
        <item x="179"/>
        <item x="272"/>
        <item x="258"/>
        <item x="195"/>
        <item x="266"/>
        <item x="167"/>
        <item x="277"/>
        <item x="243"/>
        <item x="3"/>
        <item x="174"/>
        <item x="237"/>
        <item x="276"/>
        <item x="295"/>
        <item x="131"/>
        <item x="232"/>
        <item x="143"/>
        <item x="238"/>
        <item x="116"/>
        <item x="219"/>
        <item x="161"/>
        <item x="23"/>
        <item x="43"/>
        <item x="273"/>
        <item x="117"/>
        <item x="231"/>
        <item x="186"/>
        <item x="138"/>
        <item x="283"/>
        <item x="204"/>
        <item x="74"/>
        <item x="109"/>
        <item x="82"/>
        <item x="32"/>
        <item x="222"/>
        <item x="331"/>
        <item x="57"/>
        <item x="225"/>
        <item x="307"/>
        <item x="154"/>
        <item x="292"/>
        <item x="242"/>
        <item x="76"/>
        <item x="220"/>
        <item x="15"/>
        <item x="84"/>
        <item x="175"/>
        <item x="310"/>
        <item x="159"/>
        <item x="259"/>
        <item x="268"/>
        <item x="196"/>
        <item x="44"/>
        <item x="218"/>
        <item x="61"/>
        <item x="318"/>
        <item x="229"/>
        <item x="12"/>
        <item x="70"/>
        <item x="208"/>
        <item x="315"/>
        <item x="31"/>
        <item x="152"/>
        <item x="212"/>
        <item x="27"/>
        <item x="37"/>
        <item x="211"/>
        <item x="124"/>
        <item x="75"/>
        <item x="146"/>
        <item x="127"/>
        <item x="224"/>
        <item x="21"/>
        <item x="202"/>
        <item x="216"/>
        <item x="35"/>
        <item x="118"/>
        <item x="223"/>
        <item x="8"/>
        <item x="63"/>
        <item x="60"/>
        <item x="207"/>
        <item x="86"/>
        <item x="316"/>
        <item x="215"/>
        <item x="153"/>
        <item x="234"/>
        <item x="65"/>
        <item x="158"/>
        <item x="30"/>
        <item x="227"/>
        <item x="100"/>
        <item x="200"/>
        <item x="228"/>
        <item x="17"/>
        <item x="142"/>
        <item x="221"/>
        <item x="251"/>
        <item x="233"/>
        <item x="325"/>
        <item x="62"/>
        <item x="73"/>
        <item x="323"/>
        <item x="254"/>
        <item x="194"/>
        <item x="160"/>
        <item x="150"/>
        <item x="55"/>
        <item x="241"/>
        <item x="240"/>
        <item x="145"/>
        <item x="147"/>
        <item x="157"/>
        <item x="184"/>
        <item x="286"/>
        <item x="214"/>
        <item x="42"/>
        <item x="260"/>
        <item x="54"/>
        <item x="210"/>
        <item x="72"/>
        <item x="25"/>
        <item x="265"/>
        <item x="136"/>
        <item x="120"/>
        <item x="128"/>
        <item x="205"/>
        <item x="48"/>
        <item x="329"/>
        <item x="239"/>
        <item x="275"/>
        <item x="53"/>
        <item x="28"/>
        <item x="213"/>
        <item x="320"/>
        <item x="110"/>
        <item x="170"/>
        <item x="248"/>
        <item x="41"/>
        <item x="2"/>
        <item x="135"/>
        <item x="172"/>
        <item x="256"/>
        <item x="19"/>
        <item x="33"/>
        <item x="10"/>
        <item x="183"/>
        <item x="156"/>
        <item x="18"/>
        <item x="274"/>
        <item x="56"/>
        <item x="178"/>
        <item x="89"/>
        <item x="132"/>
        <item x="149"/>
        <item x="148"/>
        <item x="77"/>
        <item x="180"/>
        <item x="209"/>
        <item x="98"/>
        <item x="137"/>
        <item x="197"/>
        <item x="285"/>
        <item x="97"/>
        <item x="88"/>
        <item x="282"/>
        <item x="58"/>
        <item x="303"/>
        <item x="293"/>
        <item x="134"/>
        <item x="294"/>
        <item x="311"/>
        <item x="191"/>
        <item x="271"/>
        <item x="36"/>
        <item x="123"/>
        <item x="245"/>
        <item x="51"/>
        <item x="90"/>
        <item x="14"/>
        <item x="87"/>
        <item x="291"/>
        <item x="203"/>
        <item x="59"/>
        <item x="9"/>
        <item x="66"/>
        <item x="91"/>
        <item x="324"/>
        <item x="68"/>
        <item x="313"/>
        <item x="113"/>
        <item x="305"/>
        <item x="165"/>
        <item x="13"/>
        <item x="92"/>
        <item x="133"/>
        <item x="284"/>
        <item x="29"/>
        <item x="190"/>
        <item x="34"/>
        <item x="279"/>
        <item x="309"/>
        <item x="103"/>
        <item x="288"/>
        <item x="38"/>
        <item x="289"/>
        <item x="261"/>
        <item x="50"/>
        <item x="297"/>
        <item x="314"/>
        <item x="32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2">
    <i>
      <x/>
    </i>
    <i i="1">
      <x v="1"/>
    </i>
  </colItems>
  <pageFields count="5">
    <pageField fld="3" hier="-1"/>
    <pageField fld="4" hier="-1"/>
    <pageField fld="2" hier="-1"/>
    <pageField fld="6" hier="-1"/>
    <pageField fld="5" hier="-1"/>
  </pageFields>
  <dataFields count="2">
    <dataField name="Count of pl_name" fld="1" subtotal="count" baseField="0" baseItem="0"/>
    <dataField name="Average of st_age" fld="10" subtotal="average" baseField="0" baseItem="0" numFmtId="2"/>
  </dataFields>
  <formats count="1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9B755E-84D1-014E-A608-55377479748E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B27" firstHeaderRow="1" firstDataRow="1" firstDataCol="1"/>
  <pivotFields count="19">
    <pivotField showAll="0"/>
    <pivotField dataField="1" showAll="0">
      <items count="39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3937"/>
        <item x="3938"/>
        <item x="52"/>
        <item x="53"/>
        <item x="54"/>
        <item x="55"/>
        <item x="56"/>
        <item x="57"/>
        <item x="58"/>
        <item x="59"/>
        <item x="41"/>
        <item x="42"/>
        <item x="43"/>
        <item x="44"/>
        <item x="45"/>
        <item x="46"/>
        <item x="47"/>
        <item x="48"/>
        <item x="49"/>
        <item x="50"/>
        <item x="51"/>
        <item x="3939"/>
        <item x="3940"/>
        <item x="3941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62"/>
        <item x="95"/>
        <item x="96"/>
        <item x="97"/>
        <item x="98"/>
        <item x="99"/>
        <item x="100"/>
        <item x="101"/>
        <item x="102"/>
        <item x="3942"/>
        <item x="3943"/>
        <item x="3944"/>
        <item x="104"/>
        <item x="103"/>
        <item x="3945"/>
        <item x="3946"/>
        <item x="3947"/>
        <item x="3948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6"/>
        <item x="177"/>
        <item x="173"/>
        <item x="174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3949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3950"/>
        <item x="3951"/>
        <item x="1297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952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953"/>
        <item x="3954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955"/>
        <item x="3956"/>
        <item x="3957"/>
        <item x="3703"/>
        <item x="3704"/>
        <item x="3705"/>
        <item x="3706"/>
        <item x="3958"/>
        <item x="3707"/>
        <item x="3714"/>
        <item x="3715"/>
        <item x="3716"/>
        <item x="3717"/>
        <item x="3959"/>
        <item x="3708"/>
        <item x="3709"/>
        <item x="3710"/>
        <item x="3711"/>
        <item x="3712"/>
        <item x="3713"/>
        <item x="3718"/>
        <item x="3719"/>
        <item x="3720"/>
        <item x="3721"/>
        <item x="3722"/>
        <item x="3723"/>
        <item x="3724"/>
        <item x="3725"/>
        <item x="3726"/>
        <item x="3960"/>
        <item x="3961"/>
        <item x="3730"/>
        <item x="3731"/>
        <item x="3727"/>
        <item x="3728"/>
        <item x="3729"/>
        <item x="3732"/>
        <item x="3733"/>
        <item x="3734"/>
        <item x="3735"/>
        <item x="3962"/>
        <item x="3963"/>
        <item x="3964"/>
        <item x="3965"/>
        <item x="3966"/>
        <item x="3967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52"/>
        <item x="3753"/>
        <item x="3754"/>
        <item x="3755"/>
        <item x="3756"/>
        <item x="3747"/>
        <item x="3748"/>
        <item x="3749"/>
        <item x="3750"/>
        <item x="3751"/>
        <item x="3757"/>
        <item x="3968"/>
        <item x="3969"/>
        <item x="3970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2"/>
        <item x="3923"/>
        <item x="3924"/>
        <item x="3925"/>
        <item x="3920"/>
        <item x="3921"/>
        <item x="3971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t="default"/>
      </items>
    </pivotField>
    <pivotField showAll="0"/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pl_name" fld="1" subtotal="count" showDataAs="percentOfTotal" baseField="0" baseItem="0" numFmtId="164"/>
  </dataFields>
  <formats count="2">
    <format dxfId="7">
      <pivotArea outline="0" collapsedLevelsAreSubtotals="1" fieldPosition="0"/>
    </format>
    <format dxfId="6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A27417-36E2-6F46-BCEC-B726E0D5B4D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10:B14" firstHeaderRow="1" firstDataRow="1" firstDataCol="1" rowPageCount="4" colPageCount="1"/>
  <pivotFields count="19">
    <pivotField showAll="0"/>
    <pivotField dataField="1" showAll="0">
      <items count="39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3937"/>
        <item x="3938"/>
        <item x="52"/>
        <item x="53"/>
        <item x="54"/>
        <item x="55"/>
        <item x="56"/>
        <item x="57"/>
        <item x="58"/>
        <item x="59"/>
        <item x="41"/>
        <item x="42"/>
        <item x="43"/>
        <item x="44"/>
        <item x="45"/>
        <item x="46"/>
        <item x="47"/>
        <item x="48"/>
        <item x="49"/>
        <item x="50"/>
        <item x="51"/>
        <item x="3939"/>
        <item x="3940"/>
        <item x="3941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62"/>
        <item x="95"/>
        <item x="96"/>
        <item x="97"/>
        <item x="98"/>
        <item x="99"/>
        <item x="100"/>
        <item x="101"/>
        <item x="102"/>
        <item x="3942"/>
        <item x="3943"/>
        <item x="3944"/>
        <item x="104"/>
        <item x="103"/>
        <item x="3945"/>
        <item x="3946"/>
        <item x="3947"/>
        <item x="3948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6"/>
        <item x="177"/>
        <item x="173"/>
        <item x="174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3949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3950"/>
        <item x="3951"/>
        <item x="1297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952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953"/>
        <item x="3954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955"/>
        <item x="3956"/>
        <item x="3957"/>
        <item x="3703"/>
        <item x="3704"/>
        <item x="3705"/>
        <item x="3706"/>
        <item x="3958"/>
        <item x="3707"/>
        <item x="3714"/>
        <item x="3715"/>
        <item x="3716"/>
        <item x="3717"/>
        <item x="3959"/>
        <item x="3708"/>
        <item x="3709"/>
        <item x="3710"/>
        <item x="3711"/>
        <item x="3712"/>
        <item x="3713"/>
        <item x="3718"/>
        <item x="3719"/>
        <item x="3720"/>
        <item x="3721"/>
        <item x="3722"/>
        <item x="3723"/>
        <item x="3724"/>
        <item x="3725"/>
        <item x="3726"/>
        <item x="3960"/>
        <item x="3961"/>
        <item x="3730"/>
        <item x="3731"/>
        <item x="3727"/>
        <item x="3728"/>
        <item x="3729"/>
        <item x="3732"/>
        <item x="3733"/>
        <item x="3734"/>
        <item x="3735"/>
        <item x="3962"/>
        <item x="3963"/>
        <item x="3964"/>
        <item x="3965"/>
        <item x="3966"/>
        <item x="3967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52"/>
        <item x="3753"/>
        <item x="3754"/>
        <item x="3755"/>
        <item x="3756"/>
        <item x="3747"/>
        <item x="3748"/>
        <item x="3749"/>
        <item x="3750"/>
        <item x="3751"/>
        <item x="3757"/>
        <item x="3968"/>
        <item x="3969"/>
        <item x="3970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2"/>
        <item x="3923"/>
        <item x="3924"/>
        <item x="3925"/>
        <item x="3920"/>
        <item x="3921"/>
        <item x="3971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t="default"/>
      </items>
    </pivotField>
    <pivotField axis="axisPage" showAll="0">
      <items count="29">
        <item x="24"/>
        <item x="26"/>
        <item x="25"/>
        <item x="13"/>
        <item x="4"/>
        <item x="27"/>
        <item x="22"/>
        <item x="21"/>
        <item x="18"/>
        <item x="12"/>
        <item x="3"/>
        <item x="23"/>
        <item x="9"/>
        <item x="16"/>
        <item x="11"/>
        <item x="0"/>
        <item x="2"/>
        <item x="1"/>
        <item x="6"/>
        <item x="14"/>
        <item x="15"/>
        <item x="7"/>
        <item x="19"/>
        <item x="8"/>
        <item x="10"/>
        <item x="17"/>
        <item x="5"/>
        <item x="20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2"/>
        <item x="1"/>
        <item t="default"/>
      </items>
    </pivotField>
    <pivotField axis="axisPage" showAll="0">
      <items count="11">
        <item x="4"/>
        <item x="2"/>
        <item x="1"/>
        <item x="7"/>
        <item x="5"/>
        <item x="9"/>
        <item x="6"/>
        <item x="0"/>
        <item x="3"/>
        <item x="8"/>
        <item t="default"/>
      </items>
    </pivotField>
    <pivotField axis="axisPage" showAll="0">
      <items count="58">
        <item x="39"/>
        <item x="13"/>
        <item x="34"/>
        <item x="43"/>
        <item x="14"/>
        <item x="22"/>
        <item x="7"/>
        <item x="18"/>
        <item x="45"/>
        <item x="33"/>
        <item x="5"/>
        <item x="27"/>
        <item x="28"/>
        <item x="11"/>
        <item x="8"/>
        <item x="47"/>
        <item x="16"/>
        <item x="35"/>
        <item x="37"/>
        <item x="36"/>
        <item x="10"/>
        <item x="29"/>
        <item x="38"/>
        <item x="17"/>
        <item x="40"/>
        <item x="30"/>
        <item x="46"/>
        <item x="6"/>
        <item x="49"/>
        <item x="12"/>
        <item x="23"/>
        <item x="41"/>
        <item x="32"/>
        <item x="4"/>
        <item x="31"/>
        <item x="42"/>
        <item x="2"/>
        <item x="26"/>
        <item x="9"/>
        <item x="44"/>
        <item x="25"/>
        <item x="15"/>
        <item x="21"/>
        <item x="19"/>
        <item x="51"/>
        <item x="53"/>
        <item x="52"/>
        <item x="50"/>
        <item x="1"/>
        <item x="24"/>
        <item x="48"/>
        <item x="55"/>
        <item x="3"/>
        <item x="54"/>
        <item x="0"/>
        <item x="56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pageFields count="4">
    <pageField fld="2" hier="-1"/>
    <pageField fld="3" hier="-1"/>
    <pageField fld="5" hier="-1"/>
    <pageField fld="6" hier="-1"/>
  </pageFields>
  <dataFields count="1">
    <dataField name="Count of pl_name" fld="1" subtotal="count" baseField="0" baseItem="0"/>
  </dataFields>
  <chartFormats count="8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6672FE-00F4-734E-9937-150AC1BBAE49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10:B68" firstHeaderRow="1" firstDataRow="1" firstDataCol="1" rowPageCount="4" colPageCount="1"/>
  <pivotFields count="19">
    <pivotField showAll="0"/>
    <pivotField dataField="1" showAll="0">
      <items count="39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3937"/>
        <item x="3938"/>
        <item x="52"/>
        <item x="53"/>
        <item x="54"/>
        <item x="55"/>
        <item x="56"/>
        <item x="57"/>
        <item x="58"/>
        <item x="59"/>
        <item x="41"/>
        <item x="42"/>
        <item x="43"/>
        <item x="44"/>
        <item x="45"/>
        <item x="46"/>
        <item x="47"/>
        <item x="48"/>
        <item x="49"/>
        <item x="50"/>
        <item x="51"/>
        <item x="3939"/>
        <item x="3940"/>
        <item x="3941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62"/>
        <item x="95"/>
        <item x="96"/>
        <item x="97"/>
        <item x="98"/>
        <item x="99"/>
        <item x="100"/>
        <item x="101"/>
        <item x="102"/>
        <item x="3942"/>
        <item x="3943"/>
        <item x="3944"/>
        <item x="104"/>
        <item x="103"/>
        <item x="3945"/>
        <item x="3946"/>
        <item x="3947"/>
        <item x="3948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6"/>
        <item x="177"/>
        <item x="173"/>
        <item x="174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3949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3950"/>
        <item x="3951"/>
        <item x="1297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952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953"/>
        <item x="3954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955"/>
        <item x="3956"/>
        <item x="3957"/>
        <item x="3703"/>
        <item x="3704"/>
        <item x="3705"/>
        <item x="3706"/>
        <item x="3958"/>
        <item x="3707"/>
        <item x="3714"/>
        <item x="3715"/>
        <item x="3716"/>
        <item x="3717"/>
        <item x="3959"/>
        <item x="3708"/>
        <item x="3709"/>
        <item x="3710"/>
        <item x="3711"/>
        <item x="3712"/>
        <item x="3713"/>
        <item x="3718"/>
        <item x="3719"/>
        <item x="3720"/>
        <item x="3721"/>
        <item x="3722"/>
        <item x="3723"/>
        <item x="3724"/>
        <item x="3725"/>
        <item x="3726"/>
        <item x="3960"/>
        <item x="3961"/>
        <item x="3730"/>
        <item x="3731"/>
        <item x="3727"/>
        <item x="3728"/>
        <item x="3729"/>
        <item x="3732"/>
        <item x="3733"/>
        <item x="3734"/>
        <item x="3735"/>
        <item x="3962"/>
        <item x="3963"/>
        <item x="3964"/>
        <item x="3965"/>
        <item x="3966"/>
        <item x="3967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52"/>
        <item x="3753"/>
        <item x="3754"/>
        <item x="3755"/>
        <item x="3756"/>
        <item x="3747"/>
        <item x="3748"/>
        <item x="3749"/>
        <item x="3750"/>
        <item x="3751"/>
        <item x="3757"/>
        <item x="3968"/>
        <item x="3969"/>
        <item x="3970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2"/>
        <item x="3923"/>
        <item x="3924"/>
        <item x="3925"/>
        <item x="3920"/>
        <item x="3921"/>
        <item x="3971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t="default"/>
      </items>
    </pivotField>
    <pivotField axis="axisPage" showAll="0">
      <items count="29">
        <item x="24"/>
        <item x="26"/>
        <item x="25"/>
        <item x="13"/>
        <item x="4"/>
        <item x="27"/>
        <item x="22"/>
        <item x="21"/>
        <item x="18"/>
        <item x="12"/>
        <item x="3"/>
        <item x="23"/>
        <item x="9"/>
        <item x="16"/>
        <item x="11"/>
        <item x="0"/>
        <item x="2"/>
        <item x="1"/>
        <item x="6"/>
        <item x="14"/>
        <item x="15"/>
        <item x="7"/>
        <item x="19"/>
        <item x="8"/>
        <item x="10"/>
        <item x="17"/>
        <item x="5"/>
        <item x="2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4">
        <item x="0"/>
        <item x="2"/>
        <item x="1"/>
        <item t="default"/>
      </items>
    </pivotField>
    <pivotField axis="axisPage" showAll="0">
      <items count="11">
        <item x="4"/>
        <item x="2"/>
        <item x="1"/>
        <item x="7"/>
        <item x="5"/>
        <item x="9"/>
        <item x="6"/>
        <item x="0"/>
        <item x="3"/>
        <item x="8"/>
        <item t="default"/>
      </items>
    </pivotField>
    <pivotField axis="axisRow" showAll="0" sortType="descending">
      <items count="58">
        <item x="39"/>
        <item x="13"/>
        <item x="34"/>
        <item x="43"/>
        <item x="14"/>
        <item x="22"/>
        <item x="7"/>
        <item x="18"/>
        <item x="45"/>
        <item x="33"/>
        <item x="5"/>
        <item x="27"/>
        <item x="28"/>
        <item x="11"/>
        <item x="8"/>
        <item x="47"/>
        <item x="16"/>
        <item x="35"/>
        <item x="37"/>
        <item x="36"/>
        <item x="10"/>
        <item x="29"/>
        <item x="38"/>
        <item x="17"/>
        <item x="40"/>
        <item x="30"/>
        <item x="46"/>
        <item x="6"/>
        <item x="49"/>
        <item x="12"/>
        <item x="23"/>
        <item x="41"/>
        <item x="32"/>
        <item x="4"/>
        <item x="31"/>
        <item x="42"/>
        <item x="2"/>
        <item x="26"/>
        <item x="9"/>
        <item x="44"/>
        <item x="25"/>
        <item x="15"/>
        <item x="21"/>
        <item x="19"/>
        <item x="51"/>
        <item x="53"/>
        <item x="52"/>
        <item x="50"/>
        <item x="1"/>
        <item x="24"/>
        <item x="48"/>
        <item x="55"/>
        <item x="3"/>
        <item x="54"/>
        <item x="0"/>
        <item x="56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8">
    <i>
      <x v="20"/>
    </i>
    <i>
      <x v="16"/>
    </i>
    <i>
      <x v="23"/>
    </i>
    <i>
      <x v="52"/>
    </i>
    <i>
      <x v="33"/>
    </i>
    <i>
      <x v="44"/>
    </i>
    <i>
      <x v="12"/>
    </i>
    <i>
      <x v="11"/>
    </i>
    <i>
      <x v="35"/>
    </i>
    <i>
      <x v="13"/>
    </i>
    <i>
      <x v="1"/>
    </i>
    <i>
      <x v="46"/>
    </i>
    <i>
      <x v="27"/>
    </i>
    <i>
      <x v="7"/>
    </i>
    <i>
      <x v="25"/>
    </i>
    <i>
      <x v="29"/>
    </i>
    <i>
      <x v="36"/>
    </i>
    <i>
      <x v="31"/>
    </i>
    <i>
      <x v="38"/>
    </i>
    <i>
      <x v="41"/>
    </i>
    <i>
      <x v="4"/>
    </i>
    <i>
      <x v="49"/>
    </i>
    <i>
      <x v="17"/>
    </i>
    <i>
      <x v="40"/>
    </i>
    <i>
      <x v="10"/>
    </i>
    <i>
      <x v="43"/>
    </i>
    <i>
      <x v="48"/>
    </i>
    <i>
      <x v="22"/>
    </i>
    <i>
      <x v="32"/>
    </i>
    <i>
      <x v="14"/>
    </i>
    <i>
      <x v="9"/>
    </i>
    <i>
      <x v="55"/>
    </i>
    <i>
      <x v="5"/>
    </i>
    <i>
      <x v="50"/>
    </i>
    <i>
      <x v="18"/>
    </i>
    <i>
      <x v="19"/>
    </i>
    <i>
      <x v="3"/>
    </i>
    <i>
      <x v="42"/>
    </i>
    <i>
      <x v="37"/>
    </i>
    <i>
      <x v="24"/>
    </i>
    <i>
      <x v="6"/>
    </i>
    <i>
      <x v="39"/>
    </i>
    <i>
      <x v="51"/>
    </i>
    <i>
      <x v="54"/>
    </i>
    <i>
      <x v="30"/>
    </i>
    <i>
      <x v="45"/>
    </i>
    <i>
      <x v="53"/>
    </i>
    <i>
      <x v="15"/>
    </i>
    <i>
      <x/>
    </i>
    <i>
      <x v="47"/>
    </i>
    <i>
      <x v="26"/>
    </i>
    <i>
      <x v="56"/>
    </i>
    <i>
      <x v="2"/>
    </i>
    <i>
      <x v="21"/>
    </i>
    <i>
      <x v="8"/>
    </i>
    <i>
      <x v="34"/>
    </i>
    <i>
      <x v="28"/>
    </i>
    <i t="grand">
      <x/>
    </i>
  </rowItems>
  <colItems count="1">
    <i/>
  </colItems>
  <pageFields count="4">
    <pageField fld="2" hier="-1"/>
    <pageField fld="3" hier="-1"/>
    <pageField fld="5" hier="-1"/>
    <pageField fld="4" hier="-1"/>
  </pageFields>
  <dataFields count="1">
    <dataField name="Count of pl_name" fld="1" subtotal="count" baseField="0" baseItem="0"/>
  </dataFields>
  <chartFormats count="12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7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7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7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7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75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4" format="76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4" format="77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4" format="78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4" format="79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4" format="80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4" format="8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4" format="82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4" format="83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4" format="84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4" format="85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4" format="86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4" format="87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4" format="88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4" format="89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4" format="90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4" format="9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4" format="92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4" format="93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4" format="94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4" format="95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4" format="96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4" format="97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4" format="98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4" format="99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4" format="100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4" format="10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4" format="102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4" format="103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4" format="104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4" format="105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4" format="106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4" format="107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4" format="108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4" format="109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4" format="110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4" format="11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4" format="112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4" format="113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4" format="114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4" format="115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4" format="116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4" format="117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4" format="118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4" format="119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4" format="120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4" format="12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4" format="122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4" format="123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4" format="124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4" format="125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4" format="126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  <chartFormat chart="4" format="127">
      <pivotArea type="data" outline="0" fieldPosition="0">
        <references count="2">
          <reference field="4294967294" count="1" selected="0">
            <x v="0"/>
          </reference>
          <reference field="6" count="1" selected="0">
            <x v="56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2" format="2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2" format="39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2" format="40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2" format="4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2" format="42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2" format="43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2" format="44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2" format="45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2" format="46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2" format="47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2" format="48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2" format="49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2" format="50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2" format="51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2" format="52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2" format="53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2" format="54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2" format="55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2" format="56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2" format="57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2" format="58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2" format="59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2" format="60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2" format="61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2" format="62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2" format="63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2" format="64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2" format="65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2" format="66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2" format="67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  <chartFormat chart="2" format="68">
      <pivotArea type="data" outline="0" fieldPosition="0">
        <references count="2">
          <reference field="4294967294" count="1" selected="0">
            <x v="0"/>
          </reference>
          <reference field="6" count="1" selected="0">
            <x v="5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F4C657-73F9-504F-BFB6-580A248EA04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10:B21" firstHeaderRow="1" firstDataRow="1" firstDataCol="1" rowPageCount="4" colPageCount="1"/>
  <pivotFields count="19">
    <pivotField showAll="0"/>
    <pivotField dataField="1" showAll="0">
      <items count="39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3937"/>
        <item x="3938"/>
        <item x="52"/>
        <item x="53"/>
        <item x="54"/>
        <item x="55"/>
        <item x="56"/>
        <item x="57"/>
        <item x="58"/>
        <item x="59"/>
        <item x="41"/>
        <item x="42"/>
        <item x="43"/>
        <item x="44"/>
        <item x="45"/>
        <item x="46"/>
        <item x="47"/>
        <item x="48"/>
        <item x="49"/>
        <item x="50"/>
        <item x="51"/>
        <item x="3939"/>
        <item x="3940"/>
        <item x="3941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62"/>
        <item x="95"/>
        <item x="96"/>
        <item x="97"/>
        <item x="98"/>
        <item x="99"/>
        <item x="100"/>
        <item x="101"/>
        <item x="102"/>
        <item x="3942"/>
        <item x="3943"/>
        <item x="3944"/>
        <item x="104"/>
        <item x="103"/>
        <item x="3945"/>
        <item x="3946"/>
        <item x="3947"/>
        <item x="3948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6"/>
        <item x="177"/>
        <item x="173"/>
        <item x="174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3949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3950"/>
        <item x="3951"/>
        <item x="1297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952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953"/>
        <item x="3954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955"/>
        <item x="3956"/>
        <item x="3957"/>
        <item x="3703"/>
        <item x="3704"/>
        <item x="3705"/>
        <item x="3706"/>
        <item x="3958"/>
        <item x="3707"/>
        <item x="3714"/>
        <item x="3715"/>
        <item x="3716"/>
        <item x="3717"/>
        <item x="3959"/>
        <item x="3708"/>
        <item x="3709"/>
        <item x="3710"/>
        <item x="3711"/>
        <item x="3712"/>
        <item x="3713"/>
        <item x="3718"/>
        <item x="3719"/>
        <item x="3720"/>
        <item x="3721"/>
        <item x="3722"/>
        <item x="3723"/>
        <item x="3724"/>
        <item x="3725"/>
        <item x="3726"/>
        <item x="3960"/>
        <item x="3961"/>
        <item x="3730"/>
        <item x="3731"/>
        <item x="3727"/>
        <item x="3728"/>
        <item x="3729"/>
        <item x="3732"/>
        <item x="3733"/>
        <item x="3734"/>
        <item x="3735"/>
        <item x="3962"/>
        <item x="3963"/>
        <item x="3964"/>
        <item x="3965"/>
        <item x="3966"/>
        <item x="3967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52"/>
        <item x="3753"/>
        <item x="3754"/>
        <item x="3755"/>
        <item x="3756"/>
        <item x="3747"/>
        <item x="3748"/>
        <item x="3749"/>
        <item x="3750"/>
        <item x="3751"/>
        <item x="3757"/>
        <item x="3968"/>
        <item x="3969"/>
        <item x="3970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2"/>
        <item x="3923"/>
        <item x="3924"/>
        <item x="3925"/>
        <item x="3920"/>
        <item x="3921"/>
        <item x="3971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t="default"/>
      </items>
    </pivotField>
    <pivotField axis="axisPage" showAll="0">
      <items count="29">
        <item x="24"/>
        <item x="26"/>
        <item x="25"/>
        <item x="13"/>
        <item x="4"/>
        <item x="27"/>
        <item x="22"/>
        <item x="21"/>
        <item x="18"/>
        <item x="12"/>
        <item x="3"/>
        <item x="23"/>
        <item x="9"/>
        <item x="16"/>
        <item x="11"/>
        <item x="0"/>
        <item x="2"/>
        <item x="1"/>
        <item x="6"/>
        <item x="14"/>
        <item x="15"/>
        <item x="7"/>
        <item x="19"/>
        <item x="8"/>
        <item x="10"/>
        <item x="17"/>
        <item x="5"/>
        <item x="2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4">
        <item x="0"/>
        <item x="2"/>
        <item x="1"/>
        <item t="default"/>
      </items>
    </pivotField>
    <pivotField axis="axisRow" showAll="0" sortType="ascending">
      <items count="11">
        <item x="4"/>
        <item x="2"/>
        <item x="1"/>
        <item x="7"/>
        <item x="5"/>
        <item x="9"/>
        <item x="6"/>
        <item x="0"/>
        <item x="3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58">
        <item x="39"/>
        <item x="13"/>
        <item x="34"/>
        <item x="43"/>
        <item x="14"/>
        <item x="22"/>
        <item x="7"/>
        <item x="18"/>
        <item x="45"/>
        <item x="33"/>
        <item x="5"/>
        <item x="27"/>
        <item x="28"/>
        <item x="11"/>
        <item x="8"/>
        <item x="47"/>
        <item x="16"/>
        <item x="35"/>
        <item x="37"/>
        <item x="36"/>
        <item x="10"/>
        <item x="29"/>
        <item x="38"/>
        <item x="17"/>
        <item x="40"/>
        <item x="30"/>
        <item x="46"/>
        <item x="6"/>
        <item x="49"/>
        <item x="12"/>
        <item x="23"/>
        <item x="41"/>
        <item x="32"/>
        <item x="4"/>
        <item x="31"/>
        <item x="42"/>
        <item x="2"/>
        <item x="26"/>
        <item x="9"/>
        <item x="44"/>
        <item x="25"/>
        <item x="15"/>
        <item x="21"/>
        <item x="19"/>
        <item x="51"/>
        <item x="53"/>
        <item x="52"/>
        <item x="50"/>
        <item x="1"/>
        <item x="24"/>
        <item x="48"/>
        <item x="55"/>
        <item x="3"/>
        <item x="54"/>
        <item x="0"/>
        <item x="56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6"/>
    </i>
    <i>
      <x v="4"/>
    </i>
    <i>
      <x v="5"/>
    </i>
    <i>
      <x v="1"/>
    </i>
    <i>
      <x v="9"/>
    </i>
    <i>
      <x v="2"/>
    </i>
    <i>
      <x v="3"/>
    </i>
    <i>
      <x v="7"/>
    </i>
    <i>
      <x v="8"/>
    </i>
    <i t="grand">
      <x/>
    </i>
  </rowItems>
  <colItems count="1">
    <i/>
  </colItems>
  <pageFields count="4">
    <pageField fld="3" hier="-1"/>
    <pageField fld="4" hier="-1"/>
    <pageField fld="6" hier="-1"/>
    <pageField fld="2" hier="-1"/>
  </pageFields>
  <dataFields count="1">
    <dataField name="Count of pl_name" fld="1" subtotal="count" baseField="0" baseItem="0"/>
  </dataFields>
  <chartFormats count="6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7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7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7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7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75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4" format="76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4" format="77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4" format="78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4" format="79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4" format="80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4" format="8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4" format="82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4" format="83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4" format="84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4" format="85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4" format="86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4" format="87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4" format="88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4" format="89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4" format="90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4" format="9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4" format="92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4" format="93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4" format="94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4" format="95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4" format="96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4" format="97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4" format="98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4" format="99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4" format="100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4" format="10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4" format="102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4" format="103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4" format="104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4" format="105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4" format="106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4" format="107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4" format="108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4" format="109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4" format="110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4" format="11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4" format="112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4" format="113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4" format="114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4" format="115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4" format="116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4" format="117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4" format="118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4" format="119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4" format="120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4" format="12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4" format="122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4" format="123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4" format="124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4" format="125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4" format="126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  <chartFormat chart="4" format="127">
      <pivotArea type="data" outline="0" fieldPosition="0">
        <references count="2">
          <reference field="4294967294" count="1" selected="0">
            <x v="0"/>
          </reference>
          <reference field="6" count="1" selected="0">
            <x v="56"/>
          </reference>
        </references>
      </pivotArea>
    </chartFormat>
    <chartFormat chart="6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470F8E-6742-D147-A7C2-9239BC32762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7">
  <location ref="A10:B39" firstHeaderRow="1" firstDataRow="1" firstDataCol="1" rowPageCount="4" colPageCount="1"/>
  <pivotFields count="19">
    <pivotField showAll="0"/>
    <pivotField dataField="1" showAll="0">
      <items count="39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3937"/>
        <item x="3938"/>
        <item x="52"/>
        <item x="53"/>
        <item x="54"/>
        <item x="55"/>
        <item x="56"/>
        <item x="57"/>
        <item x="58"/>
        <item x="59"/>
        <item x="41"/>
        <item x="42"/>
        <item x="43"/>
        <item x="44"/>
        <item x="45"/>
        <item x="46"/>
        <item x="47"/>
        <item x="48"/>
        <item x="49"/>
        <item x="50"/>
        <item x="51"/>
        <item x="3939"/>
        <item x="3940"/>
        <item x="3941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62"/>
        <item x="95"/>
        <item x="96"/>
        <item x="97"/>
        <item x="98"/>
        <item x="99"/>
        <item x="100"/>
        <item x="101"/>
        <item x="102"/>
        <item x="3942"/>
        <item x="3943"/>
        <item x="3944"/>
        <item x="104"/>
        <item x="103"/>
        <item x="3945"/>
        <item x="3946"/>
        <item x="3947"/>
        <item x="3948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6"/>
        <item x="177"/>
        <item x="173"/>
        <item x="174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3949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3950"/>
        <item x="3951"/>
        <item x="1297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952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953"/>
        <item x="3954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955"/>
        <item x="3956"/>
        <item x="3957"/>
        <item x="3703"/>
        <item x="3704"/>
        <item x="3705"/>
        <item x="3706"/>
        <item x="3958"/>
        <item x="3707"/>
        <item x="3714"/>
        <item x="3715"/>
        <item x="3716"/>
        <item x="3717"/>
        <item x="3959"/>
        <item x="3708"/>
        <item x="3709"/>
        <item x="3710"/>
        <item x="3711"/>
        <item x="3712"/>
        <item x="3713"/>
        <item x="3718"/>
        <item x="3719"/>
        <item x="3720"/>
        <item x="3721"/>
        <item x="3722"/>
        <item x="3723"/>
        <item x="3724"/>
        <item x="3725"/>
        <item x="3726"/>
        <item x="3960"/>
        <item x="3961"/>
        <item x="3730"/>
        <item x="3731"/>
        <item x="3727"/>
        <item x="3728"/>
        <item x="3729"/>
        <item x="3732"/>
        <item x="3733"/>
        <item x="3734"/>
        <item x="3735"/>
        <item x="3962"/>
        <item x="3963"/>
        <item x="3964"/>
        <item x="3965"/>
        <item x="3966"/>
        <item x="3967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52"/>
        <item x="3753"/>
        <item x="3754"/>
        <item x="3755"/>
        <item x="3756"/>
        <item x="3747"/>
        <item x="3748"/>
        <item x="3749"/>
        <item x="3750"/>
        <item x="3751"/>
        <item x="3757"/>
        <item x="3968"/>
        <item x="3969"/>
        <item x="3970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2"/>
        <item x="3923"/>
        <item x="3924"/>
        <item x="3925"/>
        <item x="3920"/>
        <item x="3921"/>
        <item x="3971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t="default"/>
      </items>
    </pivotField>
    <pivotField axis="axisRow" showAll="0">
      <items count="29">
        <item x="24"/>
        <item x="26"/>
        <item x="25"/>
        <item x="13"/>
        <item x="4"/>
        <item x="27"/>
        <item x="22"/>
        <item x="21"/>
        <item x="18"/>
        <item x="12"/>
        <item x="3"/>
        <item x="23"/>
        <item x="9"/>
        <item x="16"/>
        <item x="11"/>
        <item x="0"/>
        <item x="2"/>
        <item x="1"/>
        <item x="6"/>
        <item x="14"/>
        <item x="15"/>
        <item x="7"/>
        <item x="19"/>
        <item x="8"/>
        <item x="10"/>
        <item x="17"/>
        <item x="5"/>
        <item x="2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4">
        <item x="0"/>
        <item x="2"/>
        <item x="1"/>
        <item t="default"/>
      </items>
    </pivotField>
    <pivotField axis="axisPage" showAll="0">
      <items count="11">
        <item x="4"/>
        <item x="2"/>
        <item x="1"/>
        <item x="7"/>
        <item x="5"/>
        <item x="9"/>
        <item x="6"/>
        <item x="0"/>
        <item x="3"/>
        <item x="8"/>
        <item t="default"/>
      </items>
    </pivotField>
    <pivotField axis="axisPage" showAll="0">
      <items count="58">
        <item x="39"/>
        <item x="13"/>
        <item x="34"/>
        <item x="43"/>
        <item x="14"/>
        <item x="22"/>
        <item x="7"/>
        <item x="18"/>
        <item x="45"/>
        <item x="33"/>
        <item x="5"/>
        <item x="27"/>
        <item x="28"/>
        <item x="11"/>
        <item x="8"/>
        <item x="47"/>
        <item x="16"/>
        <item x="35"/>
        <item x="37"/>
        <item x="36"/>
        <item x="10"/>
        <item x="29"/>
        <item x="38"/>
        <item x="17"/>
        <item x="40"/>
        <item x="30"/>
        <item x="46"/>
        <item x="6"/>
        <item x="49"/>
        <item x="12"/>
        <item x="23"/>
        <item x="41"/>
        <item x="32"/>
        <item x="4"/>
        <item x="31"/>
        <item x="42"/>
        <item x="2"/>
        <item x="26"/>
        <item x="9"/>
        <item x="44"/>
        <item x="25"/>
        <item x="15"/>
        <item x="21"/>
        <item x="19"/>
        <item x="51"/>
        <item x="53"/>
        <item x="52"/>
        <item x="50"/>
        <item x="1"/>
        <item x="24"/>
        <item x="48"/>
        <item x="55"/>
        <item x="3"/>
        <item x="54"/>
        <item x="0"/>
        <item x="56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pageFields count="4">
    <pageField fld="3" hier="-1"/>
    <pageField fld="4" hier="-1"/>
    <pageField fld="6" hier="-1"/>
    <pageField fld="5" hier="-1"/>
  </pageFields>
  <dataFields count="1">
    <dataField name="Count of pl_name" fld="1" subtotal="count" baseField="0" baseItem="0"/>
  </dataFields>
  <chartFormats count="69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7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7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7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7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75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4" format="76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4" format="77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4" format="78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4" format="79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4" format="80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4" format="8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4" format="82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4" format="83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4" format="84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4" format="85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4" format="86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4" format="87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4" format="88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4" format="89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4" format="90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4" format="9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4" format="92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4" format="93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4" format="94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4" format="95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4" format="96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4" format="97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4" format="98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4" format="99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4" format="100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4" format="10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4" format="102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4" format="103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4" format="104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4" format="105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4" format="106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4" format="107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4" format="108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4" format="109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4" format="110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4" format="11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4" format="112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4" format="113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4" format="114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4" format="115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4" format="116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4" format="117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4" format="118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4" format="119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4" format="120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4" format="12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4" format="122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4" format="123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4" format="124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4" format="125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4" format="126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  <chartFormat chart="4" format="127">
      <pivotArea type="data" outline="0" fieldPosition="0">
        <references count="2">
          <reference field="4294967294" count="1" selected="0">
            <x v="0"/>
          </reference>
          <reference field="6" count="1" selected="0">
            <x v="56"/>
          </reference>
        </references>
      </pivotArea>
    </chartFormat>
    <chartFormat chart="6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CB137-0130-8E43-A325-EAEC9584FE7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8">
  <location ref="A10:B39" firstHeaderRow="1" firstDataRow="1" firstDataCol="1" rowPageCount="4" colPageCount="1"/>
  <pivotFields count="19">
    <pivotField showAll="0"/>
    <pivotField dataField="1" showAll="0">
      <items count="39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3937"/>
        <item x="3938"/>
        <item x="52"/>
        <item x="53"/>
        <item x="54"/>
        <item x="55"/>
        <item x="56"/>
        <item x="57"/>
        <item x="58"/>
        <item x="59"/>
        <item x="41"/>
        <item x="42"/>
        <item x="43"/>
        <item x="44"/>
        <item x="45"/>
        <item x="46"/>
        <item x="47"/>
        <item x="48"/>
        <item x="49"/>
        <item x="50"/>
        <item x="51"/>
        <item x="3939"/>
        <item x="3940"/>
        <item x="3941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62"/>
        <item x="95"/>
        <item x="96"/>
        <item x="97"/>
        <item x="98"/>
        <item x="99"/>
        <item x="100"/>
        <item x="101"/>
        <item x="102"/>
        <item x="3942"/>
        <item x="3943"/>
        <item x="3944"/>
        <item x="104"/>
        <item x="103"/>
        <item x="3945"/>
        <item x="3946"/>
        <item x="3947"/>
        <item x="3948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6"/>
        <item x="177"/>
        <item x="173"/>
        <item x="174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3949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3950"/>
        <item x="3951"/>
        <item x="1297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952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953"/>
        <item x="3954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955"/>
        <item x="3956"/>
        <item x="3957"/>
        <item x="3703"/>
        <item x="3704"/>
        <item x="3705"/>
        <item x="3706"/>
        <item x="3958"/>
        <item x="3707"/>
        <item x="3714"/>
        <item x="3715"/>
        <item x="3716"/>
        <item x="3717"/>
        <item x="3959"/>
        <item x="3708"/>
        <item x="3709"/>
        <item x="3710"/>
        <item x="3711"/>
        <item x="3712"/>
        <item x="3713"/>
        <item x="3718"/>
        <item x="3719"/>
        <item x="3720"/>
        <item x="3721"/>
        <item x="3722"/>
        <item x="3723"/>
        <item x="3724"/>
        <item x="3725"/>
        <item x="3726"/>
        <item x="3960"/>
        <item x="3961"/>
        <item x="3730"/>
        <item x="3731"/>
        <item x="3727"/>
        <item x="3728"/>
        <item x="3729"/>
        <item x="3732"/>
        <item x="3733"/>
        <item x="3734"/>
        <item x="3735"/>
        <item x="3962"/>
        <item x="3963"/>
        <item x="3964"/>
        <item x="3965"/>
        <item x="3966"/>
        <item x="3967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52"/>
        <item x="3753"/>
        <item x="3754"/>
        <item x="3755"/>
        <item x="3756"/>
        <item x="3747"/>
        <item x="3748"/>
        <item x="3749"/>
        <item x="3750"/>
        <item x="3751"/>
        <item x="3757"/>
        <item x="3968"/>
        <item x="3969"/>
        <item x="3970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2"/>
        <item x="3923"/>
        <item x="3924"/>
        <item x="3925"/>
        <item x="3920"/>
        <item x="3921"/>
        <item x="3971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t="default"/>
      </items>
    </pivotField>
    <pivotField axis="axisRow" showAll="0">
      <items count="29">
        <item x="24"/>
        <item x="26"/>
        <item x="25"/>
        <item x="13"/>
        <item x="4"/>
        <item x="27"/>
        <item x="22"/>
        <item x="21"/>
        <item x="18"/>
        <item x="12"/>
        <item x="3"/>
        <item x="23"/>
        <item x="9"/>
        <item x="16"/>
        <item x="11"/>
        <item x="0"/>
        <item x="2"/>
        <item x="1"/>
        <item x="6"/>
        <item x="14"/>
        <item x="15"/>
        <item x="7"/>
        <item x="19"/>
        <item x="8"/>
        <item x="10"/>
        <item x="17"/>
        <item x="5"/>
        <item x="2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4">
        <item x="0"/>
        <item x="2"/>
        <item x="1"/>
        <item t="default"/>
      </items>
    </pivotField>
    <pivotField axis="axisPage" showAll="0">
      <items count="11">
        <item x="4"/>
        <item x="2"/>
        <item x="1"/>
        <item x="7"/>
        <item x="5"/>
        <item x="9"/>
        <item x="6"/>
        <item x="0"/>
        <item x="3"/>
        <item x="8"/>
        <item t="default"/>
      </items>
    </pivotField>
    <pivotField axis="axisPage" showAll="0">
      <items count="58">
        <item x="39"/>
        <item x="13"/>
        <item x="34"/>
        <item x="43"/>
        <item x="14"/>
        <item x="22"/>
        <item x="7"/>
        <item x="18"/>
        <item x="45"/>
        <item x="33"/>
        <item x="5"/>
        <item x="27"/>
        <item x="28"/>
        <item x="11"/>
        <item x="8"/>
        <item x="47"/>
        <item x="16"/>
        <item x="35"/>
        <item x="37"/>
        <item x="36"/>
        <item x="10"/>
        <item x="29"/>
        <item x="38"/>
        <item x="17"/>
        <item x="40"/>
        <item x="30"/>
        <item x="46"/>
        <item x="6"/>
        <item x="49"/>
        <item x="12"/>
        <item x="23"/>
        <item x="41"/>
        <item x="32"/>
        <item x="4"/>
        <item x="31"/>
        <item x="42"/>
        <item x="2"/>
        <item x="26"/>
        <item x="9"/>
        <item x="44"/>
        <item x="25"/>
        <item x="15"/>
        <item x="21"/>
        <item x="19"/>
        <item x="51"/>
        <item x="53"/>
        <item x="52"/>
        <item x="50"/>
        <item x="1"/>
        <item x="24"/>
        <item x="48"/>
        <item x="55"/>
        <item x="3"/>
        <item x="54"/>
        <item x="0"/>
        <item x="56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pageFields count="4">
    <pageField fld="3" hier="-1"/>
    <pageField fld="4" hier="-1"/>
    <pageField fld="6" hier="-1"/>
    <pageField fld="5" hier="-1"/>
  </pageFields>
  <dataFields count="1">
    <dataField name="Count of pl_name" fld="1" subtotal="count" baseField="0" baseItem="0"/>
  </dataFields>
  <chartFormats count="7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7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7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7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7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75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4" format="76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4" format="77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4" format="78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4" format="79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4" format="80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4" format="8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4" format="82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4" format="83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4" format="84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4" format="85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4" format="86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4" format="87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4" format="88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4" format="89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4" format="90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4" format="9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4" format="92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4" format="93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4" format="94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4" format="95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4" format="96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4" format="97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4" format="98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4" format="99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4" format="100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4" format="10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4" format="102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4" format="103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4" format="104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4" format="105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4" format="106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4" format="107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4" format="108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4" format="109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4" format="110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4" format="11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4" format="112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4" format="113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4" format="114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4" format="115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4" format="116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4" format="117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4" format="118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4" format="119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4" format="120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4" format="12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4" format="122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4" format="123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4" format="124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4" format="125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4" format="126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  <chartFormat chart="4" format="127">
      <pivotArea type="data" outline="0" fieldPosition="0">
        <references count="2">
          <reference field="4294967294" count="1" selected="0">
            <x v="0"/>
          </reference>
          <reference field="6" count="1" selected="0">
            <x v="56"/>
          </reference>
        </references>
      </pivotArea>
    </chartFormat>
    <chartFormat chart="6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F3E7DC-21D9-1F45-A0CE-FD1ED58A7DD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A9:B18" firstHeaderRow="1" firstDataRow="1" firstDataCol="1" rowPageCount="5" colPageCount="1"/>
  <pivotFields count="19">
    <pivotField showAll="0"/>
    <pivotField dataField="1" showAll="0">
      <items count="39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3937"/>
        <item x="3938"/>
        <item x="52"/>
        <item x="53"/>
        <item x="54"/>
        <item x="55"/>
        <item x="56"/>
        <item x="57"/>
        <item x="58"/>
        <item x="59"/>
        <item x="41"/>
        <item x="42"/>
        <item x="43"/>
        <item x="44"/>
        <item x="45"/>
        <item x="46"/>
        <item x="47"/>
        <item x="48"/>
        <item x="49"/>
        <item x="50"/>
        <item x="51"/>
        <item x="3939"/>
        <item x="3940"/>
        <item x="3941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62"/>
        <item x="95"/>
        <item x="96"/>
        <item x="97"/>
        <item x="98"/>
        <item x="99"/>
        <item x="100"/>
        <item x="101"/>
        <item x="102"/>
        <item x="3942"/>
        <item x="3943"/>
        <item x="3944"/>
        <item x="104"/>
        <item x="103"/>
        <item x="3945"/>
        <item x="3946"/>
        <item x="3947"/>
        <item x="3948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6"/>
        <item x="177"/>
        <item x="173"/>
        <item x="174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3949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3950"/>
        <item x="3951"/>
        <item x="1297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952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953"/>
        <item x="3954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955"/>
        <item x="3956"/>
        <item x="3957"/>
        <item x="3703"/>
        <item x="3704"/>
        <item x="3705"/>
        <item x="3706"/>
        <item x="3958"/>
        <item x="3707"/>
        <item x="3714"/>
        <item x="3715"/>
        <item x="3716"/>
        <item x="3717"/>
        <item x="3959"/>
        <item x="3708"/>
        <item x="3709"/>
        <item x="3710"/>
        <item x="3711"/>
        <item x="3712"/>
        <item x="3713"/>
        <item x="3718"/>
        <item x="3719"/>
        <item x="3720"/>
        <item x="3721"/>
        <item x="3722"/>
        <item x="3723"/>
        <item x="3724"/>
        <item x="3725"/>
        <item x="3726"/>
        <item x="3960"/>
        <item x="3961"/>
        <item x="3730"/>
        <item x="3731"/>
        <item x="3727"/>
        <item x="3728"/>
        <item x="3729"/>
        <item x="3732"/>
        <item x="3733"/>
        <item x="3734"/>
        <item x="3735"/>
        <item x="3962"/>
        <item x="3963"/>
        <item x="3964"/>
        <item x="3965"/>
        <item x="3966"/>
        <item x="3967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52"/>
        <item x="3753"/>
        <item x="3754"/>
        <item x="3755"/>
        <item x="3756"/>
        <item x="3747"/>
        <item x="3748"/>
        <item x="3749"/>
        <item x="3750"/>
        <item x="3751"/>
        <item x="3757"/>
        <item x="3968"/>
        <item x="3969"/>
        <item x="3970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2"/>
        <item x="3923"/>
        <item x="3924"/>
        <item x="3925"/>
        <item x="3920"/>
        <item x="3921"/>
        <item x="3971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t="default"/>
      </items>
    </pivotField>
    <pivotField axis="axisPage" showAll="0">
      <items count="29">
        <item x="24"/>
        <item x="26"/>
        <item x="25"/>
        <item x="13"/>
        <item x="4"/>
        <item x="27"/>
        <item x="22"/>
        <item x="21"/>
        <item x="18"/>
        <item x="12"/>
        <item x="3"/>
        <item x="23"/>
        <item x="9"/>
        <item x="16"/>
        <item x="11"/>
        <item x="0"/>
        <item x="2"/>
        <item x="1"/>
        <item x="6"/>
        <item x="14"/>
        <item x="15"/>
        <item x="7"/>
        <item x="19"/>
        <item x="8"/>
        <item x="10"/>
        <item x="17"/>
        <item x="5"/>
        <item x="20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4">
        <item x="0"/>
        <item x="2"/>
        <item x="1"/>
        <item t="default"/>
      </items>
    </pivotField>
    <pivotField axis="axisPage" showAll="0">
      <items count="11">
        <item x="4"/>
        <item x="2"/>
        <item x="1"/>
        <item x="7"/>
        <item x="5"/>
        <item x="9"/>
        <item x="6"/>
        <item x="0"/>
        <item x="3"/>
        <item x="8"/>
        <item t="default"/>
      </items>
    </pivotField>
    <pivotField axis="axisPage" showAll="0">
      <items count="58">
        <item x="39"/>
        <item x="13"/>
        <item x="34"/>
        <item x="43"/>
        <item x="14"/>
        <item x="22"/>
        <item x="7"/>
        <item x="18"/>
        <item x="45"/>
        <item x="33"/>
        <item x="5"/>
        <item x="27"/>
        <item x="28"/>
        <item x="11"/>
        <item x="8"/>
        <item x="47"/>
        <item x="16"/>
        <item x="35"/>
        <item x="37"/>
        <item x="36"/>
        <item x="10"/>
        <item x="29"/>
        <item x="38"/>
        <item x="17"/>
        <item x="40"/>
        <item x="30"/>
        <item x="46"/>
        <item x="6"/>
        <item x="49"/>
        <item x="12"/>
        <item x="23"/>
        <item x="41"/>
        <item x="32"/>
        <item x="4"/>
        <item x="31"/>
        <item x="42"/>
        <item x="2"/>
        <item x="26"/>
        <item x="9"/>
        <item x="44"/>
        <item x="25"/>
        <item x="15"/>
        <item x="21"/>
        <item x="19"/>
        <item x="51"/>
        <item x="53"/>
        <item x="52"/>
        <item x="50"/>
        <item x="1"/>
        <item x="24"/>
        <item x="48"/>
        <item x="55"/>
        <item x="3"/>
        <item x="54"/>
        <item x="0"/>
        <item x="56"/>
        <item x="20"/>
        <item t="default"/>
      </items>
    </pivotField>
    <pivotField axis="axisRow" showAll="0">
      <items count="9">
        <item x="0"/>
        <item x="1"/>
        <item x="2"/>
        <item x="4"/>
        <item x="3"/>
        <item x="5"/>
        <item x="7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5">
    <pageField fld="3" hier="-1"/>
    <pageField fld="4" hier="-1"/>
    <pageField fld="6" hier="-1"/>
    <pageField fld="5" hier="-1"/>
    <pageField fld="2" hier="-1"/>
  </pageFields>
  <dataFields count="1">
    <dataField name="Count of pl_name" fld="1" subtotal="count" baseField="0" baseItem="0"/>
  </dataFields>
  <chartFormats count="6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7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7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7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7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75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4" format="76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4" format="77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4" format="78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4" format="79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4" format="80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4" format="8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4" format="82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4" format="83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4" format="84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4" format="85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4" format="86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4" format="87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4" format="88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4" format="89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4" format="90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4" format="9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4" format="92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4" format="93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4" format="94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4" format="95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4" format="96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4" format="97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4" format="98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4" format="99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4" format="100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4" format="10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  <chartFormat chart="4" format="102">
      <pivotArea type="data" outline="0" fieldPosition="0">
        <references count="2">
          <reference field="4294967294" count="1" selected="0">
            <x v="0"/>
          </reference>
          <reference field="6" count="1" selected="0">
            <x v="31"/>
          </reference>
        </references>
      </pivotArea>
    </chartFormat>
    <chartFormat chart="4" format="103">
      <pivotArea type="data" outline="0" fieldPosition="0">
        <references count="2">
          <reference field="4294967294" count="1" selected="0">
            <x v="0"/>
          </reference>
          <reference field="6" count="1" selected="0">
            <x v="32"/>
          </reference>
        </references>
      </pivotArea>
    </chartFormat>
    <chartFormat chart="4" format="104">
      <pivotArea type="data" outline="0" fieldPosition="0">
        <references count="2">
          <reference field="4294967294" count="1" selected="0">
            <x v="0"/>
          </reference>
          <reference field="6" count="1" selected="0">
            <x v="33"/>
          </reference>
        </references>
      </pivotArea>
    </chartFormat>
    <chartFormat chart="4" format="105">
      <pivotArea type="data" outline="0" fieldPosition="0">
        <references count="2">
          <reference field="4294967294" count="1" selected="0">
            <x v="0"/>
          </reference>
          <reference field="6" count="1" selected="0">
            <x v="34"/>
          </reference>
        </references>
      </pivotArea>
    </chartFormat>
    <chartFormat chart="4" format="106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4" format="107">
      <pivotArea type="data" outline="0" fieldPosition="0">
        <references count="2">
          <reference field="4294967294" count="1" selected="0">
            <x v="0"/>
          </reference>
          <reference field="6" count="1" selected="0">
            <x v="36"/>
          </reference>
        </references>
      </pivotArea>
    </chartFormat>
    <chartFormat chart="4" format="108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  <chartFormat chart="4" format="109">
      <pivotArea type="data" outline="0" fieldPosition="0">
        <references count="2">
          <reference field="4294967294" count="1" selected="0">
            <x v="0"/>
          </reference>
          <reference field="6" count="1" selected="0">
            <x v="38"/>
          </reference>
        </references>
      </pivotArea>
    </chartFormat>
    <chartFormat chart="4" format="110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4" format="111">
      <pivotArea type="data" outline="0" fieldPosition="0">
        <references count="2">
          <reference field="4294967294" count="1" selected="0">
            <x v="0"/>
          </reference>
          <reference field="6" count="1" selected="0">
            <x v="40"/>
          </reference>
        </references>
      </pivotArea>
    </chartFormat>
    <chartFormat chart="4" format="112">
      <pivotArea type="data" outline="0" fieldPosition="0">
        <references count="2">
          <reference field="4294967294" count="1" selected="0">
            <x v="0"/>
          </reference>
          <reference field="6" count="1" selected="0">
            <x v="41"/>
          </reference>
        </references>
      </pivotArea>
    </chartFormat>
    <chartFormat chart="4" format="113">
      <pivotArea type="data" outline="0" fieldPosition="0">
        <references count="2">
          <reference field="4294967294" count="1" selected="0">
            <x v="0"/>
          </reference>
          <reference field="6" count="1" selected="0">
            <x v="42"/>
          </reference>
        </references>
      </pivotArea>
    </chartFormat>
    <chartFormat chart="4" format="114">
      <pivotArea type="data" outline="0" fieldPosition="0">
        <references count="2">
          <reference field="4294967294" count="1" selected="0">
            <x v="0"/>
          </reference>
          <reference field="6" count="1" selected="0">
            <x v="43"/>
          </reference>
        </references>
      </pivotArea>
    </chartFormat>
    <chartFormat chart="4" format="115">
      <pivotArea type="data" outline="0" fieldPosition="0">
        <references count="2">
          <reference field="4294967294" count="1" selected="0">
            <x v="0"/>
          </reference>
          <reference field="6" count="1" selected="0">
            <x v="44"/>
          </reference>
        </references>
      </pivotArea>
    </chartFormat>
    <chartFormat chart="4" format="116">
      <pivotArea type="data" outline="0" fieldPosition="0">
        <references count="2">
          <reference field="4294967294" count="1" selected="0">
            <x v="0"/>
          </reference>
          <reference field="6" count="1" selected="0">
            <x v="45"/>
          </reference>
        </references>
      </pivotArea>
    </chartFormat>
    <chartFormat chart="4" format="117">
      <pivotArea type="data" outline="0" fieldPosition="0">
        <references count="2">
          <reference field="4294967294" count="1" selected="0">
            <x v="0"/>
          </reference>
          <reference field="6" count="1" selected="0">
            <x v="46"/>
          </reference>
        </references>
      </pivotArea>
    </chartFormat>
    <chartFormat chart="4" format="118">
      <pivotArea type="data" outline="0" fieldPosition="0">
        <references count="2">
          <reference field="4294967294" count="1" selected="0">
            <x v="0"/>
          </reference>
          <reference field="6" count="1" selected="0">
            <x v="47"/>
          </reference>
        </references>
      </pivotArea>
    </chartFormat>
    <chartFormat chart="4" format="119">
      <pivotArea type="data" outline="0" fieldPosition="0">
        <references count="2">
          <reference field="4294967294" count="1" selected="0">
            <x v="0"/>
          </reference>
          <reference field="6" count="1" selected="0">
            <x v="48"/>
          </reference>
        </references>
      </pivotArea>
    </chartFormat>
    <chartFormat chart="4" format="120">
      <pivotArea type="data" outline="0" fieldPosition="0">
        <references count="2">
          <reference field="4294967294" count="1" selected="0">
            <x v="0"/>
          </reference>
          <reference field="6" count="1" selected="0">
            <x v="49"/>
          </reference>
        </references>
      </pivotArea>
    </chartFormat>
    <chartFormat chart="4" format="121">
      <pivotArea type="data" outline="0" fieldPosition="0">
        <references count="2">
          <reference field="4294967294" count="1" selected="0">
            <x v="0"/>
          </reference>
          <reference field="6" count="1" selected="0">
            <x v="50"/>
          </reference>
        </references>
      </pivotArea>
    </chartFormat>
    <chartFormat chart="4" format="122">
      <pivotArea type="data" outline="0" fieldPosition="0">
        <references count="2">
          <reference field="4294967294" count="1" selected="0">
            <x v="0"/>
          </reference>
          <reference field="6" count="1" selected="0">
            <x v="51"/>
          </reference>
        </references>
      </pivotArea>
    </chartFormat>
    <chartFormat chart="4" format="123">
      <pivotArea type="data" outline="0" fieldPosition="0">
        <references count="2">
          <reference field="4294967294" count="1" selected="0">
            <x v="0"/>
          </reference>
          <reference field="6" count="1" selected="0">
            <x v="52"/>
          </reference>
        </references>
      </pivotArea>
    </chartFormat>
    <chartFormat chart="4" format="124">
      <pivotArea type="data" outline="0" fieldPosition="0">
        <references count="2">
          <reference field="4294967294" count="1" selected="0">
            <x v="0"/>
          </reference>
          <reference field="6" count="1" selected="0">
            <x v="53"/>
          </reference>
        </references>
      </pivotArea>
    </chartFormat>
    <chartFormat chart="4" format="125">
      <pivotArea type="data" outline="0" fieldPosition="0">
        <references count="2">
          <reference field="4294967294" count="1" selected="0">
            <x v="0"/>
          </reference>
          <reference field="6" count="1" selected="0">
            <x v="54"/>
          </reference>
        </references>
      </pivotArea>
    </chartFormat>
    <chartFormat chart="4" format="126">
      <pivotArea type="data" outline="0" fieldPosition="0">
        <references count="2">
          <reference field="4294967294" count="1" selected="0">
            <x v="0"/>
          </reference>
          <reference field="6" count="1" selected="0">
            <x v="55"/>
          </reference>
        </references>
      </pivotArea>
    </chartFormat>
    <chartFormat chart="4" format="127">
      <pivotArea type="data" outline="0" fieldPosition="0">
        <references count="2">
          <reference field="4294967294" count="1" selected="0">
            <x v="0"/>
          </reference>
          <reference field="6" count="1" selected="0">
            <x v="56"/>
          </reference>
        </references>
      </pivotArea>
    </chartFormat>
    <chartFormat chart="6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6026E2-0F30-C742-9A3E-3E1B2EC20E2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4:K5" firstHeaderRow="1" firstDataRow="1" firstDataCol="0" rowPageCount="2" colPageCount="1"/>
  <pivotFields count="19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04">
        <item x="559"/>
        <item x="320"/>
        <item x="227"/>
        <item x="578"/>
        <item x="281"/>
        <item x="579"/>
        <item x="322"/>
        <item x="282"/>
        <item x="580"/>
        <item x="576"/>
        <item x="581"/>
        <item x="577"/>
        <item x="545"/>
        <item x="54"/>
        <item x="484"/>
        <item x="305"/>
        <item x="321"/>
        <item x="307"/>
        <item x="422"/>
        <item x="431"/>
        <item x="533"/>
        <item x="66"/>
        <item x="391"/>
        <item x="310"/>
        <item x="306"/>
        <item x="292"/>
        <item x="423"/>
        <item x="45"/>
        <item x="392"/>
        <item x="546"/>
        <item x="486"/>
        <item x="65"/>
        <item x="397"/>
        <item x="479"/>
        <item x="481"/>
        <item x="371"/>
        <item x="187"/>
        <item x="294"/>
        <item x="296"/>
        <item x="450"/>
        <item x="311"/>
        <item x="425"/>
        <item x="365"/>
        <item x="462"/>
        <item x="467"/>
        <item x="451"/>
        <item x="449"/>
        <item x="295"/>
        <item x="189"/>
        <item x="548"/>
        <item x="382"/>
        <item x="366"/>
        <item x="278"/>
        <item x="288"/>
        <item x="188"/>
        <item x="342"/>
        <item x="702"/>
        <item x="329"/>
        <item x="212"/>
        <item x="341"/>
        <item x="351"/>
        <item x="67"/>
        <item x="300"/>
        <item x="517"/>
        <item x="34"/>
        <item x="461"/>
        <item x="369"/>
        <item x="380"/>
        <item x="482"/>
        <item x="352"/>
        <item x="55"/>
        <item x="390"/>
        <item x="419"/>
        <item x="469"/>
        <item x="238"/>
        <item x="233"/>
        <item x="225"/>
        <item x="501"/>
        <item x="465"/>
        <item x="466"/>
        <item x="63"/>
        <item x="334"/>
        <item x="464"/>
        <item x="483"/>
        <item x="291"/>
        <item x="454"/>
        <item x="191"/>
        <item x="290"/>
        <item x="213"/>
        <item x="370"/>
        <item x="333"/>
        <item x="177"/>
        <item x="432"/>
        <item x="427"/>
        <item x="215"/>
        <item x="13"/>
        <item x="302"/>
        <item x="178"/>
        <item x="319"/>
        <item x="229"/>
        <item x="46"/>
        <item x="478"/>
        <item x="378"/>
        <item x="209"/>
        <item x="276"/>
        <item x="214"/>
        <item x="297"/>
        <item x="279"/>
        <item x="493"/>
        <item x="228"/>
        <item x="201"/>
        <item x="348"/>
        <item x="231"/>
        <item x="298"/>
        <item x="247"/>
        <item x="340"/>
        <item x="244"/>
        <item x="489"/>
        <item x="301"/>
        <item x="283"/>
        <item x="234"/>
        <item x="475"/>
        <item x="236"/>
        <item x="401"/>
        <item x="303"/>
        <item x="226"/>
        <item x="309"/>
        <item x="383"/>
        <item x="243"/>
        <item x="32"/>
        <item x="202"/>
        <item x="339"/>
        <item x="477"/>
        <item x="337"/>
        <item x="346"/>
        <item x="58"/>
        <item x="452"/>
        <item x="516"/>
        <item x="64"/>
        <item x="426"/>
        <item x="224"/>
        <item x="381"/>
        <item x="221"/>
        <item x="284"/>
        <item x="232"/>
        <item x="418"/>
        <item x="318"/>
        <item x="190"/>
        <item x="355"/>
        <item x="336"/>
        <item x="242"/>
        <item x="192"/>
        <item x="195"/>
        <item x="289"/>
        <item x="335"/>
        <item x="387"/>
        <item x="194"/>
        <item x="497"/>
        <item x="220"/>
        <item x="424"/>
        <item x="246"/>
        <item x="521"/>
        <item x="510"/>
        <item x="541"/>
        <item x="250"/>
        <item x="304"/>
        <item x="394"/>
        <item x="59"/>
        <item x="16"/>
        <item x="338"/>
        <item x="56"/>
        <item x="368"/>
        <item x="488"/>
        <item x="388"/>
        <item x="173"/>
        <item x="349"/>
        <item x="308"/>
        <item x="208"/>
        <item x="35"/>
        <item x="376"/>
        <item x="248"/>
        <item x="312"/>
        <item x="398"/>
        <item x="496"/>
        <item x="316"/>
        <item x="230"/>
        <item x="317"/>
        <item x="502"/>
        <item x="199"/>
        <item x="286"/>
        <item x="315"/>
        <item x="299"/>
        <item x="324"/>
        <item x="615"/>
        <item x="359"/>
        <item x="170"/>
        <item x="377"/>
        <item x="379"/>
        <item x="622"/>
        <item x="172"/>
        <item x="14"/>
        <item x="527"/>
        <item x="49"/>
        <item x="330"/>
        <item x="358"/>
        <item x="490"/>
        <item x="293"/>
        <item x="471"/>
        <item x="253"/>
        <item x="11"/>
        <item x="153"/>
        <item x="538"/>
        <item x="363"/>
        <item x="522"/>
        <item x="163"/>
        <item x="608"/>
        <item x="400"/>
        <item x="524"/>
        <item x="193"/>
        <item x="362"/>
        <item x="78"/>
        <item x="357"/>
        <item x="473"/>
        <item x="396"/>
        <item x="72"/>
        <item x="47"/>
        <item x="223"/>
        <item x="511"/>
        <item x="647"/>
        <item x="154"/>
        <item x="386"/>
        <item x="325"/>
        <item x="406"/>
        <item x="520"/>
        <item x="470"/>
        <item x="150"/>
        <item x="539"/>
        <item x="97"/>
        <item x="36"/>
        <item x="494"/>
        <item x="519"/>
        <item x="356"/>
        <item x="620"/>
        <item x="626"/>
        <item x="654"/>
        <item x="607"/>
        <item x="350"/>
        <item x="408"/>
        <item x="532"/>
        <item x="79"/>
        <item x="638"/>
        <item x="643"/>
        <item x="600"/>
        <item x="110"/>
        <item x="621"/>
        <item x="642"/>
        <item x="235"/>
        <item x="160"/>
        <item x="327"/>
        <item x="285"/>
        <item x="239"/>
        <item x="407"/>
        <item x="120"/>
        <item x="104"/>
        <item x="610"/>
        <item x="440"/>
        <item x="661"/>
        <item x="568"/>
        <item x="421"/>
        <item x="399"/>
        <item x="453"/>
        <item x="176"/>
        <item x="384"/>
        <item x="530"/>
        <item x="155"/>
        <item x="217"/>
        <item x="547"/>
        <item x="611"/>
        <item x="175"/>
        <item x="364"/>
        <item x="632"/>
        <item x="249"/>
        <item x="404"/>
        <item x="460"/>
        <item x="674"/>
        <item x="314"/>
        <item x="618"/>
        <item x="456"/>
        <item x="667"/>
        <item x="664"/>
        <item x="43"/>
        <item x="531"/>
        <item x="598"/>
        <item x="649"/>
        <item x="690"/>
        <item x="100"/>
        <item x="39"/>
        <item x="210"/>
        <item x="106"/>
        <item x="375"/>
        <item x="211"/>
        <item x="639"/>
        <item x="417"/>
        <item x="636"/>
        <item x="536"/>
        <item x="592"/>
        <item x="601"/>
        <item x="37"/>
        <item x="264"/>
        <item x="71"/>
        <item x="125"/>
        <item x="118"/>
        <item x="525"/>
        <item x="137"/>
        <item x="557"/>
        <item x="345"/>
        <item x="26"/>
        <item x="683"/>
        <item x="492"/>
        <item x="126"/>
        <item x="624"/>
        <item x="395"/>
        <item x="151"/>
        <item x="696"/>
        <item x="85"/>
        <item x="442"/>
        <item x="169"/>
        <item x="240"/>
        <item x="77"/>
        <item x="114"/>
        <item x="676"/>
        <item x="463"/>
        <item x="405"/>
        <item x="158"/>
        <item x="98"/>
        <item x="606"/>
        <item x="666"/>
        <item x="136"/>
        <item x="549"/>
        <item x="86"/>
        <item x="504"/>
        <item x="277"/>
        <item x="87"/>
        <item x="575"/>
        <item x="457"/>
        <item x="145"/>
        <item x="534"/>
        <item x="668"/>
        <item x="89"/>
        <item x="139"/>
        <item x="631"/>
        <item x="326"/>
        <item x="266"/>
        <item x="103"/>
        <item x="161"/>
        <item x="448"/>
        <item x="644"/>
        <item x="99"/>
        <item x="138"/>
        <item x="252"/>
        <item x="685"/>
        <item x="152"/>
        <item x="141"/>
        <item x="272"/>
        <item x="62"/>
        <item x="42"/>
        <item x="540"/>
        <item x="518"/>
        <item x="684"/>
        <item x="186"/>
        <item x="563"/>
        <item x="508"/>
        <item x="84"/>
        <item x="113"/>
        <item x="156"/>
        <item x="237"/>
        <item x="123"/>
        <item x="584"/>
        <item x="119"/>
        <item x="597"/>
        <item x="660"/>
        <item x="343"/>
        <item x="688"/>
        <item x="159"/>
        <item x="485"/>
        <item x="472"/>
        <item x="507"/>
        <item x="111"/>
        <item x="165"/>
        <item x="487"/>
        <item x="90"/>
        <item x="10"/>
        <item x="414"/>
        <item x="48"/>
        <item x="455"/>
        <item x="40"/>
        <item x="73"/>
        <item x="589"/>
        <item x="219"/>
        <item x="669"/>
        <item x="526"/>
        <item x="88"/>
        <item x="645"/>
        <item x="656"/>
        <item x="619"/>
        <item x="105"/>
        <item x="605"/>
        <item x="263"/>
        <item x="646"/>
        <item x="641"/>
        <item x="23"/>
        <item x="439"/>
        <item x="92"/>
        <item x="692"/>
        <item x="143"/>
        <item x="254"/>
        <item x="164"/>
        <item x="437"/>
        <item x="429"/>
        <item x="108"/>
        <item x="415"/>
        <item x="609"/>
        <item x="552"/>
        <item x="184"/>
        <item x="468"/>
        <item x="20"/>
        <item x="553"/>
        <item x="657"/>
        <item x="102"/>
        <item x="640"/>
        <item x="679"/>
        <item x="140"/>
        <item x="127"/>
        <item x="675"/>
        <item x="480"/>
        <item x="287"/>
        <item x="402"/>
        <item x="29"/>
        <item x="681"/>
        <item x="695"/>
        <item x="180"/>
        <item x="659"/>
        <item x="612"/>
        <item x="96"/>
        <item x="651"/>
        <item x="551"/>
        <item x="258"/>
        <item x="604"/>
        <item x="698"/>
        <item x="101"/>
        <item x="142"/>
        <item x="561"/>
        <item x="614"/>
        <item x="144"/>
        <item x="602"/>
        <item x="218"/>
        <item x="625"/>
        <item x="550"/>
        <item x="591"/>
        <item x="686"/>
        <item x="409"/>
        <item x="671"/>
        <item x="594"/>
        <item x="122"/>
        <item x="255"/>
        <item x="168"/>
        <item x="562"/>
        <item x="635"/>
        <item x="24"/>
        <item x="256"/>
        <item x="117"/>
        <item x="146"/>
        <item x="130"/>
        <item x="83"/>
        <item x="132"/>
        <item x="109"/>
        <item x="361"/>
        <item x="691"/>
        <item x="416"/>
        <item x="445"/>
        <item x="265"/>
        <item x="216"/>
        <item x="116"/>
        <item x="222"/>
        <item x="689"/>
        <item x="274"/>
        <item x="167"/>
        <item x="134"/>
        <item x="112"/>
        <item x="593"/>
        <item x="441"/>
        <item x="582"/>
        <item x="495"/>
        <item x="360"/>
        <item x="613"/>
        <item x="328"/>
        <item x="95"/>
        <item x="672"/>
        <item x="700"/>
        <item x="662"/>
        <item x="147"/>
        <item x="347"/>
        <item x="633"/>
        <item x="596"/>
        <item x="663"/>
        <item x="197"/>
        <item x="260"/>
        <item x="599"/>
        <item x="241"/>
        <item x="655"/>
        <item x="585"/>
        <item x="653"/>
        <item x="595"/>
        <item x="313"/>
        <item x="121"/>
        <item x="528"/>
        <item x="124"/>
        <item x="183"/>
        <item x="629"/>
        <item x="149"/>
        <item x="6"/>
        <item x="583"/>
        <item x="658"/>
        <item x="280"/>
        <item x="75"/>
        <item x="198"/>
        <item x="131"/>
        <item x="182"/>
        <item x="9"/>
        <item x="459"/>
        <item x="367"/>
        <item x="447"/>
        <item x="428"/>
        <item x="430"/>
        <item x="630"/>
        <item x="665"/>
        <item x="128"/>
        <item x="446"/>
        <item x="389"/>
        <item x="107"/>
        <item x="157"/>
        <item x="31"/>
        <item x="91"/>
        <item x="61"/>
        <item x="680"/>
        <item x="513"/>
        <item x="677"/>
        <item x="558"/>
        <item x="115"/>
        <item x="22"/>
        <item x="673"/>
        <item x="652"/>
        <item x="509"/>
        <item x="438"/>
        <item x="27"/>
        <item x="648"/>
        <item x="135"/>
        <item x="332"/>
        <item x="82"/>
        <item x="627"/>
        <item x="564"/>
        <item x="57"/>
        <item x="560"/>
        <item x="682"/>
        <item x="491"/>
        <item x="514"/>
        <item x="650"/>
        <item x="670"/>
        <item x="617"/>
        <item x="344"/>
        <item x="535"/>
        <item x="529"/>
        <item x="133"/>
        <item x="21"/>
        <item x="257"/>
        <item x="623"/>
        <item x="33"/>
        <item x="503"/>
        <item x="412"/>
        <item x="413"/>
        <item x="678"/>
        <item x="267"/>
        <item x="44"/>
        <item x="52"/>
        <item x="474"/>
        <item x="537"/>
        <item x="590"/>
        <item x="410"/>
        <item x="129"/>
        <item x="268"/>
        <item x="261"/>
        <item x="162"/>
        <item x="74"/>
        <item x="28"/>
        <item x="179"/>
        <item x="634"/>
        <item x="505"/>
        <item x="245"/>
        <item x="174"/>
        <item x="515"/>
        <item x="12"/>
        <item x="262"/>
        <item x="5"/>
        <item x="60"/>
        <item x="694"/>
        <item x="259"/>
        <item x="374"/>
        <item x="542"/>
        <item x="543"/>
        <item x="76"/>
        <item x="30"/>
        <item x="565"/>
        <item x="567"/>
        <item x="196"/>
        <item x="699"/>
        <item x="554"/>
        <item x="270"/>
        <item x="523"/>
        <item x="372"/>
        <item x="498"/>
        <item x="603"/>
        <item x="81"/>
        <item x="200"/>
        <item x="628"/>
        <item x="273"/>
        <item x="166"/>
        <item x="411"/>
        <item x="574"/>
        <item x="331"/>
        <item x="687"/>
        <item x="420"/>
        <item x="566"/>
        <item x="571"/>
        <item x="207"/>
        <item x="586"/>
        <item x="373"/>
        <item x="444"/>
        <item x="269"/>
        <item x="93"/>
        <item x="80"/>
        <item x="697"/>
        <item x="403"/>
        <item x="512"/>
        <item x="4"/>
        <item x="94"/>
        <item x="25"/>
        <item x="587"/>
        <item x="556"/>
        <item x="323"/>
        <item x="500"/>
        <item x="433"/>
        <item x="616"/>
        <item x="570"/>
        <item x="203"/>
        <item x="353"/>
        <item x="275"/>
        <item x="1"/>
        <item x="573"/>
        <item x="148"/>
        <item x="476"/>
        <item x="458"/>
        <item x="38"/>
        <item x="434"/>
        <item x="17"/>
        <item x="51"/>
        <item x="588"/>
        <item x="70"/>
        <item x="637"/>
        <item x="499"/>
        <item x="8"/>
        <item x="18"/>
        <item x="393"/>
        <item x="171"/>
        <item x="572"/>
        <item x="544"/>
        <item x="15"/>
        <item x="701"/>
        <item x="354"/>
        <item x="3"/>
        <item x="555"/>
        <item x="271"/>
        <item x="69"/>
        <item x="436"/>
        <item x="569"/>
        <item x="53"/>
        <item x="19"/>
        <item x="181"/>
        <item x="435"/>
        <item x="443"/>
        <item x="68"/>
        <item x="385"/>
        <item x="7"/>
        <item x="41"/>
        <item x="205"/>
        <item x="693"/>
        <item x="204"/>
        <item x="506"/>
        <item x="185"/>
        <item x="2"/>
        <item x="251"/>
        <item x="50"/>
        <item x="206"/>
        <item h="1" x="0"/>
        <item t="default"/>
      </items>
    </pivotField>
    <pivotField axis="axisPage" multipleItemSelectionAllowed="1" showAll="0">
      <items count="942">
        <item h="1" x="693"/>
        <item h="1" x="718"/>
        <item h="1" x="473"/>
        <item h="1" x="719"/>
        <item h="1" x="564"/>
        <item h="1" x="579"/>
        <item h="1" x="720"/>
        <item h="1" x="769"/>
        <item h="1" x="721"/>
        <item h="1" x="706"/>
        <item h="1" x="474"/>
        <item h="1" x="619"/>
        <item h="1" x="510"/>
        <item h="1" x="421"/>
        <item h="1" x="578"/>
        <item h="1" x="575"/>
        <item h="1" x="674"/>
        <item h="1" x="714"/>
        <item h="1" x="616"/>
        <item h="1" x="195"/>
        <item h="1" x="574"/>
        <item h="1" x="351"/>
        <item h="1" x="572"/>
        <item h="1" x="617"/>
        <item h="1" x="553"/>
        <item h="1" x="555"/>
        <item h="1" x="722"/>
        <item h="1" x="618"/>
        <item h="1" x="872"/>
        <item h="1" x="456"/>
        <item h="1" x="590"/>
        <item h="1" x="713"/>
        <item h="1" x="629"/>
        <item h="1" x="868"/>
        <item h="1" x="705"/>
        <item h="1" x="551"/>
        <item h="1" x="500"/>
        <item h="1" x="624"/>
        <item h="1" x="309"/>
        <item h="1" x="497"/>
        <item h="1" x="342"/>
        <item h="1" x="728"/>
        <item h="1" x="565"/>
        <item h="1" x="582"/>
        <item h="1" x="556"/>
        <item h="1" x="647"/>
        <item h="1" x="457"/>
        <item h="1" x="306"/>
        <item h="1" x="484"/>
        <item h="1" x="477"/>
        <item h="1" x="219"/>
        <item h="1" x="162"/>
        <item h="1" x="588"/>
        <item h="1" x="562"/>
        <item h="1" x="869"/>
        <item h="1" x="542"/>
        <item h="1" x="583"/>
        <item h="1" x="535"/>
        <item h="1" x="491"/>
        <item h="1" x="593"/>
        <item h="1" x="560"/>
        <item h="1" x="495"/>
        <item h="1" x="216"/>
        <item h="1" x="328"/>
        <item h="1" x="648"/>
        <item h="1" x="410"/>
        <item h="1" x="531"/>
        <item h="1" x="534"/>
        <item h="1" x="209"/>
        <item h="1" x="870"/>
        <item h="1" x="571"/>
        <item h="1" x="240"/>
        <item h="1" x="867"/>
        <item h="1" x="545"/>
        <item h="1" x="503"/>
        <item h="1" x="408"/>
        <item h="1" x="866"/>
        <item h="1" x="530"/>
        <item h="1" x="286"/>
        <item h="1" x="327"/>
        <item h="1" x="508"/>
        <item h="1" x="507"/>
        <item h="1" x="808"/>
        <item h="1" x="871"/>
        <item h="1" x="559"/>
        <item h="1" x="284"/>
        <item h="1" x="239"/>
        <item h="1" x="409"/>
        <item h="1" x="486"/>
        <item h="1" x="475"/>
        <item h="1" x="451"/>
        <item h="1" x="638"/>
        <item h="1" x="580"/>
        <item h="1" x="607"/>
        <item h="1" x="203"/>
        <item h="1" x="581"/>
        <item h="1" x="547"/>
        <item h="1" x="420"/>
        <item h="1" x="513"/>
        <item h="1" x="417"/>
        <item h="1" x="211"/>
        <item h="1" x="482"/>
        <item h="1" x="45"/>
        <item h="1" x="577"/>
        <item h="1" x="255"/>
        <item h="1" x="249"/>
        <item h="1" x="242"/>
        <item h="1" x="843"/>
        <item h="1" x="411"/>
        <item h="1" x="185"/>
        <item h="1" x="844"/>
        <item h="1" x="166"/>
        <item h="1" x="274"/>
        <item h="1" x="387"/>
        <item h="1" x="232"/>
        <item h="1" x="325"/>
        <item h="1" x="212"/>
        <item h="1" x="317"/>
        <item h="1" x="278"/>
        <item h="1" x="285"/>
        <item h="1" x="554"/>
        <item h="1" x="296"/>
        <item h="1" x="563"/>
        <item h="1" x="300"/>
        <item h="1" x="310"/>
        <item h="1" x="231"/>
        <item h="1" x="548"/>
        <item h="1" x="324"/>
        <item h="1" x="297"/>
        <item h="1" x="353"/>
        <item h="1" x="257"/>
        <item h="1" x="208"/>
        <item h="1" x="557"/>
        <item h="1" x="318"/>
        <item h="1" x="247"/>
        <item h="1" x="218"/>
        <item h="1" x="472"/>
        <item h="1" x="415"/>
        <item h="1" x="493"/>
        <item h="1" x="462"/>
        <item h="1" x="418"/>
        <item h="1" x="691"/>
        <item h="1" x="234"/>
        <item h="1" x="264"/>
        <item h="1" x="467"/>
        <item h="1" x="228"/>
        <item h="1" x="164"/>
        <item h="1" x="311"/>
        <item h="1" x="280"/>
        <item h="1" x="544"/>
        <item h="1" x="322"/>
        <item h="1" x="637"/>
        <item h="1" x="273"/>
        <item h="1" x="250"/>
        <item h="1" x="319"/>
        <item h="1" x="799"/>
        <item h="1" x="220"/>
        <item h="1" x="287"/>
        <item h="1" x="406"/>
        <item h="1" x="377"/>
        <item h="1" x="397"/>
        <item h="1" x="492"/>
        <item h="1" x="163"/>
        <item h="1" x="213"/>
        <item h="1" x="262"/>
        <item h="1" x="165"/>
        <item h="1" x="636"/>
        <item h="1" x="44"/>
        <item h="1" x="341"/>
        <item h="1" x="651"/>
        <item h="1" x="157"/>
        <item h="1" x="520"/>
        <item h="1" x="379"/>
        <item h="1" x="260"/>
        <item h="1" x="526"/>
        <item h="1" x="305"/>
        <item h="1" x="586"/>
        <item h="1" x="31"/>
        <item h="1" x="529"/>
        <item h="1" x="169"/>
        <item h="1" x="349"/>
        <item h="1" x="587"/>
        <item h="1" x="842"/>
        <item h="1" x="215"/>
        <item h="1" x="339"/>
        <item h="1" x="314"/>
        <item h="1" x="498"/>
        <item h="1" x="541"/>
        <item h="1" x="465"/>
        <item h="1" x="620"/>
        <item h="1" x="237"/>
        <item h="1" x="258"/>
        <item h="1" x="502"/>
        <item h="1" x="37"/>
        <item h="1" x="511"/>
        <item h="1" x="307"/>
        <item h="1" x="381"/>
        <item h="1" x="598"/>
        <item h="1" x="644"/>
        <item h="1" x="294"/>
        <item h="1" x="550"/>
        <item h="1" x="210"/>
        <item h="1" x="191"/>
        <item h="1" x="390"/>
        <item h="1" x="3"/>
        <item h="1" x="524"/>
        <item h="1" x="386"/>
        <item h="1" x="573"/>
        <item h="1" x="370"/>
        <item h="1" x="186"/>
        <item h="1" x="206"/>
        <item h="1" x="35"/>
        <item h="1" x="236"/>
        <item h="1" x="302"/>
        <item h="1" x="184"/>
        <item h="1" x="214"/>
        <item h="1" x="201"/>
        <item h="1" x="244"/>
        <item h="1" x="196"/>
        <item h="1" x="263"/>
        <item h="1" x="525"/>
        <item h="1" x="940"/>
        <item h="1" x="396"/>
        <item h="1" x="724"/>
        <item h="1" x="197"/>
        <item h="1" x="835"/>
        <item h="1" x="46"/>
        <item h="1" x="488"/>
        <item h="1" x="490"/>
        <item h="1" x="371"/>
        <item h="1" x="601"/>
        <item h="1" x="265"/>
        <item h="1" x="333"/>
        <item h="1" x="313"/>
        <item h="1" x="533"/>
        <item h="1" x="403"/>
        <item h="1" x="254"/>
        <item h="1" x="230"/>
        <item h="1" x="591"/>
        <item h="1" x="331"/>
        <item h="1" x="205"/>
        <item h="1" x="252"/>
        <item h="1" x="359"/>
        <item h="1" x="481"/>
        <item h="1" x="634"/>
        <item h="1" x="476"/>
        <item h="1" x="256"/>
        <item h="1" x="347"/>
        <item h="1" x="360"/>
        <item h="1" x="422"/>
        <item h="1" x="243"/>
        <item h="1" x="519"/>
        <item h="1" x="478"/>
        <item h="1" x="235"/>
        <item h="1" x="401"/>
        <item h="1" x="299"/>
        <item h="1" x="269"/>
        <item h="1" x="152"/>
        <item h="1" x="200"/>
        <item h="1" x="361"/>
        <item h="1" x="338"/>
        <item h="1" x="173"/>
        <item h="1" x="479"/>
        <item h="1" x="268"/>
        <item h="1" x="277"/>
        <item h="1" x="158"/>
        <item h="1" x="445"/>
        <item h="1" x="320"/>
        <item h="1" x="391"/>
        <item h="1" x="312"/>
        <item h="1" x="337"/>
        <item h="1" x="378"/>
        <item h="1" x="584"/>
        <item h="1" x="174"/>
        <item h="1" x="518"/>
        <item h="1" x="233"/>
        <item h="1" x="308"/>
        <item h="1" x="281"/>
        <item h="1" x="485"/>
        <item h="1" x="267"/>
        <item h="1" x="221"/>
        <item h="1" x="199"/>
        <item h="1" x="198"/>
        <item h="1" x="330"/>
        <item h="1" x="416"/>
        <item h="1" x="176"/>
        <item h="1" x="316"/>
        <item h="1" x="334"/>
        <item h="1" x="291"/>
        <item h="1" x="4"/>
        <item h="1" x="471"/>
        <item h="1" x="368"/>
        <item h="1" x="271"/>
        <item h="1" x="238"/>
        <item h="1" x="304"/>
        <item h="1" x="41"/>
        <item h="1" x="727"/>
        <item h="1" x="154"/>
        <item h="1" x="241"/>
        <item h="1" x="251"/>
        <item h="1" x="594"/>
        <item h="1" x="222"/>
        <item h="1" x="348"/>
        <item h="1" x="344"/>
        <item h="1" x="400"/>
        <item h="1" x="259"/>
        <item h="1" x="354"/>
        <item h="1" x="596"/>
        <item h="1" x="552"/>
        <item h="1" x="394"/>
        <item h="1" x="38"/>
        <item h="1" x="523"/>
        <item h="1" x="646"/>
        <item h="1" x="389"/>
        <item h="1" x="204"/>
        <item h="1" x="725"/>
        <item h="1" x="412"/>
        <item h="1" x="295"/>
        <item h="1" x="335"/>
        <item h="1" x="303"/>
        <item h="1" x="388"/>
        <item h="1" x="224"/>
        <item h="1" x="253"/>
        <item h="1" x="366"/>
        <item h="1" x="279"/>
        <item h="1" x="699"/>
        <item h="1" x="270"/>
        <item h="1" x="40"/>
        <item h="1" x="649"/>
        <item h="1" x="170"/>
        <item h="1" x="272"/>
        <item h="1" x="452"/>
        <item h="1" x="407"/>
        <item h="1" x="175"/>
        <item h="1" x="217"/>
        <item h="1" x="599"/>
        <item h="1" x="352"/>
        <item h="1" x="489"/>
        <item h="1" x="356"/>
        <item h="1" x="528"/>
        <item h="1" x="576"/>
        <item h="1" x="363"/>
        <item h="1" x="539"/>
        <item h="1" x="343"/>
        <item h="1" x="383"/>
        <item h="1" x="522"/>
        <item h="1" x="625"/>
        <item h="1" x="603"/>
        <item h="1" x="301"/>
        <item h="1" x="645"/>
        <item h="1" x="546"/>
        <item h="1" x="375"/>
        <item h="1" x="604"/>
        <item h="1" x="660"/>
        <item h="1" x="765"/>
        <item h="1" x="487"/>
        <item h="1" x="568"/>
        <item h="1" x="515"/>
        <item h="1" x="290"/>
        <item h="1" x="615"/>
        <item h="1" x="464"/>
        <item h="1" x="653"/>
        <item h="1" x="276"/>
        <item h="1" x="275"/>
        <item h="1" x="245"/>
        <item h="1" x="512"/>
        <item h="1" x="561"/>
        <item h="1" x="538"/>
        <item h="1" x="261"/>
        <item h="1" x="738"/>
        <item h="1" x="404"/>
        <item h="1" x="630"/>
        <item h="1" x="802"/>
        <item h="1" x="248"/>
        <item h="1" x="643"/>
        <item h="1" x="514"/>
        <item h="1" x="700"/>
        <item h="1" x="506"/>
        <item h="1" x="298"/>
        <item h="1" x="223"/>
        <item h="1" x="350"/>
        <item h="1" x="650"/>
        <item h="1" x="558"/>
        <item h="1" x="517"/>
        <item h="1" x="798"/>
        <item h="1" x="595"/>
        <item h="1" x="496"/>
        <item h="1" x="187"/>
        <item h="1" x="585"/>
        <item h="1" x="687"/>
        <item h="1" x="494"/>
        <item h="1" x="621"/>
        <item h="1" x="532"/>
        <item h="1" x="336"/>
        <item h="1" x="655"/>
        <item h="1" x="504"/>
        <item h="1" x="614"/>
        <item h="1" x="810"/>
        <item h="1" x="321"/>
        <item h="1" x="695"/>
        <item h="1" x="662"/>
        <item h="1" x="367"/>
        <item h="1" x="369"/>
        <item h="1" x="567"/>
        <item h="1" x="469"/>
        <item h="1" x="266"/>
        <item h="1" x="801"/>
        <item h="1" x="914"/>
        <item h="1" x="315"/>
        <item h="1" x="414"/>
        <item h="1" x="183"/>
        <item h="1" x="292"/>
        <item h="1" x="623"/>
        <item h="1" x="652"/>
        <item h="1" x="501"/>
        <item h="1" x="606"/>
        <item h="1" x="289"/>
        <item h="1" x="527"/>
        <item h="1" x="692"/>
        <item h="1" x="470"/>
        <item h="1" x="413"/>
        <item h="1" x="20"/>
        <item h="1" x="597"/>
        <item h="1" x="811"/>
        <item h="1" x="499"/>
        <item h="1" x="829"/>
        <item h="1" x="792"/>
        <item h="1" x="362"/>
        <item h="1" x="450"/>
        <item h="1" x="815"/>
        <item h="1" x="836"/>
        <item h="1" x="766"/>
        <item h="1" x="399"/>
        <item h="1" x="661"/>
        <item h="1" x="182"/>
        <item h="1" x="658"/>
        <item h="1" x="667"/>
        <item h="1" x="423"/>
        <item h="1" x="671"/>
        <item h="1" x="405"/>
        <item h="1" x="480"/>
        <item h="1" x="592"/>
        <item h="1" x="665"/>
        <item h="1" x="288"/>
        <item h="1" x="177"/>
        <item h="1" x="672"/>
        <item h="1" x="697"/>
        <item h="1" x="690"/>
        <item h="1" x="685"/>
        <item h="1" x="657"/>
        <item h="1" x="670"/>
        <item h="1" x="666"/>
        <item h="1" x="737"/>
        <item h="1" x="664"/>
        <item h="1" x="444"/>
        <item h="1" x="817"/>
        <item h="1" x="293"/>
        <item h="1" x="784"/>
        <item h="1" x="683"/>
        <item h="1" x="707"/>
        <item h="1" x="43"/>
        <item h="1" x="570"/>
        <item h="1" x="516"/>
        <item h="1" x="730"/>
        <item h="1" x="602"/>
        <item h="1" x="659"/>
        <item h="1" x="760"/>
        <item h="1" x="675"/>
        <item h="1" x="153"/>
        <item h="1" x="458"/>
        <item h="1" x="332"/>
        <item h="1" x="702"/>
        <item h="1" x="50"/>
        <item h="1" x="841"/>
        <item h="1" x="358"/>
        <item h="1" x="772"/>
        <item h="1" x="686"/>
        <item h="1" x="355"/>
        <item h="1" x="42"/>
        <item h="1" x="446"/>
        <item h="1" x="758"/>
        <item h="1" x="654"/>
        <item h="1" x="733"/>
        <item h="1" x="698"/>
        <item h="1" x="167"/>
        <item h="1" x="774"/>
        <item h="1" x="393"/>
        <item h="1" x="463"/>
        <item h="1" x="613"/>
        <item h="1" x="226"/>
        <item h="1" x="631"/>
        <item h="1" x="775"/>
        <item h="1" x="790"/>
        <item h="1" x="283"/>
        <item h="1" x="827"/>
        <item h="1" x="18"/>
        <item h="1" x="673"/>
        <item h="1" x="569"/>
        <item h="1" x="669"/>
        <item h="1" x="21"/>
        <item h="1" x="635"/>
        <item h="1" x="384"/>
        <item h="1" x="566"/>
        <item h="1" x="382"/>
        <item h="1" x="483"/>
        <item h="1" x="425"/>
        <item h="1" x="764"/>
        <item h="1" x="749"/>
        <item h="1" x="656"/>
        <item h="1" x="803"/>
        <item h="1" x="682"/>
        <item h="1" x="676"/>
        <item h="1" x="189"/>
        <item h="1" x="684"/>
        <item h="1" x="777"/>
        <item h="1" x="329"/>
        <item h="1" x="668"/>
        <item h="1" x="641"/>
        <item h="1" x="440"/>
        <item h="1" x="178"/>
        <item h="1" x="732"/>
        <item h="1" x="839"/>
        <item h="1" x="663"/>
        <item h="1" x="821"/>
        <item h="1" x="626"/>
        <item h="1" x="892"/>
        <item h="1" x="754"/>
        <item h="1" x="36"/>
        <item h="1" x="468"/>
        <item h="1" x="549"/>
        <item h="1" x="837"/>
        <item h="1" x="781"/>
        <item h="1" x="787"/>
        <item h="1" x="750"/>
        <item h="1" x="627"/>
        <item h="1" x="820"/>
        <item h="1" x="771"/>
        <item h="1" x="246"/>
        <item h="1" x="726"/>
        <item h="1" x="696"/>
        <item h="1" x="729"/>
        <item h="1" x="392"/>
        <item h="1" x="466"/>
        <item h="1" x="147"/>
        <item h="1" x="753"/>
        <item h="1" x="34"/>
        <item h="1" x="32"/>
        <item h="1" x="442"/>
        <item h="1" x="831"/>
        <item h="1" x="628"/>
        <item h="1" x="768"/>
        <item h="1" x="761"/>
        <item h="1" x="678"/>
        <item h="1" x="460"/>
        <item h="1" x="443"/>
        <item h="1" x="806"/>
        <item h="1" x="395"/>
        <item h="1" x="826"/>
        <item h="1" x="813"/>
        <item h="1" x="441"/>
        <item h="1" x="755"/>
        <item h="1" x="763"/>
        <item h="1" x="642"/>
        <item h="1" x="229"/>
        <item h="1" x="734"/>
        <item h="1" x="612"/>
        <item h="1" x="64"/>
        <item h="1" x="640"/>
        <item h="1" x="748"/>
        <item h="1" x="812"/>
        <item h="1" x="509"/>
        <item h="1" x="357"/>
        <item h="1" x="521"/>
        <item h="1" x="778"/>
        <item h="1" x="172"/>
        <item h="1" x="202"/>
        <item h="1" x="190"/>
        <item h="1" x="419"/>
        <item h="1" x="840"/>
        <item h="1" x="402"/>
        <item h="1" x="364"/>
        <item h="1" x="540"/>
        <item h="1" x="864"/>
        <item h="1" x="743"/>
        <item h="1" x="282"/>
        <item h="1" x="101"/>
        <item h="1" x="536"/>
        <item h="1" x="453"/>
        <item h="1" x="689"/>
        <item h="1" x="365"/>
        <item h="1" x="788"/>
        <item h="1" x="156"/>
        <item h="1" x="824"/>
        <item h="1" x="207"/>
        <item h="1" x="756"/>
        <item h="1" x="770"/>
        <item h="1" x="795"/>
        <item h="1" x="622"/>
        <item h="1" x="608"/>
        <item h="1" x="794"/>
        <item h="1" x="688"/>
        <item h="1" x="905"/>
        <item h="1" x="505"/>
        <item h="1" x="600"/>
        <item h="1" x="918"/>
        <item h="1" x="104"/>
        <item h="1" x="680"/>
        <item h="1" x="830"/>
        <item h="1" x="745"/>
        <item h="1" x="888"/>
        <item h="1" x="838"/>
        <item h="1" x="751"/>
        <item h="1" x="819"/>
        <item h="1" x="731"/>
        <item h="1" x="862"/>
        <item h="1" x="373"/>
        <item h="1" x="225"/>
        <item h="1" x="168"/>
        <item h="1" x="633"/>
        <item h="1" x="783"/>
        <item h="1" x="833"/>
        <item h="1" x="73"/>
        <item h="1" x="825"/>
        <item h="1" x="832"/>
        <item h="1" x="372"/>
        <item h="1" x="346"/>
        <item h="1" x="610"/>
        <item h="1" x="746"/>
        <item h="1" x="791"/>
        <item h="1" x="752"/>
        <item h="1" x="59"/>
        <item h="1" x="886"/>
        <item h="1" x="611"/>
        <item h="1" x="149"/>
        <item h="1" x="762"/>
        <item h="1" x="919"/>
        <item h="1" x="10"/>
        <item h="1" x="845"/>
        <item h="1" x="709"/>
        <item h="1" x="380"/>
        <item h="1" x="26"/>
        <item h="1" x="852"/>
        <item h="1" x="129"/>
        <item h="1" x="639"/>
        <item h="1" x="773"/>
        <item h="1" x="782"/>
        <item h="1" x="179"/>
        <item h="1" x="130"/>
        <item h="1" x="818"/>
        <item h="1" x="2"/>
        <item h="1" x="816"/>
        <item h="1" x="885"/>
        <item h="1" x="936"/>
        <item h="1" x="67"/>
        <item h="1" x="448"/>
        <item h="1" x="853"/>
        <item h="1" x="930"/>
        <item h="1" x="779"/>
        <item h="1" x="89"/>
        <item h="1" x="146"/>
        <item h="1" x="424"/>
        <item h="1" x="797"/>
        <item h="1" x="193"/>
        <item h="1" x="107"/>
        <item h="1" x="25"/>
        <item h="1" x="51"/>
        <item h="1" x="605"/>
        <item h="1" x="807"/>
        <item h="1" x="903"/>
        <item h="1" x="704"/>
        <item h="1" x="863"/>
        <item h="1" x="99"/>
        <item h="1" x="7"/>
        <item h="1" x="710"/>
        <item h="1" x="740"/>
        <item h="1" x="455"/>
        <item h="1" x="937"/>
        <item h="1" x="57"/>
        <item h="1" x="136"/>
        <item h="1" x="893"/>
        <item h="1" x="927"/>
        <item h="1" x="759"/>
        <item h="1" x="323"/>
        <item h="1" x="459"/>
        <item h="1" x="376"/>
        <item h="1" x="24"/>
        <item h="1" x="865"/>
        <item h="1" x="454"/>
        <item h="1" x="87"/>
        <item h="1" x="27"/>
        <item h="1" x="741"/>
        <item h="1" x="849"/>
        <item h="1" x="13"/>
        <item h="1" x="123"/>
        <item h="1" x="155"/>
        <item h="1" x="461"/>
        <item h="1" x="677"/>
        <item h="1" x="102"/>
        <item h="1" x="744"/>
        <item h="1" x="929"/>
        <item h="1" x="426"/>
        <item h="1" x="56"/>
        <item h="1" x="19"/>
        <item h="1" x="180"/>
        <item h="1" x="39"/>
        <item h="1" x="609"/>
        <item h="1" x="139"/>
        <item h="1" x="632"/>
        <item h="1" x="54"/>
        <item h="1" x="33"/>
        <item h="1" x="127"/>
        <item h="1" x="757"/>
        <item h="1" x="171"/>
        <item h="1" x="901"/>
        <item h="1" x="917"/>
        <item h="1" x="194"/>
        <item h="1" x="875"/>
        <item h="1" x="22"/>
        <item h="1" x="192"/>
        <item h="1" x="780"/>
        <item h="1" x="915"/>
        <item h="1" x="796"/>
        <item h="1" x="62"/>
        <item h="1" x="11"/>
        <item h="1" x="227"/>
        <item h="1" x="850"/>
        <item h="1" x="857"/>
        <item h="1" x="679"/>
        <item h="1" x="159"/>
        <item h="1" x="537"/>
        <item h="1" x="103"/>
        <item h="1" x="858"/>
        <item h="1" x="60"/>
        <item h="1" x="681"/>
        <item h="1" x="922"/>
        <item h="1" x="890"/>
        <item h="1" x="910"/>
        <item h="1" x="135"/>
        <item h="1" x="913"/>
        <item h="1" x="895"/>
        <item h="1" x="131"/>
        <item h="1" x="340"/>
        <item h="1" x="805"/>
        <item h="1" x="58"/>
        <item h="1" x="63"/>
        <item h="1" x="589"/>
        <item h="1" x="877"/>
        <item h="1" x="911"/>
        <item h="1" x="938"/>
        <item h="1" x="854"/>
        <item h="1" x="935"/>
        <item h="1" x="715"/>
        <item h="1" x="61"/>
        <item h="1" x="121"/>
        <item h="1" x="137"/>
        <item h="1" x="181"/>
        <item h="1" x="908"/>
        <item h="1" x="809"/>
        <item h="1" x="923"/>
        <item h="1" x="30"/>
        <item h="1" x="106"/>
        <item h="1" x="12"/>
        <item h="1" x="66"/>
        <item h="1" x="912"/>
        <item h="1" x="789"/>
        <item h="1" x="115"/>
        <item h="1" x="776"/>
        <item h="1" x="72"/>
        <item h="1" x="126"/>
        <item h="1" x="90"/>
        <item h="1" x="898"/>
        <item h="1" x="374"/>
        <item h="1" x="28"/>
        <item h="1" x="708"/>
        <item h="1" x="112"/>
        <item h="1" x="138"/>
        <item h="1" x="703"/>
        <item h="1" x="897"/>
        <item h="1" x="894"/>
        <item h="1" x="828"/>
        <item h="1" x="140"/>
        <item h="1" x="84"/>
        <item h="1" x="65"/>
        <item h="1" x="904"/>
        <item h="1" x="712"/>
        <item h="1" x="861"/>
        <item h="1" x="118"/>
        <item h="1" x="711"/>
        <item h="1" x="145"/>
        <item h="1" x="150"/>
        <item h="1" x="800"/>
        <item h="1" x="883"/>
        <item h="1" x="694"/>
        <item h="1" x="80"/>
        <item h="1" x="385"/>
        <item h="1" x="117"/>
        <item h="1" x="848"/>
        <item h="1" x="113"/>
        <item h="1" x="856"/>
        <item h="1" x="785"/>
        <item h="1" x="23"/>
        <item h="1" x="110"/>
        <item h="1" x="48"/>
        <item h="1" x="909"/>
        <item h="1" x="916"/>
        <item h="1" x="921"/>
        <item h="1" x="52"/>
        <item h="1" x="75"/>
        <item h="1" x="78"/>
        <item h="1" x="79"/>
        <item h="1" x="82"/>
        <item h="1" x="860"/>
        <item h="1" x="739"/>
        <item h="1" x="128"/>
        <item h="1" x="85"/>
        <item h="1" x="735"/>
        <item h="1" x="55"/>
        <item h="1" x="15"/>
        <item h="1" x="86"/>
        <item h="1" x="17"/>
        <item h="1" x="98"/>
        <item h="1" x="767"/>
        <item h="1" x="14"/>
        <item h="1" x="88"/>
        <item h="1" x="49"/>
        <item h="1" x="920"/>
        <item h="1" x="907"/>
        <item h="1" x="125"/>
        <item h="1" x="736"/>
        <item h="1" x="873"/>
        <item h="1" x="105"/>
        <item h="1" x="879"/>
        <item h="1" x="134"/>
        <item h="1" x="701"/>
        <item h="1" x="747"/>
        <item h="1" x="70"/>
        <item h="1" x="804"/>
        <item h="1" x="847"/>
        <item h="1" x="834"/>
        <item h="1" x="884"/>
        <item h="1" x="887"/>
        <item h="1" x="114"/>
        <item h="1" x="133"/>
        <item h="1" x="148"/>
        <item h="1" x="29"/>
        <item h="1" x="161"/>
        <item h="1" x="900"/>
        <item h="1" x="427"/>
        <item h="1" x="97"/>
        <item h="1" x="96"/>
        <item h="1" x="742"/>
        <item h="1" x="878"/>
        <item h="1" x="132"/>
        <item h="1" x="143"/>
        <item h="1" x="430"/>
        <item h="1" x="814"/>
        <item h="1" x="53"/>
        <item h="1" x="188"/>
        <item h="1" x="81"/>
        <item h="1" x="928"/>
        <item h="1" x="119"/>
        <item h="1" x="8"/>
        <item h="1" x="9"/>
        <item h="1" x="1"/>
        <item h="1" x="716"/>
        <item h="1" x="931"/>
        <item h="1" x="933"/>
        <item h="1" x="902"/>
        <item h="1" x="120"/>
        <item h="1" x="16"/>
        <item h="1" x="899"/>
        <item h="1" x="881"/>
        <item h="1" x="793"/>
        <item h="1" x="93"/>
        <item h="1" x="874"/>
        <item h="1" x="109"/>
        <item h="1" x="6"/>
        <item h="1" x="823"/>
        <item h="1" x="111"/>
        <item h="1" x="142"/>
        <item h="1" x="91"/>
        <item h="1" x="449"/>
        <item h="1" x="76"/>
        <item h="1" x="822"/>
        <item h="1" x="431"/>
        <item h="1" x="876"/>
        <item h="1" x="889"/>
        <item h="1" x="447"/>
        <item h="1" x="855"/>
        <item h="1" x="160"/>
        <item h="1" x="906"/>
        <item h="1" x="891"/>
        <item h="1" x="345"/>
        <item h="1" x="435"/>
        <item h="1" x="122"/>
        <item h="1" x="74"/>
        <item h="1" x="124"/>
        <item h="1" x="434"/>
        <item h="1" x="83"/>
        <item h="1" x="846"/>
        <item h="1" x="934"/>
        <item h="1" x="437"/>
        <item h="1" x="398"/>
        <item h="1" x="100"/>
        <item h="1" x="851"/>
        <item h="1" x="438"/>
        <item h="1" x="786"/>
        <item h="1" x="932"/>
        <item h="1" x="116"/>
        <item h="1" x="326"/>
        <item h="1" x="723"/>
        <item h="1" x="926"/>
        <item h="1" x="141"/>
        <item h="1" x="144"/>
        <item h="1" x="436"/>
        <item h="1" x="859"/>
        <item h="1" x="92"/>
        <item h="1" x="433"/>
        <item h="1" x="429"/>
        <item h="1" x="68"/>
        <item h="1" x="543"/>
        <item h="1" x="428"/>
        <item h="1" x="880"/>
        <item h="1" x="924"/>
        <item h="1" x="69"/>
        <item h="1" x="108"/>
        <item h="1" x="882"/>
        <item h="1" x="896"/>
        <item h="1" x="94"/>
        <item h="1" x="439"/>
        <item h="1" x="432"/>
        <item h="1" x="925"/>
        <item h="1" x="717"/>
        <item h="1" x="77"/>
        <item h="1" x="939"/>
        <item h="1" x="95"/>
        <item h="1" x="5"/>
        <item x="47"/>
        <item x="71"/>
        <item x="151"/>
        <item h="1" x="0"/>
        <item t="default"/>
      </items>
    </pivotField>
    <pivotField showAll="0"/>
    <pivotField showAll="0"/>
    <pivotField showAll="0"/>
    <pivotField showAll="0"/>
    <pivotField showAll="0">
      <items count="362">
        <item x="59"/>
        <item x="335"/>
        <item x="345"/>
        <item x="10"/>
        <item x="336"/>
        <item x="323"/>
        <item x="66"/>
        <item x="309"/>
        <item x="63"/>
        <item x="65"/>
        <item x="341"/>
        <item x="325"/>
        <item x="317"/>
        <item x="302"/>
        <item x="58"/>
        <item x="9"/>
        <item x="69"/>
        <item x="82"/>
        <item x="79"/>
        <item x="297"/>
        <item x="289"/>
        <item x="312"/>
        <item x="287"/>
        <item x="294"/>
        <item x="68"/>
        <item x="76"/>
        <item x="64"/>
        <item x="77"/>
        <item x="84"/>
        <item x="73"/>
        <item x="71"/>
        <item x="234"/>
        <item x="78"/>
        <item x="296"/>
        <item x="320"/>
        <item x="75"/>
        <item x="70"/>
        <item x="283"/>
        <item x="34"/>
        <item x="81"/>
        <item x="80"/>
        <item x="72"/>
        <item x="83"/>
        <item x="60"/>
        <item x="291"/>
        <item x="285"/>
        <item x="284"/>
        <item x="74"/>
        <item x="112"/>
        <item x="290"/>
        <item x="299"/>
        <item x="272"/>
        <item x="286"/>
        <item x="282"/>
        <item x="85"/>
        <item x="67"/>
        <item x="86"/>
        <item x="32"/>
        <item x="185"/>
        <item x="142"/>
        <item x="36"/>
        <item x="91"/>
        <item x="153"/>
        <item x="57"/>
        <item x="202"/>
        <item x="38"/>
        <item x="292"/>
        <item x="130"/>
        <item x="92"/>
        <item x="56"/>
        <item x="239"/>
        <item x="131"/>
        <item x="24"/>
        <item x="90"/>
        <item x="100"/>
        <item x="111"/>
        <item x="52"/>
        <item x="33"/>
        <item x="94"/>
        <item x="3"/>
        <item x="16"/>
        <item x="105"/>
        <item x="18"/>
        <item x="193"/>
        <item x="62"/>
        <item x="173"/>
        <item x="45"/>
        <item x="41"/>
        <item x="55"/>
        <item x="171"/>
        <item x="110"/>
        <item x="133"/>
        <item x="124"/>
        <item x="88"/>
        <item x="29"/>
        <item x="121"/>
        <item x="95"/>
        <item x="37"/>
        <item x="40"/>
        <item x="4"/>
        <item x="48"/>
        <item x="180"/>
        <item x="220"/>
        <item x="54"/>
        <item x="201"/>
        <item x="43"/>
        <item x="15"/>
        <item x="42"/>
        <item x="147"/>
        <item x="14"/>
        <item x="89"/>
        <item x="167"/>
        <item x="308"/>
        <item x="223"/>
        <item x="182"/>
        <item x="145"/>
        <item x="96"/>
        <item x="97"/>
        <item x="106"/>
        <item x="216"/>
        <item x="156"/>
        <item x="311"/>
        <item x="301"/>
        <item x="39"/>
        <item x="93"/>
        <item x="61"/>
        <item x="107"/>
        <item x="11"/>
        <item x="212"/>
        <item x="126"/>
        <item x="132"/>
        <item x="150"/>
        <item x="134"/>
        <item x="113"/>
        <item x="129"/>
        <item x="242"/>
        <item x="151"/>
        <item x="195"/>
        <item x="250"/>
        <item x="104"/>
        <item x="120"/>
        <item x="155"/>
        <item x="53"/>
        <item x="119"/>
        <item x="259"/>
        <item x="44"/>
        <item x="246"/>
        <item x="49"/>
        <item x="101"/>
        <item x="204"/>
        <item x="229"/>
        <item x="46"/>
        <item x="135"/>
        <item x="166"/>
        <item x="295"/>
        <item x="109"/>
        <item x="128"/>
        <item x="191"/>
        <item x="98"/>
        <item x="123"/>
        <item x="138"/>
        <item x="192"/>
        <item x="273"/>
        <item x="51"/>
        <item x="50"/>
        <item x="319"/>
        <item x="280"/>
        <item x="87"/>
        <item x="293"/>
        <item x="137"/>
        <item x="114"/>
        <item x="115"/>
        <item x="125"/>
        <item x="116"/>
        <item x="20"/>
        <item x="186"/>
        <item x="224"/>
        <item x="194"/>
        <item x="102"/>
        <item x="47"/>
        <item x="143"/>
        <item x="315"/>
        <item x="331"/>
        <item x="118"/>
        <item x="332"/>
        <item x="321"/>
        <item x="122"/>
        <item x="103"/>
        <item x="108"/>
        <item x="333"/>
        <item x="136"/>
        <item x="189"/>
        <item x="154"/>
        <item x="316"/>
        <item x="184"/>
        <item x="314"/>
        <item x="343"/>
        <item x="300"/>
        <item x="264"/>
        <item x="342"/>
        <item x="127"/>
        <item x="177"/>
        <item x="19"/>
        <item x="169"/>
        <item x="307"/>
        <item x="306"/>
        <item x="163"/>
        <item x="244"/>
        <item x="328"/>
        <item x="344"/>
        <item x="198"/>
        <item x="327"/>
        <item x="117"/>
        <item x="243"/>
        <item x="253"/>
        <item x="257"/>
        <item x="215"/>
        <item x="304"/>
        <item x="144"/>
        <item x="305"/>
        <item x="318"/>
        <item x="225"/>
        <item x="227"/>
        <item x="298"/>
        <item x="206"/>
        <item x="324"/>
        <item x="203"/>
        <item x="313"/>
        <item x="310"/>
        <item x="258"/>
        <item x="329"/>
        <item x="190"/>
        <item x="322"/>
        <item x="165"/>
        <item x="99"/>
        <item x="288"/>
        <item x="178"/>
        <item x="205"/>
        <item x="228"/>
        <item x="208"/>
        <item x="200"/>
        <item x="265"/>
        <item x="326"/>
        <item x="237"/>
        <item x="211"/>
        <item x="162"/>
        <item x="240"/>
        <item x="303"/>
        <item x="187"/>
        <item x="141"/>
        <item x="269"/>
        <item x="172"/>
        <item x="179"/>
        <item x="209"/>
        <item x="268"/>
        <item x="354"/>
        <item x="157"/>
        <item x="8"/>
        <item x="213"/>
        <item x="256"/>
        <item x="219"/>
        <item x="176"/>
        <item x="183"/>
        <item x="266"/>
        <item x="210"/>
        <item x="181"/>
        <item x="281"/>
        <item x="17"/>
        <item x="262"/>
        <item x="221"/>
        <item x="279"/>
        <item x="175"/>
        <item x="241"/>
        <item x="247"/>
        <item x="270"/>
        <item x="146"/>
        <item x="277"/>
        <item x="338"/>
        <item x="276"/>
        <item x="217"/>
        <item x="339"/>
        <item x="330"/>
        <item x="214"/>
        <item x="235"/>
        <item x="337"/>
        <item x="248"/>
        <item x="260"/>
        <item x="31"/>
        <item x="278"/>
        <item x="149"/>
        <item x="207"/>
        <item x="254"/>
        <item x="5"/>
        <item x="245"/>
        <item x="275"/>
        <item x="263"/>
        <item x="274"/>
        <item x="25"/>
        <item x="251"/>
        <item x="160"/>
        <item x="140"/>
        <item x="222"/>
        <item x="139"/>
        <item x="159"/>
        <item x="238"/>
        <item x="22"/>
        <item x="30"/>
        <item x="21"/>
        <item x="174"/>
        <item x="7"/>
        <item x="236"/>
        <item x="230"/>
        <item x="2"/>
        <item x="161"/>
        <item x="353"/>
        <item x="355"/>
        <item x="168"/>
        <item x="271"/>
        <item x="360"/>
        <item x="357"/>
        <item x="170"/>
        <item x="231"/>
        <item x="261"/>
        <item x="252"/>
        <item x="199"/>
        <item x="197"/>
        <item x="351"/>
        <item x="346"/>
        <item x="358"/>
        <item x="26"/>
        <item x="356"/>
        <item x="340"/>
        <item x="28"/>
        <item x="12"/>
        <item x="0"/>
        <item x="35"/>
        <item x="158"/>
        <item x="148"/>
        <item x="350"/>
        <item x="255"/>
        <item x="196"/>
        <item x="13"/>
        <item x="249"/>
        <item x="152"/>
        <item x="359"/>
        <item x="1"/>
        <item x="352"/>
        <item x="23"/>
        <item x="349"/>
        <item x="164"/>
        <item x="334"/>
        <item x="233"/>
        <item x="267"/>
        <item x="347"/>
        <item x="348"/>
        <item x="188"/>
        <item x="218"/>
        <item x="226"/>
        <item x="27"/>
        <item x="232"/>
        <item x="6"/>
        <item t="default"/>
      </items>
    </pivotField>
    <pivotField showAll="0"/>
  </pivotFields>
  <rowItems count="1">
    <i/>
  </rowItems>
  <colItems count="1">
    <i/>
  </colItems>
  <pageFields count="2">
    <pageField fld="11" hier="-1"/>
    <pageField fld="12" hier="-1"/>
  </pageFields>
  <dataFields count="1">
    <dataField name="Count of pl_nam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E5D359-2B5C-5E4C-814F-418061160D9F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4:K5" firstHeaderRow="1" firstDataRow="1" firstDataCol="0" rowPageCount="2" colPageCount="1"/>
  <pivotFields count="19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04">
        <item x="559"/>
        <item x="320"/>
        <item x="227"/>
        <item x="578"/>
        <item x="281"/>
        <item x="579"/>
        <item x="322"/>
        <item x="282"/>
        <item x="580"/>
        <item x="576"/>
        <item x="581"/>
        <item x="577"/>
        <item x="545"/>
        <item x="54"/>
        <item x="484"/>
        <item x="305"/>
        <item x="321"/>
        <item x="307"/>
        <item x="422"/>
        <item x="431"/>
        <item x="533"/>
        <item x="66"/>
        <item x="391"/>
        <item x="310"/>
        <item x="306"/>
        <item x="292"/>
        <item x="423"/>
        <item x="45"/>
        <item x="392"/>
        <item x="546"/>
        <item x="486"/>
        <item x="65"/>
        <item x="397"/>
        <item x="479"/>
        <item x="481"/>
        <item x="371"/>
        <item x="187"/>
        <item x="294"/>
        <item x="296"/>
        <item x="450"/>
        <item x="311"/>
        <item x="425"/>
        <item x="365"/>
        <item x="462"/>
        <item x="467"/>
        <item x="451"/>
        <item x="449"/>
        <item x="295"/>
        <item x="189"/>
        <item x="548"/>
        <item x="382"/>
        <item x="366"/>
        <item x="278"/>
        <item x="288"/>
        <item x="188"/>
        <item x="342"/>
        <item x="702"/>
        <item x="329"/>
        <item x="212"/>
        <item x="341"/>
        <item x="351"/>
        <item x="67"/>
        <item x="300"/>
        <item x="517"/>
        <item x="34"/>
        <item x="461"/>
        <item x="369"/>
        <item x="380"/>
        <item x="482"/>
        <item x="352"/>
        <item x="55"/>
        <item x="390"/>
        <item x="419"/>
        <item x="469"/>
        <item x="238"/>
        <item x="233"/>
        <item x="225"/>
        <item x="501"/>
        <item x="465"/>
        <item x="466"/>
        <item x="63"/>
        <item x="334"/>
        <item x="464"/>
        <item x="483"/>
        <item x="291"/>
        <item x="454"/>
        <item x="191"/>
        <item x="290"/>
        <item x="213"/>
        <item x="370"/>
        <item x="333"/>
        <item x="177"/>
        <item x="432"/>
        <item x="427"/>
        <item x="215"/>
        <item x="13"/>
        <item x="302"/>
        <item x="178"/>
        <item x="319"/>
        <item x="229"/>
        <item x="46"/>
        <item x="478"/>
        <item x="378"/>
        <item x="209"/>
        <item x="276"/>
        <item x="214"/>
        <item x="297"/>
        <item x="279"/>
        <item x="493"/>
        <item x="228"/>
        <item x="201"/>
        <item x="348"/>
        <item x="231"/>
        <item x="298"/>
        <item x="247"/>
        <item x="340"/>
        <item x="244"/>
        <item x="489"/>
        <item x="301"/>
        <item x="283"/>
        <item x="234"/>
        <item x="475"/>
        <item x="236"/>
        <item x="401"/>
        <item x="303"/>
        <item x="226"/>
        <item x="309"/>
        <item x="383"/>
        <item x="243"/>
        <item x="32"/>
        <item x="202"/>
        <item x="339"/>
        <item x="477"/>
        <item x="337"/>
        <item x="346"/>
        <item x="58"/>
        <item x="452"/>
        <item x="516"/>
        <item x="64"/>
        <item x="426"/>
        <item x="224"/>
        <item x="381"/>
        <item x="221"/>
        <item x="284"/>
        <item x="232"/>
        <item x="418"/>
        <item x="318"/>
        <item x="190"/>
        <item x="355"/>
        <item x="336"/>
        <item x="242"/>
        <item x="192"/>
        <item x="195"/>
        <item x="289"/>
        <item x="335"/>
        <item x="387"/>
        <item x="194"/>
        <item x="497"/>
        <item x="220"/>
        <item x="424"/>
        <item x="246"/>
        <item x="521"/>
        <item x="510"/>
        <item x="541"/>
        <item x="250"/>
        <item x="304"/>
        <item x="394"/>
        <item x="59"/>
        <item x="16"/>
        <item x="338"/>
        <item x="56"/>
        <item x="368"/>
        <item x="488"/>
        <item x="388"/>
        <item x="173"/>
        <item x="349"/>
        <item x="308"/>
        <item x="208"/>
        <item x="35"/>
        <item x="376"/>
        <item x="248"/>
        <item x="312"/>
        <item x="398"/>
        <item x="496"/>
        <item x="316"/>
        <item x="230"/>
        <item x="317"/>
        <item x="502"/>
        <item x="199"/>
        <item x="286"/>
        <item x="315"/>
        <item x="299"/>
        <item x="324"/>
        <item x="615"/>
        <item x="359"/>
        <item x="170"/>
        <item x="377"/>
        <item x="379"/>
        <item x="622"/>
        <item x="172"/>
        <item x="14"/>
        <item x="527"/>
        <item x="49"/>
        <item x="330"/>
        <item x="358"/>
        <item x="490"/>
        <item x="293"/>
        <item x="471"/>
        <item x="253"/>
        <item x="11"/>
        <item x="153"/>
        <item x="538"/>
        <item x="363"/>
        <item x="522"/>
        <item x="163"/>
        <item x="608"/>
        <item x="400"/>
        <item x="524"/>
        <item x="193"/>
        <item x="362"/>
        <item x="78"/>
        <item x="357"/>
        <item x="473"/>
        <item x="396"/>
        <item x="72"/>
        <item x="47"/>
        <item x="223"/>
        <item x="511"/>
        <item x="647"/>
        <item x="154"/>
        <item x="386"/>
        <item x="325"/>
        <item x="406"/>
        <item x="520"/>
        <item x="470"/>
        <item x="150"/>
        <item x="539"/>
        <item x="97"/>
        <item x="36"/>
        <item x="494"/>
        <item x="519"/>
        <item x="356"/>
        <item x="620"/>
        <item x="626"/>
        <item x="654"/>
        <item x="607"/>
        <item x="350"/>
        <item x="408"/>
        <item x="532"/>
        <item x="79"/>
        <item x="638"/>
        <item x="643"/>
        <item x="600"/>
        <item x="110"/>
        <item x="621"/>
        <item x="642"/>
        <item x="235"/>
        <item x="160"/>
        <item x="327"/>
        <item x="285"/>
        <item x="239"/>
        <item x="407"/>
        <item x="120"/>
        <item x="104"/>
        <item x="610"/>
        <item x="440"/>
        <item x="661"/>
        <item x="568"/>
        <item x="421"/>
        <item x="399"/>
        <item x="453"/>
        <item x="176"/>
        <item x="384"/>
        <item x="530"/>
        <item x="155"/>
        <item x="217"/>
        <item x="547"/>
        <item x="611"/>
        <item x="175"/>
        <item x="364"/>
        <item x="632"/>
        <item x="249"/>
        <item x="404"/>
        <item x="460"/>
        <item x="674"/>
        <item x="314"/>
        <item x="618"/>
        <item x="456"/>
        <item x="667"/>
        <item x="664"/>
        <item x="43"/>
        <item x="531"/>
        <item x="598"/>
        <item x="649"/>
        <item x="690"/>
        <item x="100"/>
        <item x="39"/>
        <item x="210"/>
        <item x="106"/>
        <item x="375"/>
        <item x="211"/>
        <item x="639"/>
        <item x="417"/>
        <item x="636"/>
        <item x="536"/>
        <item x="592"/>
        <item x="601"/>
        <item x="37"/>
        <item x="264"/>
        <item x="71"/>
        <item x="125"/>
        <item x="118"/>
        <item x="525"/>
        <item x="137"/>
        <item x="557"/>
        <item x="345"/>
        <item x="26"/>
        <item x="683"/>
        <item x="492"/>
        <item x="126"/>
        <item x="624"/>
        <item x="395"/>
        <item x="151"/>
        <item x="696"/>
        <item x="85"/>
        <item x="442"/>
        <item x="169"/>
        <item x="240"/>
        <item x="77"/>
        <item x="114"/>
        <item x="676"/>
        <item x="463"/>
        <item x="405"/>
        <item x="158"/>
        <item x="98"/>
        <item x="606"/>
        <item x="666"/>
        <item x="136"/>
        <item x="549"/>
        <item x="86"/>
        <item x="504"/>
        <item x="277"/>
        <item x="87"/>
        <item x="575"/>
        <item x="457"/>
        <item x="145"/>
        <item x="534"/>
        <item x="668"/>
        <item x="89"/>
        <item x="139"/>
        <item x="631"/>
        <item x="326"/>
        <item x="266"/>
        <item x="103"/>
        <item x="161"/>
        <item x="448"/>
        <item x="644"/>
        <item x="99"/>
        <item x="138"/>
        <item x="252"/>
        <item x="685"/>
        <item x="152"/>
        <item x="141"/>
        <item x="272"/>
        <item x="62"/>
        <item x="42"/>
        <item x="540"/>
        <item x="518"/>
        <item x="684"/>
        <item x="186"/>
        <item x="563"/>
        <item x="508"/>
        <item x="84"/>
        <item x="113"/>
        <item x="156"/>
        <item x="237"/>
        <item x="123"/>
        <item x="584"/>
        <item x="119"/>
        <item x="597"/>
        <item x="660"/>
        <item x="343"/>
        <item x="688"/>
        <item x="159"/>
        <item x="485"/>
        <item x="472"/>
        <item x="507"/>
        <item x="111"/>
        <item x="165"/>
        <item x="487"/>
        <item x="90"/>
        <item x="10"/>
        <item x="414"/>
        <item x="48"/>
        <item x="455"/>
        <item x="40"/>
        <item x="73"/>
        <item x="589"/>
        <item x="219"/>
        <item x="669"/>
        <item x="526"/>
        <item x="88"/>
        <item x="645"/>
        <item x="656"/>
        <item x="619"/>
        <item x="105"/>
        <item x="605"/>
        <item x="263"/>
        <item x="646"/>
        <item x="641"/>
        <item x="23"/>
        <item x="439"/>
        <item x="92"/>
        <item x="692"/>
        <item x="143"/>
        <item x="254"/>
        <item x="164"/>
        <item x="437"/>
        <item x="429"/>
        <item x="108"/>
        <item x="415"/>
        <item x="609"/>
        <item x="552"/>
        <item x="184"/>
        <item x="468"/>
        <item x="20"/>
        <item x="553"/>
        <item x="657"/>
        <item x="102"/>
        <item x="640"/>
        <item x="679"/>
        <item x="140"/>
        <item x="127"/>
        <item x="675"/>
        <item x="480"/>
        <item x="287"/>
        <item x="402"/>
        <item x="29"/>
        <item x="681"/>
        <item x="695"/>
        <item x="180"/>
        <item x="659"/>
        <item x="612"/>
        <item x="96"/>
        <item x="651"/>
        <item x="551"/>
        <item x="258"/>
        <item x="604"/>
        <item x="698"/>
        <item x="101"/>
        <item x="142"/>
        <item x="561"/>
        <item x="614"/>
        <item x="144"/>
        <item x="602"/>
        <item x="218"/>
        <item x="625"/>
        <item x="550"/>
        <item x="591"/>
        <item x="686"/>
        <item x="409"/>
        <item x="671"/>
        <item x="594"/>
        <item x="122"/>
        <item x="255"/>
        <item x="168"/>
        <item x="562"/>
        <item x="635"/>
        <item x="24"/>
        <item x="256"/>
        <item x="117"/>
        <item x="146"/>
        <item x="130"/>
        <item x="83"/>
        <item x="132"/>
        <item x="109"/>
        <item x="361"/>
        <item x="691"/>
        <item x="416"/>
        <item x="445"/>
        <item x="265"/>
        <item x="216"/>
        <item x="116"/>
        <item x="222"/>
        <item x="689"/>
        <item x="274"/>
        <item x="167"/>
        <item x="134"/>
        <item x="112"/>
        <item x="593"/>
        <item x="441"/>
        <item x="582"/>
        <item x="495"/>
        <item x="360"/>
        <item x="613"/>
        <item x="328"/>
        <item x="95"/>
        <item x="672"/>
        <item x="700"/>
        <item x="662"/>
        <item x="147"/>
        <item x="347"/>
        <item x="633"/>
        <item x="596"/>
        <item x="663"/>
        <item x="197"/>
        <item x="260"/>
        <item x="599"/>
        <item x="241"/>
        <item x="655"/>
        <item x="585"/>
        <item x="653"/>
        <item x="595"/>
        <item x="313"/>
        <item x="121"/>
        <item x="528"/>
        <item x="124"/>
        <item x="183"/>
        <item x="629"/>
        <item x="149"/>
        <item x="6"/>
        <item x="583"/>
        <item x="658"/>
        <item x="280"/>
        <item x="75"/>
        <item x="198"/>
        <item x="131"/>
        <item x="182"/>
        <item x="9"/>
        <item x="459"/>
        <item x="367"/>
        <item x="447"/>
        <item x="428"/>
        <item x="430"/>
        <item x="630"/>
        <item x="665"/>
        <item x="128"/>
        <item x="446"/>
        <item x="389"/>
        <item x="107"/>
        <item x="157"/>
        <item x="31"/>
        <item x="91"/>
        <item x="61"/>
        <item x="680"/>
        <item x="513"/>
        <item x="677"/>
        <item x="558"/>
        <item x="115"/>
        <item x="22"/>
        <item x="673"/>
        <item x="652"/>
        <item x="509"/>
        <item x="438"/>
        <item x="27"/>
        <item x="648"/>
        <item x="135"/>
        <item x="332"/>
        <item x="82"/>
        <item x="627"/>
        <item x="564"/>
        <item x="57"/>
        <item x="560"/>
        <item x="682"/>
        <item x="491"/>
        <item x="514"/>
        <item x="650"/>
        <item x="670"/>
        <item x="617"/>
        <item x="344"/>
        <item x="535"/>
        <item x="529"/>
        <item x="133"/>
        <item x="21"/>
        <item x="257"/>
        <item x="623"/>
        <item x="33"/>
        <item x="503"/>
        <item x="412"/>
        <item x="413"/>
        <item x="678"/>
        <item x="267"/>
        <item x="44"/>
        <item x="52"/>
        <item x="474"/>
        <item x="537"/>
        <item x="590"/>
        <item x="410"/>
        <item x="129"/>
        <item x="268"/>
        <item x="261"/>
        <item x="162"/>
        <item x="74"/>
        <item x="28"/>
        <item x="179"/>
        <item x="634"/>
        <item x="505"/>
        <item x="245"/>
        <item x="174"/>
        <item x="515"/>
        <item x="12"/>
        <item x="262"/>
        <item x="5"/>
        <item x="60"/>
        <item x="694"/>
        <item x="259"/>
        <item x="374"/>
        <item x="542"/>
        <item x="543"/>
        <item x="76"/>
        <item x="30"/>
        <item x="565"/>
        <item x="567"/>
        <item x="196"/>
        <item x="699"/>
        <item x="554"/>
        <item x="270"/>
        <item x="523"/>
        <item x="372"/>
        <item x="498"/>
        <item x="603"/>
        <item x="81"/>
        <item x="200"/>
        <item x="628"/>
        <item x="273"/>
        <item x="166"/>
        <item x="411"/>
        <item x="574"/>
        <item x="331"/>
        <item x="687"/>
        <item x="420"/>
        <item x="566"/>
        <item x="571"/>
        <item x="207"/>
        <item x="586"/>
        <item x="373"/>
        <item x="444"/>
        <item x="269"/>
        <item x="93"/>
        <item x="80"/>
        <item x="697"/>
        <item x="403"/>
        <item x="512"/>
        <item x="4"/>
        <item x="94"/>
        <item x="25"/>
        <item x="587"/>
        <item x="556"/>
        <item x="323"/>
        <item x="500"/>
        <item x="433"/>
        <item x="616"/>
        <item x="570"/>
        <item x="203"/>
        <item x="353"/>
        <item x="275"/>
        <item x="1"/>
        <item x="573"/>
        <item x="148"/>
        <item x="476"/>
        <item x="458"/>
        <item x="38"/>
        <item x="434"/>
        <item x="17"/>
        <item x="51"/>
        <item x="588"/>
        <item x="70"/>
        <item x="637"/>
        <item x="499"/>
        <item x="8"/>
        <item x="18"/>
        <item x="393"/>
        <item x="171"/>
        <item x="572"/>
        <item x="544"/>
        <item x="15"/>
        <item x="701"/>
        <item x="354"/>
        <item x="3"/>
        <item x="555"/>
        <item x="271"/>
        <item x="69"/>
        <item x="436"/>
        <item x="569"/>
        <item x="53"/>
        <item x="19"/>
        <item x="181"/>
        <item x="435"/>
        <item x="443"/>
        <item x="68"/>
        <item x="385"/>
        <item x="7"/>
        <item x="41"/>
        <item x="205"/>
        <item x="693"/>
        <item x="204"/>
        <item x="506"/>
        <item x="185"/>
        <item x="2"/>
        <item x="251"/>
        <item x="50"/>
        <item x="206"/>
        <item h="1" x="0"/>
        <item t="default"/>
      </items>
    </pivotField>
    <pivotField multipleItemSelectionAllowed="1" showAll="0">
      <items count="942">
        <item h="1" x="693"/>
        <item h="1" x="718"/>
        <item h="1" x="473"/>
        <item h="1" x="719"/>
        <item h="1" x="564"/>
        <item h="1" x="579"/>
        <item h="1" x="720"/>
        <item h="1" x="769"/>
        <item h="1" x="721"/>
        <item h="1" x="706"/>
        <item h="1" x="474"/>
        <item h="1" x="619"/>
        <item h="1" x="510"/>
        <item h="1" x="421"/>
        <item h="1" x="578"/>
        <item h="1" x="575"/>
        <item h="1" x="674"/>
        <item h="1" x="714"/>
        <item h="1" x="616"/>
        <item h="1" x="195"/>
        <item h="1" x="574"/>
        <item h="1" x="351"/>
        <item h="1" x="572"/>
        <item h="1" x="617"/>
        <item h="1" x="553"/>
        <item h="1" x="555"/>
        <item h="1" x="722"/>
        <item h="1" x="618"/>
        <item h="1" x="872"/>
        <item h="1" x="456"/>
        <item h="1" x="590"/>
        <item h="1" x="713"/>
        <item h="1" x="629"/>
        <item h="1" x="868"/>
        <item h="1" x="705"/>
        <item h="1" x="551"/>
        <item h="1" x="500"/>
        <item h="1" x="624"/>
        <item h="1" x="309"/>
        <item h="1" x="497"/>
        <item h="1" x="342"/>
        <item h="1" x="728"/>
        <item h="1" x="565"/>
        <item h="1" x="582"/>
        <item h="1" x="556"/>
        <item h="1" x="647"/>
        <item h="1" x="457"/>
        <item h="1" x="306"/>
        <item h="1" x="484"/>
        <item h="1" x="477"/>
        <item h="1" x="219"/>
        <item h="1" x="162"/>
        <item h="1" x="588"/>
        <item h="1" x="562"/>
        <item h="1" x="869"/>
        <item h="1" x="542"/>
        <item h="1" x="583"/>
        <item h="1" x="535"/>
        <item h="1" x="491"/>
        <item h="1" x="593"/>
        <item h="1" x="560"/>
        <item h="1" x="495"/>
        <item h="1" x="216"/>
        <item h="1" x="328"/>
        <item h="1" x="648"/>
        <item h="1" x="410"/>
        <item h="1" x="531"/>
        <item h="1" x="534"/>
        <item h="1" x="209"/>
        <item h="1" x="870"/>
        <item h="1" x="571"/>
        <item h="1" x="240"/>
        <item h="1" x="867"/>
        <item h="1" x="545"/>
        <item h="1" x="503"/>
        <item h="1" x="408"/>
        <item h="1" x="866"/>
        <item h="1" x="530"/>
        <item h="1" x="286"/>
        <item h="1" x="327"/>
        <item h="1" x="508"/>
        <item h="1" x="507"/>
        <item h="1" x="808"/>
        <item h="1" x="871"/>
        <item h="1" x="559"/>
        <item h="1" x="284"/>
        <item h="1" x="239"/>
        <item h="1" x="409"/>
        <item h="1" x="486"/>
        <item h="1" x="475"/>
        <item h="1" x="451"/>
        <item h="1" x="638"/>
        <item h="1" x="580"/>
        <item h="1" x="607"/>
        <item h="1" x="203"/>
        <item h="1" x="581"/>
        <item h="1" x="547"/>
        <item h="1" x="420"/>
        <item h="1" x="513"/>
        <item h="1" x="417"/>
        <item h="1" x="211"/>
        <item h="1" x="482"/>
        <item h="1" x="45"/>
        <item h="1" x="577"/>
        <item h="1" x="255"/>
        <item h="1" x="249"/>
        <item h="1" x="242"/>
        <item h="1" x="843"/>
        <item h="1" x="411"/>
        <item h="1" x="185"/>
        <item h="1" x="844"/>
        <item h="1" x="166"/>
        <item h="1" x="274"/>
        <item h="1" x="387"/>
        <item h="1" x="232"/>
        <item h="1" x="325"/>
        <item h="1" x="212"/>
        <item h="1" x="317"/>
        <item h="1" x="278"/>
        <item h="1" x="285"/>
        <item h="1" x="554"/>
        <item h="1" x="296"/>
        <item h="1" x="563"/>
        <item h="1" x="300"/>
        <item h="1" x="310"/>
        <item h="1" x="231"/>
        <item h="1" x="548"/>
        <item h="1" x="324"/>
        <item h="1" x="297"/>
        <item h="1" x="353"/>
        <item h="1" x="257"/>
        <item h="1" x="208"/>
        <item h="1" x="557"/>
        <item h="1" x="318"/>
        <item h="1" x="247"/>
        <item h="1" x="218"/>
        <item h="1" x="472"/>
        <item h="1" x="415"/>
        <item h="1" x="493"/>
        <item h="1" x="462"/>
        <item h="1" x="418"/>
        <item h="1" x="691"/>
        <item h="1" x="234"/>
        <item h="1" x="264"/>
        <item h="1" x="467"/>
        <item h="1" x="228"/>
        <item h="1" x="164"/>
        <item h="1" x="311"/>
        <item h="1" x="280"/>
        <item h="1" x="544"/>
        <item h="1" x="322"/>
        <item h="1" x="637"/>
        <item h="1" x="273"/>
        <item h="1" x="250"/>
        <item h="1" x="319"/>
        <item h="1" x="799"/>
        <item h="1" x="220"/>
        <item h="1" x="287"/>
        <item h="1" x="406"/>
        <item h="1" x="377"/>
        <item h="1" x="397"/>
        <item h="1" x="492"/>
        <item h="1" x="163"/>
        <item h="1" x="213"/>
        <item h="1" x="262"/>
        <item h="1" x="165"/>
        <item h="1" x="636"/>
        <item h="1" x="44"/>
        <item h="1" x="341"/>
        <item h="1" x="651"/>
        <item h="1" x="157"/>
        <item h="1" x="520"/>
        <item h="1" x="379"/>
        <item h="1" x="260"/>
        <item h="1" x="526"/>
        <item h="1" x="305"/>
        <item h="1" x="586"/>
        <item h="1" x="31"/>
        <item h="1" x="529"/>
        <item h="1" x="169"/>
        <item h="1" x="349"/>
        <item h="1" x="587"/>
        <item h="1" x="842"/>
        <item h="1" x="215"/>
        <item h="1" x="339"/>
        <item h="1" x="314"/>
        <item h="1" x="498"/>
        <item h="1" x="541"/>
        <item h="1" x="465"/>
        <item h="1" x="620"/>
        <item h="1" x="237"/>
        <item h="1" x="258"/>
        <item h="1" x="502"/>
        <item h="1" x="37"/>
        <item h="1" x="511"/>
        <item h="1" x="307"/>
        <item h="1" x="381"/>
        <item h="1" x="598"/>
        <item h="1" x="644"/>
        <item h="1" x="294"/>
        <item h="1" x="550"/>
        <item h="1" x="210"/>
        <item h="1" x="191"/>
        <item h="1" x="390"/>
        <item h="1" x="3"/>
        <item h="1" x="524"/>
        <item h="1" x="386"/>
        <item h="1" x="573"/>
        <item h="1" x="370"/>
        <item h="1" x="186"/>
        <item h="1" x="206"/>
        <item h="1" x="35"/>
        <item h="1" x="236"/>
        <item h="1" x="302"/>
        <item h="1" x="184"/>
        <item h="1" x="214"/>
        <item h="1" x="201"/>
        <item h="1" x="244"/>
        <item h="1" x="196"/>
        <item h="1" x="263"/>
        <item h="1" x="525"/>
        <item h="1" x="940"/>
        <item h="1" x="396"/>
        <item h="1" x="724"/>
        <item h="1" x="197"/>
        <item h="1" x="835"/>
        <item h="1" x="46"/>
        <item h="1" x="488"/>
        <item h="1" x="490"/>
        <item h="1" x="371"/>
        <item h="1" x="601"/>
        <item h="1" x="265"/>
        <item h="1" x="333"/>
        <item h="1" x="313"/>
        <item h="1" x="533"/>
        <item h="1" x="403"/>
        <item h="1" x="254"/>
        <item h="1" x="230"/>
        <item h="1" x="591"/>
        <item h="1" x="331"/>
        <item h="1" x="205"/>
        <item h="1" x="252"/>
        <item h="1" x="359"/>
        <item h="1" x="481"/>
        <item h="1" x="634"/>
        <item h="1" x="476"/>
        <item h="1" x="256"/>
        <item h="1" x="347"/>
        <item h="1" x="360"/>
        <item h="1" x="422"/>
        <item h="1" x="243"/>
        <item h="1" x="519"/>
        <item h="1" x="478"/>
        <item h="1" x="235"/>
        <item h="1" x="401"/>
        <item h="1" x="299"/>
        <item h="1" x="269"/>
        <item h="1" x="152"/>
        <item h="1" x="200"/>
        <item h="1" x="361"/>
        <item h="1" x="338"/>
        <item h="1" x="173"/>
        <item h="1" x="479"/>
        <item h="1" x="268"/>
        <item h="1" x="277"/>
        <item h="1" x="158"/>
        <item h="1" x="445"/>
        <item h="1" x="320"/>
        <item h="1" x="391"/>
        <item h="1" x="312"/>
        <item h="1" x="337"/>
        <item h="1" x="378"/>
        <item h="1" x="584"/>
        <item h="1" x="174"/>
        <item h="1" x="518"/>
        <item h="1" x="233"/>
        <item h="1" x="308"/>
        <item h="1" x="281"/>
        <item h="1" x="485"/>
        <item h="1" x="267"/>
        <item h="1" x="221"/>
        <item h="1" x="199"/>
        <item h="1" x="198"/>
        <item h="1" x="330"/>
        <item h="1" x="416"/>
        <item h="1" x="176"/>
        <item h="1" x="316"/>
        <item h="1" x="334"/>
        <item h="1" x="291"/>
        <item h="1" x="4"/>
        <item h="1" x="471"/>
        <item h="1" x="368"/>
        <item h="1" x="271"/>
        <item h="1" x="238"/>
        <item h="1" x="304"/>
        <item h="1" x="41"/>
        <item h="1" x="727"/>
        <item h="1" x="154"/>
        <item h="1" x="241"/>
        <item h="1" x="251"/>
        <item h="1" x="594"/>
        <item h="1" x="222"/>
        <item h="1" x="348"/>
        <item h="1" x="344"/>
        <item h="1" x="400"/>
        <item h="1" x="259"/>
        <item h="1" x="354"/>
        <item h="1" x="596"/>
        <item h="1" x="552"/>
        <item h="1" x="394"/>
        <item h="1" x="38"/>
        <item h="1" x="523"/>
        <item h="1" x="646"/>
        <item h="1" x="389"/>
        <item h="1" x="204"/>
        <item h="1" x="725"/>
        <item h="1" x="412"/>
        <item h="1" x="295"/>
        <item h="1" x="335"/>
        <item h="1" x="303"/>
        <item h="1" x="388"/>
        <item h="1" x="224"/>
        <item h="1" x="253"/>
        <item h="1" x="366"/>
        <item h="1" x="279"/>
        <item h="1" x="699"/>
        <item h="1" x="270"/>
        <item h="1" x="40"/>
        <item h="1" x="649"/>
        <item h="1" x="170"/>
        <item h="1" x="272"/>
        <item h="1" x="452"/>
        <item h="1" x="407"/>
        <item h="1" x="175"/>
        <item h="1" x="217"/>
        <item h="1" x="599"/>
        <item h="1" x="352"/>
        <item h="1" x="489"/>
        <item h="1" x="356"/>
        <item h="1" x="528"/>
        <item h="1" x="576"/>
        <item h="1" x="363"/>
        <item h="1" x="539"/>
        <item h="1" x="343"/>
        <item h="1" x="383"/>
        <item h="1" x="522"/>
        <item h="1" x="625"/>
        <item h="1" x="603"/>
        <item h="1" x="301"/>
        <item h="1" x="645"/>
        <item h="1" x="546"/>
        <item h="1" x="375"/>
        <item h="1" x="604"/>
        <item h="1" x="660"/>
        <item h="1" x="765"/>
        <item h="1" x="487"/>
        <item h="1" x="568"/>
        <item h="1" x="515"/>
        <item h="1" x="290"/>
        <item h="1" x="615"/>
        <item h="1" x="464"/>
        <item h="1" x="653"/>
        <item h="1" x="276"/>
        <item h="1" x="275"/>
        <item h="1" x="245"/>
        <item h="1" x="512"/>
        <item h="1" x="561"/>
        <item h="1" x="538"/>
        <item h="1" x="261"/>
        <item h="1" x="738"/>
        <item h="1" x="404"/>
        <item h="1" x="630"/>
        <item h="1" x="802"/>
        <item h="1" x="248"/>
        <item h="1" x="643"/>
        <item h="1" x="514"/>
        <item h="1" x="700"/>
        <item h="1" x="506"/>
        <item h="1" x="298"/>
        <item h="1" x="223"/>
        <item h="1" x="350"/>
        <item h="1" x="650"/>
        <item h="1" x="558"/>
        <item h="1" x="517"/>
        <item h="1" x="798"/>
        <item h="1" x="595"/>
        <item h="1" x="496"/>
        <item h="1" x="187"/>
        <item h="1" x="585"/>
        <item h="1" x="687"/>
        <item h="1" x="494"/>
        <item h="1" x="621"/>
        <item h="1" x="532"/>
        <item h="1" x="336"/>
        <item h="1" x="655"/>
        <item h="1" x="504"/>
        <item h="1" x="614"/>
        <item h="1" x="810"/>
        <item h="1" x="321"/>
        <item h="1" x="695"/>
        <item h="1" x="662"/>
        <item h="1" x="367"/>
        <item h="1" x="369"/>
        <item h="1" x="567"/>
        <item h="1" x="469"/>
        <item h="1" x="266"/>
        <item h="1" x="801"/>
        <item h="1" x="914"/>
        <item h="1" x="315"/>
        <item h="1" x="414"/>
        <item h="1" x="183"/>
        <item h="1" x="292"/>
        <item h="1" x="623"/>
        <item h="1" x="652"/>
        <item h="1" x="501"/>
        <item h="1" x="606"/>
        <item h="1" x="289"/>
        <item h="1" x="527"/>
        <item h="1" x="692"/>
        <item h="1" x="470"/>
        <item h="1" x="413"/>
        <item h="1" x="20"/>
        <item h="1" x="597"/>
        <item h="1" x="811"/>
        <item h="1" x="499"/>
        <item h="1" x="829"/>
        <item h="1" x="792"/>
        <item h="1" x="362"/>
        <item h="1" x="450"/>
        <item h="1" x="815"/>
        <item h="1" x="836"/>
        <item h="1" x="766"/>
        <item h="1" x="399"/>
        <item h="1" x="661"/>
        <item h="1" x="182"/>
        <item h="1" x="658"/>
        <item h="1" x="667"/>
        <item h="1" x="423"/>
        <item h="1" x="671"/>
        <item h="1" x="405"/>
        <item h="1" x="480"/>
        <item h="1" x="592"/>
        <item h="1" x="665"/>
        <item h="1" x="288"/>
        <item h="1" x="177"/>
        <item h="1" x="672"/>
        <item h="1" x="697"/>
        <item h="1" x="690"/>
        <item h="1" x="685"/>
        <item h="1" x="657"/>
        <item h="1" x="670"/>
        <item h="1" x="666"/>
        <item h="1" x="737"/>
        <item h="1" x="664"/>
        <item h="1" x="444"/>
        <item h="1" x="817"/>
        <item h="1" x="293"/>
        <item h="1" x="784"/>
        <item h="1" x="683"/>
        <item h="1" x="707"/>
        <item h="1" x="43"/>
        <item h="1" x="570"/>
        <item h="1" x="516"/>
        <item h="1" x="730"/>
        <item h="1" x="602"/>
        <item h="1" x="659"/>
        <item h="1" x="760"/>
        <item h="1" x="675"/>
        <item h="1" x="153"/>
        <item h="1" x="458"/>
        <item h="1" x="332"/>
        <item h="1" x="702"/>
        <item h="1" x="50"/>
        <item h="1" x="841"/>
        <item h="1" x="358"/>
        <item h="1" x="772"/>
        <item h="1" x="686"/>
        <item h="1" x="355"/>
        <item h="1" x="42"/>
        <item h="1" x="446"/>
        <item h="1" x="758"/>
        <item h="1" x="654"/>
        <item h="1" x="733"/>
        <item h="1" x="698"/>
        <item h="1" x="167"/>
        <item h="1" x="774"/>
        <item h="1" x="393"/>
        <item h="1" x="463"/>
        <item h="1" x="613"/>
        <item h="1" x="226"/>
        <item h="1" x="631"/>
        <item h="1" x="775"/>
        <item h="1" x="790"/>
        <item h="1" x="283"/>
        <item h="1" x="827"/>
        <item h="1" x="18"/>
        <item h="1" x="673"/>
        <item h="1" x="569"/>
        <item h="1" x="669"/>
        <item h="1" x="21"/>
        <item h="1" x="635"/>
        <item h="1" x="384"/>
        <item h="1" x="566"/>
        <item h="1" x="382"/>
        <item h="1" x="483"/>
        <item h="1" x="425"/>
        <item h="1" x="764"/>
        <item h="1" x="749"/>
        <item h="1" x="656"/>
        <item h="1" x="803"/>
        <item h="1" x="682"/>
        <item h="1" x="676"/>
        <item h="1" x="189"/>
        <item h="1" x="684"/>
        <item h="1" x="777"/>
        <item h="1" x="329"/>
        <item h="1" x="668"/>
        <item h="1" x="641"/>
        <item h="1" x="440"/>
        <item h="1" x="178"/>
        <item h="1" x="732"/>
        <item h="1" x="839"/>
        <item h="1" x="663"/>
        <item h="1" x="821"/>
        <item h="1" x="626"/>
        <item h="1" x="892"/>
        <item h="1" x="754"/>
        <item h="1" x="36"/>
        <item h="1" x="468"/>
        <item h="1" x="549"/>
        <item h="1" x="837"/>
        <item h="1" x="781"/>
        <item h="1" x="787"/>
        <item h="1" x="750"/>
        <item h="1" x="627"/>
        <item h="1" x="820"/>
        <item h="1" x="771"/>
        <item h="1" x="246"/>
        <item h="1" x="726"/>
        <item h="1" x="696"/>
        <item h="1" x="729"/>
        <item h="1" x="392"/>
        <item h="1" x="466"/>
        <item h="1" x="147"/>
        <item h="1" x="753"/>
        <item h="1" x="34"/>
        <item h="1" x="32"/>
        <item h="1" x="442"/>
        <item h="1" x="831"/>
        <item h="1" x="628"/>
        <item h="1" x="768"/>
        <item h="1" x="761"/>
        <item h="1" x="678"/>
        <item h="1" x="460"/>
        <item h="1" x="443"/>
        <item h="1" x="806"/>
        <item h="1" x="395"/>
        <item h="1" x="826"/>
        <item h="1" x="813"/>
        <item h="1" x="441"/>
        <item h="1" x="755"/>
        <item h="1" x="763"/>
        <item h="1" x="642"/>
        <item h="1" x="229"/>
        <item h="1" x="734"/>
        <item h="1" x="612"/>
        <item h="1" x="64"/>
        <item h="1" x="640"/>
        <item h="1" x="748"/>
        <item h="1" x="812"/>
        <item h="1" x="509"/>
        <item h="1" x="357"/>
        <item h="1" x="521"/>
        <item h="1" x="778"/>
        <item h="1" x="172"/>
        <item h="1" x="202"/>
        <item h="1" x="190"/>
        <item h="1" x="419"/>
        <item h="1" x="840"/>
        <item h="1" x="402"/>
        <item h="1" x="364"/>
        <item h="1" x="540"/>
        <item h="1" x="864"/>
        <item h="1" x="743"/>
        <item h="1" x="282"/>
        <item h="1" x="101"/>
        <item h="1" x="536"/>
        <item h="1" x="453"/>
        <item h="1" x="689"/>
        <item h="1" x="365"/>
        <item h="1" x="788"/>
        <item h="1" x="156"/>
        <item h="1" x="824"/>
        <item h="1" x="207"/>
        <item h="1" x="756"/>
        <item h="1" x="770"/>
        <item h="1" x="795"/>
        <item h="1" x="622"/>
        <item h="1" x="608"/>
        <item h="1" x="794"/>
        <item h="1" x="688"/>
        <item h="1" x="905"/>
        <item h="1" x="505"/>
        <item h="1" x="600"/>
        <item h="1" x="918"/>
        <item h="1" x="104"/>
        <item h="1" x="680"/>
        <item h="1" x="830"/>
        <item h="1" x="745"/>
        <item h="1" x="888"/>
        <item h="1" x="838"/>
        <item h="1" x="751"/>
        <item h="1" x="819"/>
        <item h="1" x="731"/>
        <item h="1" x="862"/>
        <item h="1" x="373"/>
        <item h="1" x="225"/>
        <item h="1" x="168"/>
        <item h="1" x="633"/>
        <item h="1" x="783"/>
        <item h="1" x="833"/>
        <item h="1" x="73"/>
        <item h="1" x="825"/>
        <item h="1" x="832"/>
        <item h="1" x="372"/>
        <item h="1" x="346"/>
        <item h="1" x="610"/>
        <item h="1" x="746"/>
        <item h="1" x="791"/>
        <item h="1" x="752"/>
        <item h="1" x="59"/>
        <item h="1" x="886"/>
        <item h="1" x="611"/>
        <item h="1" x="149"/>
        <item h="1" x="762"/>
        <item h="1" x="919"/>
        <item h="1" x="10"/>
        <item h="1" x="845"/>
        <item h="1" x="709"/>
        <item h="1" x="380"/>
        <item h="1" x="26"/>
        <item h="1" x="852"/>
        <item h="1" x="129"/>
        <item h="1" x="639"/>
        <item h="1" x="773"/>
        <item h="1" x="782"/>
        <item h="1" x="179"/>
        <item h="1" x="130"/>
        <item h="1" x="818"/>
        <item h="1" x="2"/>
        <item h="1" x="816"/>
        <item h="1" x="885"/>
        <item h="1" x="936"/>
        <item h="1" x="67"/>
        <item h="1" x="448"/>
        <item h="1" x="853"/>
        <item h="1" x="930"/>
        <item h="1" x="779"/>
        <item h="1" x="89"/>
        <item h="1" x="146"/>
        <item h="1" x="424"/>
        <item h="1" x="797"/>
        <item h="1" x="193"/>
        <item h="1" x="107"/>
        <item h="1" x="25"/>
        <item h="1" x="51"/>
        <item h="1" x="605"/>
        <item h="1" x="807"/>
        <item h="1" x="903"/>
        <item h="1" x="704"/>
        <item h="1" x="863"/>
        <item h="1" x="99"/>
        <item h="1" x="7"/>
        <item h="1" x="710"/>
        <item h="1" x="740"/>
        <item h="1" x="455"/>
        <item h="1" x="937"/>
        <item h="1" x="57"/>
        <item h="1" x="136"/>
        <item h="1" x="893"/>
        <item h="1" x="927"/>
        <item h="1" x="759"/>
        <item h="1" x="323"/>
        <item h="1" x="459"/>
        <item h="1" x="376"/>
        <item h="1" x="24"/>
        <item h="1" x="865"/>
        <item h="1" x="454"/>
        <item h="1" x="87"/>
        <item h="1" x="27"/>
        <item h="1" x="741"/>
        <item h="1" x="849"/>
        <item h="1" x="13"/>
        <item h="1" x="123"/>
        <item h="1" x="155"/>
        <item h="1" x="461"/>
        <item h="1" x="677"/>
        <item h="1" x="102"/>
        <item h="1" x="744"/>
        <item h="1" x="929"/>
        <item h="1" x="426"/>
        <item h="1" x="56"/>
        <item h="1" x="19"/>
        <item h="1" x="180"/>
        <item h="1" x="39"/>
        <item h="1" x="609"/>
        <item h="1" x="139"/>
        <item h="1" x="632"/>
        <item h="1" x="54"/>
        <item h="1" x="33"/>
        <item h="1" x="127"/>
        <item h="1" x="757"/>
        <item h="1" x="171"/>
        <item h="1" x="901"/>
        <item h="1" x="917"/>
        <item h="1" x="194"/>
        <item h="1" x="875"/>
        <item h="1" x="22"/>
        <item h="1" x="192"/>
        <item h="1" x="780"/>
        <item h="1" x="915"/>
        <item h="1" x="796"/>
        <item h="1" x="62"/>
        <item h="1" x="11"/>
        <item h="1" x="227"/>
        <item h="1" x="850"/>
        <item h="1" x="857"/>
        <item h="1" x="679"/>
        <item h="1" x="159"/>
        <item h="1" x="537"/>
        <item h="1" x="103"/>
        <item h="1" x="858"/>
        <item h="1" x="60"/>
        <item h="1" x="681"/>
        <item h="1" x="922"/>
        <item h="1" x="890"/>
        <item h="1" x="910"/>
        <item h="1" x="135"/>
        <item h="1" x="913"/>
        <item h="1" x="895"/>
        <item h="1" x="131"/>
        <item h="1" x="340"/>
        <item h="1" x="805"/>
        <item h="1" x="58"/>
        <item h="1" x="63"/>
        <item h="1" x="589"/>
        <item h="1" x="877"/>
        <item h="1" x="911"/>
        <item h="1" x="938"/>
        <item h="1" x="854"/>
        <item h="1" x="935"/>
        <item h="1" x="715"/>
        <item h="1" x="61"/>
        <item h="1" x="121"/>
        <item h="1" x="137"/>
        <item h="1" x="181"/>
        <item h="1" x="908"/>
        <item h="1" x="809"/>
        <item h="1" x="923"/>
        <item h="1" x="30"/>
        <item h="1" x="106"/>
        <item h="1" x="12"/>
        <item h="1" x="66"/>
        <item h="1" x="912"/>
        <item h="1" x="789"/>
        <item h="1" x="115"/>
        <item h="1" x="776"/>
        <item h="1" x="72"/>
        <item h="1" x="126"/>
        <item h="1" x="90"/>
        <item h="1" x="898"/>
        <item h="1" x="374"/>
        <item h="1" x="28"/>
        <item h="1" x="708"/>
        <item h="1" x="112"/>
        <item h="1" x="138"/>
        <item h="1" x="703"/>
        <item h="1" x="897"/>
        <item h="1" x="894"/>
        <item h="1" x="828"/>
        <item h="1" x="140"/>
        <item h="1" x="84"/>
        <item h="1" x="65"/>
        <item h="1" x="904"/>
        <item h="1" x="712"/>
        <item h="1" x="861"/>
        <item h="1" x="118"/>
        <item h="1" x="711"/>
        <item h="1" x="145"/>
        <item h="1" x="150"/>
        <item h="1" x="800"/>
        <item h="1" x="883"/>
        <item h="1" x="694"/>
        <item h="1" x="80"/>
        <item h="1" x="385"/>
        <item h="1" x="117"/>
        <item h="1" x="848"/>
        <item h="1" x="113"/>
        <item h="1" x="856"/>
        <item h="1" x="785"/>
        <item h="1" x="23"/>
        <item h="1" x="110"/>
        <item h="1" x="48"/>
        <item h="1" x="909"/>
        <item h="1" x="916"/>
        <item h="1" x="921"/>
        <item h="1" x="52"/>
        <item h="1" x="75"/>
        <item h="1" x="78"/>
        <item h="1" x="79"/>
        <item h="1" x="82"/>
        <item h="1" x="860"/>
        <item h="1" x="739"/>
        <item h="1" x="128"/>
        <item h="1" x="85"/>
        <item h="1" x="735"/>
        <item h="1" x="55"/>
        <item h="1" x="15"/>
        <item h="1" x="86"/>
        <item h="1" x="17"/>
        <item h="1" x="98"/>
        <item h="1" x="767"/>
        <item h="1" x="14"/>
        <item h="1" x="88"/>
        <item h="1" x="49"/>
        <item h="1" x="920"/>
        <item h="1" x="907"/>
        <item h="1" x="125"/>
        <item h="1" x="736"/>
        <item h="1" x="873"/>
        <item h="1" x="105"/>
        <item h="1" x="879"/>
        <item h="1" x="134"/>
        <item h="1" x="701"/>
        <item h="1" x="747"/>
        <item h="1" x="70"/>
        <item h="1" x="804"/>
        <item h="1" x="847"/>
        <item h="1" x="834"/>
        <item h="1" x="884"/>
        <item h="1" x="887"/>
        <item h="1" x="114"/>
        <item h="1" x="133"/>
        <item h="1" x="148"/>
        <item h="1" x="29"/>
        <item h="1" x="161"/>
        <item h="1" x="900"/>
        <item h="1" x="427"/>
        <item h="1" x="97"/>
        <item h="1" x="96"/>
        <item h="1" x="742"/>
        <item h="1" x="878"/>
        <item h="1" x="132"/>
        <item h="1" x="143"/>
        <item h="1" x="430"/>
        <item h="1" x="814"/>
        <item h="1" x="53"/>
        <item h="1" x="188"/>
        <item h="1" x="81"/>
        <item h="1" x="928"/>
        <item h="1" x="119"/>
        <item h="1" x="8"/>
        <item h="1" x="9"/>
        <item h="1" x="1"/>
        <item h="1" x="716"/>
        <item h="1" x="931"/>
        <item h="1" x="933"/>
        <item h="1" x="902"/>
        <item h="1" x="120"/>
        <item h="1" x="16"/>
        <item h="1" x="899"/>
        <item h="1" x="881"/>
        <item h="1" x="793"/>
        <item h="1" x="93"/>
        <item h="1" x="874"/>
        <item h="1" x="109"/>
        <item h="1" x="6"/>
        <item h="1" x="823"/>
        <item h="1" x="111"/>
        <item h="1" x="142"/>
        <item h="1" x="91"/>
        <item h="1" x="449"/>
        <item h="1" x="76"/>
        <item h="1" x="822"/>
        <item h="1" x="431"/>
        <item h="1" x="876"/>
        <item h="1" x="889"/>
        <item h="1" x="447"/>
        <item h="1" x="855"/>
        <item h="1" x="160"/>
        <item h="1" x="906"/>
        <item h="1" x="891"/>
        <item h="1" x="345"/>
        <item h="1" x="435"/>
        <item h="1" x="122"/>
        <item h="1" x="74"/>
        <item h="1" x="124"/>
        <item h="1" x="434"/>
        <item h="1" x="83"/>
        <item h="1" x="846"/>
        <item h="1" x="934"/>
        <item h="1" x="437"/>
        <item h="1" x="398"/>
        <item h="1" x="100"/>
        <item h="1" x="851"/>
        <item h="1" x="438"/>
        <item h="1" x="786"/>
        <item h="1" x="932"/>
        <item h="1" x="116"/>
        <item h="1" x="326"/>
        <item h="1" x="723"/>
        <item h="1" x="926"/>
        <item h="1" x="141"/>
        <item h="1" x="144"/>
        <item h="1" x="436"/>
        <item h="1" x="859"/>
        <item h="1" x="92"/>
        <item h="1" x="433"/>
        <item h="1" x="429"/>
        <item h="1" x="68"/>
        <item h="1" x="543"/>
        <item h="1" x="428"/>
        <item h="1" x="880"/>
        <item h="1" x="924"/>
        <item h="1" x="69"/>
        <item h="1" x="108"/>
        <item h="1" x="882"/>
        <item h="1" x="896"/>
        <item h="1" x="94"/>
        <item h="1" x="439"/>
        <item h="1" x="432"/>
        <item h="1" x="925"/>
        <item h="1" x="717"/>
        <item h="1" x="77"/>
        <item h="1" x="939"/>
        <item h="1" x="95"/>
        <item h="1" x="5"/>
        <item x="47"/>
        <item x="71"/>
        <item x="151"/>
        <item h="1" x="0"/>
        <item t="default"/>
      </items>
    </pivotField>
    <pivotField showAll="0"/>
    <pivotField showAll="0"/>
    <pivotField showAll="0"/>
    <pivotField axis="axisPage" multipleItemSelectionAllowed="1" showAll="0">
      <items count="227">
        <item h="1" x="213"/>
        <item h="1" x="11"/>
        <item h="1" x="212"/>
        <item h="1" x="198"/>
        <item h="1" x="65"/>
        <item h="1" x="207"/>
        <item h="1" x="60"/>
        <item h="1" x="13"/>
        <item h="1" x="197"/>
        <item h="1" x="211"/>
        <item h="1" x="10"/>
        <item h="1" x="210"/>
        <item h="1" x="204"/>
        <item h="1" x="68"/>
        <item h="1" x="75"/>
        <item h="1" x="219"/>
        <item h="1" x="67"/>
        <item h="1" x="209"/>
        <item h="1" x="217"/>
        <item h="1" x="208"/>
        <item h="1" x="203"/>
        <item h="1" x="218"/>
        <item h="1" x="202"/>
        <item h="1" x="216"/>
        <item h="1" x="190"/>
        <item h="1" x="79"/>
        <item h="1" x="200"/>
        <item h="1" x="71"/>
        <item h="1" x="86"/>
        <item h="1" x="42"/>
        <item h="1" x="90"/>
        <item h="1" x="61"/>
        <item h="1" x="205"/>
        <item h="1" x="43"/>
        <item h="1" x="70"/>
        <item h="1" x="199"/>
        <item h="1" x="189"/>
        <item h="1" x="81"/>
        <item h="1" x="9"/>
        <item h="1" x="82"/>
        <item h="1" x="73"/>
        <item h="1" x="182"/>
        <item h="1" x="193"/>
        <item h="1" x="78"/>
        <item h="1" x="188"/>
        <item h="1" x="76"/>
        <item h="1" x="12"/>
        <item h="1" x="31"/>
        <item h="1" x="38"/>
        <item h="1" x="192"/>
        <item h="1" x="85"/>
        <item h="1" x="206"/>
        <item h="1" x="77"/>
        <item h="1" x="87"/>
        <item h="1" x="92"/>
        <item h="1" x="40"/>
        <item h="1" x="101"/>
        <item h="1" x="83"/>
        <item h="1" x="14"/>
        <item h="1" x="91"/>
        <item h="1" x="138"/>
        <item h="1" x="80"/>
        <item h="1" x="191"/>
        <item h="1" x="88"/>
        <item h="1" x="62"/>
        <item h="1" x="150"/>
        <item h="1" x="72"/>
        <item h="1" x="74"/>
        <item h="1" x="37"/>
        <item h="1" x="159"/>
        <item h="1" x="145"/>
        <item h="1" x="69"/>
        <item h="1" x="36"/>
        <item h="1" x="174"/>
        <item h="1" x="99"/>
        <item h="1" x="96"/>
        <item h="1" x="110"/>
        <item h="1" x="137"/>
        <item h="1" x="34"/>
        <item h="1" x="94"/>
        <item h="1" x="58"/>
        <item h="1" x="134"/>
        <item h="1" x="97"/>
        <item h="1" x="6"/>
        <item h="1" x="126"/>
        <item h="1" x="122"/>
        <item h="1" x="59"/>
        <item h="1" x="45"/>
        <item h="1" x="3"/>
        <item h="1" x="21"/>
        <item h="1" x="127"/>
        <item h="1" x="89"/>
        <item h="1" x="23"/>
        <item h="1" x="44"/>
        <item h="1" x="50"/>
        <item h="1" x="54"/>
        <item h="1" x="17"/>
        <item h="1" x="7"/>
        <item h="1" x="57"/>
        <item h="1" x="53"/>
        <item h="1" x="102"/>
        <item h="1" x="18"/>
        <item h="1" x="48"/>
        <item h="1" x="52"/>
        <item h="1" x="104"/>
        <item h="1" x="154"/>
        <item h="1" x="4"/>
        <item h="1" x="25"/>
        <item h="1" x="32"/>
        <item h="1" x="129"/>
        <item h="1" x="20"/>
        <item h="1" x="47"/>
        <item h="1" x="30"/>
        <item h="1" x="93"/>
        <item h="1" x="56"/>
        <item h="1" x="63"/>
        <item h="1" x="112"/>
        <item h="1" x="128"/>
        <item h="1" x="141"/>
        <item h="1" x="49"/>
        <item h="1" x="84"/>
        <item h="1" x="16"/>
        <item h="1" x="100"/>
        <item h="1" x="119"/>
        <item h="1" x="113"/>
        <item h="1" x="46"/>
        <item h="1" x="114"/>
        <item h="1" x="51"/>
        <item h="1" x="123"/>
        <item h="1" x="106"/>
        <item h="1" x="64"/>
        <item h="1" x="98"/>
        <item h="1" x="151"/>
        <item h="1" x="131"/>
        <item h="1" x="169"/>
        <item h="1" x="55"/>
        <item h="1" x="124"/>
        <item h="1" x="139"/>
        <item h="1" x="28"/>
        <item h="1" x="130"/>
        <item h="1" x="116"/>
        <item h="1" x="157"/>
        <item h="1" x="22"/>
        <item h="1" x="103"/>
        <item h="1" x="158"/>
        <item h="1" x="39"/>
        <item h="1" x="153"/>
        <item h="1" x="144"/>
        <item h="1" x="125"/>
        <item h="1" x="156"/>
        <item h="1" x="24"/>
        <item h="1" x="166"/>
        <item h="1" x="8"/>
        <item h="1" x="105"/>
        <item h="1" x="121"/>
        <item h="1" x="173"/>
        <item h="1" x="201"/>
        <item h="1" x="140"/>
        <item h="1" x="171"/>
        <item h="1" x="172"/>
        <item h="1" x="149"/>
        <item h="1" x="163"/>
        <item h="1" x="120"/>
        <item h="1" x="136"/>
        <item h="1" x="35"/>
        <item h="1" x="161"/>
        <item h="1" x="168"/>
        <item h="1" x="170"/>
        <item h="1" x="177"/>
        <item h="1" x="19"/>
        <item h="1" x="195"/>
        <item h="1" x="132"/>
        <item h="1" x="118"/>
        <item h="1" x="162"/>
        <item h="1" x="178"/>
        <item h="1" x="107"/>
        <item h="1" x="146"/>
        <item h="1" x="221"/>
        <item h="1" x="164"/>
        <item h="1" x="220"/>
        <item h="1" x="179"/>
        <item h="1" x="147"/>
        <item h="1" x="66"/>
        <item h="1" x="15"/>
        <item h="1" x="143"/>
        <item h="1" x="160"/>
        <item h="1" x="176"/>
        <item h="1" x="214"/>
        <item h="1" x="167"/>
        <item h="1" x="194"/>
        <item h="1" x="180"/>
        <item h="1" x="41"/>
        <item h="1" x="224"/>
        <item h="1" x="142"/>
        <item h="1" x="2"/>
        <item h="1" x="115"/>
        <item h="1" x="152"/>
        <item h="1" x="133"/>
        <item h="1" x="5"/>
        <item h="1" x="148"/>
        <item h="1" x="27"/>
        <item h="1" x="187"/>
        <item h="1" x="185"/>
        <item h="1" x="26"/>
        <item h="1" x="186"/>
        <item h="1" x="196"/>
        <item h="1" x="181"/>
        <item h="1" x="111"/>
        <item h="1" x="222"/>
        <item h="1" x="95"/>
        <item h="1" x="0"/>
        <item h="1" x="117"/>
        <item h="1" x="1"/>
        <item h="1" x="223"/>
        <item h="1" x="225"/>
        <item h="1" x="135"/>
        <item h="1" x="155"/>
        <item h="1" x="183"/>
        <item h="1" x="108"/>
        <item x="165"/>
        <item x="175"/>
        <item x="215"/>
        <item x="33"/>
        <item x="184"/>
        <item x="109"/>
        <item h="1" x="29"/>
        <item t="default"/>
      </items>
    </pivotField>
    <pivotField showAll="0">
      <items count="362">
        <item x="59"/>
        <item x="335"/>
        <item x="345"/>
        <item x="10"/>
        <item x="336"/>
        <item x="323"/>
        <item x="66"/>
        <item x="309"/>
        <item x="63"/>
        <item x="65"/>
        <item x="341"/>
        <item x="325"/>
        <item x="317"/>
        <item x="302"/>
        <item x="58"/>
        <item x="9"/>
        <item x="69"/>
        <item x="82"/>
        <item x="79"/>
        <item x="297"/>
        <item x="289"/>
        <item x="312"/>
        <item x="287"/>
        <item x="294"/>
        <item x="68"/>
        <item x="76"/>
        <item x="64"/>
        <item x="77"/>
        <item x="84"/>
        <item x="73"/>
        <item x="71"/>
        <item x="234"/>
        <item x="78"/>
        <item x="296"/>
        <item x="320"/>
        <item x="75"/>
        <item x="70"/>
        <item x="283"/>
        <item x="34"/>
        <item x="81"/>
        <item x="80"/>
        <item x="72"/>
        <item x="83"/>
        <item x="60"/>
        <item x="291"/>
        <item x="285"/>
        <item x="284"/>
        <item x="74"/>
        <item x="112"/>
        <item x="290"/>
        <item x="299"/>
        <item x="272"/>
        <item x="286"/>
        <item x="282"/>
        <item x="85"/>
        <item x="67"/>
        <item x="86"/>
        <item x="32"/>
        <item x="185"/>
        <item x="142"/>
        <item x="36"/>
        <item x="91"/>
        <item x="153"/>
        <item x="57"/>
        <item x="202"/>
        <item x="38"/>
        <item x="292"/>
        <item x="130"/>
        <item x="92"/>
        <item x="56"/>
        <item x="239"/>
        <item x="131"/>
        <item x="24"/>
        <item x="90"/>
        <item x="100"/>
        <item x="111"/>
        <item x="52"/>
        <item x="33"/>
        <item x="94"/>
        <item x="3"/>
        <item x="16"/>
        <item x="105"/>
        <item x="18"/>
        <item x="193"/>
        <item x="62"/>
        <item x="173"/>
        <item x="45"/>
        <item x="41"/>
        <item x="55"/>
        <item x="171"/>
        <item x="110"/>
        <item x="133"/>
        <item x="124"/>
        <item x="88"/>
        <item x="29"/>
        <item x="121"/>
        <item x="95"/>
        <item x="37"/>
        <item x="40"/>
        <item x="4"/>
        <item x="48"/>
        <item x="180"/>
        <item x="220"/>
        <item x="54"/>
        <item x="201"/>
        <item x="43"/>
        <item x="15"/>
        <item x="42"/>
        <item x="147"/>
        <item x="14"/>
        <item x="89"/>
        <item x="167"/>
        <item x="308"/>
        <item x="223"/>
        <item x="182"/>
        <item x="145"/>
        <item x="96"/>
        <item x="97"/>
        <item x="106"/>
        <item x="216"/>
        <item x="156"/>
        <item x="311"/>
        <item x="301"/>
        <item x="39"/>
        <item x="93"/>
        <item x="61"/>
        <item x="107"/>
        <item x="11"/>
        <item x="212"/>
        <item x="126"/>
        <item x="132"/>
        <item x="150"/>
        <item x="134"/>
        <item x="113"/>
        <item x="129"/>
        <item x="242"/>
        <item x="151"/>
        <item x="195"/>
        <item x="250"/>
        <item x="104"/>
        <item x="120"/>
        <item x="155"/>
        <item x="53"/>
        <item x="119"/>
        <item x="259"/>
        <item x="44"/>
        <item x="246"/>
        <item x="49"/>
        <item x="101"/>
        <item x="204"/>
        <item x="229"/>
        <item x="46"/>
        <item x="135"/>
        <item x="166"/>
        <item x="295"/>
        <item x="109"/>
        <item x="128"/>
        <item x="191"/>
        <item x="98"/>
        <item x="123"/>
        <item x="138"/>
        <item x="192"/>
        <item x="273"/>
        <item x="51"/>
        <item x="50"/>
        <item x="319"/>
        <item x="280"/>
        <item x="87"/>
        <item x="293"/>
        <item x="137"/>
        <item x="114"/>
        <item x="115"/>
        <item x="125"/>
        <item x="116"/>
        <item x="20"/>
        <item x="186"/>
        <item x="224"/>
        <item x="194"/>
        <item x="102"/>
        <item x="47"/>
        <item x="143"/>
        <item x="315"/>
        <item x="331"/>
        <item x="118"/>
        <item x="332"/>
        <item x="321"/>
        <item x="122"/>
        <item x="103"/>
        <item x="108"/>
        <item x="333"/>
        <item x="136"/>
        <item x="189"/>
        <item x="154"/>
        <item x="316"/>
        <item x="184"/>
        <item x="314"/>
        <item x="343"/>
        <item x="300"/>
        <item x="264"/>
        <item x="342"/>
        <item x="127"/>
        <item x="177"/>
        <item x="19"/>
        <item x="169"/>
        <item x="307"/>
        <item x="306"/>
        <item x="163"/>
        <item x="244"/>
        <item x="328"/>
        <item x="344"/>
        <item x="198"/>
        <item x="327"/>
        <item x="117"/>
        <item x="243"/>
        <item x="253"/>
        <item x="257"/>
        <item x="215"/>
        <item x="304"/>
        <item x="144"/>
        <item x="305"/>
        <item x="318"/>
        <item x="225"/>
        <item x="227"/>
        <item x="298"/>
        <item x="206"/>
        <item x="324"/>
        <item x="203"/>
        <item x="313"/>
        <item x="310"/>
        <item x="258"/>
        <item x="329"/>
        <item x="190"/>
        <item x="322"/>
        <item x="165"/>
        <item x="99"/>
        <item x="288"/>
        <item x="178"/>
        <item x="205"/>
        <item x="228"/>
        <item x="208"/>
        <item x="200"/>
        <item x="265"/>
        <item x="326"/>
        <item x="237"/>
        <item x="211"/>
        <item x="162"/>
        <item x="240"/>
        <item x="303"/>
        <item x="187"/>
        <item x="141"/>
        <item x="269"/>
        <item x="172"/>
        <item x="179"/>
        <item x="209"/>
        <item x="268"/>
        <item x="354"/>
        <item x="157"/>
        <item x="8"/>
        <item x="213"/>
        <item x="256"/>
        <item x="219"/>
        <item x="176"/>
        <item x="183"/>
        <item x="266"/>
        <item x="210"/>
        <item x="181"/>
        <item x="281"/>
        <item x="17"/>
        <item x="262"/>
        <item x="221"/>
        <item x="279"/>
        <item x="175"/>
        <item x="241"/>
        <item x="247"/>
        <item x="270"/>
        <item x="146"/>
        <item x="277"/>
        <item x="338"/>
        <item x="276"/>
        <item x="217"/>
        <item x="339"/>
        <item x="330"/>
        <item x="214"/>
        <item x="235"/>
        <item x="337"/>
        <item x="248"/>
        <item x="260"/>
        <item x="31"/>
        <item x="278"/>
        <item x="149"/>
        <item x="207"/>
        <item x="254"/>
        <item x="5"/>
        <item x="245"/>
        <item x="275"/>
        <item x="263"/>
        <item x="274"/>
        <item x="25"/>
        <item x="251"/>
        <item x="160"/>
        <item x="140"/>
        <item x="222"/>
        <item x="139"/>
        <item x="159"/>
        <item x="238"/>
        <item x="22"/>
        <item x="30"/>
        <item x="21"/>
        <item x="174"/>
        <item x="7"/>
        <item x="236"/>
        <item x="230"/>
        <item x="2"/>
        <item x="161"/>
        <item x="353"/>
        <item x="355"/>
        <item x="168"/>
        <item x="271"/>
        <item x="360"/>
        <item x="357"/>
        <item x="170"/>
        <item x="231"/>
        <item x="261"/>
        <item x="252"/>
        <item x="199"/>
        <item x="197"/>
        <item x="351"/>
        <item x="346"/>
        <item x="358"/>
        <item x="26"/>
        <item x="356"/>
        <item x="340"/>
        <item x="28"/>
        <item x="12"/>
        <item x="0"/>
        <item x="35"/>
        <item x="158"/>
        <item x="148"/>
        <item x="350"/>
        <item x="255"/>
        <item x="196"/>
        <item x="13"/>
        <item x="249"/>
        <item x="152"/>
        <item x="359"/>
        <item x="1"/>
        <item x="352"/>
        <item x="23"/>
        <item x="349"/>
        <item x="164"/>
        <item x="334"/>
        <item x="233"/>
        <item x="267"/>
        <item x="347"/>
        <item x="348"/>
        <item x="188"/>
        <item x="218"/>
        <item x="226"/>
        <item x="27"/>
        <item x="232"/>
        <item x="6"/>
        <item t="default"/>
      </items>
    </pivotField>
    <pivotField showAll="0"/>
  </pivotFields>
  <rowItems count="1">
    <i/>
  </rowItems>
  <colItems count="1">
    <i/>
  </colItems>
  <pageFields count="2">
    <pageField fld="11" hier="-1"/>
    <pageField fld="16" hier="-1"/>
  </pageFields>
  <dataFields count="1">
    <dataField name="Count of pl_nam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39C4DA-3E31-BC4E-AD76-373D204E5DC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4:K5" firstHeaderRow="1" firstDataRow="1" firstDataCol="0" rowPageCount="2" colPageCount="1"/>
  <pivotFields count="19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04">
        <item x="559"/>
        <item x="320"/>
        <item x="227"/>
        <item x="578"/>
        <item x="281"/>
        <item x="579"/>
        <item x="322"/>
        <item x="282"/>
        <item x="580"/>
        <item x="576"/>
        <item x="581"/>
        <item x="577"/>
        <item x="545"/>
        <item x="54"/>
        <item x="484"/>
        <item x="305"/>
        <item x="321"/>
        <item x="307"/>
        <item x="422"/>
        <item x="431"/>
        <item x="533"/>
        <item x="66"/>
        <item x="391"/>
        <item x="310"/>
        <item x="306"/>
        <item x="292"/>
        <item x="423"/>
        <item x="45"/>
        <item x="392"/>
        <item x="546"/>
        <item x="486"/>
        <item x="65"/>
        <item x="397"/>
        <item x="479"/>
        <item x="481"/>
        <item x="371"/>
        <item x="187"/>
        <item x="294"/>
        <item x="296"/>
        <item x="450"/>
        <item x="311"/>
        <item x="425"/>
        <item x="365"/>
        <item x="462"/>
        <item x="467"/>
        <item x="451"/>
        <item x="449"/>
        <item x="295"/>
        <item x="189"/>
        <item x="548"/>
        <item x="382"/>
        <item x="366"/>
        <item x="278"/>
        <item x="288"/>
        <item x="188"/>
        <item x="342"/>
        <item x="702"/>
        <item x="329"/>
        <item x="212"/>
        <item x="341"/>
        <item x="351"/>
        <item x="67"/>
        <item x="300"/>
        <item x="517"/>
        <item x="34"/>
        <item x="461"/>
        <item x="369"/>
        <item x="380"/>
        <item x="482"/>
        <item x="352"/>
        <item x="55"/>
        <item x="390"/>
        <item x="419"/>
        <item x="469"/>
        <item x="238"/>
        <item x="233"/>
        <item x="225"/>
        <item x="501"/>
        <item x="465"/>
        <item x="466"/>
        <item x="63"/>
        <item x="334"/>
        <item x="464"/>
        <item x="483"/>
        <item x="291"/>
        <item x="454"/>
        <item x="191"/>
        <item x="290"/>
        <item x="213"/>
        <item x="370"/>
        <item x="333"/>
        <item x="177"/>
        <item x="432"/>
        <item x="427"/>
        <item x="215"/>
        <item x="13"/>
        <item x="302"/>
        <item x="178"/>
        <item x="319"/>
        <item x="229"/>
        <item x="46"/>
        <item x="478"/>
        <item x="378"/>
        <item x="209"/>
        <item x="276"/>
        <item x="214"/>
        <item x="297"/>
        <item x="279"/>
        <item x="493"/>
        <item x="228"/>
        <item x="201"/>
        <item x="348"/>
        <item x="231"/>
        <item x="298"/>
        <item x="247"/>
        <item x="340"/>
        <item x="244"/>
        <item x="489"/>
        <item x="301"/>
        <item x="283"/>
        <item x="234"/>
        <item x="475"/>
        <item x="236"/>
        <item x="401"/>
        <item x="303"/>
        <item x="226"/>
        <item x="309"/>
        <item x="383"/>
        <item x="243"/>
        <item x="32"/>
        <item x="202"/>
        <item x="339"/>
        <item x="477"/>
        <item x="337"/>
        <item x="346"/>
        <item x="58"/>
        <item x="452"/>
        <item x="516"/>
        <item x="64"/>
        <item x="426"/>
        <item x="224"/>
        <item x="381"/>
        <item x="221"/>
        <item x="284"/>
        <item x="232"/>
        <item x="418"/>
        <item x="318"/>
        <item x="190"/>
        <item x="355"/>
        <item x="336"/>
        <item x="242"/>
        <item x="192"/>
        <item x="195"/>
        <item x="289"/>
        <item x="335"/>
        <item x="387"/>
        <item x="194"/>
        <item x="497"/>
        <item x="220"/>
        <item x="424"/>
        <item x="246"/>
        <item x="521"/>
        <item x="510"/>
        <item x="541"/>
        <item x="250"/>
        <item x="304"/>
        <item x="394"/>
        <item x="59"/>
        <item x="16"/>
        <item x="338"/>
        <item x="56"/>
        <item x="368"/>
        <item x="488"/>
        <item x="388"/>
        <item x="173"/>
        <item x="349"/>
        <item x="308"/>
        <item x="208"/>
        <item x="35"/>
        <item x="376"/>
        <item x="248"/>
        <item x="312"/>
        <item x="398"/>
        <item x="496"/>
        <item x="316"/>
        <item x="230"/>
        <item x="317"/>
        <item x="502"/>
        <item x="199"/>
        <item x="286"/>
        <item x="315"/>
        <item x="299"/>
        <item x="324"/>
        <item x="615"/>
        <item x="359"/>
        <item x="170"/>
        <item x="377"/>
        <item x="379"/>
        <item x="622"/>
        <item x="172"/>
        <item x="14"/>
        <item x="527"/>
        <item x="49"/>
        <item x="330"/>
        <item x="358"/>
        <item x="490"/>
        <item x="293"/>
        <item x="471"/>
        <item x="253"/>
        <item x="11"/>
        <item x="153"/>
        <item x="538"/>
        <item x="363"/>
        <item x="522"/>
        <item x="163"/>
        <item x="608"/>
        <item x="400"/>
        <item x="524"/>
        <item x="193"/>
        <item x="362"/>
        <item x="78"/>
        <item x="357"/>
        <item x="473"/>
        <item x="396"/>
        <item x="72"/>
        <item x="47"/>
        <item x="223"/>
        <item x="511"/>
        <item x="647"/>
        <item x="154"/>
        <item x="386"/>
        <item x="325"/>
        <item x="406"/>
        <item x="520"/>
        <item x="470"/>
        <item x="150"/>
        <item x="539"/>
        <item x="97"/>
        <item x="36"/>
        <item x="494"/>
        <item x="519"/>
        <item x="356"/>
        <item x="620"/>
        <item x="626"/>
        <item x="654"/>
        <item x="607"/>
        <item x="350"/>
        <item x="408"/>
        <item x="532"/>
        <item x="79"/>
        <item x="638"/>
        <item x="643"/>
        <item x="600"/>
        <item x="110"/>
        <item x="621"/>
        <item x="642"/>
        <item x="235"/>
        <item x="160"/>
        <item x="327"/>
        <item x="285"/>
        <item x="239"/>
        <item x="407"/>
        <item x="120"/>
        <item x="104"/>
        <item x="610"/>
        <item x="440"/>
        <item x="661"/>
        <item x="568"/>
        <item x="421"/>
        <item x="399"/>
        <item x="453"/>
        <item x="176"/>
        <item x="384"/>
        <item x="530"/>
        <item x="155"/>
        <item x="217"/>
        <item x="547"/>
        <item x="611"/>
        <item x="175"/>
        <item x="364"/>
        <item x="632"/>
        <item x="249"/>
        <item x="404"/>
        <item x="460"/>
        <item x="674"/>
        <item x="314"/>
        <item x="618"/>
        <item x="456"/>
        <item x="667"/>
        <item x="664"/>
        <item x="43"/>
        <item x="531"/>
        <item x="598"/>
        <item x="649"/>
        <item x="690"/>
        <item x="100"/>
        <item x="39"/>
        <item x="210"/>
        <item x="106"/>
        <item x="375"/>
        <item x="211"/>
        <item x="639"/>
        <item x="417"/>
        <item x="636"/>
        <item x="536"/>
        <item x="592"/>
        <item x="601"/>
        <item x="37"/>
        <item x="264"/>
        <item x="71"/>
        <item x="125"/>
        <item x="118"/>
        <item x="525"/>
        <item x="137"/>
        <item x="557"/>
        <item x="345"/>
        <item x="26"/>
        <item x="683"/>
        <item x="492"/>
        <item x="126"/>
        <item x="624"/>
        <item x="395"/>
        <item x="151"/>
        <item x="696"/>
        <item x="85"/>
        <item x="442"/>
        <item x="169"/>
        <item x="240"/>
        <item x="77"/>
        <item x="114"/>
        <item x="676"/>
        <item x="463"/>
        <item x="405"/>
        <item x="158"/>
        <item x="98"/>
        <item x="606"/>
        <item x="666"/>
        <item x="136"/>
        <item x="549"/>
        <item x="86"/>
        <item x="504"/>
        <item x="277"/>
        <item x="87"/>
        <item x="575"/>
        <item x="457"/>
        <item x="145"/>
        <item x="534"/>
        <item x="668"/>
        <item x="89"/>
        <item x="139"/>
        <item x="631"/>
        <item x="326"/>
        <item x="266"/>
        <item x="103"/>
        <item x="161"/>
        <item x="448"/>
        <item x="644"/>
        <item x="99"/>
        <item x="138"/>
        <item x="252"/>
        <item x="685"/>
        <item x="152"/>
        <item x="141"/>
        <item x="272"/>
        <item x="62"/>
        <item x="42"/>
        <item x="540"/>
        <item x="518"/>
        <item x="684"/>
        <item x="186"/>
        <item x="563"/>
        <item x="508"/>
        <item x="84"/>
        <item x="113"/>
        <item x="156"/>
        <item x="237"/>
        <item x="123"/>
        <item x="584"/>
        <item x="119"/>
        <item x="597"/>
        <item x="660"/>
        <item x="343"/>
        <item x="688"/>
        <item x="159"/>
        <item x="485"/>
        <item x="472"/>
        <item x="507"/>
        <item x="111"/>
        <item x="165"/>
        <item x="487"/>
        <item x="90"/>
        <item x="10"/>
        <item x="414"/>
        <item x="48"/>
        <item x="455"/>
        <item x="40"/>
        <item x="73"/>
        <item x="589"/>
        <item x="219"/>
        <item x="669"/>
        <item x="526"/>
        <item x="88"/>
        <item x="645"/>
        <item x="656"/>
        <item x="619"/>
        <item x="105"/>
        <item x="605"/>
        <item x="263"/>
        <item x="646"/>
        <item x="641"/>
        <item x="23"/>
        <item x="439"/>
        <item x="92"/>
        <item x="692"/>
        <item x="143"/>
        <item x="254"/>
        <item x="164"/>
        <item x="437"/>
        <item x="429"/>
        <item x="108"/>
        <item x="415"/>
        <item x="609"/>
        <item x="552"/>
        <item x="184"/>
        <item x="468"/>
        <item x="20"/>
        <item x="553"/>
        <item x="657"/>
        <item x="102"/>
        <item x="640"/>
        <item x="679"/>
        <item x="140"/>
        <item x="127"/>
        <item x="675"/>
        <item x="480"/>
        <item x="287"/>
        <item x="402"/>
        <item x="29"/>
        <item x="681"/>
        <item x="695"/>
        <item x="180"/>
        <item x="659"/>
        <item x="612"/>
        <item x="96"/>
        <item x="651"/>
        <item x="551"/>
        <item x="258"/>
        <item x="604"/>
        <item x="698"/>
        <item x="101"/>
        <item x="142"/>
        <item x="561"/>
        <item x="614"/>
        <item x="144"/>
        <item x="602"/>
        <item x="218"/>
        <item x="625"/>
        <item x="550"/>
        <item x="591"/>
        <item x="686"/>
        <item x="409"/>
        <item x="671"/>
        <item x="594"/>
        <item x="122"/>
        <item x="255"/>
        <item x="168"/>
        <item x="562"/>
        <item x="635"/>
        <item x="24"/>
        <item x="256"/>
        <item x="117"/>
        <item x="146"/>
        <item x="130"/>
        <item x="83"/>
        <item x="132"/>
        <item x="109"/>
        <item x="361"/>
        <item x="691"/>
        <item x="416"/>
        <item x="445"/>
        <item x="265"/>
        <item x="216"/>
        <item x="116"/>
        <item x="222"/>
        <item x="689"/>
        <item x="274"/>
        <item x="167"/>
        <item x="134"/>
        <item x="112"/>
        <item x="593"/>
        <item x="441"/>
        <item x="582"/>
        <item x="495"/>
        <item x="360"/>
        <item x="613"/>
        <item x="328"/>
        <item x="95"/>
        <item x="672"/>
        <item x="700"/>
        <item x="662"/>
        <item x="147"/>
        <item x="347"/>
        <item x="633"/>
        <item x="596"/>
        <item x="663"/>
        <item x="197"/>
        <item x="260"/>
        <item x="599"/>
        <item x="241"/>
        <item x="655"/>
        <item x="585"/>
        <item x="653"/>
        <item x="595"/>
        <item x="313"/>
        <item x="121"/>
        <item x="528"/>
        <item x="124"/>
        <item x="183"/>
        <item x="629"/>
        <item x="149"/>
        <item x="6"/>
        <item x="583"/>
        <item x="658"/>
        <item x="280"/>
        <item x="75"/>
        <item x="198"/>
        <item x="131"/>
        <item x="182"/>
        <item x="9"/>
        <item x="459"/>
        <item x="367"/>
        <item x="447"/>
        <item x="428"/>
        <item x="430"/>
        <item x="630"/>
        <item x="665"/>
        <item x="128"/>
        <item x="446"/>
        <item x="389"/>
        <item x="107"/>
        <item x="157"/>
        <item x="31"/>
        <item x="91"/>
        <item x="61"/>
        <item x="680"/>
        <item x="513"/>
        <item x="677"/>
        <item x="558"/>
        <item x="115"/>
        <item x="22"/>
        <item x="673"/>
        <item x="652"/>
        <item x="509"/>
        <item x="438"/>
        <item x="27"/>
        <item x="648"/>
        <item x="135"/>
        <item x="332"/>
        <item x="82"/>
        <item x="627"/>
        <item x="564"/>
        <item x="57"/>
        <item x="560"/>
        <item x="682"/>
        <item x="491"/>
        <item x="514"/>
        <item x="650"/>
        <item x="670"/>
        <item x="617"/>
        <item x="344"/>
        <item x="535"/>
        <item x="529"/>
        <item x="133"/>
        <item x="21"/>
        <item x="257"/>
        <item x="623"/>
        <item x="33"/>
        <item x="503"/>
        <item x="412"/>
        <item x="413"/>
        <item x="678"/>
        <item x="267"/>
        <item x="44"/>
        <item x="52"/>
        <item x="474"/>
        <item x="537"/>
        <item x="590"/>
        <item x="410"/>
        <item x="129"/>
        <item x="268"/>
        <item x="261"/>
        <item x="162"/>
        <item x="74"/>
        <item x="28"/>
        <item x="179"/>
        <item x="634"/>
        <item x="505"/>
        <item x="245"/>
        <item x="174"/>
        <item x="515"/>
        <item x="12"/>
        <item x="262"/>
        <item x="5"/>
        <item x="60"/>
        <item x="694"/>
        <item x="259"/>
        <item x="374"/>
        <item x="542"/>
        <item x="543"/>
        <item x="76"/>
        <item x="30"/>
        <item x="565"/>
        <item x="567"/>
        <item x="196"/>
        <item x="699"/>
        <item x="554"/>
        <item x="270"/>
        <item x="523"/>
        <item x="372"/>
        <item x="498"/>
        <item x="603"/>
        <item x="81"/>
        <item x="200"/>
        <item x="628"/>
        <item x="273"/>
        <item x="166"/>
        <item x="411"/>
        <item x="574"/>
        <item x="331"/>
        <item x="687"/>
        <item x="420"/>
        <item x="566"/>
        <item x="571"/>
        <item x="207"/>
        <item x="586"/>
        <item x="373"/>
        <item x="444"/>
        <item x="269"/>
        <item x="93"/>
        <item x="80"/>
        <item x="697"/>
        <item x="403"/>
        <item x="512"/>
        <item x="4"/>
        <item x="94"/>
        <item x="25"/>
        <item x="587"/>
        <item x="556"/>
        <item x="323"/>
        <item x="500"/>
        <item x="433"/>
        <item x="616"/>
        <item x="570"/>
        <item x="203"/>
        <item x="353"/>
        <item x="275"/>
        <item x="1"/>
        <item x="573"/>
        <item x="148"/>
        <item x="476"/>
        <item x="458"/>
        <item x="38"/>
        <item x="434"/>
        <item x="17"/>
        <item x="51"/>
        <item x="588"/>
        <item x="70"/>
        <item x="637"/>
        <item x="499"/>
        <item x="8"/>
        <item x="18"/>
        <item x="393"/>
        <item x="171"/>
        <item x="572"/>
        <item x="544"/>
        <item x="15"/>
        <item x="701"/>
        <item x="354"/>
        <item x="3"/>
        <item x="555"/>
        <item x="271"/>
        <item x="69"/>
        <item x="436"/>
        <item x="569"/>
        <item x="53"/>
        <item x="19"/>
        <item x="181"/>
        <item x="435"/>
        <item x="443"/>
        <item x="68"/>
        <item x="385"/>
        <item x="7"/>
        <item x="41"/>
        <item x="205"/>
        <item x="693"/>
        <item x="204"/>
        <item x="506"/>
        <item x="185"/>
        <item x="2"/>
        <item x="251"/>
        <item x="50"/>
        <item x="206"/>
        <item x="0"/>
        <item t="default"/>
      </items>
    </pivotField>
    <pivotField axis="axisPage" multipleItemSelectionAllowed="1" showAll="0">
      <items count="942">
        <item h="1" x="693"/>
        <item h="1" x="718"/>
        <item h="1" x="473"/>
        <item h="1" x="719"/>
        <item h="1" x="564"/>
        <item h="1" x="579"/>
        <item h="1" x="720"/>
        <item h="1" x="769"/>
        <item h="1" x="721"/>
        <item h="1" x="706"/>
        <item h="1" x="474"/>
        <item h="1" x="619"/>
        <item h="1" x="510"/>
        <item h="1" x="421"/>
        <item h="1" x="578"/>
        <item h="1" x="575"/>
        <item h="1" x="674"/>
        <item h="1" x="714"/>
        <item h="1" x="616"/>
        <item h="1" x="195"/>
        <item h="1" x="574"/>
        <item h="1" x="351"/>
        <item h="1" x="572"/>
        <item h="1" x="617"/>
        <item h="1" x="553"/>
        <item h="1" x="555"/>
        <item h="1" x="722"/>
        <item h="1" x="618"/>
        <item h="1" x="872"/>
        <item h="1" x="456"/>
        <item h="1" x="590"/>
        <item h="1" x="713"/>
        <item h="1" x="629"/>
        <item h="1" x="868"/>
        <item h="1" x="705"/>
        <item h="1" x="551"/>
        <item h="1" x="500"/>
        <item h="1" x="624"/>
        <item h="1" x="309"/>
        <item h="1" x="497"/>
        <item h="1" x="342"/>
        <item h="1" x="728"/>
        <item h="1" x="565"/>
        <item h="1" x="582"/>
        <item h="1" x="556"/>
        <item h="1" x="647"/>
        <item h="1" x="457"/>
        <item h="1" x="306"/>
        <item h="1" x="484"/>
        <item h="1" x="477"/>
        <item h="1" x="219"/>
        <item h="1" x="162"/>
        <item h="1" x="588"/>
        <item h="1" x="562"/>
        <item h="1" x="869"/>
        <item h="1" x="542"/>
        <item h="1" x="583"/>
        <item h="1" x="535"/>
        <item h="1" x="491"/>
        <item h="1" x="593"/>
        <item h="1" x="560"/>
        <item h="1" x="495"/>
        <item h="1" x="216"/>
        <item h="1" x="328"/>
        <item h="1" x="648"/>
        <item h="1" x="410"/>
        <item h="1" x="531"/>
        <item h="1" x="534"/>
        <item h="1" x="209"/>
        <item h="1" x="870"/>
        <item h="1" x="571"/>
        <item h="1" x="240"/>
        <item h="1" x="867"/>
        <item h="1" x="545"/>
        <item h="1" x="503"/>
        <item h="1" x="408"/>
        <item h="1" x="866"/>
        <item h="1" x="530"/>
        <item h="1" x="286"/>
        <item h="1" x="327"/>
        <item h="1" x="508"/>
        <item h="1" x="507"/>
        <item h="1" x="808"/>
        <item h="1" x="871"/>
        <item h="1" x="559"/>
        <item h="1" x="284"/>
        <item h="1" x="239"/>
        <item h="1" x="409"/>
        <item h="1" x="486"/>
        <item h="1" x="475"/>
        <item h="1" x="451"/>
        <item h="1" x="638"/>
        <item h="1" x="580"/>
        <item h="1" x="607"/>
        <item h="1" x="203"/>
        <item h="1" x="581"/>
        <item h="1" x="547"/>
        <item h="1" x="420"/>
        <item h="1" x="513"/>
        <item h="1" x="417"/>
        <item h="1" x="211"/>
        <item h="1" x="482"/>
        <item h="1" x="45"/>
        <item h="1" x="577"/>
        <item h="1" x="255"/>
        <item h="1" x="249"/>
        <item h="1" x="242"/>
        <item h="1" x="843"/>
        <item h="1" x="411"/>
        <item h="1" x="185"/>
        <item h="1" x="844"/>
        <item h="1" x="166"/>
        <item h="1" x="274"/>
        <item h="1" x="387"/>
        <item h="1" x="232"/>
        <item h="1" x="325"/>
        <item h="1" x="212"/>
        <item h="1" x="317"/>
        <item h="1" x="278"/>
        <item h="1" x="285"/>
        <item h="1" x="554"/>
        <item h="1" x="296"/>
        <item h="1" x="563"/>
        <item h="1" x="300"/>
        <item h="1" x="310"/>
        <item h="1" x="231"/>
        <item h="1" x="548"/>
        <item h="1" x="324"/>
        <item h="1" x="297"/>
        <item h="1" x="353"/>
        <item h="1" x="257"/>
        <item h="1" x="208"/>
        <item h="1" x="557"/>
        <item h="1" x="318"/>
        <item h="1" x="247"/>
        <item h="1" x="218"/>
        <item h="1" x="472"/>
        <item h="1" x="415"/>
        <item h="1" x="493"/>
        <item h="1" x="462"/>
        <item h="1" x="418"/>
        <item h="1" x="691"/>
        <item h="1" x="234"/>
        <item h="1" x="264"/>
        <item h="1" x="467"/>
        <item h="1" x="228"/>
        <item h="1" x="164"/>
        <item h="1" x="311"/>
        <item h="1" x="280"/>
        <item h="1" x="544"/>
        <item h="1" x="322"/>
        <item h="1" x="637"/>
        <item h="1" x="273"/>
        <item h="1" x="250"/>
        <item h="1" x="319"/>
        <item h="1" x="799"/>
        <item h="1" x="220"/>
        <item h="1" x="287"/>
        <item h="1" x="406"/>
        <item h="1" x="377"/>
        <item h="1" x="397"/>
        <item h="1" x="492"/>
        <item h="1" x="163"/>
        <item h="1" x="213"/>
        <item h="1" x="262"/>
        <item h="1" x="165"/>
        <item h="1" x="636"/>
        <item h="1" x="44"/>
        <item h="1" x="341"/>
        <item h="1" x="651"/>
        <item h="1" x="157"/>
        <item h="1" x="520"/>
        <item h="1" x="379"/>
        <item h="1" x="260"/>
        <item h="1" x="526"/>
        <item h="1" x="305"/>
        <item h="1" x="586"/>
        <item h="1" x="31"/>
        <item h="1" x="529"/>
        <item h="1" x="169"/>
        <item h="1" x="349"/>
        <item h="1" x="587"/>
        <item h="1" x="842"/>
        <item h="1" x="215"/>
        <item h="1" x="339"/>
        <item h="1" x="314"/>
        <item h="1" x="498"/>
        <item h="1" x="541"/>
        <item h="1" x="465"/>
        <item h="1" x="620"/>
        <item h="1" x="237"/>
        <item h="1" x="258"/>
        <item h="1" x="502"/>
        <item h="1" x="37"/>
        <item h="1" x="511"/>
        <item h="1" x="307"/>
        <item h="1" x="381"/>
        <item h="1" x="598"/>
        <item h="1" x="644"/>
        <item h="1" x="294"/>
        <item h="1" x="550"/>
        <item h="1" x="210"/>
        <item h="1" x="191"/>
        <item h="1" x="390"/>
        <item h="1" x="3"/>
        <item h="1" x="524"/>
        <item h="1" x="386"/>
        <item h="1" x="573"/>
        <item h="1" x="370"/>
        <item h="1" x="186"/>
        <item h="1" x="206"/>
        <item h="1" x="35"/>
        <item h="1" x="236"/>
        <item h="1" x="302"/>
        <item h="1" x="184"/>
        <item h="1" x="214"/>
        <item h="1" x="201"/>
        <item h="1" x="244"/>
        <item h="1" x="196"/>
        <item h="1" x="263"/>
        <item h="1" x="525"/>
        <item h="1" x="940"/>
        <item h="1" x="396"/>
        <item h="1" x="724"/>
        <item h="1" x="197"/>
        <item h="1" x="835"/>
        <item h="1" x="46"/>
        <item h="1" x="488"/>
        <item h="1" x="490"/>
        <item h="1" x="371"/>
        <item h="1" x="601"/>
        <item h="1" x="265"/>
        <item h="1" x="333"/>
        <item h="1" x="313"/>
        <item h="1" x="533"/>
        <item h="1" x="403"/>
        <item h="1" x="254"/>
        <item h="1" x="230"/>
        <item h="1" x="591"/>
        <item h="1" x="331"/>
        <item h="1" x="205"/>
        <item h="1" x="252"/>
        <item h="1" x="359"/>
        <item h="1" x="481"/>
        <item h="1" x="634"/>
        <item h="1" x="476"/>
        <item h="1" x="256"/>
        <item h="1" x="347"/>
        <item h="1" x="360"/>
        <item h="1" x="422"/>
        <item h="1" x="243"/>
        <item h="1" x="519"/>
        <item h="1" x="478"/>
        <item h="1" x="235"/>
        <item h="1" x="401"/>
        <item h="1" x="299"/>
        <item h="1" x="269"/>
        <item h="1" x="152"/>
        <item h="1" x="200"/>
        <item h="1" x="361"/>
        <item h="1" x="338"/>
        <item h="1" x="173"/>
        <item h="1" x="479"/>
        <item h="1" x="268"/>
        <item h="1" x="277"/>
        <item h="1" x="158"/>
        <item h="1" x="445"/>
        <item h="1" x="320"/>
        <item h="1" x="391"/>
        <item h="1" x="312"/>
        <item h="1" x="337"/>
        <item h="1" x="378"/>
        <item h="1" x="584"/>
        <item h="1" x="174"/>
        <item h="1" x="518"/>
        <item h="1" x="233"/>
        <item h="1" x="308"/>
        <item h="1" x="281"/>
        <item h="1" x="485"/>
        <item h="1" x="267"/>
        <item h="1" x="221"/>
        <item h="1" x="199"/>
        <item h="1" x="198"/>
        <item h="1" x="330"/>
        <item h="1" x="416"/>
        <item h="1" x="176"/>
        <item h="1" x="316"/>
        <item h="1" x="334"/>
        <item h="1" x="291"/>
        <item h="1" x="4"/>
        <item h="1" x="471"/>
        <item h="1" x="368"/>
        <item h="1" x="271"/>
        <item h="1" x="238"/>
        <item h="1" x="304"/>
        <item h="1" x="41"/>
        <item h="1" x="727"/>
        <item h="1" x="154"/>
        <item h="1" x="241"/>
        <item h="1" x="251"/>
        <item h="1" x="594"/>
        <item h="1" x="222"/>
        <item h="1" x="348"/>
        <item h="1" x="344"/>
        <item h="1" x="400"/>
        <item h="1" x="259"/>
        <item h="1" x="354"/>
        <item h="1" x="596"/>
        <item h="1" x="552"/>
        <item h="1" x="394"/>
        <item h="1" x="38"/>
        <item h="1" x="523"/>
        <item h="1" x="646"/>
        <item h="1" x="389"/>
        <item h="1" x="204"/>
        <item h="1" x="725"/>
        <item h="1" x="412"/>
        <item h="1" x="295"/>
        <item h="1" x="335"/>
        <item h="1" x="303"/>
        <item h="1" x="388"/>
        <item h="1" x="224"/>
        <item h="1" x="253"/>
        <item h="1" x="366"/>
        <item h="1" x="279"/>
        <item h="1" x="699"/>
        <item h="1" x="270"/>
        <item h="1" x="40"/>
        <item h="1" x="649"/>
        <item h="1" x="170"/>
        <item h="1" x="272"/>
        <item h="1" x="452"/>
        <item h="1" x="407"/>
        <item h="1" x="175"/>
        <item h="1" x="217"/>
        <item h="1" x="599"/>
        <item h="1" x="352"/>
        <item h="1" x="489"/>
        <item h="1" x="356"/>
        <item h="1" x="528"/>
        <item h="1" x="576"/>
        <item h="1" x="363"/>
        <item h="1" x="539"/>
        <item h="1" x="343"/>
        <item h="1" x="383"/>
        <item h="1" x="522"/>
        <item h="1" x="625"/>
        <item h="1" x="603"/>
        <item h="1" x="301"/>
        <item h="1" x="645"/>
        <item h="1" x="546"/>
        <item h="1" x="375"/>
        <item h="1" x="604"/>
        <item h="1" x="660"/>
        <item h="1" x="765"/>
        <item h="1" x="487"/>
        <item h="1" x="568"/>
        <item h="1" x="515"/>
        <item h="1" x="290"/>
        <item h="1" x="615"/>
        <item h="1" x="464"/>
        <item h="1" x="653"/>
        <item h="1" x="276"/>
        <item h="1" x="275"/>
        <item h="1" x="245"/>
        <item h="1" x="512"/>
        <item h="1" x="561"/>
        <item h="1" x="538"/>
        <item h="1" x="261"/>
        <item h="1" x="738"/>
        <item h="1" x="404"/>
        <item h="1" x="630"/>
        <item h="1" x="802"/>
        <item h="1" x="248"/>
        <item h="1" x="643"/>
        <item h="1" x="514"/>
        <item h="1" x="700"/>
        <item h="1" x="506"/>
        <item h="1" x="298"/>
        <item h="1" x="223"/>
        <item h="1" x="350"/>
        <item h="1" x="650"/>
        <item h="1" x="558"/>
        <item h="1" x="517"/>
        <item h="1" x="798"/>
        <item h="1" x="595"/>
        <item h="1" x="496"/>
        <item h="1" x="187"/>
        <item h="1" x="585"/>
        <item h="1" x="687"/>
        <item h="1" x="494"/>
        <item h="1" x="621"/>
        <item h="1" x="532"/>
        <item h="1" x="336"/>
        <item h="1" x="655"/>
        <item h="1" x="504"/>
        <item h="1" x="614"/>
        <item h="1" x="810"/>
        <item h="1" x="321"/>
        <item h="1" x="695"/>
        <item h="1" x="662"/>
        <item h="1" x="367"/>
        <item h="1" x="369"/>
        <item h="1" x="567"/>
        <item h="1" x="469"/>
        <item h="1" x="266"/>
        <item h="1" x="801"/>
        <item h="1" x="914"/>
        <item h="1" x="315"/>
        <item h="1" x="414"/>
        <item h="1" x="183"/>
        <item h="1" x="292"/>
        <item h="1" x="623"/>
        <item h="1" x="652"/>
        <item h="1" x="501"/>
        <item h="1" x="606"/>
        <item h="1" x="289"/>
        <item h="1" x="527"/>
        <item h="1" x="692"/>
        <item h="1" x="470"/>
        <item h="1" x="413"/>
        <item h="1" x="20"/>
        <item h="1" x="597"/>
        <item h="1" x="811"/>
        <item h="1" x="499"/>
        <item h="1" x="829"/>
        <item h="1" x="792"/>
        <item h="1" x="362"/>
        <item h="1" x="450"/>
        <item h="1" x="815"/>
        <item h="1" x="836"/>
        <item h="1" x="766"/>
        <item h="1" x="399"/>
        <item h="1" x="661"/>
        <item h="1" x="182"/>
        <item h="1" x="658"/>
        <item h="1" x="667"/>
        <item h="1" x="423"/>
        <item h="1" x="671"/>
        <item h="1" x="405"/>
        <item h="1" x="480"/>
        <item h="1" x="592"/>
        <item h="1" x="665"/>
        <item h="1" x="288"/>
        <item h="1" x="177"/>
        <item h="1" x="672"/>
        <item h="1" x="697"/>
        <item h="1" x="690"/>
        <item h="1" x="685"/>
        <item h="1" x="657"/>
        <item h="1" x="670"/>
        <item h="1" x="666"/>
        <item h="1" x="737"/>
        <item h="1" x="664"/>
        <item h="1" x="444"/>
        <item h="1" x="817"/>
        <item h="1" x="293"/>
        <item h="1" x="784"/>
        <item h="1" x="683"/>
        <item h="1" x="707"/>
        <item h="1" x="43"/>
        <item h="1" x="570"/>
        <item h="1" x="516"/>
        <item h="1" x="730"/>
        <item h="1" x="602"/>
        <item h="1" x="659"/>
        <item h="1" x="760"/>
        <item h="1" x="675"/>
        <item h="1" x="153"/>
        <item h="1" x="458"/>
        <item h="1" x="332"/>
        <item h="1" x="702"/>
        <item h="1" x="50"/>
        <item h="1" x="841"/>
        <item h="1" x="358"/>
        <item h="1" x="772"/>
        <item h="1" x="686"/>
        <item h="1" x="355"/>
        <item h="1" x="42"/>
        <item h="1" x="446"/>
        <item h="1" x="758"/>
        <item h="1" x="654"/>
        <item h="1" x="733"/>
        <item h="1" x="698"/>
        <item h="1" x="167"/>
        <item h="1" x="774"/>
        <item h="1" x="393"/>
        <item h="1" x="463"/>
        <item h="1" x="613"/>
        <item h="1" x="226"/>
        <item h="1" x="631"/>
        <item h="1" x="775"/>
        <item h="1" x="790"/>
        <item h="1" x="283"/>
        <item h="1" x="827"/>
        <item h="1" x="18"/>
        <item h="1" x="673"/>
        <item h="1" x="569"/>
        <item h="1" x="669"/>
        <item h="1" x="21"/>
        <item h="1" x="635"/>
        <item h="1" x="384"/>
        <item h="1" x="566"/>
        <item h="1" x="382"/>
        <item h="1" x="483"/>
        <item h="1" x="425"/>
        <item h="1" x="764"/>
        <item h="1" x="749"/>
        <item h="1" x="656"/>
        <item h="1" x="803"/>
        <item h="1" x="682"/>
        <item h="1" x="676"/>
        <item h="1" x="189"/>
        <item h="1" x="684"/>
        <item h="1" x="777"/>
        <item h="1" x="329"/>
        <item h="1" x="668"/>
        <item h="1" x="641"/>
        <item h="1" x="440"/>
        <item h="1" x="178"/>
        <item h="1" x="732"/>
        <item h="1" x="839"/>
        <item h="1" x="663"/>
        <item h="1" x="821"/>
        <item h="1" x="626"/>
        <item h="1" x="892"/>
        <item h="1" x="754"/>
        <item h="1" x="36"/>
        <item h="1" x="468"/>
        <item h="1" x="549"/>
        <item h="1" x="837"/>
        <item h="1" x="781"/>
        <item h="1" x="787"/>
        <item h="1" x="750"/>
        <item h="1" x="627"/>
        <item h="1" x="820"/>
        <item h="1" x="771"/>
        <item h="1" x="246"/>
        <item h="1" x="726"/>
        <item h="1" x="696"/>
        <item h="1" x="729"/>
        <item h="1" x="392"/>
        <item h="1" x="466"/>
        <item h="1" x="147"/>
        <item h="1" x="753"/>
        <item h="1" x="34"/>
        <item h="1" x="32"/>
        <item h="1" x="442"/>
        <item h="1" x="831"/>
        <item h="1" x="628"/>
        <item h="1" x="768"/>
        <item h="1" x="761"/>
        <item h="1" x="678"/>
        <item h="1" x="460"/>
        <item h="1" x="443"/>
        <item h="1" x="806"/>
        <item h="1" x="395"/>
        <item h="1" x="826"/>
        <item h="1" x="813"/>
        <item h="1" x="441"/>
        <item h="1" x="755"/>
        <item h="1" x="763"/>
        <item h="1" x="642"/>
        <item h="1" x="229"/>
        <item h="1" x="734"/>
        <item h="1" x="612"/>
        <item h="1" x="64"/>
        <item h="1" x="640"/>
        <item h="1" x="748"/>
        <item h="1" x="812"/>
        <item h="1" x="509"/>
        <item h="1" x="357"/>
        <item h="1" x="521"/>
        <item h="1" x="778"/>
        <item h="1" x="172"/>
        <item h="1" x="202"/>
        <item h="1" x="190"/>
        <item h="1" x="419"/>
        <item h="1" x="840"/>
        <item h="1" x="402"/>
        <item h="1" x="364"/>
        <item h="1" x="540"/>
        <item h="1" x="864"/>
        <item h="1" x="743"/>
        <item h="1" x="282"/>
        <item h="1" x="101"/>
        <item h="1" x="536"/>
        <item h="1" x="453"/>
        <item h="1" x="689"/>
        <item h="1" x="365"/>
        <item h="1" x="788"/>
        <item h="1" x="156"/>
        <item h="1" x="824"/>
        <item h="1" x="207"/>
        <item h="1" x="756"/>
        <item h="1" x="770"/>
        <item h="1" x="795"/>
        <item h="1" x="622"/>
        <item h="1" x="608"/>
        <item h="1" x="794"/>
        <item h="1" x="688"/>
        <item h="1" x="905"/>
        <item h="1" x="505"/>
        <item h="1" x="600"/>
        <item h="1" x="918"/>
        <item h="1" x="104"/>
        <item h="1" x="680"/>
        <item h="1" x="830"/>
        <item h="1" x="745"/>
        <item h="1" x="888"/>
        <item h="1" x="838"/>
        <item h="1" x="751"/>
        <item h="1" x="819"/>
        <item h="1" x="731"/>
        <item h="1" x="862"/>
        <item h="1" x="373"/>
        <item h="1" x="225"/>
        <item h="1" x="168"/>
        <item h="1" x="633"/>
        <item h="1" x="783"/>
        <item h="1" x="833"/>
        <item h="1" x="73"/>
        <item h="1" x="825"/>
        <item h="1" x="832"/>
        <item h="1" x="372"/>
        <item h="1" x="346"/>
        <item h="1" x="610"/>
        <item h="1" x="746"/>
        <item h="1" x="791"/>
        <item h="1" x="752"/>
        <item h="1" x="59"/>
        <item h="1" x="886"/>
        <item h="1" x="611"/>
        <item h="1" x="149"/>
        <item h="1" x="762"/>
        <item h="1" x="919"/>
        <item h="1" x="10"/>
        <item h="1" x="845"/>
        <item h="1" x="709"/>
        <item h="1" x="380"/>
        <item h="1" x="26"/>
        <item h="1" x="852"/>
        <item h="1" x="129"/>
        <item h="1" x="639"/>
        <item h="1" x="773"/>
        <item h="1" x="782"/>
        <item h="1" x="179"/>
        <item h="1" x="130"/>
        <item h="1" x="818"/>
        <item h="1" x="2"/>
        <item h="1" x="816"/>
        <item h="1" x="885"/>
        <item h="1" x="936"/>
        <item h="1" x="67"/>
        <item h="1" x="448"/>
        <item h="1" x="853"/>
        <item h="1" x="930"/>
        <item h="1" x="779"/>
        <item h="1" x="89"/>
        <item h="1" x="146"/>
        <item h="1" x="424"/>
        <item h="1" x="797"/>
        <item h="1" x="193"/>
        <item h="1" x="107"/>
        <item h="1" x="25"/>
        <item h="1" x="51"/>
        <item h="1" x="605"/>
        <item h="1" x="807"/>
        <item h="1" x="903"/>
        <item h="1" x="704"/>
        <item h="1" x="863"/>
        <item h="1" x="99"/>
        <item h="1" x="7"/>
        <item h="1" x="710"/>
        <item h="1" x="740"/>
        <item h="1" x="455"/>
        <item h="1" x="937"/>
        <item h="1" x="57"/>
        <item h="1" x="136"/>
        <item h="1" x="893"/>
        <item h="1" x="927"/>
        <item h="1" x="759"/>
        <item h="1" x="323"/>
        <item h="1" x="459"/>
        <item h="1" x="376"/>
        <item h="1" x="24"/>
        <item h="1" x="865"/>
        <item h="1" x="454"/>
        <item h="1" x="87"/>
        <item h="1" x="27"/>
        <item h="1" x="741"/>
        <item h="1" x="849"/>
        <item h="1" x="13"/>
        <item h="1" x="123"/>
        <item h="1" x="155"/>
        <item h="1" x="461"/>
        <item h="1" x="677"/>
        <item h="1" x="102"/>
        <item h="1" x="744"/>
        <item h="1" x="929"/>
        <item h="1" x="426"/>
        <item h="1" x="56"/>
        <item h="1" x="19"/>
        <item h="1" x="180"/>
        <item h="1" x="39"/>
        <item h="1" x="609"/>
        <item h="1" x="139"/>
        <item h="1" x="632"/>
        <item h="1" x="54"/>
        <item h="1" x="33"/>
        <item h="1" x="127"/>
        <item h="1" x="757"/>
        <item h="1" x="171"/>
        <item h="1" x="901"/>
        <item h="1" x="917"/>
        <item h="1" x="194"/>
        <item h="1" x="875"/>
        <item h="1" x="22"/>
        <item h="1" x="192"/>
        <item h="1" x="780"/>
        <item h="1" x="915"/>
        <item h="1" x="796"/>
        <item h="1" x="62"/>
        <item h="1" x="11"/>
        <item h="1" x="227"/>
        <item h="1" x="850"/>
        <item h="1" x="857"/>
        <item h="1" x="679"/>
        <item h="1" x="159"/>
        <item h="1" x="537"/>
        <item h="1" x="103"/>
        <item h="1" x="858"/>
        <item h="1" x="60"/>
        <item h="1" x="681"/>
        <item h="1" x="922"/>
        <item h="1" x="890"/>
        <item h="1" x="910"/>
        <item h="1" x="135"/>
        <item h="1" x="913"/>
        <item h="1" x="895"/>
        <item h="1" x="131"/>
        <item h="1" x="340"/>
        <item h="1" x="805"/>
        <item h="1" x="58"/>
        <item h="1" x="63"/>
        <item h="1" x="589"/>
        <item h="1" x="877"/>
        <item h="1" x="911"/>
        <item h="1" x="938"/>
        <item h="1" x="854"/>
        <item h="1" x="935"/>
        <item h="1" x="715"/>
        <item h="1" x="61"/>
        <item h="1" x="121"/>
        <item h="1" x="137"/>
        <item h="1" x="181"/>
        <item h="1" x="908"/>
        <item h="1" x="809"/>
        <item h="1" x="923"/>
        <item h="1" x="30"/>
        <item h="1" x="106"/>
        <item h="1" x="12"/>
        <item h="1" x="66"/>
        <item h="1" x="912"/>
        <item h="1" x="789"/>
        <item h="1" x="115"/>
        <item h="1" x="776"/>
        <item h="1" x="72"/>
        <item h="1" x="126"/>
        <item h="1" x="90"/>
        <item h="1" x="898"/>
        <item h="1" x="374"/>
        <item h="1" x="28"/>
        <item h="1" x="708"/>
        <item h="1" x="112"/>
        <item h="1" x="138"/>
        <item h="1" x="703"/>
        <item h="1" x="897"/>
        <item h="1" x="894"/>
        <item h="1" x="828"/>
        <item h="1" x="140"/>
        <item h="1" x="84"/>
        <item h="1" x="65"/>
        <item h="1" x="904"/>
        <item h="1" x="712"/>
        <item h="1" x="861"/>
        <item h="1" x="118"/>
        <item h="1" x="711"/>
        <item h="1" x="145"/>
        <item h="1" x="150"/>
        <item h="1" x="800"/>
        <item h="1" x="883"/>
        <item h="1" x="694"/>
        <item h="1" x="80"/>
        <item h="1" x="385"/>
        <item h="1" x="117"/>
        <item h="1" x="848"/>
        <item h="1" x="113"/>
        <item h="1" x="856"/>
        <item h="1" x="785"/>
        <item h="1" x="23"/>
        <item h="1" x="110"/>
        <item h="1" x="48"/>
        <item h="1" x="909"/>
        <item h="1" x="916"/>
        <item h="1" x="921"/>
        <item h="1" x="52"/>
        <item h="1" x="75"/>
        <item h="1" x="78"/>
        <item h="1" x="79"/>
        <item h="1" x="82"/>
        <item h="1" x="860"/>
        <item h="1" x="739"/>
        <item h="1" x="128"/>
        <item h="1" x="85"/>
        <item h="1" x="735"/>
        <item h="1" x="55"/>
        <item h="1" x="15"/>
        <item h="1" x="86"/>
        <item h="1" x="17"/>
        <item h="1" x="98"/>
        <item h="1" x="767"/>
        <item h="1" x="14"/>
        <item h="1" x="88"/>
        <item h="1" x="49"/>
        <item h="1" x="920"/>
        <item h="1" x="907"/>
        <item h="1" x="125"/>
        <item h="1" x="736"/>
        <item h="1" x="873"/>
        <item h="1" x="105"/>
        <item h="1" x="879"/>
        <item h="1" x="134"/>
        <item h="1" x="701"/>
        <item h="1" x="747"/>
        <item h="1" x="70"/>
        <item h="1" x="804"/>
        <item h="1" x="847"/>
        <item h="1" x="834"/>
        <item h="1" x="884"/>
        <item h="1" x="887"/>
        <item h="1" x="114"/>
        <item h="1" x="133"/>
        <item h="1" x="148"/>
        <item h="1" x="29"/>
        <item h="1" x="161"/>
        <item h="1" x="900"/>
        <item h="1" x="427"/>
        <item h="1" x="97"/>
        <item h="1" x="96"/>
        <item h="1" x="742"/>
        <item h="1" x="878"/>
        <item h="1" x="132"/>
        <item h="1" x="143"/>
        <item h="1" x="430"/>
        <item h="1" x="814"/>
        <item h="1" x="53"/>
        <item h="1" x="188"/>
        <item h="1" x="81"/>
        <item h="1" x="928"/>
        <item h="1" x="119"/>
        <item h="1" x="8"/>
        <item h="1" x="9"/>
        <item h="1" x="1"/>
        <item h="1" x="716"/>
        <item h="1" x="931"/>
        <item h="1" x="933"/>
        <item h="1" x="902"/>
        <item h="1" x="120"/>
        <item h="1" x="16"/>
        <item h="1" x="899"/>
        <item h="1" x="881"/>
        <item h="1" x="793"/>
        <item h="1" x="93"/>
        <item h="1" x="874"/>
        <item h="1" x="109"/>
        <item h="1" x="6"/>
        <item h="1" x="823"/>
        <item h="1" x="111"/>
        <item h="1" x="142"/>
        <item h="1" x="91"/>
        <item h="1" x="449"/>
        <item h="1" x="76"/>
        <item h="1" x="822"/>
        <item h="1" x="431"/>
        <item h="1" x="876"/>
        <item h="1" x="889"/>
        <item h="1" x="447"/>
        <item h="1" x="855"/>
        <item h="1" x="160"/>
        <item h="1" x="906"/>
        <item h="1" x="891"/>
        <item h="1" x="345"/>
        <item h="1" x="435"/>
        <item h="1" x="122"/>
        <item h="1" x="74"/>
        <item h="1" x="124"/>
        <item h="1" x="434"/>
        <item h="1" x="83"/>
        <item h="1" x="846"/>
        <item h="1" x="934"/>
        <item h="1" x="437"/>
        <item h="1" x="398"/>
        <item h="1" x="100"/>
        <item h="1" x="851"/>
        <item h="1" x="438"/>
        <item h="1" x="786"/>
        <item h="1" x="932"/>
        <item h="1" x="116"/>
        <item h="1" x="326"/>
        <item h="1" x="723"/>
        <item h="1" x="926"/>
        <item h="1" x="141"/>
        <item h="1" x="144"/>
        <item h="1" x="436"/>
        <item h="1" x="859"/>
        <item h="1" x="92"/>
        <item h="1" x="433"/>
        <item h="1" x="429"/>
        <item h="1" x="68"/>
        <item h="1" x="543"/>
        <item h="1" x="428"/>
        <item h="1" x="880"/>
        <item h="1" x="924"/>
        <item h="1" x="69"/>
        <item h="1" x="108"/>
        <item h="1" x="882"/>
        <item h="1" x="896"/>
        <item h="1" x="94"/>
        <item h="1" x="439"/>
        <item h="1" x="432"/>
        <item h="1" x="925"/>
        <item h="1" x="717"/>
        <item h="1" x="77"/>
        <item h="1" x="939"/>
        <item h="1" x="95"/>
        <item h="1" x="5"/>
        <item x="47"/>
        <item x="71"/>
        <item x="151"/>
        <item h="1" x="0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362">
        <item x="59"/>
        <item x="335"/>
        <item x="345"/>
        <item x="10"/>
        <item x="336"/>
        <item x="323"/>
        <item x="66"/>
        <item x="309"/>
        <item x="63"/>
        <item x="65"/>
        <item x="341"/>
        <item x="325"/>
        <item x="317"/>
        <item x="302"/>
        <item x="58"/>
        <item x="9"/>
        <item x="69"/>
        <item x="82"/>
        <item x="79"/>
        <item x="297"/>
        <item x="289"/>
        <item x="312"/>
        <item x="287"/>
        <item x="294"/>
        <item x="68"/>
        <item x="76"/>
        <item x="64"/>
        <item x="77"/>
        <item x="84"/>
        <item x="73"/>
        <item x="71"/>
        <item x="234"/>
        <item x="78"/>
        <item x="296"/>
        <item x="320"/>
        <item x="75"/>
        <item x="70"/>
        <item x="283"/>
        <item x="34"/>
        <item x="81"/>
        <item x="80"/>
        <item x="72"/>
        <item x="83"/>
        <item x="60"/>
        <item x="291"/>
        <item x="285"/>
        <item x="284"/>
        <item x="74"/>
        <item x="112"/>
        <item x="290"/>
        <item x="299"/>
        <item x="272"/>
        <item x="286"/>
        <item x="282"/>
        <item x="85"/>
        <item x="67"/>
        <item x="86"/>
        <item x="32"/>
        <item x="185"/>
        <item x="142"/>
        <item x="36"/>
        <item x="91"/>
        <item x="153"/>
        <item x="57"/>
        <item x="202"/>
        <item x="38"/>
        <item x="292"/>
        <item x="130"/>
        <item x="92"/>
        <item x="56"/>
        <item x="239"/>
        <item x="131"/>
        <item x="24"/>
        <item x="90"/>
        <item x="100"/>
        <item x="111"/>
        <item x="52"/>
        <item x="33"/>
        <item x="94"/>
        <item x="3"/>
        <item x="16"/>
        <item x="105"/>
        <item x="18"/>
        <item x="193"/>
        <item x="62"/>
        <item x="173"/>
        <item x="45"/>
        <item x="41"/>
        <item x="55"/>
        <item x="171"/>
        <item x="110"/>
        <item x="133"/>
        <item x="124"/>
        <item x="88"/>
        <item x="29"/>
        <item x="121"/>
        <item x="95"/>
        <item x="37"/>
        <item x="40"/>
        <item x="4"/>
        <item x="48"/>
        <item x="180"/>
        <item x="220"/>
        <item x="54"/>
        <item x="201"/>
        <item x="43"/>
        <item x="15"/>
        <item x="42"/>
        <item x="147"/>
        <item x="14"/>
        <item x="89"/>
        <item x="167"/>
        <item x="308"/>
        <item x="223"/>
        <item x="182"/>
        <item x="145"/>
        <item x="96"/>
        <item x="97"/>
        <item x="106"/>
        <item x="216"/>
        <item x="156"/>
        <item x="311"/>
        <item x="301"/>
        <item x="39"/>
        <item x="93"/>
        <item x="61"/>
        <item x="107"/>
        <item x="11"/>
        <item x="212"/>
        <item x="126"/>
        <item x="132"/>
        <item x="150"/>
        <item x="134"/>
        <item x="113"/>
        <item x="129"/>
        <item x="242"/>
        <item x="151"/>
        <item x="195"/>
        <item x="250"/>
        <item x="104"/>
        <item x="120"/>
        <item x="155"/>
        <item x="53"/>
        <item x="119"/>
        <item x="259"/>
        <item x="44"/>
        <item x="246"/>
        <item x="49"/>
        <item x="101"/>
        <item x="204"/>
        <item x="229"/>
        <item x="46"/>
        <item x="135"/>
        <item x="166"/>
        <item x="295"/>
        <item x="109"/>
        <item x="128"/>
        <item x="191"/>
        <item x="98"/>
        <item x="123"/>
        <item x="138"/>
        <item x="192"/>
        <item x="273"/>
        <item x="51"/>
        <item x="50"/>
        <item x="319"/>
        <item x="280"/>
        <item x="87"/>
        <item x="293"/>
        <item x="137"/>
        <item x="114"/>
        <item x="115"/>
        <item x="125"/>
        <item x="116"/>
        <item x="20"/>
        <item x="186"/>
        <item x="224"/>
        <item x="194"/>
        <item x="102"/>
        <item x="47"/>
        <item x="143"/>
        <item x="315"/>
        <item x="331"/>
        <item x="118"/>
        <item x="332"/>
        <item x="321"/>
        <item x="122"/>
        <item x="103"/>
        <item x="108"/>
        <item x="333"/>
        <item x="136"/>
        <item x="189"/>
        <item x="154"/>
        <item x="316"/>
        <item x="184"/>
        <item x="314"/>
        <item x="343"/>
        <item x="300"/>
        <item x="264"/>
        <item x="342"/>
        <item x="127"/>
        <item x="177"/>
        <item x="19"/>
        <item x="169"/>
        <item x="307"/>
        <item x="306"/>
        <item x="163"/>
        <item x="244"/>
        <item x="328"/>
        <item x="344"/>
        <item x="198"/>
        <item x="327"/>
        <item x="117"/>
        <item x="243"/>
        <item x="253"/>
        <item x="257"/>
        <item x="215"/>
        <item x="304"/>
        <item x="144"/>
        <item x="305"/>
        <item x="318"/>
        <item x="225"/>
        <item x="227"/>
        <item x="298"/>
        <item x="206"/>
        <item x="324"/>
        <item x="203"/>
        <item x="313"/>
        <item x="310"/>
        <item x="258"/>
        <item x="329"/>
        <item x="190"/>
        <item x="322"/>
        <item x="165"/>
        <item x="99"/>
        <item x="288"/>
        <item x="178"/>
        <item x="205"/>
        <item x="228"/>
        <item x="208"/>
        <item x="200"/>
        <item x="265"/>
        <item x="326"/>
        <item x="237"/>
        <item x="211"/>
        <item x="162"/>
        <item x="240"/>
        <item x="303"/>
        <item x="187"/>
        <item x="141"/>
        <item x="269"/>
        <item x="172"/>
        <item x="179"/>
        <item x="209"/>
        <item x="268"/>
        <item x="354"/>
        <item x="157"/>
        <item x="8"/>
        <item x="213"/>
        <item x="256"/>
        <item x="219"/>
        <item x="176"/>
        <item x="183"/>
        <item x="266"/>
        <item x="210"/>
        <item x="181"/>
        <item x="281"/>
        <item x="17"/>
        <item x="262"/>
        <item x="221"/>
        <item x="279"/>
        <item x="175"/>
        <item x="241"/>
        <item x="247"/>
        <item x="270"/>
        <item x="146"/>
        <item x="277"/>
        <item x="338"/>
        <item x="276"/>
        <item x="217"/>
        <item x="339"/>
        <item x="330"/>
        <item x="214"/>
        <item x="235"/>
        <item x="337"/>
        <item x="248"/>
        <item x="260"/>
        <item x="31"/>
        <item x="278"/>
        <item x="149"/>
        <item x="207"/>
        <item x="254"/>
        <item x="5"/>
        <item x="245"/>
        <item x="275"/>
        <item x="263"/>
        <item x="274"/>
        <item x="25"/>
        <item x="251"/>
        <item x="160"/>
        <item x="140"/>
        <item x="222"/>
        <item x="139"/>
        <item x="159"/>
        <item x="238"/>
        <item x="22"/>
        <item x="30"/>
        <item x="21"/>
        <item x="174"/>
        <item x="7"/>
        <item x="236"/>
        <item x="230"/>
        <item x="2"/>
        <item x="161"/>
        <item x="353"/>
        <item x="355"/>
        <item x="168"/>
        <item x="271"/>
        <item x="360"/>
        <item x="357"/>
        <item x="170"/>
        <item x="231"/>
        <item x="261"/>
        <item x="252"/>
        <item x="199"/>
        <item x="197"/>
        <item x="351"/>
        <item x="346"/>
        <item x="358"/>
        <item x="26"/>
        <item x="356"/>
        <item x="340"/>
        <item x="28"/>
        <item x="12"/>
        <item x="0"/>
        <item x="35"/>
        <item x="158"/>
        <item x="148"/>
        <item x="350"/>
        <item x="255"/>
        <item x="196"/>
        <item x="13"/>
        <item x="249"/>
        <item x="152"/>
        <item x="359"/>
        <item x="1"/>
        <item x="352"/>
        <item x="23"/>
        <item x="349"/>
        <item x="164"/>
        <item x="334"/>
        <item x="233"/>
        <item x="267"/>
        <item x="347"/>
        <item x="348"/>
        <item x="188"/>
        <item x="218"/>
        <item x="226"/>
        <item x="27"/>
        <item x="232"/>
        <item h="1" x="6"/>
        <item t="default"/>
      </items>
    </pivotField>
    <pivotField showAll="0"/>
  </pivotFields>
  <rowItems count="1">
    <i/>
  </rowItems>
  <colItems count="1">
    <i/>
  </colItems>
  <pageFields count="2">
    <pageField fld="12" hier="-1"/>
    <pageField fld="17" hier="-1"/>
  </pageFields>
  <dataFields count="1">
    <dataField name="Count of pl_nam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27"/>
  <sheetViews>
    <sheetView showGridLines="0" tabSelected="1" zoomScaleNormal="100" workbookViewId="0">
      <selection activeCell="C1" sqref="C1"/>
    </sheetView>
  </sheetViews>
  <sheetFormatPr baseColWidth="10" defaultRowHeight="16" x14ac:dyDescent="0.2"/>
  <cols>
    <col min="1" max="1" width="15.6640625" bestFit="1" customWidth="1"/>
    <col min="2" max="2" width="16.33203125" bestFit="1" customWidth="1"/>
    <col min="3" max="3" width="16.83203125" bestFit="1" customWidth="1"/>
    <col min="4" max="4" width="13.33203125" bestFit="1" customWidth="1"/>
    <col min="5" max="5" width="16.1640625" bestFit="1" customWidth="1"/>
    <col min="6" max="8" width="5.1640625" bestFit="1" customWidth="1"/>
    <col min="9" max="9" width="15" bestFit="1" customWidth="1"/>
    <col min="10" max="10" width="16.1640625" bestFit="1" customWidth="1"/>
    <col min="11" max="29" width="5.1640625" bestFit="1" customWidth="1"/>
  </cols>
  <sheetData>
    <row r="1" spans="1:3" ht="18" x14ac:dyDescent="0.2">
      <c r="A1" s="18" t="s">
        <v>7066</v>
      </c>
      <c r="B1" s="17"/>
    </row>
    <row r="3" spans="1:3" x14ac:dyDescent="0.2">
      <c r="A3" s="15" t="s">
        <v>7075</v>
      </c>
    </row>
    <row r="4" spans="1:3" ht="4" customHeight="1" x14ac:dyDescent="0.2"/>
    <row r="5" spans="1:3" x14ac:dyDescent="0.2">
      <c r="A5" s="1" t="s">
        <v>3</v>
      </c>
      <c r="B5" t="s">
        <v>7024</v>
      </c>
      <c r="C5" s="16" t="s">
        <v>7064</v>
      </c>
    </row>
    <row r="6" spans="1:3" x14ac:dyDescent="0.2">
      <c r="A6" s="1" t="s">
        <v>4</v>
      </c>
      <c r="B6" t="s">
        <v>7024</v>
      </c>
      <c r="C6" s="16" t="s">
        <v>7060</v>
      </c>
    </row>
    <row r="7" spans="1:3" x14ac:dyDescent="0.2">
      <c r="A7" s="1" t="s">
        <v>2</v>
      </c>
      <c r="B7" t="s">
        <v>7024</v>
      </c>
      <c r="C7" s="16" t="s">
        <v>7061</v>
      </c>
    </row>
    <row r="8" spans="1:3" x14ac:dyDescent="0.2">
      <c r="A8" s="1" t="s">
        <v>6</v>
      </c>
      <c r="B8" t="s">
        <v>7024</v>
      </c>
      <c r="C8" s="16" t="s">
        <v>7062</v>
      </c>
    </row>
    <row r="9" spans="1:3" x14ac:dyDescent="0.2">
      <c r="A9" s="1" t="s">
        <v>5</v>
      </c>
      <c r="B9" t="s">
        <v>7024</v>
      </c>
      <c r="C9" s="16" t="s">
        <v>7063</v>
      </c>
    </row>
    <row r="11" spans="1:3" x14ac:dyDescent="0.2">
      <c r="A11" t="s">
        <v>7027</v>
      </c>
      <c r="B11" t="s">
        <v>7028</v>
      </c>
      <c r="C11" s="16" t="s">
        <v>7053</v>
      </c>
    </row>
    <row r="12" spans="1:3" x14ac:dyDescent="0.2">
      <c r="A12" s="3">
        <v>3972</v>
      </c>
      <c r="B12" s="4">
        <v>4.1754814438230978</v>
      </c>
    </row>
    <row r="14" spans="1:3" x14ac:dyDescent="0.2">
      <c r="A14" s="15" t="s">
        <v>7054</v>
      </c>
    </row>
    <row r="15" spans="1:3" ht="5" customHeight="1" x14ac:dyDescent="0.2"/>
    <row r="16" spans="1:3" x14ac:dyDescent="0.2">
      <c r="A16" s="1" t="s">
        <v>7025</v>
      </c>
      <c r="B16" t="s">
        <v>7027</v>
      </c>
    </row>
    <row r="17" spans="1:3" x14ac:dyDescent="0.2">
      <c r="A17" s="2">
        <v>0</v>
      </c>
      <c r="B17" s="13">
        <v>0.40835850956696879</v>
      </c>
      <c r="C17" s="16" t="s">
        <v>7055</v>
      </c>
    </row>
    <row r="18" spans="1:3" x14ac:dyDescent="0.2">
      <c r="A18" s="2">
        <v>1</v>
      </c>
      <c r="B18" s="13">
        <v>0.59164149043303127</v>
      </c>
      <c r="C18" s="16" t="s">
        <v>7056</v>
      </c>
    </row>
    <row r="19" spans="1:3" x14ac:dyDescent="0.2">
      <c r="A19" s="2" t="s">
        <v>7026</v>
      </c>
      <c r="B19" s="14">
        <v>1</v>
      </c>
    </row>
    <row r="21" spans="1:3" x14ac:dyDescent="0.2">
      <c r="A21" s="15" t="s">
        <v>7057</v>
      </c>
    </row>
    <row r="22" spans="1:3" ht="5" customHeight="1" x14ac:dyDescent="0.2"/>
    <row r="23" spans="1:3" x14ac:dyDescent="0.2">
      <c r="A23" s="1" t="s">
        <v>7025</v>
      </c>
      <c r="B23" t="s">
        <v>7027</v>
      </c>
    </row>
    <row r="24" spans="1:3" x14ac:dyDescent="0.2">
      <c r="A24" s="2" t="s">
        <v>21</v>
      </c>
      <c r="B24" s="13">
        <v>0.30362537764350456</v>
      </c>
      <c r="C24" s="16" t="s">
        <v>7058</v>
      </c>
    </row>
    <row r="25" spans="1:3" x14ac:dyDescent="0.2">
      <c r="A25" s="2" t="s">
        <v>6316</v>
      </c>
      <c r="B25" s="13">
        <v>1.2588116817724068E-3</v>
      </c>
      <c r="C25" s="16"/>
    </row>
    <row r="26" spans="1:3" x14ac:dyDescent="0.2">
      <c r="A26" s="2" t="s">
        <v>55</v>
      </c>
      <c r="B26" s="13">
        <v>0.69511581067472306</v>
      </c>
      <c r="C26" s="16" t="s">
        <v>7059</v>
      </c>
    </row>
    <row r="27" spans="1:3" x14ac:dyDescent="0.2">
      <c r="A27" s="2" t="s">
        <v>7026</v>
      </c>
      <c r="B27" s="14">
        <v>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24990-1568-CC45-B90C-C07CD4D9D554}">
  <dimension ref="A1:B14"/>
  <sheetViews>
    <sheetView showGridLines="0" workbookViewId="0">
      <selection activeCell="C1" sqref="C1"/>
    </sheetView>
  </sheetViews>
  <sheetFormatPr baseColWidth="10" defaultRowHeight="16" x14ac:dyDescent="0.2"/>
  <cols>
    <col min="1" max="1" width="14.5" bestFit="1" customWidth="1"/>
    <col min="2" max="2" width="15.6640625" bestFit="1" customWidth="1"/>
    <col min="3" max="4" width="16.83203125" bestFit="1" customWidth="1"/>
  </cols>
  <sheetData>
    <row r="1" spans="1:2" ht="18" x14ac:dyDescent="0.2">
      <c r="A1" s="18" t="s">
        <v>7065</v>
      </c>
      <c r="B1" s="17"/>
    </row>
    <row r="3" spans="1:2" x14ac:dyDescent="0.2">
      <c r="A3" s="15" t="s">
        <v>7075</v>
      </c>
    </row>
    <row r="4" spans="1:2" ht="4" customHeight="1" x14ac:dyDescent="0.2"/>
    <row r="5" spans="1:2" x14ac:dyDescent="0.2">
      <c r="A5" s="1" t="s">
        <v>2</v>
      </c>
      <c r="B5" t="s">
        <v>7024</v>
      </c>
    </row>
    <row r="6" spans="1:2" x14ac:dyDescent="0.2">
      <c r="A6" s="1" t="s">
        <v>3</v>
      </c>
      <c r="B6" t="s">
        <v>7024</v>
      </c>
    </row>
    <row r="7" spans="1:2" x14ac:dyDescent="0.2">
      <c r="A7" s="1" t="s">
        <v>5</v>
      </c>
      <c r="B7" t="s">
        <v>7024</v>
      </c>
    </row>
    <row r="8" spans="1:2" x14ac:dyDescent="0.2">
      <c r="A8" s="1" t="s">
        <v>6</v>
      </c>
      <c r="B8" t="s">
        <v>7024</v>
      </c>
    </row>
    <row r="10" spans="1:2" x14ac:dyDescent="0.2">
      <c r="A10" s="1" t="s">
        <v>7025</v>
      </c>
      <c r="B10" t="s">
        <v>7027</v>
      </c>
    </row>
    <row r="11" spans="1:2" x14ac:dyDescent="0.2">
      <c r="A11" s="2" t="s">
        <v>21</v>
      </c>
      <c r="B11" s="3">
        <v>1206</v>
      </c>
    </row>
    <row r="12" spans="1:2" x14ac:dyDescent="0.2">
      <c r="A12" s="2" t="s">
        <v>6316</v>
      </c>
      <c r="B12" s="3">
        <v>5</v>
      </c>
    </row>
    <row r="13" spans="1:2" x14ac:dyDescent="0.2">
      <c r="A13" s="2" t="s">
        <v>55</v>
      </c>
      <c r="B13" s="3">
        <v>2761</v>
      </c>
    </row>
    <row r="14" spans="1:2" x14ac:dyDescent="0.2">
      <c r="A14" s="2" t="s">
        <v>7026</v>
      </c>
      <c r="B14" s="3">
        <v>3972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50854-0256-E242-8B8A-74476D827526}">
  <dimension ref="A1:N68"/>
  <sheetViews>
    <sheetView showGridLines="0" workbookViewId="0">
      <selection activeCell="C1" sqref="C1"/>
    </sheetView>
  </sheetViews>
  <sheetFormatPr baseColWidth="10" defaultRowHeight="16" x14ac:dyDescent="0.2"/>
  <cols>
    <col min="1" max="1" width="38.83203125" bestFit="1" customWidth="1"/>
    <col min="2" max="2" width="15.6640625" bestFit="1" customWidth="1"/>
    <col min="3" max="4" width="16.83203125" bestFit="1" customWidth="1"/>
    <col min="8" max="8" width="10.6640625" customWidth="1"/>
    <col min="9" max="9" width="1.1640625" customWidth="1"/>
    <col min="10" max="10" width="20.83203125" bestFit="1" customWidth="1"/>
    <col min="11" max="11" width="15.6640625" bestFit="1" customWidth="1"/>
    <col min="14" max="14" width="28.5" customWidth="1"/>
  </cols>
  <sheetData>
    <row r="1" spans="1:14" ht="19" x14ac:dyDescent="0.25">
      <c r="A1" s="18" t="s">
        <v>7069</v>
      </c>
      <c r="B1" s="20"/>
      <c r="I1" s="23"/>
      <c r="J1" s="35" t="s">
        <v>7073</v>
      </c>
      <c r="K1" s="21"/>
      <c r="L1" s="21"/>
      <c r="M1" s="21"/>
      <c r="N1" s="22"/>
    </row>
    <row r="2" spans="1:14" ht="19" x14ac:dyDescent="0.25">
      <c r="A2" s="32"/>
      <c r="B2" s="33"/>
      <c r="I2" s="23"/>
      <c r="J2" s="34"/>
      <c r="K2" s="24"/>
      <c r="L2" s="24"/>
      <c r="M2" s="24"/>
      <c r="N2" s="25"/>
    </row>
    <row r="3" spans="1:14" ht="19" x14ac:dyDescent="0.25">
      <c r="A3" s="15" t="s">
        <v>7075</v>
      </c>
      <c r="B3" s="33"/>
      <c r="I3" s="23"/>
      <c r="J3" s="34"/>
      <c r="K3" s="24"/>
      <c r="L3" s="24"/>
      <c r="M3" s="24"/>
      <c r="N3" s="25"/>
    </row>
    <row r="4" spans="1:14" ht="4" customHeight="1" x14ac:dyDescent="0.2">
      <c r="I4" s="23"/>
      <c r="J4" s="24"/>
      <c r="K4" s="24"/>
      <c r="L4" s="24"/>
      <c r="M4" s="24"/>
      <c r="N4" s="25"/>
    </row>
    <row r="5" spans="1:14" x14ac:dyDescent="0.2">
      <c r="A5" s="1" t="s">
        <v>2</v>
      </c>
      <c r="B5" t="s">
        <v>7024</v>
      </c>
      <c r="I5" s="23"/>
      <c r="J5" s="5" t="s">
        <v>7025</v>
      </c>
      <c r="K5" s="5" t="s">
        <v>7027</v>
      </c>
      <c r="L5" s="24"/>
      <c r="M5" s="24"/>
      <c r="N5" s="25"/>
    </row>
    <row r="6" spans="1:14" x14ac:dyDescent="0.2">
      <c r="A6" s="1" t="s">
        <v>3</v>
      </c>
      <c r="B6" t="s">
        <v>7024</v>
      </c>
      <c r="I6" s="23"/>
      <c r="J6" s="30" t="s">
        <v>63</v>
      </c>
      <c r="K6" s="26">
        <v>2343</v>
      </c>
      <c r="L6" s="24"/>
      <c r="M6" s="24"/>
      <c r="N6" s="25"/>
    </row>
    <row r="7" spans="1:14" x14ac:dyDescent="0.2">
      <c r="A7" s="1" t="s">
        <v>5</v>
      </c>
      <c r="B7" t="s">
        <v>7024</v>
      </c>
      <c r="I7" s="23"/>
      <c r="J7" s="30" t="s">
        <v>7074</v>
      </c>
      <c r="K7" s="24">
        <v>524</v>
      </c>
      <c r="L7" s="24"/>
      <c r="M7" s="24"/>
      <c r="N7" s="25"/>
    </row>
    <row r="8" spans="1:14" x14ac:dyDescent="0.2">
      <c r="A8" s="1" t="s">
        <v>4</v>
      </c>
      <c r="B8" t="s">
        <v>7024</v>
      </c>
      <c r="I8" s="23"/>
      <c r="J8" s="30" t="s">
        <v>129</v>
      </c>
      <c r="K8" s="26">
        <v>362</v>
      </c>
      <c r="L8" s="24"/>
      <c r="M8" s="24"/>
      <c r="N8" s="25"/>
    </row>
    <row r="9" spans="1:14" x14ac:dyDescent="0.2">
      <c r="I9" s="23"/>
      <c r="J9" s="30" t="s">
        <v>138</v>
      </c>
      <c r="K9" s="26">
        <v>232</v>
      </c>
      <c r="L9" s="24"/>
      <c r="M9" s="24"/>
      <c r="N9" s="25"/>
    </row>
    <row r="10" spans="1:14" x14ac:dyDescent="0.2">
      <c r="A10" s="1" t="s">
        <v>7025</v>
      </c>
      <c r="B10" t="s">
        <v>7027</v>
      </c>
      <c r="I10" s="23"/>
      <c r="J10" s="30" t="s">
        <v>32</v>
      </c>
      <c r="K10" s="26">
        <v>171</v>
      </c>
      <c r="L10" s="24"/>
      <c r="M10" s="24"/>
      <c r="N10" s="25"/>
    </row>
    <row r="11" spans="1:14" x14ac:dyDescent="0.2">
      <c r="A11" s="2" t="s">
        <v>63</v>
      </c>
      <c r="B11" s="3">
        <v>2343</v>
      </c>
      <c r="I11" s="23"/>
      <c r="J11" s="30" t="s">
        <v>35</v>
      </c>
      <c r="K11" s="26">
        <v>116</v>
      </c>
      <c r="L11" s="24"/>
      <c r="M11" s="24"/>
      <c r="N11" s="25"/>
    </row>
    <row r="12" spans="1:14" x14ac:dyDescent="0.2">
      <c r="A12" s="2" t="s">
        <v>129</v>
      </c>
      <c r="B12" s="3">
        <v>362</v>
      </c>
      <c r="I12" s="23"/>
      <c r="J12" s="30" t="s">
        <v>6624</v>
      </c>
      <c r="K12" s="26">
        <v>110</v>
      </c>
      <c r="L12" s="24"/>
      <c r="M12" s="24"/>
      <c r="N12" s="25"/>
    </row>
    <row r="13" spans="1:14" x14ac:dyDescent="0.2">
      <c r="A13" s="2" t="s">
        <v>138</v>
      </c>
      <c r="B13" s="3">
        <v>232</v>
      </c>
      <c r="I13" s="23"/>
      <c r="J13" s="30" t="s">
        <v>367</v>
      </c>
      <c r="K13" s="26">
        <v>57</v>
      </c>
      <c r="L13" s="24"/>
      <c r="M13" s="24"/>
      <c r="N13" s="25"/>
    </row>
    <row r="14" spans="1:14" x14ac:dyDescent="0.2">
      <c r="A14" s="2" t="s">
        <v>32</v>
      </c>
      <c r="B14" s="3">
        <v>171</v>
      </c>
      <c r="I14" s="23"/>
      <c r="J14" s="30" t="s">
        <v>486</v>
      </c>
      <c r="K14" s="26">
        <v>57</v>
      </c>
      <c r="L14" s="24"/>
      <c r="M14" s="24"/>
      <c r="N14" s="25"/>
    </row>
    <row r="15" spans="1:14" x14ac:dyDescent="0.2">
      <c r="A15" s="2" t="s">
        <v>35</v>
      </c>
      <c r="B15" s="3">
        <v>116</v>
      </c>
      <c r="I15" s="23"/>
      <c r="J15" s="6" t="s">
        <v>7026</v>
      </c>
      <c r="K15" s="7">
        <f>SUM(K6:K14)</f>
        <v>3972</v>
      </c>
      <c r="L15" s="24"/>
      <c r="M15" s="24"/>
      <c r="N15" s="25"/>
    </row>
    <row r="16" spans="1:14" x14ac:dyDescent="0.2">
      <c r="A16" s="2" t="s">
        <v>6624</v>
      </c>
      <c r="B16" s="3">
        <v>110</v>
      </c>
      <c r="I16" s="23"/>
      <c r="J16" s="24"/>
      <c r="K16" s="24"/>
      <c r="L16" s="24"/>
      <c r="M16" s="24"/>
      <c r="N16" s="25"/>
    </row>
    <row r="17" spans="1:14" x14ac:dyDescent="0.2">
      <c r="A17" s="2" t="s">
        <v>486</v>
      </c>
      <c r="B17" s="3">
        <v>57</v>
      </c>
      <c r="I17" s="23"/>
      <c r="J17" s="24"/>
      <c r="K17" s="24"/>
      <c r="L17" s="24"/>
      <c r="M17" s="24"/>
      <c r="N17" s="25"/>
    </row>
    <row r="18" spans="1:14" x14ac:dyDescent="0.2">
      <c r="A18" s="2" t="s">
        <v>367</v>
      </c>
      <c r="B18" s="3">
        <v>57</v>
      </c>
      <c r="I18" s="23"/>
      <c r="J18" s="24"/>
      <c r="K18" s="24"/>
      <c r="L18" s="24"/>
      <c r="M18" s="24"/>
      <c r="N18" s="25"/>
    </row>
    <row r="19" spans="1:14" x14ac:dyDescent="0.2">
      <c r="A19" s="2" t="s">
        <v>6405</v>
      </c>
      <c r="B19" s="3">
        <v>50</v>
      </c>
      <c r="I19" s="23"/>
      <c r="J19" s="24"/>
      <c r="K19" s="24"/>
      <c r="L19" s="24"/>
      <c r="M19" s="24"/>
      <c r="N19" s="25"/>
    </row>
    <row r="20" spans="1:14" x14ac:dyDescent="0.2">
      <c r="A20" s="2" t="s">
        <v>82</v>
      </c>
      <c r="B20" s="3">
        <v>45</v>
      </c>
      <c r="I20" s="23"/>
      <c r="J20" s="24"/>
      <c r="K20" s="24"/>
      <c r="L20" s="24"/>
      <c r="M20" s="24"/>
      <c r="N20" s="25"/>
    </row>
    <row r="21" spans="1:14" x14ac:dyDescent="0.2">
      <c r="A21" s="2" t="s">
        <v>98</v>
      </c>
      <c r="B21" s="3">
        <v>36</v>
      </c>
      <c r="I21" s="23"/>
      <c r="J21" s="24"/>
      <c r="K21" s="24"/>
      <c r="L21" s="24"/>
      <c r="M21" s="24"/>
      <c r="N21" s="25"/>
    </row>
    <row r="22" spans="1:14" x14ac:dyDescent="0.2">
      <c r="A22" s="2" t="s">
        <v>6637</v>
      </c>
      <c r="B22" s="3">
        <v>32</v>
      </c>
      <c r="I22" s="23"/>
      <c r="J22" s="24"/>
      <c r="K22" s="24"/>
      <c r="L22" s="24"/>
      <c r="M22" s="24"/>
      <c r="N22" s="25"/>
    </row>
    <row r="23" spans="1:14" x14ac:dyDescent="0.2">
      <c r="A23" s="2" t="s">
        <v>46</v>
      </c>
      <c r="B23" s="3">
        <v>32</v>
      </c>
      <c r="I23" s="23"/>
      <c r="J23" s="24"/>
      <c r="K23" s="24"/>
      <c r="L23" s="24"/>
      <c r="M23" s="24"/>
      <c r="N23" s="25"/>
    </row>
    <row r="24" spans="1:14" x14ac:dyDescent="0.2">
      <c r="A24" s="2" t="s">
        <v>159</v>
      </c>
      <c r="B24" s="3">
        <v>31</v>
      </c>
      <c r="I24" s="23"/>
      <c r="J24" s="24"/>
      <c r="K24" s="24"/>
      <c r="L24" s="24"/>
      <c r="M24" s="24"/>
      <c r="N24" s="25"/>
    </row>
    <row r="25" spans="1:14" x14ac:dyDescent="0.2">
      <c r="A25" s="2" t="s">
        <v>629</v>
      </c>
      <c r="B25" s="3">
        <v>28</v>
      </c>
      <c r="I25" s="23"/>
      <c r="J25" s="24"/>
      <c r="K25" s="24"/>
      <c r="L25" s="24"/>
      <c r="M25" s="24"/>
      <c r="N25" s="25"/>
    </row>
    <row r="26" spans="1:14" x14ac:dyDescent="0.2">
      <c r="A26" s="2" t="s">
        <v>86</v>
      </c>
      <c r="B26" s="3">
        <v>28</v>
      </c>
      <c r="I26" s="23"/>
      <c r="J26" s="24"/>
      <c r="K26" s="24"/>
      <c r="L26" s="24"/>
      <c r="M26" s="24"/>
      <c r="N26" s="25"/>
    </row>
    <row r="27" spans="1:14" x14ac:dyDescent="0.2">
      <c r="A27" s="2" t="s">
        <v>29</v>
      </c>
      <c r="B27" s="3">
        <v>23</v>
      </c>
      <c r="I27" s="23"/>
      <c r="J27" s="24"/>
      <c r="K27" s="24"/>
      <c r="L27" s="24"/>
      <c r="M27" s="24"/>
      <c r="N27" s="25"/>
    </row>
    <row r="28" spans="1:14" x14ac:dyDescent="0.2">
      <c r="A28" s="2" t="s">
        <v>6329</v>
      </c>
      <c r="B28" s="3">
        <v>23</v>
      </c>
      <c r="I28" s="23"/>
      <c r="J28" s="24"/>
      <c r="K28" s="24"/>
      <c r="L28" s="24"/>
      <c r="M28" s="24"/>
      <c r="N28" s="25"/>
    </row>
    <row r="29" spans="1:14" x14ac:dyDescent="0.2">
      <c r="A29" s="2" t="s">
        <v>59</v>
      </c>
      <c r="B29" s="3">
        <v>19</v>
      </c>
      <c r="I29" s="23"/>
      <c r="J29" s="24"/>
      <c r="K29" s="24"/>
      <c r="L29" s="24"/>
      <c r="M29" s="24"/>
      <c r="N29" s="25"/>
    </row>
    <row r="30" spans="1:14" x14ac:dyDescent="0.2">
      <c r="A30" s="2" t="s">
        <v>118</v>
      </c>
      <c r="B30" s="3">
        <v>17</v>
      </c>
      <c r="I30" s="23"/>
      <c r="J30" s="24"/>
      <c r="K30" s="24"/>
      <c r="L30" s="24"/>
      <c r="M30" s="24"/>
      <c r="N30" s="25"/>
    </row>
    <row r="31" spans="1:14" x14ac:dyDescent="0.2">
      <c r="A31" s="2" t="s">
        <v>105</v>
      </c>
      <c r="B31" s="3">
        <v>16</v>
      </c>
      <c r="I31" s="23"/>
      <c r="J31" s="24"/>
      <c r="K31" s="24"/>
      <c r="L31" s="24"/>
      <c r="M31" s="24"/>
      <c r="N31" s="25"/>
    </row>
    <row r="32" spans="1:14" x14ac:dyDescent="0.2">
      <c r="A32" s="2" t="s">
        <v>256</v>
      </c>
      <c r="B32" s="3">
        <v>15</v>
      </c>
      <c r="I32" s="27"/>
      <c r="J32" s="28"/>
      <c r="K32" s="28"/>
      <c r="L32" s="28"/>
      <c r="M32" s="28"/>
      <c r="N32" s="29"/>
    </row>
    <row r="33" spans="1:2" x14ac:dyDescent="0.2">
      <c r="A33" s="2" t="s">
        <v>2259</v>
      </c>
      <c r="B33" s="3">
        <v>10</v>
      </c>
    </row>
    <row r="34" spans="1:2" x14ac:dyDescent="0.2">
      <c r="A34" s="2" t="s">
        <v>333</v>
      </c>
      <c r="B34" s="3">
        <v>10</v>
      </c>
    </row>
    <row r="35" spans="1:2" x14ac:dyDescent="0.2">
      <c r="A35" s="2" t="s">
        <v>41</v>
      </c>
      <c r="B35" s="3">
        <v>9</v>
      </c>
    </row>
    <row r="36" spans="1:2" x14ac:dyDescent="0.2">
      <c r="A36" s="2" t="s">
        <v>224</v>
      </c>
      <c r="B36" s="3">
        <v>8</v>
      </c>
    </row>
    <row r="37" spans="1:2" x14ac:dyDescent="0.2">
      <c r="A37" s="2" t="s">
        <v>26</v>
      </c>
      <c r="B37" s="3">
        <v>8</v>
      </c>
    </row>
    <row r="38" spans="1:2" x14ac:dyDescent="0.2">
      <c r="A38" s="2" t="s">
        <v>2323</v>
      </c>
      <c r="B38" s="3">
        <v>7</v>
      </c>
    </row>
    <row r="39" spans="1:2" x14ac:dyDescent="0.2">
      <c r="A39" s="2" t="s">
        <v>1159</v>
      </c>
      <c r="B39" s="3">
        <v>7</v>
      </c>
    </row>
    <row r="40" spans="1:2" x14ac:dyDescent="0.2">
      <c r="A40" s="2" t="s">
        <v>56</v>
      </c>
      <c r="B40" s="3">
        <v>6</v>
      </c>
    </row>
    <row r="41" spans="1:2" x14ac:dyDescent="0.2">
      <c r="A41" s="2" t="s">
        <v>1235</v>
      </c>
      <c r="B41" s="3">
        <v>6</v>
      </c>
    </row>
    <row r="42" spans="1:2" x14ac:dyDescent="0.2">
      <c r="A42" s="2" t="s">
        <v>6945</v>
      </c>
      <c r="B42" s="3">
        <v>6</v>
      </c>
    </row>
    <row r="43" spans="1:2" x14ac:dyDescent="0.2">
      <c r="A43" s="2" t="s">
        <v>248</v>
      </c>
      <c r="B43" s="3">
        <v>5</v>
      </c>
    </row>
    <row r="44" spans="1:2" x14ac:dyDescent="0.2">
      <c r="A44" s="2" t="s">
        <v>6598</v>
      </c>
      <c r="B44" s="3">
        <v>5</v>
      </c>
    </row>
    <row r="45" spans="1:2" x14ac:dyDescent="0.2">
      <c r="A45" s="2" t="s">
        <v>2267</v>
      </c>
      <c r="B45" s="3">
        <v>5</v>
      </c>
    </row>
    <row r="46" spans="1:2" x14ac:dyDescent="0.2">
      <c r="A46" s="2" t="s">
        <v>2262</v>
      </c>
      <c r="B46" s="3">
        <v>4</v>
      </c>
    </row>
    <row r="47" spans="1:2" x14ac:dyDescent="0.2">
      <c r="A47" s="2" t="s">
        <v>6516</v>
      </c>
      <c r="B47" s="3">
        <v>3</v>
      </c>
    </row>
    <row r="48" spans="1:2" x14ac:dyDescent="0.2">
      <c r="A48" s="2" t="s">
        <v>239</v>
      </c>
      <c r="B48" s="3">
        <v>3</v>
      </c>
    </row>
    <row r="49" spans="1:2" x14ac:dyDescent="0.2">
      <c r="A49" s="2" t="s">
        <v>358</v>
      </c>
      <c r="B49" s="3">
        <v>2</v>
      </c>
    </row>
    <row r="50" spans="1:2" x14ac:dyDescent="0.2">
      <c r="A50" s="2" t="s">
        <v>6321</v>
      </c>
      <c r="B50" s="3">
        <v>2</v>
      </c>
    </row>
    <row r="51" spans="1:2" x14ac:dyDescent="0.2">
      <c r="A51" s="2" t="s">
        <v>52</v>
      </c>
      <c r="B51" s="3">
        <v>2</v>
      </c>
    </row>
    <row r="52" spans="1:2" x14ac:dyDescent="0.2">
      <c r="A52" s="2" t="s">
        <v>6523</v>
      </c>
      <c r="B52" s="3">
        <v>2</v>
      </c>
    </row>
    <row r="53" spans="1:2" x14ac:dyDescent="0.2">
      <c r="A53" s="2" t="s">
        <v>6934</v>
      </c>
      <c r="B53" s="3">
        <v>2</v>
      </c>
    </row>
    <row r="54" spans="1:2" x14ac:dyDescent="0.2">
      <c r="A54" s="2" t="s">
        <v>23</v>
      </c>
      <c r="B54" s="3">
        <v>2</v>
      </c>
    </row>
    <row r="55" spans="1:2" x14ac:dyDescent="0.2">
      <c r="A55" s="2" t="s">
        <v>251</v>
      </c>
      <c r="B55" s="3">
        <v>2</v>
      </c>
    </row>
    <row r="56" spans="1:2" x14ac:dyDescent="0.2">
      <c r="A56" s="2" t="s">
        <v>6646</v>
      </c>
      <c r="B56" s="3">
        <v>2</v>
      </c>
    </row>
    <row r="57" spans="1:2" x14ac:dyDescent="0.2">
      <c r="A57" s="2" t="s">
        <v>6757</v>
      </c>
      <c r="B57" s="3">
        <v>1</v>
      </c>
    </row>
    <row r="58" spans="1:2" x14ac:dyDescent="0.2">
      <c r="A58" s="2" t="s">
        <v>6565</v>
      </c>
      <c r="B58" s="3">
        <v>1</v>
      </c>
    </row>
    <row r="59" spans="1:2" x14ac:dyDescent="0.2">
      <c r="A59" s="2" t="s">
        <v>2370</v>
      </c>
      <c r="B59" s="3">
        <v>1</v>
      </c>
    </row>
    <row r="60" spans="1:2" x14ac:dyDescent="0.2">
      <c r="A60" s="2" t="s">
        <v>6612</v>
      </c>
      <c r="B60" s="3">
        <v>1</v>
      </c>
    </row>
    <row r="61" spans="1:2" x14ac:dyDescent="0.2">
      <c r="A61" s="2" t="s">
        <v>6558</v>
      </c>
      <c r="B61" s="3">
        <v>1</v>
      </c>
    </row>
    <row r="62" spans="1:2" x14ac:dyDescent="0.2">
      <c r="A62" s="2" t="s">
        <v>227</v>
      </c>
      <c r="B62" s="3">
        <v>1</v>
      </c>
    </row>
    <row r="63" spans="1:2" x14ac:dyDescent="0.2">
      <c r="A63" s="2" t="s">
        <v>1510</v>
      </c>
      <c r="B63" s="3">
        <v>1</v>
      </c>
    </row>
    <row r="64" spans="1:2" x14ac:dyDescent="0.2">
      <c r="A64" s="2" t="s">
        <v>619</v>
      </c>
      <c r="B64" s="3">
        <v>1</v>
      </c>
    </row>
    <row r="65" spans="1:2" x14ac:dyDescent="0.2">
      <c r="A65" s="2" t="s">
        <v>6533</v>
      </c>
      <c r="B65" s="3">
        <v>1</v>
      </c>
    </row>
    <row r="66" spans="1:2" x14ac:dyDescent="0.2">
      <c r="A66" s="2" t="s">
        <v>702</v>
      </c>
      <c r="B66" s="3">
        <v>1</v>
      </c>
    </row>
    <row r="67" spans="1:2" x14ac:dyDescent="0.2">
      <c r="A67" s="2" t="s">
        <v>6609</v>
      </c>
      <c r="B67" s="3">
        <v>1</v>
      </c>
    </row>
    <row r="68" spans="1:2" x14ac:dyDescent="0.2">
      <c r="A68" s="2" t="s">
        <v>7026</v>
      </c>
      <c r="B68" s="3">
        <v>3972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80AA6-A669-7449-908D-0D7EC5021D7F}">
  <dimension ref="A1:B24"/>
  <sheetViews>
    <sheetView showGridLines="0" workbookViewId="0">
      <selection activeCell="C1" sqref="C1"/>
    </sheetView>
  </sheetViews>
  <sheetFormatPr baseColWidth="10" defaultRowHeight="16" x14ac:dyDescent="0.2"/>
  <cols>
    <col min="1" max="1" width="26.1640625" bestFit="1" customWidth="1"/>
    <col min="2" max="2" width="15.6640625" bestFit="1" customWidth="1"/>
    <col min="3" max="4" width="16.83203125" bestFit="1" customWidth="1"/>
  </cols>
  <sheetData>
    <row r="1" spans="1:2" ht="18" x14ac:dyDescent="0.2">
      <c r="A1" s="18" t="s">
        <v>7068</v>
      </c>
      <c r="B1" s="17"/>
    </row>
    <row r="3" spans="1:2" x14ac:dyDescent="0.2">
      <c r="A3" s="15" t="s">
        <v>7075</v>
      </c>
    </row>
    <row r="4" spans="1:2" ht="5" customHeight="1" x14ac:dyDescent="0.2"/>
    <row r="5" spans="1:2" x14ac:dyDescent="0.2">
      <c r="A5" s="1" t="s">
        <v>3</v>
      </c>
      <c r="B5" t="s">
        <v>7024</v>
      </c>
    </row>
    <row r="6" spans="1:2" x14ac:dyDescent="0.2">
      <c r="A6" s="1" t="s">
        <v>4</v>
      </c>
      <c r="B6" t="s">
        <v>7024</v>
      </c>
    </row>
    <row r="7" spans="1:2" x14ac:dyDescent="0.2">
      <c r="A7" s="1" t="s">
        <v>6</v>
      </c>
      <c r="B7" t="s">
        <v>7024</v>
      </c>
    </row>
    <row r="8" spans="1:2" x14ac:dyDescent="0.2">
      <c r="A8" s="1" t="s">
        <v>2</v>
      </c>
      <c r="B8" t="s">
        <v>7024</v>
      </c>
    </row>
    <row r="10" spans="1:2" x14ac:dyDescent="0.2">
      <c r="A10" s="1" t="s">
        <v>7025</v>
      </c>
      <c r="B10" t="s">
        <v>7027</v>
      </c>
    </row>
    <row r="11" spans="1:2" x14ac:dyDescent="0.2">
      <c r="A11" s="2" t="s">
        <v>221</v>
      </c>
      <c r="B11" s="3">
        <v>1</v>
      </c>
    </row>
    <row r="12" spans="1:2" x14ac:dyDescent="0.2">
      <c r="A12" s="2" t="s">
        <v>2314</v>
      </c>
      <c r="B12" s="3">
        <v>2</v>
      </c>
    </row>
    <row r="13" spans="1:2" x14ac:dyDescent="0.2">
      <c r="A13" s="2" t="s">
        <v>2301</v>
      </c>
      <c r="B13" s="3">
        <v>6</v>
      </c>
    </row>
    <row r="14" spans="1:2" x14ac:dyDescent="0.2">
      <c r="A14" s="2" t="s">
        <v>6515</v>
      </c>
      <c r="B14" s="3">
        <v>6</v>
      </c>
    </row>
    <row r="15" spans="1:2" x14ac:dyDescent="0.2">
      <c r="A15" s="2" t="s">
        <v>62</v>
      </c>
      <c r="B15" s="3">
        <v>9</v>
      </c>
    </row>
    <row r="16" spans="1:2" x14ac:dyDescent="0.2">
      <c r="A16" s="2" t="s">
        <v>2343</v>
      </c>
      <c r="B16" s="3">
        <v>16</v>
      </c>
    </row>
    <row r="17" spans="1:2" x14ac:dyDescent="0.2">
      <c r="A17" s="2" t="s">
        <v>40</v>
      </c>
      <c r="B17" s="3">
        <v>45</v>
      </c>
    </row>
    <row r="18" spans="1:2" x14ac:dyDescent="0.2">
      <c r="A18" s="2" t="s">
        <v>2322</v>
      </c>
      <c r="B18" s="3">
        <v>75</v>
      </c>
    </row>
    <row r="19" spans="1:2" x14ac:dyDescent="0.2">
      <c r="A19" s="2" t="s">
        <v>22</v>
      </c>
      <c r="B19" s="3">
        <v>751</v>
      </c>
    </row>
    <row r="20" spans="1:2" x14ac:dyDescent="0.2">
      <c r="A20" s="2" t="s">
        <v>128</v>
      </c>
      <c r="B20" s="3">
        <v>3061</v>
      </c>
    </row>
    <row r="21" spans="1:2" x14ac:dyDescent="0.2">
      <c r="A21" s="2" t="s">
        <v>7026</v>
      </c>
      <c r="B21" s="3">
        <v>3972</v>
      </c>
    </row>
    <row r="24" spans="1:2" x14ac:dyDescent="0.2">
      <c r="A24" s="2" t="s">
        <v>7083</v>
      </c>
      <c r="B24">
        <f>SUM(B14:B16)+B12</f>
        <v>33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0FC58-FBB8-D548-ACE0-54B37063ACE0}">
  <dimension ref="A1:D39"/>
  <sheetViews>
    <sheetView showGridLines="0" zoomScaleNormal="100" workbookViewId="0">
      <selection activeCell="E1" sqref="E1"/>
    </sheetView>
  </sheetViews>
  <sheetFormatPr baseColWidth="10" defaultRowHeight="16" x14ac:dyDescent="0.2"/>
  <cols>
    <col min="1" max="1" width="13.1640625" bestFit="1" customWidth="1"/>
    <col min="2" max="2" width="15.6640625" bestFit="1" customWidth="1"/>
    <col min="3" max="4" width="16.83203125" bestFit="1" customWidth="1"/>
  </cols>
  <sheetData>
    <row r="1" spans="1:4" ht="19" x14ac:dyDescent="0.25">
      <c r="A1" s="18" t="s">
        <v>7076</v>
      </c>
      <c r="B1" s="19"/>
      <c r="C1" s="31"/>
      <c r="D1" s="17"/>
    </row>
    <row r="3" spans="1:4" x14ac:dyDescent="0.2">
      <c r="A3" s="15" t="s">
        <v>7075</v>
      </c>
    </row>
    <row r="4" spans="1:4" ht="4" customHeight="1" x14ac:dyDescent="0.2"/>
    <row r="5" spans="1:4" x14ac:dyDescent="0.2">
      <c r="A5" s="1" t="s">
        <v>3</v>
      </c>
      <c r="B5" t="s">
        <v>7024</v>
      </c>
    </row>
    <row r="6" spans="1:4" x14ac:dyDescent="0.2">
      <c r="A6" s="1" t="s">
        <v>4</v>
      </c>
      <c r="B6" t="s">
        <v>7024</v>
      </c>
    </row>
    <row r="7" spans="1:4" x14ac:dyDescent="0.2">
      <c r="A7" s="1" t="s">
        <v>6</v>
      </c>
      <c r="B7" t="s">
        <v>7024</v>
      </c>
    </row>
    <row r="8" spans="1:4" x14ac:dyDescent="0.2">
      <c r="A8" s="1" t="s">
        <v>5</v>
      </c>
      <c r="B8" t="s">
        <v>7024</v>
      </c>
    </row>
    <row r="10" spans="1:4" x14ac:dyDescent="0.2">
      <c r="A10" s="1" t="s">
        <v>7025</v>
      </c>
      <c r="B10" t="s">
        <v>7027</v>
      </c>
    </row>
    <row r="11" spans="1:4" x14ac:dyDescent="0.2">
      <c r="A11" s="2">
        <v>1989</v>
      </c>
      <c r="B11" s="3">
        <v>1</v>
      </c>
    </row>
    <row r="12" spans="1:4" x14ac:dyDescent="0.2">
      <c r="A12" s="2">
        <v>1992</v>
      </c>
      <c r="B12" s="3">
        <v>2</v>
      </c>
    </row>
    <row r="13" spans="1:4" x14ac:dyDescent="0.2">
      <c r="A13" s="2">
        <v>1994</v>
      </c>
      <c r="B13" s="3">
        <v>1</v>
      </c>
    </row>
    <row r="14" spans="1:4" x14ac:dyDescent="0.2">
      <c r="A14" s="2">
        <v>1995</v>
      </c>
      <c r="B14" s="3">
        <v>1</v>
      </c>
    </row>
    <row r="15" spans="1:4" x14ac:dyDescent="0.2">
      <c r="A15" s="2">
        <v>1996</v>
      </c>
      <c r="B15" s="3">
        <v>6</v>
      </c>
    </row>
    <row r="16" spans="1:4" x14ac:dyDescent="0.2">
      <c r="A16" s="2">
        <v>1997</v>
      </c>
      <c r="B16" s="3">
        <v>1</v>
      </c>
    </row>
    <row r="17" spans="1:2" x14ac:dyDescent="0.2">
      <c r="A17" s="2">
        <v>1998</v>
      </c>
      <c r="B17" s="3">
        <v>6</v>
      </c>
    </row>
    <row r="18" spans="1:2" x14ac:dyDescent="0.2">
      <c r="A18" s="2">
        <v>1999</v>
      </c>
      <c r="B18" s="3">
        <v>13</v>
      </c>
    </row>
    <row r="19" spans="1:2" x14ac:dyDescent="0.2">
      <c r="A19" s="2">
        <v>2000</v>
      </c>
      <c r="B19" s="3">
        <v>16</v>
      </c>
    </row>
    <row r="20" spans="1:2" x14ac:dyDescent="0.2">
      <c r="A20" s="2">
        <v>2001</v>
      </c>
      <c r="B20" s="3">
        <v>12</v>
      </c>
    </row>
    <row r="21" spans="1:2" x14ac:dyDescent="0.2">
      <c r="A21" s="2">
        <v>2002</v>
      </c>
      <c r="B21" s="3">
        <v>29</v>
      </c>
    </row>
    <row r="22" spans="1:2" x14ac:dyDescent="0.2">
      <c r="A22" s="2">
        <v>2003</v>
      </c>
      <c r="B22" s="3">
        <v>22</v>
      </c>
    </row>
    <row r="23" spans="1:2" x14ac:dyDescent="0.2">
      <c r="A23" s="2">
        <v>2004</v>
      </c>
      <c r="B23" s="3">
        <v>27</v>
      </c>
    </row>
    <row r="24" spans="1:2" x14ac:dyDescent="0.2">
      <c r="A24" s="2">
        <v>2005</v>
      </c>
      <c r="B24" s="3">
        <v>36</v>
      </c>
    </row>
    <row r="25" spans="1:2" x14ac:dyDescent="0.2">
      <c r="A25" s="2">
        <v>2006</v>
      </c>
      <c r="B25" s="3">
        <v>31</v>
      </c>
    </row>
    <row r="26" spans="1:2" x14ac:dyDescent="0.2">
      <c r="A26" s="2">
        <v>2007</v>
      </c>
      <c r="B26" s="3">
        <v>52</v>
      </c>
    </row>
    <row r="27" spans="1:2" x14ac:dyDescent="0.2">
      <c r="A27" s="2">
        <v>2008</v>
      </c>
      <c r="B27" s="3">
        <v>67</v>
      </c>
    </row>
    <row r="28" spans="1:2" x14ac:dyDescent="0.2">
      <c r="A28" s="2">
        <v>2009</v>
      </c>
      <c r="B28" s="3">
        <v>95</v>
      </c>
    </row>
    <row r="29" spans="1:2" x14ac:dyDescent="0.2">
      <c r="A29" s="2">
        <v>2010</v>
      </c>
      <c r="B29" s="3">
        <v>97</v>
      </c>
    </row>
    <row r="30" spans="1:2" x14ac:dyDescent="0.2">
      <c r="A30" s="2">
        <v>2011</v>
      </c>
      <c r="B30" s="3">
        <v>136</v>
      </c>
    </row>
    <row r="31" spans="1:2" x14ac:dyDescent="0.2">
      <c r="A31" s="2">
        <v>2012</v>
      </c>
      <c r="B31" s="3">
        <v>138</v>
      </c>
    </row>
    <row r="32" spans="1:2" x14ac:dyDescent="0.2">
      <c r="A32" s="2">
        <v>2013</v>
      </c>
      <c r="B32" s="3">
        <v>124</v>
      </c>
    </row>
    <row r="33" spans="1:2" x14ac:dyDescent="0.2">
      <c r="A33" s="2">
        <v>2014</v>
      </c>
      <c r="B33" s="3">
        <v>860</v>
      </c>
    </row>
    <row r="34" spans="1:2" x14ac:dyDescent="0.2">
      <c r="A34" s="2">
        <v>2015</v>
      </c>
      <c r="B34" s="3">
        <v>157</v>
      </c>
    </row>
    <row r="35" spans="1:2" x14ac:dyDescent="0.2">
      <c r="A35" s="2">
        <v>2016</v>
      </c>
      <c r="B35" s="3">
        <v>1504</v>
      </c>
    </row>
    <row r="36" spans="1:2" x14ac:dyDescent="0.2">
      <c r="A36" s="2">
        <v>2017</v>
      </c>
      <c r="B36" s="3">
        <v>149</v>
      </c>
    </row>
    <row r="37" spans="1:2" x14ac:dyDescent="0.2">
      <c r="A37" s="2">
        <v>2018</v>
      </c>
      <c r="B37" s="3">
        <v>304</v>
      </c>
    </row>
    <row r="38" spans="1:2" x14ac:dyDescent="0.2">
      <c r="A38" s="2">
        <v>2019</v>
      </c>
      <c r="B38" s="3">
        <v>85</v>
      </c>
    </row>
    <row r="39" spans="1:2" x14ac:dyDescent="0.2">
      <c r="A39" s="2" t="s">
        <v>7026</v>
      </c>
      <c r="B39" s="3">
        <v>3972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1EBEE-C0EA-774A-9C53-873B0E91C5A3}">
  <dimension ref="A1:D39"/>
  <sheetViews>
    <sheetView showGridLines="0" zoomScaleNormal="100" workbookViewId="0">
      <selection activeCell="E1" sqref="E1"/>
    </sheetView>
  </sheetViews>
  <sheetFormatPr baseColWidth="10" defaultRowHeight="16" x14ac:dyDescent="0.2"/>
  <cols>
    <col min="1" max="1" width="13.1640625" bestFit="1" customWidth="1"/>
    <col min="2" max="2" width="15.6640625" bestFit="1" customWidth="1"/>
    <col min="3" max="4" width="16.83203125" bestFit="1" customWidth="1"/>
  </cols>
  <sheetData>
    <row r="1" spans="1:4" ht="19" x14ac:dyDescent="0.25">
      <c r="A1" s="18" t="s">
        <v>7078</v>
      </c>
      <c r="B1" s="19"/>
      <c r="C1" s="31"/>
      <c r="D1" s="17"/>
    </row>
    <row r="3" spans="1:4" x14ac:dyDescent="0.2">
      <c r="A3" s="15" t="s">
        <v>7075</v>
      </c>
    </row>
    <row r="4" spans="1:4" ht="4" customHeight="1" x14ac:dyDescent="0.2"/>
    <row r="5" spans="1:4" x14ac:dyDescent="0.2">
      <c r="A5" s="1" t="s">
        <v>3</v>
      </c>
      <c r="B5" t="s">
        <v>7024</v>
      </c>
    </row>
    <row r="6" spans="1:4" x14ac:dyDescent="0.2">
      <c r="A6" s="1" t="s">
        <v>4</v>
      </c>
      <c r="B6" t="s">
        <v>7024</v>
      </c>
    </row>
    <row r="7" spans="1:4" x14ac:dyDescent="0.2">
      <c r="A7" s="1" t="s">
        <v>6</v>
      </c>
      <c r="B7" t="s">
        <v>7024</v>
      </c>
    </row>
    <row r="8" spans="1:4" x14ac:dyDescent="0.2">
      <c r="A8" s="1" t="s">
        <v>5</v>
      </c>
      <c r="B8" t="s">
        <v>7024</v>
      </c>
    </row>
    <row r="10" spans="1:4" x14ac:dyDescent="0.2">
      <c r="A10" s="1" t="s">
        <v>7025</v>
      </c>
      <c r="B10" t="s">
        <v>7027</v>
      </c>
      <c r="C10" s="5" t="s">
        <v>7077</v>
      </c>
    </row>
    <row r="11" spans="1:4" x14ac:dyDescent="0.2">
      <c r="A11" s="2">
        <v>1989</v>
      </c>
      <c r="B11" s="3">
        <v>1</v>
      </c>
      <c r="C11" s="3">
        <f>$B11</f>
        <v>1</v>
      </c>
      <c r="D11" s="36">
        <v>1989</v>
      </c>
    </row>
    <row r="12" spans="1:4" x14ac:dyDescent="0.2">
      <c r="A12" s="2">
        <v>1992</v>
      </c>
      <c r="B12" s="3">
        <v>2</v>
      </c>
      <c r="C12" s="3">
        <f>SUM($B$11:$B12)</f>
        <v>3</v>
      </c>
      <c r="D12" s="36">
        <v>1992</v>
      </c>
    </row>
    <row r="13" spans="1:4" x14ac:dyDescent="0.2">
      <c r="A13" s="2">
        <v>1994</v>
      </c>
      <c r="B13" s="3">
        <v>1</v>
      </c>
      <c r="C13" s="3">
        <f>SUM($B$11:$B13)</f>
        <v>4</v>
      </c>
      <c r="D13" s="36">
        <v>1994</v>
      </c>
    </row>
    <row r="14" spans="1:4" x14ac:dyDescent="0.2">
      <c r="A14" s="2">
        <v>1995</v>
      </c>
      <c r="B14" s="3">
        <v>1</v>
      </c>
      <c r="C14" s="3">
        <f>SUM($B$11:$B14)</f>
        <v>5</v>
      </c>
      <c r="D14" s="36">
        <v>1995</v>
      </c>
    </row>
    <row r="15" spans="1:4" x14ac:dyDescent="0.2">
      <c r="A15" s="2">
        <v>1996</v>
      </c>
      <c r="B15" s="3">
        <v>6</v>
      </c>
      <c r="C15" s="3">
        <f>SUM($B$11:$B15)</f>
        <v>11</v>
      </c>
      <c r="D15" s="36">
        <v>1996</v>
      </c>
    </row>
    <row r="16" spans="1:4" x14ac:dyDescent="0.2">
      <c r="A16" s="2">
        <v>1997</v>
      </c>
      <c r="B16" s="3">
        <v>1</v>
      </c>
      <c r="C16" s="3">
        <f>SUM($B$11:$B16)</f>
        <v>12</v>
      </c>
      <c r="D16" s="36">
        <v>1997</v>
      </c>
    </row>
    <row r="17" spans="1:4" x14ac:dyDescent="0.2">
      <c r="A17" s="2">
        <v>1998</v>
      </c>
      <c r="B17" s="3">
        <v>6</v>
      </c>
      <c r="C17" s="3">
        <f>SUM($B$11:$B17)</f>
        <v>18</v>
      </c>
      <c r="D17" s="36">
        <v>1998</v>
      </c>
    </row>
    <row r="18" spans="1:4" x14ac:dyDescent="0.2">
      <c r="A18" s="2">
        <v>1999</v>
      </c>
      <c r="B18" s="3">
        <v>13</v>
      </c>
      <c r="C18" s="3">
        <f>SUM($B$11:$B18)</f>
        <v>31</v>
      </c>
      <c r="D18" s="36">
        <v>1999</v>
      </c>
    </row>
    <row r="19" spans="1:4" x14ac:dyDescent="0.2">
      <c r="A19" s="2">
        <v>2000</v>
      </c>
      <c r="B19" s="3">
        <v>16</v>
      </c>
      <c r="C19" s="3">
        <f>SUM($B$11:$B19)</f>
        <v>47</v>
      </c>
      <c r="D19" s="36">
        <v>2000</v>
      </c>
    </row>
    <row r="20" spans="1:4" x14ac:dyDescent="0.2">
      <c r="A20" s="2">
        <v>2001</v>
      </c>
      <c r="B20" s="3">
        <v>12</v>
      </c>
      <c r="C20" s="3">
        <f>SUM($B$11:$B20)</f>
        <v>59</v>
      </c>
      <c r="D20" s="36">
        <v>2001</v>
      </c>
    </row>
    <row r="21" spans="1:4" x14ac:dyDescent="0.2">
      <c r="A21" s="2">
        <v>2002</v>
      </c>
      <c r="B21" s="3">
        <v>29</v>
      </c>
      <c r="C21" s="3">
        <f>SUM($B$11:$B21)</f>
        <v>88</v>
      </c>
      <c r="D21" s="36">
        <v>2002</v>
      </c>
    </row>
    <row r="22" spans="1:4" x14ac:dyDescent="0.2">
      <c r="A22" s="2">
        <v>2003</v>
      </c>
      <c r="B22" s="3">
        <v>22</v>
      </c>
      <c r="C22" s="3">
        <f>SUM($B$11:$B22)</f>
        <v>110</v>
      </c>
      <c r="D22" s="36">
        <v>2003</v>
      </c>
    </row>
    <row r="23" spans="1:4" x14ac:dyDescent="0.2">
      <c r="A23" s="2">
        <v>2004</v>
      </c>
      <c r="B23" s="3">
        <v>27</v>
      </c>
      <c r="C23" s="3">
        <f>SUM($B$11:$B23)</f>
        <v>137</v>
      </c>
      <c r="D23" s="36">
        <v>2004</v>
      </c>
    </row>
    <row r="24" spans="1:4" x14ac:dyDescent="0.2">
      <c r="A24" s="2">
        <v>2005</v>
      </c>
      <c r="B24" s="3">
        <v>36</v>
      </c>
      <c r="C24" s="3">
        <f>SUM($B$11:$B24)</f>
        <v>173</v>
      </c>
      <c r="D24" s="36">
        <v>2005</v>
      </c>
    </row>
    <row r="25" spans="1:4" x14ac:dyDescent="0.2">
      <c r="A25" s="2">
        <v>2006</v>
      </c>
      <c r="B25" s="3">
        <v>31</v>
      </c>
      <c r="C25" s="3">
        <f>SUM($B$11:$B25)</f>
        <v>204</v>
      </c>
      <c r="D25" s="36">
        <v>2006</v>
      </c>
    </row>
    <row r="26" spans="1:4" x14ac:dyDescent="0.2">
      <c r="A26" s="2">
        <v>2007</v>
      </c>
      <c r="B26" s="3">
        <v>52</v>
      </c>
      <c r="C26" s="3">
        <f>SUM($B$11:$B26)</f>
        <v>256</v>
      </c>
      <c r="D26" s="36">
        <v>2007</v>
      </c>
    </row>
    <row r="27" spans="1:4" x14ac:dyDescent="0.2">
      <c r="A27" s="2">
        <v>2008</v>
      </c>
      <c r="B27" s="3">
        <v>67</v>
      </c>
      <c r="C27" s="3">
        <f>SUM($B$11:$B27)</f>
        <v>323</v>
      </c>
      <c r="D27" s="36">
        <v>2008</v>
      </c>
    </row>
    <row r="28" spans="1:4" x14ac:dyDescent="0.2">
      <c r="A28" s="2">
        <v>2009</v>
      </c>
      <c r="B28" s="3">
        <v>95</v>
      </c>
      <c r="C28" s="3">
        <f>SUM($B$11:$B28)</f>
        <v>418</v>
      </c>
      <c r="D28" s="36">
        <v>2009</v>
      </c>
    </row>
    <row r="29" spans="1:4" x14ac:dyDescent="0.2">
      <c r="A29" s="2">
        <v>2010</v>
      </c>
      <c r="B29" s="3">
        <v>97</v>
      </c>
      <c r="C29" s="3">
        <f>SUM($B$11:$B29)</f>
        <v>515</v>
      </c>
      <c r="D29" s="36">
        <v>2010</v>
      </c>
    </row>
    <row r="30" spans="1:4" x14ac:dyDescent="0.2">
      <c r="A30" s="2">
        <v>2011</v>
      </c>
      <c r="B30" s="3">
        <v>136</v>
      </c>
      <c r="C30" s="3">
        <f>SUM($B$11:$B30)</f>
        <v>651</v>
      </c>
      <c r="D30" s="36">
        <v>2011</v>
      </c>
    </row>
    <row r="31" spans="1:4" x14ac:dyDescent="0.2">
      <c r="A31" s="2">
        <v>2012</v>
      </c>
      <c r="B31" s="3">
        <v>138</v>
      </c>
      <c r="C31" s="3">
        <f>SUM($B$11:$B31)</f>
        <v>789</v>
      </c>
      <c r="D31" s="36">
        <v>2012</v>
      </c>
    </row>
    <row r="32" spans="1:4" x14ac:dyDescent="0.2">
      <c r="A32" s="2">
        <v>2013</v>
      </c>
      <c r="B32" s="3">
        <v>124</v>
      </c>
      <c r="C32" s="3">
        <f>SUM($B$11:$B32)</f>
        <v>913</v>
      </c>
      <c r="D32" s="36">
        <v>2013</v>
      </c>
    </row>
    <row r="33" spans="1:4" x14ac:dyDescent="0.2">
      <c r="A33" s="2">
        <v>2014</v>
      </c>
      <c r="B33" s="3">
        <v>860</v>
      </c>
      <c r="C33" s="3">
        <f>SUM($B$11:$B33)</f>
        <v>1773</v>
      </c>
      <c r="D33" s="36">
        <v>2014</v>
      </c>
    </row>
    <row r="34" spans="1:4" x14ac:dyDescent="0.2">
      <c r="A34" s="2">
        <v>2015</v>
      </c>
      <c r="B34" s="3">
        <v>157</v>
      </c>
      <c r="C34" s="3">
        <f>SUM($B$11:$B34)</f>
        <v>1930</v>
      </c>
      <c r="D34" s="36">
        <v>2015</v>
      </c>
    </row>
    <row r="35" spans="1:4" x14ac:dyDescent="0.2">
      <c r="A35" s="2">
        <v>2016</v>
      </c>
      <c r="B35" s="3">
        <v>1504</v>
      </c>
      <c r="C35" s="3">
        <f>SUM($B$11:$B35)</f>
        <v>3434</v>
      </c>
      <c r="D35" s="36">
        <v>2016</v>
      </c>
    </row>
    <row r="36" spans="1:4" x14ac:dyDescent="0.2">
      <c r="A36" s="2">
        <v>2017</v>
      </c>
      <c r="B36" s="3">
        <v>149</v>
      </c>
      <c r="C36" s="3">
        <f>SUM($B$11:$B36)</f>
        <v>3583</v>
      </c>
      <c r="D36" s="36">
        <v>2017</v>
      </c>
    </row>
    <row r="37" spans="1:4" x14ac:dyDescent="0.2">
      <c r="A37" s="2">
        <v>2018</v>
      </c>
      <c r="B37" s="3">
        <v>304</v>
      </c>
      <c r="C37" s="3">
        <f>SUM($B$11:$B37)</f>
        <v>3887</v>
      </c>
      <c r="D37" s="36">
        <v>2018</v>
      </c>
    </row>
    <row r="38" spans="1:4" x14ac:dyDescent="0.2">
      <c r="A38" s="2">
        <v>2019</v>
      </c>
      <c r="B38" s="3">
        <v>85</v>
      </c>
      <c r="C38" s="3">
        <f>SUM($B$11:$B38)</f>
        <v>3972</v>
      </c>
      <c r="D38" s="36">
        <v>2019</v>
      </c>
    </row>
    <row r="39" spans="1:4" x14ac:dyDescent="0.2">
      <c r="A39" s="2" t="s">
        <v>7026</v>
      </c>
      <c r="B39" s="3">
        <v>3972</v>
      </c>
      <c r="C39" s="7">
        <f>C38</f>
        <v>3972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9A2B8-7E7F-EF48-8C09-EAF2210AAF91}">
  <dimension ref="A1:C12"/>
  <sheetViews>
    <sheetView showGridLines="0" workbookViewId="0">
      <selection activeCell="D1" sqref="D1"/>
    </sheetView>
  </sheetViews>
  <sheetFormatPr baseColWidth="10" defaultRowHeight="16" x14ac:dyDescent="0.2"/>
  <cols>
    <col min="1" max="1" width="7.33203125" customWidth="1"/>
    <col min="2" max="2" width="12.1640625" bestFit="1" customWidth="1"/>
    <col min="3" max="3" width="15.33203125" bestFit="1" customWidth="1"/>
  </cols>
  <sheetData>
    <row r="1" spans="1:3" ht="19" x14ac:dyDescent="0.25">
      <c r="A1" s="18" t="s">
        <v>7067</v>
      </c>
      <c r="B1" s="19"/>
      <c r="C1" s="20"/>
    </row>
    <row r="4" spans="1:3" ht="51" x14ac:dyDescent="0.2">
      <c r="A4" s="12" t="s">
        <v>7031</v>
      </c>
      <c r="B4" s="12" t="s">
        <v>7025</v>
      </c>
      <c r="C4" s="12" t="s">
        <v>7030</v>
      </c>
    </row>
    <row r="5" spans="1:3" x14ac:dyDescent="0.2">
      <c r="A5" s="8">
        <v>1</v>
      </c>
      <c r="B5" s="8" t="s">
        <v>7032</v>
      </c>
      <c r="C5" s="9">
        <f>COUNTIF('static-exo'!I:I,"&lt;="&amp;A5)</f>
        <v>90</v>
      </c>
    </row>
    <row r="6" spans="1:3" x14ac:dyDescent="0.2">
      <c r="A6" s="8">
        <v>5</v>
      </c>
      <c r="B6" s="8" t="s">
        <v>7033</v>
      </c>
      <c r="C6" s="9">
        <f>COUNTIFS('static-exo'!I:I,"&lt;="&amp;A6,'static-exo'!I:I,"&gt;"&amp;A5)</f>
        <v>968</v>
      </c>
    </row>
    <row r="7" spans="1:3" x14ac:dyDescent="0.2">
      <c r="A7" s="8">
        <v>15</v>
      </c>
      <c r="B7" s="8" t="s">
        <v>7034</v>
      </c>
      <c r="C7" s="9">
        <f>COUNTIFS('static-exo'!I:I,"&lt;="&amp;A7,'static-exo'!I:I,"&gt;"&amp;A6)</f>
        <v>1106</v>
      </c>
    </row>
    <row r="8" spans="1:3" x14ac:dyDescent="0.2">
      <c r="A8" s="8">
        <v>30</v>
      </c>
      <c r="B8" s="8" t="s">
        <v>7035</v>
      </c>
      <c r="C8" s="9">
        <f>COUNTIFS('static-exo'!I:I,"&lt;="&amp;A8,'static-exo'!I:I,"&gt;"&amp;A7)</f>
        <v>542</v>
      </c>
    </row>
    <row r="9" spans="1:3" x14ac:dyDescent="0.2">
      <c r="A9" s="8">
        <v>365</v>
      </c>
      <c r="B9" s="8" t="s">
        <v>7037</v>
      </c>
      <c r="C9" s="9">
        <f>COUNTIFS('static-exo'!I:I,"&lt;="&amp;A9,'static-exo'!I:I,"&gt;"&amp;A8)</f>
        <v>737</v>
      </c>
    </row>
    <row r="10" spans="1:3" x14ac:dyDescent="0.2">
      <c r="A10" s="10"/>
      <c r="B10" s="8" t="s">
        <v>7036</v>
      </c>
      <c r="C10" s="9">
        <f>COUNTIFS('static-exo'!I:I,"&gt;"&amp;A9)</f>
        <v>425</v>
      </c>
    </row>
    <row r="11" spans="1:3" x14ac:dyDescent="0.2">
      <c r="B11" s="11" t="s">
        <v>7038</v>
      </c>
      <c r="C11" s="11">
        <f>COUNTIF('static-exo'!$I$2:$I$3973,"="&amp;"")</f>
        <v>104</v>
      </c>
    </row>
    <row r="12" spans="1:3" x14ac:dyDescent="0.2">
      <c r="B12" s="6" t="s">
        <v>7026</v>
      </c>
      <c r="C12" s="7">
        <f>SUM(C5:C11)</f>
        <v>3972</v>
      </c>
    </row>
  </sheetData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CBFEB2A-D5C2-6543-B7C8-A9BEDAF2707A}">
            <xm:f>$C$12='Data sample'!$B$14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C12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B4420-ED1E-F849-AEE3-B0676BA48C0C}">
  <dimension ref="A1:E32"/>
  <sheetViews>
    <sheetView showGridLines="0" workbookViewId="0">
      <selection activeCell="F1" sqref="F1"/>
    </sheetView>
  </sheetViews>
  <sheetFormatPr baseColWidth="10" defaultRowHeight="16" x14ac:dyDescent="0.2"/>
  <cols>
    <col min="1" max="1" width="13.1640625" bestFit="1" customWidth="1"/>
    <col min="2" max="2" width="15.6640625" bestFit="1" customWidth="1"/>
    <col min="3" max="4" width="16.83203125" bestFit="1" customWidth="1"/>
  </cols>
  <sheetData>
    <row r="1" spans="1:5" ht="19" x14ac:dyDescent="0.25">
      <c r="A1" s="18" t="s">
        <v>7070</v>
      </c>
      <c r="B1" s="19"/>
      <c r="C1" s="19"/>
      <c r="D1" s="19"/>
      <c r="E1" s="17"/>
    </row>
    <row r="3" spans="1:5" x14ac:dyDescent="0.2">
      <c r="A3" s="1" t="s">
        <v>3</v>
      </c>
      <c r="B3" t="s">
        <v>7024</v>
      </c>
    </row>
    <row r="4" spans="1:5" x14ac:dyDescent="0.2">
      <c r="A4" s="1" t="s">
        <v>4</v>
      </c>
      <c r="B4" t="s">
        <v>7024</v>
      </c>
    </row>
    <row r="5" spans="1:5" x14ac:dyDescent="0.2">
      <c r="A5" s="1" t="s">
        <v>6</v>
      </c>
      <c r="B5" t="s">
        <v>7024</v>
      </c>
    </row>
    <row r="6" spans="1:5" x14ac:dyDescent="0.2">
      <c r="A6" s="1" t="s">
        <v>5</v>
      </c>
      <c r="B6" t="s">
        <v>7024</v>
      </c>
    </row>
    <row r="7" spans="1:5" x14ac:dyDescent="0.2">
      <c r="A7" s="1" t="s">
        <v>2</v>
      </c>
      <c r="B7" t="s">
        <v>7024</v>
      </c>
    </row>
    <row r="9" spans="1:5" x14ac:dyDescent="0.2">
      <c r="A9" s="1" t="s">
        <v>7025</v>
      </c>
      <c r="B9" t="s">
        <v>7027</v>
      </c>
    </row>
    <row r="10" spans="1:5" x14ac:dyDescent="0.2">
      <c r="A10" s="2">
        <v>1</v>
      </c>
      <c r="B10" s="3">
        <v>2298</v>
      </c>
    </row>
    <row r="11" spans="1:5" x14ac:dyDescent="0.2">
      <c r="A11" s="2">
        <v>2</v>
      </c>
      <c r="B11" s="3">
        <v>886</v>
      </c>
    </row>
    <row r="12" spans="1:5" x14ac:dyDescent="0.2">
      <c r="A12" s="2">
        <v>3</v>
      </c>
      <c r="B12" s="3">
        <v>417</v>
      </c>
    </row>
    <row r="13" spans="1:5" x14ac:dyDescent="0.2">
      <c r="A13" s="2">
        <v>4</v>
      </c>
      <c r="B13" s="3">
        <v>220</v>
      </c>
    </row>
    <row r="14" spans="1:5" x14ac:dyDescent="0.2">
      <c r="A14" s="2">
        <v>5</v>
      </c>
      <c r="B14" s="3">
        <v>100</v>
      </c>
    </row>
    <row r="15" spans="1:5" x14ac:dyDescent="0.2">
      <c r="A15" s="2">
        <v>6</v>
      </c>
      <c r="B15" s="3">
        <v>36</v>
      </c>
    </row>
    <row r="16" spans="1:5" x14ac:dyDescent="0.2">
      <c r="A16" s="2">
        <v>7</v>
      </c>
      <c r="B16" s="3">
        <v>7</v>
      </c>
    </row>
    <row r="17" spans="1:2" x14ac:dyDescent="0.2">
      <c r="A17" s="2">
        <v>8</v>
      </c>
      <c r="B17" s="3">
        <v>8</v>
      </c>
    </row>
    <row r="18" spans="1:2" x14ac:dyDescent="0.2">
      <c r="A18" s="2" t="s">
        <v>7026</v>
      </c>
      <c r="B18" s="3">
        <v>3972</v>
      </c>
    </row>
    <row r="23" spans="1:2" x14ac:dyDescent="0.2">
      <c r="A23" s="5" t="s">
        <v>7025</v>
      </c>
      <c r="B23" s="5" t="s">
        <v>7029</v>
      </c>
    </row>
    <row r="24" spans="1:2" x14ac:dyDescent="0.2">
      <c r="A24" s="2">
        <v>1</v>
      </c>
      <c r="B24" s="3">
        <f t="shared" ref="B24:B31" si="0">B10/$A10</f>
        <v>2298</v>
      </c>
    </row>
    <row r="25" spans="1:2" x14ac:dyDescent="0.2">
      <c r="A25" s="2">
        <v>2</v>
      </c>
      <c r="B25" s="3">
        <f t="shared" si="0"/>
        <v>443</v>
      </c>
    </row>
    <row r="26" spans="1:2" x14ac:dyDescent="0.2">
      <c r="A26" s="2">
        <v>3</v>
      </c>
      <c r="B26" s="3">
        <f t="shared" si="0"/>
        <v>139</v>
      </c>
    </row>
    <row r="27" spans="1:2" x14ac:dyDescent="0.2">
      <c r="A27" s="2">
        <v>4</v>
      </c>
      <c r="B27" s="3">
        <f t="shared" si="0"/>
        <v>55</v>
      </c>
    </row>
    <row r="28" spans="1:2" x14ac:dyDescent="0.2">
      <c r="A28" s="2">
        <v>5</v>
      </c>
      <c r="B28" s="3">
        <f t="shared" si="0"/>
        <v>20</v>
      </c>
    </row>
    <row r="29" spans="1:2" x14ac:dyDescent="0.2">
      <c r="A29" s="2">
        <v>6</v>
      </c>
      <c r="B29" s="3">
        <f t="shared" si="0"/>
        <v>6</v>
      </c>
    </row>
    <row r="30" spans="1:2" x14ac:dyDescent="0.2">
      <c r="A30" s="2">
        <v>7</v>
      </c>
      <c r="B30" s="3">
        <f t="shared" si="0"/>
        <v>1</v>
      </c>
    </row>
    <row r="31" spans="1:2" x14ac:dyDescent="0.2">
      <c r="A31" s="2">
        <v>8</v>
      </c>
      <c r="B31" s="3">
        <f t="shared" si="0"/>
        <v>1</v>
      </c>
    </row>
    <row r="32" spans="1:2" x14ac:dyDescent="0.2">
      <c r="A32" s="6" t="s">
        <v>7026</v>
      </c>
      <c r="B32" s="7">
        <f>SUM(B24:B31)</f>
        <v>2963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21E56-08AC-9E47-BE58-DE853ABFADD6}">
  <dimension ref="A1:F12"/>
  <sheetViews>
    <sheetView showGridLines="0" workbookViewId="0">
      <selection activeCell="G1" sqref="G1"/>
    </sheetView>
  </sheetViews>
  <sheetFormatPr baseColWidth="10" defaultRowHeight="16" x14ac:dyDescent="0.2"/>
  <cols>
    <col min="1" max="1" width="7.33203125" customWidth="1"/>
    <col min="2" max="2" width="12.1640625" bestFit="1" customWidth="1"/>
    <col min="3" max="3" width="15.33203125" bestFit="1" customWidth="1"/>
  </cols>
  <sheetData>
    <row r="1" spans="1:6" ht="19" x14ac:dyDescent="0.25">
      <c r="A1" s="18" t="s">
        <v>7071</v>
      </c>
      <c r="B1" s="19"/>
      <c r="C1" s="19"/>
      <c r="D1" s="19"/>
      <c r="E1" s="19"/>
      <c r="F1" s="17"/>
    </row>
    <row r="3" spans="1:6" ht="17" x14ac:dyDescent="0.2">
      <c r="A3" s="12" t="s">
        <v>7044</v>
      </c>
      <c r="B3" s="12" t="s">
        <v>7025</v>
      </c>
      <c r="C3" s="12" t="s">
        <v>7030</v>
      </c>
    </row>
    <row r="4" spans="1:6" x14ac:dyDescent="0.2">
      <c r="A4" s="8">
        <v>250</v>
      </c>
      <c r="B4" s="8" t="s">
        <v>7046</v>
      </c>
      <c r="C4" s="9">
        <f>COUNTIF('static-exo'!J:J,"&lt;="&amp;A4)</f>
        <v>1273</v>
      </c>
    </row>
    <row r="5" spans="1:6" x14ac:dyDescent="0.2">
      <c r="A5" s="8">
        <v>500</v>
      </c>
      <c r="B5" s="8" t="s">
        <v>7047</v>
      </c>
      <c r="C5" s="9">
        <f>COUNTIFS('static-exo'!J:J,"&lt;="&amp;A5,'static-exo'!J:J,"&gt;"&amp;A4)</f>
        <v>756</v>
      </c>
    </row>
    <row r="6" spans="1:6" x14ac:dyDescent="0.2">
      <c r="A6" s="8">
        <v>750</v>
      </c>
      <c r="B6" s="8" t="s">
        <v>7048</v>
      </c>
      <c r="C6" s="9">
        <f>COUNTIFS('static-exo'!J:J,"&lt;="&amp;A6,'static-exo'!J:J,"&gt;"&amp;A5)</f>
        <v>665</v>
      </c>
    </row>
    <row r="7" spans="1:6" x14ac:dyDescent="0.2">
      <c r="A7" s="8">
        <v>1000</v>
      </c>
      <c r="B7" s="8" t="s">
        <v>7049</v>
      </c>
      <c r="C7" s="9">
        <f>COUNTIFS('static-exo'!J:J,"&lt;="&amp;A7,'static-exo'!J:J,"&gt;"&amp;A6)</f>
        <v>590</v>
      </c>
    </row>
    <row r="8" spans="1:6" x14ac:dyDescent="0.2">
      <c r="A8" s="8">
        <v>1250</v>
      </c>
      <c r="B8" s="8" t="s">
        <v>7051</v>
      </c>
      <c r="C8" s="9">
        <f>COUNTIFS('static-exo'!J:J,"&lt;="&amp;A8,'static-exo'!J:J,"&gt;"&amp;A7)</f>
        <v>355</v>
      </c>
    </row>
    <row r="9" spans="1:6" x14ac:dyDescent="0.2">
      <c r="A9" s="8">
        <v>1500</v>
      </c>
      <c r="B9" s="8" t="s">
        <v>7050</v>
      </c>
      <c r="C9" s="9">
        <f>COUNTIFS('static-exo'!J:J,"&lt;="&amp;A9,'static-exo'!J:J,"&gt;"&amp;A8)</f>
        <v>178</v>
      </c>
    </row>
    <row r="10" spans="1:6" x14ac:dyDescent="0.2">
      <c r="A10" s="10"/>
      <c r="B10" s="8" t="s">
        <v>7045</v>
      </c>
      <c r="C10" s="9">
        <f>COUNTIFS('static-exo'!J:J,"&gt;"&amp;A9)</f>
        <v>150</v>
      </c>
    </row>
    <row r="11" spans="1:6" x14ac:dyDescent="0.2">
      <c r="B11" s="11" t="s">
        <v>7038</v>
      </c>
      <c r="C11" s="11">
        <f>COUNTIF('static-exo'!$J$2:$J$3973,"="&amp;"")</f>
        <v>5</v>
      </c>
    </row>
    <row r="12" spans="1:6" x14ac:dyDescent="0.2">
      <c r="B12" s="6" t="s">
        <v>7026</v>
      </c>
      <c r="C12" s="7">
        <f>SUM(C4:C11)</f>
        <v>3972</v>
      </c>
    </row>
  </sheetData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6D7DBA7F-E9A0-A448-8C03-6DB8C6957A51}">
            <xm:f>$C$12='Data sample'!$B$14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C12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ED81D-B13E-9346-8D1C-9375EDA8C805}">
  <dimension ref="A1:D9"/>
  <sheetViews>
    <sheetView showGridLines="0" workbookViewId="0">
      <selection activeCell="E1" sqref="E1"/>
    </sheetView>
  </sheetViews>
  <sheetFormatPr baseColWidth="10" defaultRowHeight="16" x14ac:dyDescent="0.2"/>
  <cols>
    <col min="1" max="1" width="7.33203125" customWidth="1"/>
    <col min="2" max="2" width="12.1640625" bestFit="1" customWidth="1"/>
    <col min="3" max="3" width="15.33203125" bestFit="1" customWidth="1"/>
  </cols>
  <sheetData>
    <row r="1" spans="1:4" ht="19" x14ac:dyDescent="0.25">
      <c r="A1" s="18" t="s">
        <v>7072</v>
      </c>
      <c r="B1" s="19"/>
      <c r="C1" s="19"/>
      <c r="D1" s="17"/>
    </row>
    <row r="3" spans="1:4" ht="51" x14ac:dyDescent="0.2">
      <c r="A3" s="12" t="s">
        <v>7039</v>
      </c>
      <c r="B3" s="12" t="s">
        <v>7025</v>
      </c>
      <c r="C3" s="12" t="s">
        <v>7030</v>
      </c>
    </row>
    <row r="4" spans="1:4" x14ac:dyDescent="0.2">
      <c r="A4" s="8">
        <v>2.5</v>
      </c>
      <c r="B4" s="8" t="s">
        <v>7041</v>
      </c>
      <c r="C4" s="9">
        <f>COUNTIF('static-exo'!K:K,"&lt;="&amp;A4)</f>
        <v>344</v>
      </c>
    </row>
    <row r="5" spans="1:4" x14ac:dyDescent="0.2">
      <c r="A5" s="8">
        <v>5</v>
      </c>
      <c r="B5" s="8" t="s">
        <v>7040</v>
      </c>
      <c r="C5" s="9">
        <f>COUNTIFS('static-exo'!K:K,"&lt;="&amp;A5,'static-exo'!K:K,"&gt;"&amp;A4)</f>
        <v>1238</v>
      </c>
    </row>
    <row r="6" spans="1:4" x14ac:dyDescent="0.2">
      <c r="A6" s="8">
        <v>10</v>
      </c>
      <c r="B6" s="8" t="s">
        <v>7042</v>
      </c>
      <c r="C6" s="9">
        <f>COUNTIFS('static-exo'!K:K,"&lt;="&amp;A6,'static-exo'!K:K,"&gt;"&amp;A5)</f>
        <v>338</v>
      </c>
    </row>
    <row r="7" spans="1:4" x14ac:dyDescent="0.2">
      <c r="A7" s="8">
        <v>15</v>
      </c>
      <c r="B7" s="8" t="s">
        <v>7043</v>
      </c>
      <c r="C7" s="9">
        <f>COUNTIFS('static-exo'!K:K,"&lt;="&amp;A7,'static-exo'!K:K,"&gt;"&amp;A6)</f>
        <v>47</v>
      </c>
    </row>
    <row r="8" spans="1:4" x14ac:dyDescent="0.2">
      <c r="A8" s="8"/>
      <c r="B8" s="11" t="s">
        <v>7038</v>
      </c>
      <c r="C8" s="11">
        <f>COUNTIF('static-exo'!$K$2:$K$3973,"="&amp;"")</f>
        <v>2005</v>
      </c>
    </row>
    <row r="9" spans="1:4" x14ac:dyDescent="0.2">
      <c r="A9" s="10"/>
      <c r="B9" s="6" t="s">
        <v>7026</v>
      </c>
      <c r="C9" s="7">
        <f>SUM(C4:C8)</f>
        <v>3972</v>
      </c>
    </row>
  </sheetData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0C0844C-8961-0549-9655-47574A06E8C2}">
            <xm:f>$C$9='Data sample'!$B$14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0A458-5215-9E42-A54D-3682531D2CA4}">
  <dimension ref="K1:O5"/>
  <sheetViews>
    <sheetView showGridLines="0" zoomScale="120" zoomScaleNormal="120" workbookViewId="0">
      <selection activeCell="J1" sqref="J1"/>
    </sheetView>
  </sheetViews>
  <sheetFormatPr baseColWidth="10" defaultRowHeight="16" x14ac:dyDescent="0.2"/>
  <cols>
    <col min="11" max="11" width="16" bestFit="1" customWidth="1"/>
    <col min="12" max="12" width="17" bestFit="1" customWidth="1"/>
    <col min="13" max="13" width="15.33203125" bestFit="1" customWidth="1"/>
    <col min="14" max="14" width="13.83203125" bestFit="1" customWidth="1"/>
  </cols>
  <sheetData>
    <row r="1" spans="11:15" x14ac:dyDescent="0.2">
      <c r="K1" s="1" t="s">
        <v>11</v>
      </c>
      <c r="L1" t="s">
        <v>7052</v>
      </c>
      <c r="N1" s="37" t="s">
        <v>7079</v>
      </c>
      <c r="O1" s="38">
        <f>MAX('static-exo'!L:L)</f>
        <v>9534.9</v>
      </c>
    </row>
    <row r="2" spans="11:15" x14ac:dyDescent="0.2">
      <c r="K2" s="1" t="s">
        <v>12</v>
      </c>
      <c r="L2" t="s">
        <v>7052</v>
      </c>
      <c r="N2" s="37" t="s">
        <v>7080</v>
      </c>
      <c r="O2" s="38">
        <f>MAX('static-exo'!M:M)</f>
        <v>77.341999999999999</v>
      </c>
    </row>
    <row r="4" spans="11:15" x14ac:dyDescent="0.2">
      <c r="K4" t="s">
        <v>7027</v>
      </c>
    </row>
    <row r="5" spans="11:15" x14ac:dyDescent="0.2">
      <c r="K5" s="3">
        <v>2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25527-C192-184B-A5F4-CA7F762C6924}">
  <dimension ref="K1:O5"/>
  <sheetViews>
    <sheetView showGridLines="0" zoomScale="120" zoomScaleNormal="120" workbookViewId="0">
      <selection activeCell="J1" sqref="J1"/>
    </sheetView>
  </sheetViews>
  <sheetFormatPr baseColWidth="10" defaultRowHeight="16" x14ac:dyDescent="0.2"/>
  <cols>
    <col min="11" max="11" width="16.33203125" bestFit="1" customWidth="1"/>
    <col min="12" max="12" width="17" bestFit="1" customWidth="1"/>
    <col min="13" max="13" width="15.33203125" bestFit="1" customWidth="1"/>
    <col min="14" max="14" width="13.83203125" bestFit="1" customWidth="1"/>
  </cols>
  <sheetData>
    <row r="1" spans="11:15" x14ac:dyDescent="0.2">
      <c r="K1" s="1" t="s">
        <v>11</v>
      </c>
      <c r="L1" t="s">
        <v>7052</v>
      </c>
      <c r="N1" s="37" t="s">
        <v>7079</v>
      </c>
      <c r="O1" s="38">
        <f>MAX('static-exo'!L:L)</f>
        <v>9534.9</v>
      </c>
    </row>
    <row r="2" spans="11:15" x14ac:dyDescent="0.2">
      <c r="K2" s="1" t="s">
        <v>16</v>
      </c>
      <c r="L2" t="s">
        <v>7052</v>
      </c>
      <c r="N2" s="37" t="s">
        <v>7081</v>
      </c>
      <c r="O2" s="38">
        <f>MAX('static-exo'!Q:Q)</f>
        <v>23.56</v>
      </c>
    </row>
    <row r="4" spans="11:15" x14ac:dyDescent="0.2">
      <c r="K4" t="s">
        <v>7027</v>
      </c>
    </row>
    <row r="5" spans="11:15" x14ac:dyDescent="0.2">
      <c r="K5" s="3">
        <v>1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C93E-B570-854A-A5AE-C34A1F5500AB}">
  <dimension ref="K1:O5"/>
  <sheetViews>
    <sheetView showGridLines="0" zoomScale="120" zoomScaleNormal="120" workbookViewId="0">
      <selection activeCell="J1" sqref="J1"/>
    </sheetView>
  </sheetViews>
  <sheetFormatPr baseColWidth="10" defaultRowHeight="16" x14ac:dyDescent="0.2"/>
  <cols>
    <col min="11" max="11" width="16.33203125" bestFit="1" customWidth="1"/>
    <col min="12" max="12" width="17" bestFit="1" customWidth="1"/>
    <col min="13" max="13" width="15.33203125" bestFit="1" customWidth="1"/>
    <col min="14" max="14" width="13.83203125" bestFit="1" customWidth="1"/>
  </cols>
  <sheetData>
    <row r="1" spans="11:15" x14ac:dyDescent="0.2">
      <c r="K1" s="1" t="s">
        <v>12</v>
      </c>
      <c r="L1" t="s">
        <v>7052</v>
      </c>
      <c r="N1" s="37" t="s">
        <v>7080</v>
      </c>
      <c r="O1" s="38">
        <f>MAX('static-exo'!M:M)</f>
        <v>77.341999999999999</v>
      </c>
    </row>
    <row r="2" spans="11:15" x14ac:dyDescent="0.2">
      <c r="K2" s="1" t="s">
        <v>17</v>
      </c>
      <c r="L2" t="s">
        <v>7052</v>
      </c>
      <c r="N2" s="37" t="s">
        <v>7082</v>
      </c>
      <c r="O2" s="38">
        <f>MAX('static-exo'!R:R)</f>
        <v>71.23</v>
      </c>
    </row>
    <row r="4" spans="11:15" x14ac:dyDescent="0.2">
      <c r="K4" t="s">
        <v>7027</v>
      </c>
    </row>
    <row r="5" spans="11:15" x14ac:dyDescent="0.2">
      <c r="K5" s="3">
        <v>1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3973"/>
  <sheetViews>
    <sheetView workbookViewId="0"/>
  </sheetViews>
  <sheetFormatPr baseColWidth="10" defaultRowHeight="16" x14ac:dyDescent="0.2"/>
  <cols>
    <col min="1" max="1" width="26.83203125" bestFit="1" customWidth="1"/>
    <col min="2" max="2" width="28.33203125" bestFit="1" customWidth="1"/>
    <col min="3" max="3" width="6.83203125" bestFit="1" customWidth="1"/>
    <col min="4" max="4" width="9.6640625" bestFit="1" customWidth="1"/>
    <col min="5" max="5" width="14.5" bestFit="1" customWidth="1"/>
    <col min="6" max="6" width="26.1640625" bestFit="1" customWidth="1"/>
    <col min="7" max="7" width="38.83203125" bestFit="1" customWidth="1"/>
    <col min="8" max="8" width="8.33203125" bestFit="1" customWidth="1"/>
    <col min="9" max="9" width="12.1640625" bestFit="1" customWidth="1"/>
    <col min="10" max="10" width="8.1640625" bestFit="1" customWidth="1"/>
    <col min="11" max="11" width="6.6640625" bestFit="1" customWidth="1"/>
    <col min="12" max="12" width="11.1640625" bestFit="1" customWidth="1"/>
    <col min="13" max="13" width="7.33203125" bestFit="1" customWidth="1"/>
    <col min="14" max="14" width="9.5" bestFit="1" customWidth="1"/>
    <col min="15" max="15" width="6.83203125" bestFit="1" customWidth="1"/>
    <col min="16" max="16" width="7.5" bestFit="1" customWidth="1"/>
    <col min="17" max="17" width="8" bestFit="1" customWidth="1"/>
    <col min="18" max="18" width="6.33203125" bestFit="1" customWidth="1"/>
    <col min="19" max="19" width="7.5" bestFit="1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20</v>
      </c>
      <c r="C2">
        <v>2007</v>
      </c>
      <c r="D2">
        <v>0</v>
      </c>
      <c r="E2" t="s">
        <v>21</v>
      </c>
      <c r="F2" t="s">
        <v>22</v>
      </c>
      <c r="G2" t="s">
        <v>23</v>
      </c>
      <c r="H2">
        <v>1</v>
      </c>
      <c r="I2">
        <v>326.02999999999997</v>
      </c>
      <c r="J2">
        <v>93.37</v>
      </c>
      <c r="N2">
        <v>19.399999999999999</v>
      </c>
      <c r="Q2">
        <v>2.7</v>
      </c>
      <c r="R2">
        <v>19</v>
      </c>
    </row>
    <row r="3" spans="1:19" x14ac:dyDescent="0.2">
      <c r="A3" t="s">
        <v>24</v>
      </c>
      <c r="B3" t="s">
        <v>25</v>
      </c>
      <c r="C3">
        <v>2009</v>
      </c>
      <c r="D3">
        <v>0</v>
      </c>
      <c r="E3" t="s">
        <v>21</v>
      </c>
      <c r="F3" t="s">
        <v>22</v>
      </c>
      <c r="G3" t="s">
        <v>26</v>
      </c>
      <c r="H3">
        <v>1</v>
      </c>
      <c r="I3">
        <v>516.21996999999999</v>
      </c>
      <c r="J3">
        <v>125.72</v>
      </c>
      <c r="N3">
        <v>14.74</v>
      </c>
      <c r="Q3">
        <v>2.78</v>
      </c>
      <c r="R3">
        <v>29.79</v>
      </c>
    </row>
    <row r="4" spans="1:19" x14ac:dyDescent="0.2">
      <c r="A4" t="s">
        <v>27</v>
      </c>
      <c r="B4" t="s">
        <v>28</v>
      </c>
      <c r="C4">
        <v>2008</v>
      </c>
      <c r="D4">
        <v>0</v>
      </c>
      <c r="E4" t="s">
        <v>21</v>
      </c>
      <c r="F4" t="s">
        <v>22</v>
      </c>
      <c r="G4" t="s">
        <v>29</v>
      </c>
      <c r="H4">
        <v>1</v>
      </c>
      <c r="I4">
        <v>185.84</v>
      </c>
      <c r="J4">
        <v>75.59</v>
      </c>
      <c r="N4">
        <v>4.8</v>
      </c>
      <c r="Q4">
        <v>2.2000000000000002</v>
      </c>
      <c r="R4">
        <v>11</v>
      </c>
    </row>
    <row r="5" spans="1:19" x14ac:dyDescent="0.2">
      <c r="A5" t="s">
        <v>30</v>
      </c>
      <c r="B5" t="s">
        <v>31</v>
      </c>
      <c r="C5">
        <v>2002</v>
      </c>
      <c r="D5">
        <v>0</v>
      </c>
      <c r="E5" t="s">
        <v>21</v>
      </c>
      <c r="F5" t="s">
        <v>22</v>
      </c>
      <c r="G5" t="s">
        <v>32</v>
      </c>
      <c r="H5">
        <v>1</v>
      </c>
      <c r="I5">
        <v>1773.40002</v>
      </c>
      <c r="J5">
        <v>17.940000000000001</v>
      </c>
      <c r="N5">
        <v>4.66</v>
      </c>
      <c r="Q5">
        <v>0.9</v>
      </c>
      <c r="R5">
        <v>0.93</v>
      </c>
    </row>
    <row r="6" spans="1:19" x14ac:dyDescent="0.2">
      <c r="A6" t="s">
        <v>33</v>
      </c>
      <c r="B6" t="s">
        <v>34</v>
      </c>
      <c r="C6">
        <v>1996</v>
      </c>
      <c r="D6">
        <v>0</v>
      </c>
      <c r="E6" t="s">
        <v>21</v>
      </c>
      <c r="F6" t="s">
        <v>22</v>
      </c>
      <c r="G6" t="s">
        <v>35</v>
      </c>
      <c r="H6">
        <v>1</v>
      </c>
      <c r="I6">
        <v>798.5</v>
      </c>
      <c r="J6">
        <v>21.41</v>
      </c>
      <c r="N6">
        <v>1.78</v>
      </c>
      <c r="Q6">
        <v>1.08</v>
      </c>
      <c r="R6">
        <v>1.1299999999999999</v>
      </c>
    </row>
    <row r="7" spans="1:19" x14ac:dyDescent="0.2">
      <c r="A7" t="s">
        <v>36</v>
      </c>
      <c r="B7" t="s">
        <v>37</v>
      </c>
      <c r="C7">
        <v>2008</v>
      </c>
      <c r="D7">
        <v>0</v>
      </c>
      <c r="E7" t="s">
        <v>21</v>
      </c>
      <c r="F7" t="s">
        <v>22</v>
      </c>
      <c r="G7" t="s">
        <v>29</v>
      </c>
      <c r="H7">
        <v>1</v>
      </c>
      <c r="I7">
        <v>993.3</v>
      </c>
      <c r="J7">
        <v>76.38</v>
      </c>
      <c r="N7">
        <v>10.3</v>
      </c>
      <c r="Q7">
        <v>2.2999999999999998</v>
      </c>
      <c r="R7">
        <v>8.5</v>
      </c>
    </row>
    <row r="8" spans="1:19" x14ac:dyDescent="0.2">
      <c r="A8" t="s">
        <v>38</v>
      </c>
      <c r="B8" t="s">
        <v>39</v>
      </c>
      <c r="C8">
        <v>2008</v>
      </c>
      <c r="D8">
        <v>0</v>
      </c>
      <c r="E8" t="s">
        <v>21</v>
      </c>
      <c r="F8" t="s">
        <v>40</v>
      </c>
      <c r="G8" t="s">
        <v>41</v>
      </c>
      <c r="H8">
        <v>1</v>
      </c>
      <c r="J8">
        <v>145</v>
      </c>
      <c r="K8">
        <v>5.0000000000000001E-3</v>
      </c>
      <c r="L8">
        <v>3000</v>
      </c>
      <c r="N8">
        <v>8</v>
      </c>
      <c r="Q8">
        <v>0.85</v>
      </c>
    </row>
    <row r="9" spans="1:19" x14ac:dyDescent="0.2">
      <c r="A9" t="s">
        <v>42</v>
      </c>
      <c r="B9" t="s">
        <v>43</v>
      </c>
      <c r="C9">
        <v>2018</v>
      </c>
      <c r="D9">
        <v>0</v>
      </c>
      <c r="E9" t="s">
        <v>21</v>
      </c>
      <c r="F9" t="s">
        <v>22</v>
      </c>
      <c r="G9" t="s">
        <v>29</v>
      </c>
      <c r="H9">
        <v>1</v>
      </c>
      <c r="I9">
        <v>30.3506</v>
      </c>
      <c r="J9">
        <v>96.25</v>
      </c>
      <c r="K9">
        <v>6.92</v>
      </c>
      <c r="N9">
        <v>0.91</v>
      </c>
      <c r="Q9">
        <v>0.99</v>
      </c>
      <c r="R9">
        <v>10.64</v>
      </c>
    </row>
    <row r="10" spans="1:19" x14ac:dyDescent="0.2">
      <c r="A10" t="s">
        <v>44</v>
      </c>
      <c r="B10" t="s">
        <v>45</v>
      </c>
      <c r="C10">
        <v>2010</v>
      </c>
      <c r="D10">
        <v>0</v>
      </c>
      <c r="E10" t="s">
        <v>21</v>
      </c>
      <c r="F10" t="s">
        <v>22</v>
      </c>
      <c r="G10" t="s">
        <v>46</v>
      </c>
      <c r="H10">
        <v>2</v>
      </c>
      <c r="I10">
        <v>452.8</v>
      </c>
      <c r="J10">
        <v>72.209999999999994</v>
      </c>
      <c r="K10">
        <v>2.7</v>
      </c>
      <c r="N10">
        <v>1.99</v>
      </c>
      <c r="Q10">
        <v>1.54</v>
      </c>
      <c r="R10">
        <v>4.9000000000000004</v>
      </c>
    </row>
    <row r="11" spans="1:19" x14ac:dyDescent="0.2">
      <c r="A11" t="s">
        <v>44</v>
      </c>
      <c r="B11" t="s">
        <v>47</v>
      </c>
      <c r="C11">
        <v>2010</v>
      </c>
      <c r="D11">
        <v>0</v>
      </c>
      <c r="E11" t="s">
        <v>21</v>
      </c>
      <c r="F11" t="s">
        <v>22</v>
      </c>
      <c r="G11" t="s">
        <v>46</v>
      </c>
      <c r="H11">
        <v>2</v>
      </c>
      <c r="I11">
        <v>883</v>
      </c>
      <c r="J11">
        <v>72.209999999999994</v>
      </c>
      <c r="K11">
        <v>2.7</v>
      </c>
      <c r="N11">
        <v>0.86</v>
      </c>
      <c r="Q11">
        <v>1.54</v>
      </c>
      <c r="R11">
        <v>4.9000000000000004</v>
      </c>
    </row>
    <row r="12" spans="1:19" x14ac:dyDescent="0.2">
      <c r="A12" t="s">
        <v>48</v>
      </c>
      <c r="B12" t="s">
        <v>49</v>
      </c>
      <c r="C12">
        <v>2013</v>
      </c>
      <c r="D12">
        <v>0</v>
      </c>
      <c r="E12" t="s">
        <v>21</v>
      </c>
      <c r="F12" t="s">
        <v>40</v>
      </c>
      <c r="G12" t="s">
        <v>32</v>
      </c>
      <c r="H12">
        <v>1</v>
      </c>
      <c r="J12">
        <v>36</v>
      </c>
      <c r="K12">
        <v>0.12</v>
      </c>
      <c r="L12">
        <v>7786.5</v>
      </c>
      <c r="N12">
        <v>24.5</v>
      </c>
      <c r="Q12">
        <v>0.4</v>
      </c>
    </row>
    <row r="13" spans="1:19" x14ac:dyDescent="0.2">
      <c r="A13" t="s">
        <v>50</v>
      </c>
      <c r="B13" t="s">
        <v>51</v>
      </c>
      <c r="C13">
        <v>2015</v>
      </c>
      <c r="D13">
        <v>0</v>
      </c>
      <c r="E13" t="s">
        <v>21</v>
      </c>
      <c r="F13" t="s">
        <v>40</v>
      </c>
      <c r="G13" t="s">
        <v>52</v>
      </c>
      <c r="H13">
        <v>1</v>
      </c>
      <c r="J13">
        <v>39.4</v>
      </c>
      <c r="K13">
        <v>3.5000000000000003E-2</v>
      </c>
      <c r="L13">
        <v>4417.8370000000004</v>
      </c>
      <c r="M13">
        <v>16.140999999999998</v>
      </c>
      <c r="N13">
        <v>13.9</v>
      </c>
      <c r="O13">
        <v>1.44</v>
      </c>
      <c r="Q13">
        <v>0.11</v>
      </c>
      <c r="R13">
        <v>0.28000000000000003</v>
      </c>
    </row>
    <row r="14" spans="1:19" x14ac:dyDescent="0.2">
      <c r="A14" t="s">
        <v>53</v>
      </c>
      <c r="B14" t="s">
        <v>54</v>
      </c>
      <c r="C14">
        <v>2010</v>
      </c>
      <c r="D14">
        <v>0</v>
      </c>
      <c r="E14" t="s">
        <v>55</v>
      </c>
      <c r="F14" t="s">
        <v>40</v>
      </c>
      <c r="G14" t="s">
        <v>56</v>
      </c>
      <c r="H14">
        <v>1</v>
      </c>
      <c r="J14">
        <v>140</v>
      </c>
      <c r="K14">
        <v>1E-3</v>
      </c>
      <c r="L14">
        <v>2383.6</v>
      </c>
      <c r="N14">
        <v>7.5</v>
      </c>
      <c r="Q14">
        <v>0.02</v>
      </c>
    </row>
    <row r="15" spans="1:19" x14ac:dyDescent="0.2">
      <c r="A15" t="s">
        <v>57</v>
      </c>
      <c r="B15" t="s">
        <v>58</v>
      </c>
      <c r="C15">
        <v>2004</v>
      </c>
      <c r="D15">
        <v>0</v>
      </c>
      <c r="E15" t="s">
        <v>21</v>
      </c>
      <c r="F15" t="s">
        <v>40</v>
      </c>
      <c r="G15" t="s">
        <v>59</v>
      </c>
      <c r="H15">
        <v>1</v>
      </c>
      <c r="J15">
        <v>52.4</v>
      </c>
      <c r="K15">
        <v>8.0000000000000002E-3</v>
      </c>
      <c r="L15">
        <v>1271</v>
      </c>
      <c r="N15">
        <v>4</v>
      </c>
      <c r="Q15">
        <v>0.02</v>
      </c>
    </row>
    <row r="16" spans="1:19" x14ac:dyDescent="0.2">
      <c r="A16" t="s">
        <v>60</v>
      </c>
      <c r="B16" t="s">
        <v>61</v>
      </c>
      <c r="C16">
        <v>2015</v>
      </c>
      <c r="D16">
        <v>1</v>
      </c>
      <c r="E16" t="s">
        <v>55</v>
      </c>
      <c r="F16" t="s">
        <v>62</v>
      </c>
      <c r="G16" t="s">
        <v>63</v>
      </c>
      <c r="H16">
        <v>1</v>
      </c>
      <c r="I16">
        <v>416</v>
      </c>
      <c r="J16">
        <v>396.36</v>
      </c>
      <c r="L16">
        <v>603.87699999999995</v>
      </c>
      <c r="N16">
        <v>1.9</v>
      </c>
      <c r="Q16">
        <v>0.48</v>
      </c>
    </row>
    <row r="17" spans="1:18" x14ac:dyDescent="0.2">
      <c r="A17" t="s">
        <v>64</v>
      </c>
      <c r="B17" t="s">
        <v>65</v>
      </c>
      <c r="C17">
        <v>2009</v>
      </c>
      <c r="D17">
        <v>0</v>
      </c>
      <c r="E17" t="s">
        <v>21</v>
      </c>
      <c r="F17" t="s">
        <v>40</v>
      </c>
      <c r="G17" t="s">
        <v>32</v>
      </c>
      <c r="H17">
        <v>1</v>
      </c>
      <c r="I17">
        <v>7336.5</v>
      </c>
      <c r="J17">
        <v>25</v>
      </c>
      <c r="L17">
        <v>6657.48</v>
      </c>
      <c r="M17">
        <v>10.31</v>
      </c>
      <c r="N17">
        <v>20.95</v>
      </c>
      <c r="O17">
        <v>0.92</v>
      </c>
      <c r="Q17">
        <v>0.08</v>
      </c>
      <c r="R17">
        <v>0.12</v>
      </c>
    </row>
    <row r="18" spans="1:18" x14ac:dyDescent="0.2">
      <c r="A18" t="s">
        <v>66</v>
      </c>
      <c r="B18" t="s">
        <v>67</v>
      </c>
      <c r="C18">
        <v>2016</v>
      </c>
      <c r="D18">
        <v>0</v>
      </c>
      <c r="E18" t="s">
        <v>21</v>
      </c>
      <c r="F18" t="s">
        <v>40</v>
      </c>
      <c r="G18" t="s">
        <v>32</v>
      </c>
      <c r="H18">
        <v>1</v>
      </c>
      <c r="J18">
        <v>74</v>
      </c>
      <c r="K18">
        <v>0.12</v>
      </c>
      <c r="L18">
        <v>3972.875</v>
      </c>
      <c r="N18">
        <v>12.5</v>
      </c>
      <c r="Q18">
        <v>0.6</v>
      </c>
    </row>
    <row r="19" spans="1:18" x14ac:dyDescent="0.2">
      <c r="A19" t="s">
        <v>68</v>
      </c>
      <c r="B19" t="s">
        <v>69</v>
      </c>
      <c r="C19">
        <v>2009</v>
      </c>
      <c r="D19">
        <v>0</v>
      </c>
      <c r="E19" t="s">
        <v>21</v>
      </c>
      <c r="F19" t="s">
        <v>22</v>
      </c>
      <c r="G19" t="s">
        <v>26</v>
      </c>
      <c r="H19">
        <v>1</v>
      </c>
      <c r="I19">
        <v>335.10001</v>
      </c>
      <c r="J19">
        <v>44.71</v>
      </c>
      <c r="N19">
        <v>13.82</v>
      </c>
      <c r="Q19">
        <v>1.93</v>
      </c>
      <c r="R19">
        <v>1.41</v>
      </c>
    </row>
    <row r="20" spans="1:18" x14ac:dyDescent="0.2">
      <c r="A20" t="s">
        <v>70</v>
      </c>
      <c r="B20" t="s">
        <v>71</v>
      </c>
      <c r="C20">
        <v>2006</v>
      </c>
      <c r="D20">
        <v>0</v>
      </c>
      <c r="E20" t="s">
        <v>21</v>
      </c>
      <c r="F20" t="s">
        <v>22</v>
      </c>
      <c r="G20" t="s">
        <v>26</v>
      </c>
      <c r="H20">
        <v>1</v>
      </c>
      <c r="I20">
        <v>269.3</v>
      </c>
      <c r="J20">
        <v>73.58</v>
      </c>
      <c r="K20">
        <v>4.6040000000000001</v>
      </c>
      <c r="N20">
        <v>7.1</v>
      </c>
      <c r="Q20">
        <v>1.23</v>
      </c>
      <c r="R20">
        <v>18.11</v>
      </c>
    </row>
    <row r="21" spans="1:18" x14ac:dyDescent="0.2">
      <c r="A21" t="s">
        <v>72</v>
      </c>
      <c r="B21" t="s">
        <v>73</v>
      </c>
      <c r="C21">
        <v>2008</v>
      </c>
      <c r="D21">
        <v>0</v>
      </c>
      <c r="E21" t="s">
        <v>21</v>
      </c>
      <c r="F21" t="s">
        <v>22</v>
      </c>
      <c r="G21" t="s">
        <v>26</v>
      </c>
      <c r="H21">
        <v>1</v>
      </c>
      <c r="I21">
        <v>479.1</v>
      </c>
      <c r="J21">
        <v>90.86</v>
      </c>
      <c r="K21">
        <v>9.49</v>
      </c>
      <c r="N21">
        <v>3.88</v>
      </c>
      <c r="Q21">
        <v>0.98</v>
      </c>
      <c r="R21">
        <v>22.03</v>
      </c>
    </row>
    <row r="22" spans="1:18" x14ac:dyDescent="0.2">
      <c r="A22" t="s">
        <v>74</v>
      </c>
      <c r="B22" t="s">
        <v>75</v>
      </c>
      <c r="C22">
        <v>1996</v>
      </c>
      <c r="D22">
        <v>0</v>
      </c>
      <c r="E22" t="s">
        <v>21</v>
      </c>
      <c r="F22" t="s">
        <v>22</v>
      </c>
      <c r="G22" t="s">
        <v>46</v>
      </c>
      <c r="H22">
        <v>3</v>
      </c>
      <c r="I22">
        <v>1078</v>
      </c>
      <c r="J22">
        <v>13.8</v>
      </c>
      <c r="K22">
        <v>7.3</v>
      </c>
      <c r="N22">
        <v>2.5299999999999998</v>
      </c>
      <c r="Q22">
        <v>1.03</v>
      </c>
      <c r="R22">
        <v>1.23</v>
      </c>
    </row>
    <row r="23" spans="1:18" x14ac:dyDescent="0.2">
      <c r="A23" t="s">
        <v>74</v>
      </c>
      <c r="B23" t="s">
        <v>76</v>
      </c>
      <c r="C23">
        <v>2001</v>
      </c>
      <c r="D23">
        <v>0</v>
      </c>
      <c r="E23" t="s">
        <v>21</v>
      </c>
      <c r="F23" t="s">
        <v>22</v>
      </c>
      <c r="G23" t="s">
        <v>46</v>
      </c>
      <c r="H23">
        <v>3</v>
      </c>
      <c r="I23">
        <v>2391</v>
      </c>
      <c r="J23">
        <v>13.8</v>
      </c>
      <c r="K23">
        <v>7.3</v>
      </c>
      <c r="N23">
        <v>0.54</v>
      </c>
      <c r="Q23">
        <v>1.03</v>
      </c>
      <c r="R23">
        <v>1.23</v>
      </c>
    </row>
    <row r="24" spans="1:18" x14ac:dyDescent="0.2">
      <c r="A24" t="s">
        <v>74</v>
      </c>
      <c r="B24" t="s">
        <v>77</v>
      </c>
      <c r="C24">
        <v>2009</v>
      </c>
      <c r="D24">
        <v>0</v>
      </c>
      <c r="E24" t="s">
        <v>21</v>
      </c>
      <c r="F24" t="s">
        <v>22</v>
      </c>
      <c r="G24" t="s">
        <v>46</v>
      </c>
      <c r="H24">
        <v>3</v>
      </c>
      <c r="I24">
        <v>14002</v>
      </c>
      <c r="J24">
        <v>13.8</v>
      </c>
      <c r="K24">
        <v>7.3</v>
      </c>
      <c r="N24">
        <v>1.64</v>
      </c>
      <c r="Q24">
        <v>1.03</v>
      </c>
      <c r="R24">
        <v>1.23</v>
      </c>
    </row>
    <row r="25" spans="1:18" x14ac:dyDescent="0.2">
      <c r="A25" t="s">
        <v>78</v>
      </c>
      <c r="B25" t="s">
        <v>79</v>
      </c>
      <c r="C25">
        <v>2015</v>
      </c>
      <c r="D25">
        <v>0</v>
      </c>
      <c r="E25" t="s">
        <v>21</v>
      </c>
      <c r="F25" t="s">
        <v>40</v>
      </c>
      <c r="G25" t="s">
        <v>41</v>
      </c>
      <c r="H25">
        <v>1</v>
      </c>
      <c r="J25">
        <v>29.4</v>
      </c>
      <c r="K25">
        <v>0.02</v>
      </c>
      <c r="L25">
        <v>635.66</v>
      </c>
      <c r="N25">
        <v>2</v>
      </c>
      <c r="Q25">
        <v>1.75</v>
      </c>
    </row>
    <row r="26" spans="1:18" x14ac:dyDescent="0.2">
      <c r="A26" t="s">
        <v>80</v>
      </c>
      <c r="B26" t="s">
        <v>81</v>
      </c>
      <c r="C26">
        <v>1995</v>
      </c>
      <c r="D26">
        <v>0</v>
      </c>
      <c r="E26" t="s">
        <v>21</v>
      </c>
      <c r="F26" t="s">
        <v>22</v>
      </c>
      <c r="G26" t="s">
        <v>82</v>
      </c>
      <c r="H26">
        <v>1</v>
      </c>
      <c r="I26">
        <v>4.230785</v>
      </c>
      <c r="J26">
        <v>15.47</v>
      </c>
      <c r="K26">
        <v>4</v>
      </c>
      <c r="N26">
        <v>0.47199999999999998</v>
      </c>
      <c r="Q26">
        <v>1.1200000000000001</v>
      </c>
      <c r="R26">
        <v>1.2</v>
      </c>
    </row>
    <row r="27" spans="1:18" x14ac:dyDescent="0.2">
      <c r="A27" t="s">
        <v>83</v>
      </c>
      <c r="B27" t="s">
        <v>84</v>
      </c>
      <c r="C27">
        <v>1996</v>
      </c>
      <c r="D27">
        <v>0</v>
      </c>
      <c r="E27" t="s">
        <v>21</v>
      </c>
      <c r="F27" t="s">
        <v>22</v>
      </c>
      <c r="G27" t="s">
        <v>46</v>
      </c>
      <c r="H27">
        <v>5</v>
      </c>
      <c r="I27">
        <v>14.65152</v>
      </c>
      <c r="J27">
        <v>12.59</v>
      </c>
      <c r="K27">
        <v>10.199999999999999</v>
      </c>
      <c r="L27">
        <v>263.9785</v>
      </c>
      <c r="N27">
        <v>0.8306</v>
      </c>
      <c r="Q27">
        <v>0.91</v>
      </c>
      <c r="R27">
        <v>0.94</v>
      </c>
    </row>
    <row r="28" spans="1:18" x14ac:dyDescent="0.2">
      <c r="A28" t="s">
        <v>83</v>
      </c>
      <c r="B28" t="s">
        <v>85</v>
      </c>
      <c r="C28">
        <v>2004</v>
      </c>
      <c r="D28">
        <v>0</v>
      </c>
      <c r="E28" t="s">
        <v>21</v>
      </c>
      <c r="F28" t="s">
        <v>22</v>
      </c>
      <c r="G28" t="s">
        <v>86</v>
      </c>
      <c r="H28">
        <v>5</v>
      </c>
      <c r="I28">
        <v>44.417499999999997</v>
      </c>
      <c r="J28">
        <v>12.59</v>
      </c>
      <c r="K28">
        <v>10.199999999999999</v>
      </c>
      <c r="L28">
        <v>54.473799999999997</v>
      </c>
      <c r="N28">
        <v>0.1714</v>
      </c>
      <c r="Q28">
        <v>0.91</v>
      </c>
      <c r="R28">
        <v>0.94</v>
      </c>
    </row>
    <row r="29" spans="1:18" x14ac:dyDescent="0.2">
      <c r="A29" t="s">
        <v>83</v>
      </c>
      <c r="B29" t="s">
        <v>87</v>
      </c>
      <c r="C29">
        <v>2002</v>
      </c>
      <c r="D29">
        <v>0</v>
      </c>
      <c r="E29" t="s">
        <v>21</v>
      </c>
      <c r="F29" t="s">
        <v>22</v>
      </c>
      <c r="G29" t="s">
        <v>46</v>
      </c>
      <c r="H29">
        <v>5</v>
      </c>
      <c r="I29">
        <v>4825</v>
      </c>
      <c r="J29">
        <v>12.59</v>
      </c>
      <c r="K29">
        <v>10.199999999999999</v>
      </c>
      <c r="L29">
        <v>1232.4929999999999</v>
      </c>
      <c r="N29">
        <v>3.8780000000000001</v>
      </c>
      <c r="Q29">
        <v>0.91</v>
      </c>
      <c r="R29">
        <v>0.94</v>
      </c>
    </row>
    <row r="30" spans="1:18" x14ac:dyDescent="0.2">
      <c r="A30" t="s">
        <v>83</v>
      </c>
      <c r="B30" t="s">
        <v>88</v>
      </c>
      <c r="C30">
        <v>2004</v>
      </c>
      <c r="D30">
        <v>0</v>
      </c>
      <c r="E30" t="s">
        <v>21</v>
      </c>
      <c r="F30" t="s">
        <v>22</v>
      </c>
      <c r="G30" t="s">
        <v>86</v>
      </c>
      <c r="H30">
        <v>5</v>
      </c>
      <c r="I30">
        <v>0.73653900000000005</v>
      </c>
      <c r="J30">
        <v>12.59</v>
      </c>
      <c r="K30">
        <v>10.199999999999999</v>
      </c>
      <c r="L30">
        <v>8.08</v>
      </c>
      <c r="M30">
        <v>1.91</v>
      </c>
      <c r="N30">
        <v>2.5420000000000002E-2</v>
      </c>
      <c r="O30">
        <v>0.17</v>
      </c>
      <c r="P30">
        <v>6.4</v>
      </c>
      <c r="Q30">
        <v>0.91</v>
      </c>
      <c r="R30">
        <v>0.94</v>
      </c>
    </row>
    <row r="31" spans="1:18" x14ac:dyDescent="0.2">
      <c r="A31" t="s">
        <v>83</v>
      </c>
      <c r="B31" t="s">
        <v>89</v>
      </c>
      <c r="C31">
        <v>2007</v>
      </c>
      <c r="D31">
        <v>0</v>
      </c>
      <c r="E31" t="s">
        <v>21</v>
      </c>
      <c r="F31" t="s">
        <v>22</v>
      </c>
      <c r="G31" t="s">
        <v>35</v>
      </c>
      <c r="H31">
        <v>5</v>
      </c>
      <c r="I31">
        <v>262</v>
      </c>
      <c r="J31">
        <v>12.59</v>
      </c>
      <c r="K31">
        <v>10.199999999999999</v>
      </c>
      <c r="L31">
        <v>44.811999999999998</v>
      </c>
      <c r="N31">
        <v>0.14099999999999999</v>
      </c>
      <c r="Q31">
        <v>0.91</v>
      </c>
      <c r="R31">
        <v>0.94</v>
      </c>
    </row>
    <row r="32" spans="1:18" x14ac:dyDescent="0.2">
      <c r="A32" t="s">
        <v>90</v>
      </c>
      <c r="B32" t="s">
        <v>91</v>
      </c>
      <c r="C32">
        <v>2008</v>
      </c>
      <c r="D32">
        <v>0</v>
      </c>
      <c r="E32" t="s">
        <v>21</v>
      </c>
      <c r="F32" t="s">
        <v>22</v>
      </c>
      <c r="G32" t="s">
        <v>29</v>
      </c>
      <c r="H32">
        <v>1</v>
      </c>
      <c r="I32">
        <v>934.3</v>
      </c>
      <c r="J32">
        <v>54.74</v>
      </c>
      <c r="N32">
        <v>2.0099999999999998</v>
      </c>
      <c r="Q32">
        <v>1.44</v>
      </c>
      <c r="R32">
        <v>5.2</v>
      </c>
    </row>
    <row r="33" spans="1:18" x14ac:dyDescent="0.2">
      <c r="A33" t="s">
        <v>92</v>
      </c>
      <c r="B33" t="s">
        <v>93</v>
      </c>
      <c r="C33">
        <v>2009</v>
      </c>
      <c r="D33">
        <v>0</v>
      </c>
      <c r="E33" t="s">
        <v>21</v>
      </c>
      <c r="F33" t="s">
        <v>22</v>
      </c>
      <c r="G33" t="s">
        <v>35</v>
      </c>
      <c r="H33">
        <v>3</v>
      </c>
      <c r="I33">
        <v>4.2149999999999999</v>
      </c>
      <c r="J33">
        <v>8.51</v>
      </c>
      <c r="K33">
        <v>8.9600000000000009</v>
      </c>
      <c r="N33">
        <v>1.6E-2</v>
      </c>
      <c r="Q33">
        <v>0.94</v>
      </c>
      <c r="R33">
        <v>0.96</v>
      </c>
    </row>
    <row r="34" spans="1:18" x14ac:dyDescent="0.2">
      <c r="A34" t="s">
        <v>92</v>
      </c>
      <c r="B34" t="s">
        <v>94</v>
      </c>
      <c r="C34">
        <v>2009</v>
      </c>
      <c r="D34">
        <v>0</v>
      </c>
      <c r="E34" t="s">
        <v>21</v>
      </c>
      <c r="F34" t="s">
        <v>22</v>
      </c>
      <c r="G34" t="s">
        <v>35</v>
      </c>
      <c r="H34">
        <v>3</v>
      </c>
      <c r="I34">
        <v>38.021000000000001</v>
      </c>
      <c r="J34">
        <v>8.51</v>
      </c>
      <c r="K34">
        <v>8.9600000000000009</v>
      </c>
      <c r="N34">
        <v>5.7000000000000002E-2</v>
      </c>
      <c r="Q34">
        <v>0.94</v>
      </c>
      <c r="R34">
        <v>0.96</v>
      </c>
    </row>
    <row r="35" spans="1:18" x14ac:dyDescent="0.2">
      <c r="A35" t="s">
        <v>92</v>
      </c>
      <c r="B35" t="s">
        <v>95</v>
      </c>
      <c r="C35">
        <v>2009</v>
      </c>
      <c r="D35">
        <v>0</v>
      </c>
      <c r="E35" t="s">
        <v>21</v>
      </c>
      <c r="F35" t="s">
        <v>22</v>
      </c>
      <c r="G35" t="s">
        <v>35</v>
      </c>
      <c r="H35">
        <v>3</v>
      </c>
      <c r="I35">
        <v>123.01</v>
      </c>
      <c r="J35">
        <v>8.51</v>
      </c>
      <c r="K35">
        <v>8.9600000000000009</v>
      </c>
      <c r="N35">
        <v>7.1999999999999995E-2</v>
      </c>
      <c r="Q35">
        <v>0.94</v>
      </c>
      <c r="R35">
        <v>0.96</v>
      </c>
    </row>
    <row r="36" spans="1:18" x14ac:dyDescent="0.2">
      <c r="A36" t="s">
        <v>96</v>
      </c>
      <c r="B36" t="s">
        <v>97</v>
      </c>
      <c r="C36">
        <v>2011</v>
      </c>
      <c r="D36">
        <v>0</v>
      </c>
      <c r="E36" t="s">
        <v>21</v>
      </c>
      <c r="F36" t="s">
        <v>22</v>
      </c>
      <c r="G36" t="s">
        <v>98</v>
      </c>
      <c r="H36">
        <v>1</v>
      </c>
      <c r="I36">
        <v>796</v>
      </c>
      <c r="J36">
        <v>19.82</v>
      </c>
      <c r="N36">
        <v>2.46</v>
      </c>
      <c r="Q36">
        <v>1.52</v>
      </c>
      <c r="R36">
        <v>2.2999999999999998</v>
      </c>
    </row>
    <row r="37" spans="1:18" x14ac:dyDescent="0.2">
      <c r="A37" t="s">
        <v>99</v>
      </c>
      <c r="B37" t="s">
        <v>100</v>
      </c>
      <c r="C37">
        <v>1996</v>
      </c>
      <c r="D37">
        <v>0</v>
      </c>
      <c r="E37" t="s">
        <v>21</v>
      </c>
      <c r="F37" t="s">
        <v>22</v>
      </c>
      <c r="G37" t="s">
        <v>46</v>
      </c>
      <c r="H37">
        <v>1</v>
      </c>
      <c r="I37">
        <v>116.688</v>
      </c>
      <c r="J37">
        <v>17.91</v>
      </c>
      <c r="N37">
        <v>7.4160000000000004</v>
      </c>
      <c r="Q37">
        <v>1.0900000000000001</v>
      </c>
      <c r="R37">
        <v>1.89</v>
      </c>
    </row>
    <row r="38" spans="1:18" x14ac:dyDescent="0.2">
      <c r="A38" t="s">
        <v>101</v>
      </c>
      <c r="B38" t="s">
        <v>102</v>
      </c>
      <c r="C38">
        <v>2012</v>
      </c>
      <c r="D38">
        <v>0</v>
      </c>
      <c r="E38" t="s">
        <v>21</v>
      </c>
      <c r="F38" t="s">
        <v>22</v>
      </c>
      <c r="G38" t="s">
        <v>29</v>
      </c>
      <c r="H38">
        <v>1</v>
      </c>
      <c r="I38">
        <v>691.9</v>
      </c>
      <c r="J38">
        <v>83.15</v>
      </c>
      <c r="N38">
        <v>3</v>
      </c>
      <c r="Q38">
        <v>2.4900000000000002</v>
      </c>
      <c r="R38">
        <v>10.5</v>
      </c>
    </row>
    <row r="39" spans="1:18" x14ac:dyDescent="0.2">
      <c r="A39" t="s">
        <v>103</v>
      </c>
      <c r="B39" t="s">
        <v>104</v>
      </c>
      <c r="C39">
        <v>2015</v>
      </c>
      <c r="D39">
        <v>0</v>
      </c>
      <c r="E39" t="s">
        <v>21</v>
      </c>
      <c r="F39" t="s">
        <v>22</v>
      </c>
      <c r="G39" t="s">
        <v>105</v>
      </c>
      <c r="H39">
        <v>1</v>
      </c>
      <c r="I39">
        <v>93.4</v>
      </c>
      <c r="J39">
        <v>159.1</v>
      </c>
      <c r="N39">
        <v>1.31</v>
      </c>
      <c r="Q39">
        <v>1.44</v>
      </c>
      <c r="R39">
        <v>10.3</v>
      </c>
    </row>
    <row r="40" spans="1:18" x14ac:dyDescent="0.2">
      <c r="A40" t="s">
        <v>106</v>
      </c>
      <c r="B40" t="s">
        <v>107</v>
      </c>
      <c r="C40">
        <v>2008</v>
      </c>
      <c r="D40">
        <v>0</v>
      </c>
      <c r="E40" t="s">
        <v>21</v>
      </c>
      <c r="F40" t="s">
        <v>22</v>
      </c>
      <c r="G40" t="s">
        <v>29</v>
      </c>
      <c r="H40">
        <v>1</v>
      </c>
      <c r="I40">
        <v>952.7</v>
      </c>
      <c r="J40">
        <v>101.53</v>
      </c>
      <c r="N40">
        <v>5.3</v>
      </c>
      <c r="Q40">
        <v>2.4</v>
      </c>
      <c r="R40">
        <v>11</v>
      </c>
    </row>
    <row r="41" spans="1:18" x14ac:dyDescent="0.2">
      <c r="A41" t="s">
        <v>108</v>
      </c>
      <c r="B41" t="s">
        <v>109</v>
      </c>
      <c r="C41">
        <v>2013</v>
      </c>
      <c r="D41">
        <v>0</v>
      </c>
      <c r="E41" t="s">
        <v>21</v>
      </c>
      <c r="F41" t="s">
        <v>22</v>
      </c>
      <c r="G41" t="s">
        <v>46</v>
      </c>
      <c r="H41">
        <v>1</v>
      </c>
      <c r="I41">
        <v>181.4</v>
      </c>
      <c r="J41">
        <v>44.08</v>
      </c>
      <c r="K41">
        <v>3.56</v>
      </c>
      <c r="N41">
        <v>3.2</v>
      </c>
      <c r="Q41">
        <v>1.4</v>
      </c>
      <c r="R41">
        <v>11</v>
      </c>
    </row>
    <row r="42" spans="1:18" x14ac:dyDescent="0.2">
      <c r="A42" t="s">
        <v>110</v>
      </c>
      <c r="B42" t="s">
        <v>111</v>
      </c>
      <c r="C42">
        <v>2005</v>
      </c>
      <c r="D42">
        <v>0</v>
      </c>
      <c r="E42" t="s">
        <v>21</v>
      </c>
      <c r="F42" t="s">
        <v>40</v>
      </c>
      <c r="G42" t="s">
        <v>59</v>
      </c>
      <c r="H42">
        <v>1</v>
      </c>
      <c r="J42">
        <v>50.12</v>
      </c>
      <c r="K42">
        <v>0.03</v>
      </c>
      <c r="L42">
        <v>4290.5</v>
      </c>
      <c r="N42">
        <v>13.5</v>
      </c>
    </row>
    <row r="43" spans="1:18" x14ac:dyDescent="0.2">
      <c r="A43" t="s">
        <v>112</v>
      </c>
      <c r="B43" t="s">
        <v>113</v>
      </c>
      <c r="C43">
        <v>2017</v>
      </c>
      <c r="D43">
        <v>0</v>
      </c>
      <c r="E43" t="s">
        <v>21</v>
      </c>
      <c r="F43" t="s">
        <v>22</v>
      </c>
      <c r="G43" t="s">
        <v>35</v>
      </c>
      <c r="H43">
        <v>1</v>
      </c>
      <c r="I43">
        <v>481.9</v>
      </c>
      <c r="J43">
        <v>2618</v>
      </c>
      <c r="K43">
        <v>5.2</v>
      </c>
      <c r="N43">
        <v>6.4</v>
      </c>
      <c r="Q43">
        <v>1.1399999999999999</v>
      </c>
      <c r="R43">
        <v>32.35</v>
      </c>
    </row>
    <row r="44" spans="1:18" x14ac:dyDescent="0.2">
      <c r="A44" t="s">
        <v>114</v>
      </c>
      <c r="B44" t="s">
        <v>115</v>
      </c>
      <c r="C44">
        <v>2009</v>
      </c>
      <c r="D44">
        <v>0</v>
      </c>
      <c r="E44" t="s">
        <v>21</v>
      </c>
      <c r="F44" t="s">
        <v>22</v>
      </c>
      <c r="G44" t="s">
        <v>86</v>
      </c>
      <c r="H44">
        <v>1</v>
      </c>
      <c r="I44">
        <v>268.94</v>
      </c>
      <c r="J44">
        <v>49.42</v>
      </c>
      <c r="N44">
        <v>1.04</v>
      </c>
      <c r="Q44">
        <v>0.49</v>
      </c>
      <c r="R44">
        <v>0.86</v>
      </c>
    </row>
    <row r="45" spans="1:18" x14ac:dyDescent="0.2">
      <c r="A45" t="s">
        <v>116</v>
      </c>
      <c r="B45" t="s">
        <v>117</v>
      </c>
      <c r="C45">
        <v>2016</v>
      </c>
      <c r="D45">
        <v>0</v>
      </c>
      <c r="E45" t="s">
        <v>21</v>
      </c>
      <c r="F45" t="s">
        <v>22</v>
      </c>
      <c r="G45" t="s">
        <v>118</v>
      </c>
      <c r="H45">
        <v>1</v>
      </c>
      <c r="I45">
        <v>153.22</v>
      </c>
      <c r="J45">
        <v>774</v>
      </c>
      <c r="K45">
        <v>7.41</v>
      </c>
      <c r="N45">
        <v>1.0609999999999999</v>
      </c>
      <c r="Q45">
        <v>1.08</v>
      </c>
      <c r="R45">
        <v>8.9499999999999993</v>
      </c>
    </row>
    <row r="46" spans="1:18" x14ac:dyDescent="0.2">
      <c r="A46" t="s">
        <v>119</v>
      </c>
      <c r="B46" t="s">
        <v>120</v>
      </c>
      <c r="C46">
        <v>2013</v>
      </c>
      <c r="D46">
        <v>0</v>
      </c>
      <c r="E46" t="s">
        <v>21</v>
      </c>
      <c r="F46" t="s">
        <v>22</v>
      </c>
      <c r="G46" t="s">
        <v>86</v>
      </c>
      <c r="H46">
        <v>1</v>
      </c>
      <c r="I46">
        <v>137.47999999999999</v>
      </c>
      <c r="J46">
        <v>431.61</v>
      </c>
      <c r="K46">
        <v>7.1</v>
      </c>
      <c r="N46">
        <v>1.1100000000000001</v>
      </c>
      <c r="Q46">
        <v>1.1000000000000001</v>
      </c>
      <c r="R46">
        <v>14.7</v>
      </c>
    </row>
    <row r="47" spans="1:18" x14ac:dyDescent="0.2">
      <c r="A47" t="s">
        <v>121</v>
      </c>
      <c r="B47" t="s">
        <v>122</v>
      </c>
      <c r="C47">
        <v>2009</v>
      </c>
      <c r="D47">
        <v>0</v>
      </c>
      <c r="E47" t="s">
        <v>21</v>
      </c>
      <c r="F47" t="s">
        <v>22</v>
      </c>
      <c r="G47" t="s">
        <v>86</v>
      </c>
      <c r="H47">
        <v>2</v>
      </c>
      <c r="I47">
        <v>379.63</v>
      </c>
      <c r="J47">
        <v>200</v>
      </c>
      <c r="N47">
        <v>55.59</v>
      </c>
      <c r="Q47">
        <v>10.83</v>
      </c>
      <c r="R47">
        <v>71.02</v>
      </c>
    </row>
    <row r="48" spans="1:18" x14ac:dyDescent="0.2">
      <c r="A48" t="s">
        <v>121</v>
      </c>
      <c r="B48" t="s">
        <v>123</v>
      </c>
      <c r="C48">
        <v>2009</v>
      </c>
      <c r="D48">
        <v>0</v>
      </c>
      <c r="E48" t="s">
        <v>21</v>
      </c>
      <c r="F48" t="s">
        <v>22</v>
      </c>
      <c r="G48" t="s">
        <v>86</v>
      </c>
      <c r="H48">
        <v>2</v>
      </c>
      <c r="I48">
        <v>621.99</v>
      </c>
      <c r="J48">
        <v>200</v>
      </c>
      <c r="N48">
        <v>12.47</v>
      </c>
      <c r="Q48">
        <v>10.83</v>
      </c>
      <c r="R48">
        <v>71.02</v>
      </c>
    </row>
    <row r="49" spans="1:19" x14ac:dyDescent="0.2">
      <c r="A49" t="s">
        <v>124</v>
      </c>
      <c r="B49" t="s">
        <v>125</v>
      </c>
      <c r="C49">
        <v>2012</v>
      </c>
      <c r="D49">
        <v>0</v>
      </c>
      <c r="E49" t="s">
        <v>21</v>
      </c>
      <c r="F49" t="s">
        <v>22</v>
      </c>
      <c r="G49" t="s">
        <v>86</v>
      </c>
      <c r="H49">
        <v>1</v>
      </c>
      <c r="I49">
        <v>578.20000000000005</v>
      </c>
      <c r="J49">
        <v>1383.85</v>
      </c>
      <c r="N49">
        <v>4.2</v>
      </c>
      <c r="Q49">
        <v>0.8</v>
      </c>
      <c r="R49">
        <v>17.3</v>
      </c>
    </row>
    <row r="50" spans="1:19" x14ac:dyDescent="0.2">
      <c r="A50" t="s">
        <v>126</v>
      </c>
      <c r="B50" t="s">
        <v>127</v>
      </c>
      <c r="C50">
        <v>2016</v>
      </c>
      <c r="D50">
        <v>0</v>
      </c>
      <c r="E50" t="s">
        <v>55</v>
      </c>
      <c r="F50" t="s">
        <v>128</v>
      </c>
      <c r="G50" t="s">
        <v>129</v>
      </c>
      <c r="H50">
        <v>1</v>
      </c>
      <c r="I50">
        <v>41.685499999999998</v>
      </c>
      <c r="J50">
        <v>180.39</v>
      </c>
      <c r="L50">
        <v>22.248100000000001</v>
      </c>
      <c r="M50">
        <v>2.5779999999999998</v>
      </c>
      <c r="N50">
        <v>7.0000000000000007E-2</v>
      </c>
      <c r="O50">
        <v>0.23</v>
      </c>
      <c r="Q50">
        <v>1.67</v>
      </c>
      <c r="R50">
        <v>1.08</v>
      </c>
      <c r="S50">
        <v>1.89</v>
      </c>
    </row>
    <row r="51" spans="1:19" x14ac:dyDescent="0.2">
      <c r="A51" t="s">
        <v>130</v>
      </c>
      <c r="B51" t="s">
        <v>131</v>
      </c>
      <c r="C51">
        <v>2011</v>
      </c>
      <c r="D51">
        <v>0</v>
      </c>
      <c r="E51" t="s">
        <v>21</v>
      </c>
      <c r="F51" t="s">
        <v>22</v>
      </c>
      <c r="G51" t="s">
        <v>86</v>
      </c>
      <c r="H51">
        <v>1</v>
      </c>
      <c r="I51">
        <v>392.6</v>
      </c>
      <c r="J51">
        <v>892.17</v>
      </c>
      <c r="N51">
        <v>0.91</v>
      </c>
      <c r="Q51">
        <v>0.74</v>
      </c>
      <c r="R51">
        <v>11</v>
      </c>
    </row>
    <row r="52" spans="1:19" x14ac:dyDescent="0.2">
      <c r="A52" t="s">
        <v>132</v>
      </c>
      <c r="B52" t="s">
        <v>133</v>
      </c>
      <c r="C52">
        <v>2018</v>
      </c>
      <c r="D52">
        <v>0</v>
      </c>
      <c r="E52" t="s">
        <v>21</v>
      </c>
      <c r="F52" t="s">
        <v>22</v>
      </c>
      <c r="G52" t="s">
        <v>35</v>
      </c>
      <c r="H52">
        <v>1</v>
      </c>
      <c r="I52">
        <v>733</v>
      </c>
      <c r="J52">
        <v>678.94</v>
      </c>
      <c r="N52">
        <v>1.7</v>
      </c>
      <c r="Q52">
        <v>1.0900000000000001</v>
      </c>
      <c r="R52">
        <v>10.33</v>
      </c>
    </row>
    <row r="53" spans="1:19" x14ac:dyDescent="0.2">
      <c r="A53" t="s">
        <v>134</v>
      </c>
      <c r="B53" t="s">
        <v>135</v>
      </c>
      <c r="C53">
        <v>2015</v>
      </c>
      <c r="D53">
        <v>0</v>
      </c>
      <c r="E53" t="s">
        <v>21</v>
      </c>
      <c r="F53" t="s">
        <v>22</v>
      </c>
      <c r="G53" t="s">
        <v>86</v>
      </c>
      <c r="H53">
        <v>1</v>
      </c>
      <c r="I53">
        <v>2590</v>
      </c>
      <c r="J53">
        <v>447.59</v>
      </c>
      <c r="K53">
        <v>2.34</v>
      </c>
      <c r="N53">
        <v>1.6</v>
      </c>
      <c r="Q53">
        <v>1.52</v>
      </c>
      <c r="R53">
        <v>7.6</v>
      </c>
    </row>
    <row r="54" spans="1:19" x14ac:dyDescent="0.2">
      <c r="A54" t="s">
        <v>136</v>
      </c>
      <c r="B54" t="s">
        <v>137</v>
      </c>
      <c r="C54">
        <v>2013</v>
      </c>
      <c r="D54">
        <v>0</v>
      </c>
      <c r="E54" t="s">
        <v>21</v>
      </c>
      <c r="F54" t="s">
        <v>22</v>
      </c>
      <c r="G54" t="s">
        <v>138</v>
      </c>
      <c r="H54">
        <v>2</v>
      </c>
      <c r="I54">
        <v>3.8727999999999998</v>
      </c>
      <c r="J54">
        <v>20.28</v>
      </c>
      <c r="K54">
        <v>4.4000000000000004</v>
      </c>
      <c r="N54">
        <v>2.7E-2</v>
      </c>
      <c r="Q54">
        <v>0.7</v>
      </c>
    </row>
    <row r="55" spans="1:19" x14ac:dyDescent="0.2">
      <c r="A55" t="s">
        <v>136</v>
      </c>
      <c r="B55" t="s">
        <v>139</v>
      </c>
      <c r="C55">
        <v>2013</v>
      </c>
      <c r="D55">
        <v>0</v>
      </c>
      <c r="E55" t="s">
        <v>21</v>
      </c>
      <c r="F55" t="s">
        <v>22</v>
      </c>
      <c r="G55" t="s">
        <v>138</v>
      </c>
      <c r="H55">
        <v>2</v>
      </c>
      <c r="I55">
        <v>125.94</v>
      </c>
      <c r="J55">
        <v>20.28</v>
      </c>
      <c r="K55">
        <v>4.4000000000000004</v>
      </c>
      <c r="N55">
        <v>0.17</v>
      </c>
      <c r="Q55">
        <v>0.7</v>
      </c>
    </row>
    <row r="56" spans="1:19" x14ac:dyDescent="0.2">
      <c r="A56" t="s">
        <v>140</v>
      </c>
      <c r="B56" t="s">
        <v>141</v>
      </c>
      <c r="C56">
        <v>2009</v>
      </c>
      <c r="D56">
        <v>0</v>
      </c>
      <c r="E56" t="s">
        <v>21</v>
      </c>
      <c r="F56" t="s">
        <v>22</v>
      </c>
      <c r="G56" t="s">
        <v>138</v>
      </c>
      <c r="H56">
        <v>2</v>
      </c>
      <c r="I56">
        <v>5.6</v>
      </c>
      <c r="J56">
        <v>41.38</v>
      </c>
      <c r="N56">
        <v>0.04</v>
      </c>
      <c r="Q56">
        <v>0.5</v>
      </c>
      <c r="R56">
        <v>0.71</v>
      </c>
    </row>
    <row r="57" spans="1:19" x14ac:dyDescent="0.2">
      <c r="A57" t="s">
        <v>140</v>
      </c>
      <c r="B57" t="s">
        <v>142</v>
      </c>
      <c r="C57">
        <v>2009</v>
      </c>
      <c r="D57">
        <v>0</v>
      </c>
      <c r="E57" t="s">
        <v>21</v>
      </c>
      <c r="F57" t="s">
        <v>22</v>
      </c>
      <c r="G57" t="s">
        <v>138</v>
      </c>
      <c r="H57">
        <v>2</v>
      </c>
      <c r="I57">
        <v>237.6</v>
      </c>
      <c r="J57">
        <v>41.38</v>
      </c>
      <c r="N57">
        <v>0.33</v>
      </c>
      <c r="Q57">
        <v>0.5</v>
      </c>
      <c r="R57">
        <v>0.71</v>
      </c>
    </row>
    <row r="58" spans="1:19" x14ac:dyDescent="0.2">
      <c r="A58" t="s">
        <v>143</v>
      </c>
      <c r="B58" t="s">
        <v>144</v>
      </c>
      <c r="C58">
        <v>2000</v>
      </c>
      <c r="D58">
        <v>0</v>
      </c>
      <c r="E58" t="s">
        <v>21</v>
      </c>
      <c r="F58" t="s">
        <v>22</v>
      </c>
      <c r="G58" t="s">
        <v>32</v>
      </c>
      <c r="H58">
        <v>1</v>
      </c>
      <c r="I58">
        <v>3.4877699999999998</v>
      </c>
      <c r="J58">
        <v>80</v>
      </c>
      <c r="N58">
        <v>0.59</v>
      </c>
      <c r="Q58">
        <v>1.47</v>
      </c>
      <c r="R58">
        <v>0.91</v>
      </c>
    </row>
    <row r="59" spans="1:19" x14ac:dyDescent="0.2">
      <c r="A59" t="s">
        <v>145</v>
      </c>
      <c r="B59" t="s">
        <v>146</v>
      </c>
      <c r="C59">
        <v>2014</v>
      </c>
      <c r="D59">
        <v>0</v>
      </c>
      <c r="E59" t="s">
        <v>21</v>
      </c>
      <c r="F59" t="s">
        <v>22</v>
      </c>
      <c r="G59" t="s">
        <v>138</v>
      </c>
      <c r="H59">
        <v>1</v>
      </c>
      <c r="I59">
        <v>1667</v>
      </c>
      <c r="J59">
        <v>27.3</v>
      </c>
      <c r="K59">
        <v>4.4000000000000004</v>
      </c>
      <c r="N59">
        <v>0.53</v>
      </c>
      <c r="Q59">
        <v>0.56999999999999995</v>
      </c>
      <c r="R59">
        <v>0.52</v>
      </c>
    </row>
    <row r="60" spans="1:19" x14ac:dyDescent="0.2">
      <c r="A60" t="s">
        <v>147</v>
      </c>
      <c r="B60" t="s">
        <v>148</v>
      </c>
      <c r="C60">
        <v>2007</v>
      </c>
      <c r="D60">
        <v>0</v>
      </c>
      <c r="E60" t="s">
        <v>21</v>
      </c>
      <c r="F60" t="s">
        <v>22</v>
      </c>
      <c r="G60" t="s">
        <v>138</v>
      </c>
      <c r="H60">
        <v>1</v>
      </c>
      <c r="I60">
        <v>714.29998999999998</v>
      </c>
      <c r="J60">
        <v>766</v>
      </c>
      <c r="N60">
        <v>9.7799999999999994</v>
      </c>
      <c r="Q60">
        <v>2.12</v>
      </c>
      <c r="R60">
        <v>19.170000000000002</v>
      </c>
    </row>
    <row r="61" spans="1:19" x14ac:dyDescent="0.2">
      <c r="A61" t="s">
        <v>149</v>
      </c>
      <c r="B61" t="s">
        <v>150</v>
      </c>
      <c r="C61">
        <v>2008</v>
      </c>
      <c r="D61">
        <v>0</v>
      </c>
      <c r="E61" t="s">
        <v>21</v>
      </c>
      <c r="F61" t="s">
        <v>22</v>
      </c>
      <c r="G61" t="s">
        <v>138</v>
      </c>
      <c r="H61">
        <v>1</v>
      </c>
      <c r="I61">
        <v>655.59997999999996</v>
      </c>
      <c r="J61">
        <v>34.49</v>
      </c>
      <c r="N61">
        <v>2.85</v>
      </c>
      <c r="Q61">
        <v>0.31</v>
      </c>
      <c r="R61">
        <v>0.74</v>
      </c>
    </row>
    <row r="62" spans="1:19" x14ac:dyDescent="0.2">
      <c r="A62" t="s">
        <v>151</v>
      </c>
      <c r="B62" t="s">
        <v>152</v>
      </c>
      <c r="C62">
        <v>2011</v>
      </c>
      <c r="D62">
        <v>0</v>
      </c>
      <c r="E62" t="s">
        <v>21</v>
      </c>
      <c r="F62" t="s">
        <v>40</v>
      </c>
      <c r="G62" t="s">
        <v>32</v>
      </c>
      <c r="H62">
        <v>1</v>
      </c>
      <c r="I62">
        <v>10037.5</v>
      </c>
      <c r="J62">
        <v>23.1</v>
      </c>
      <c r="L62">
        <v>3337.1</v>
      </c>
      <c r="N62">
        <v>10.5</v>
      </c>
      <c r="Q62">
        <v>0.02</v>
      </c>
    </row>
    <row r="63" spans="1:19" x14ac:dyDescent="0.2">
      <c r="A63" t="s">
        <v>153</v>
      </c>
      <c r="B63" t="s">
        <v>154</v>
      </c>
      <c r="C63">
        <v>2006</v>
      </c>
      <c r="D63">
        <v>0</v>
      </c>
      <c r="E63" t="s">
        <v>55</v>
      </c>
      <c r="F63" t="s">
        <v>40</v>
      </c>
      <c r="G63" t="s">
        <v>56</v>
      </c>
      <c r="H63">
        <v>1</v>
      </c>
      <c r="J63">
        <v>191.05</v>
      </c>
      <c r="K63">
        <v>2E-3</v>
      </c>
      <c r="L63">
        <v>3994.4859999999999</v>
      </c>
      <c r="N63">
        <v>12.569000000000001</v>
      </c>
      <c r="Q63">
        <v>0.35</v>
      </c>
    </row>
    <row r="64" spans="1:19" x14ac:dyDescent="0.2">
      <c r="A64" t="s">
        <v>155</v>
      </c>
      <c r="B64" t="s">
        <v>156</v>
      </c>
      <c r="C64">
        <v>2007</v>
      </c>
      <c r="D64">
        <v>0</v>
      </c>
      <c r="E64" t="s">
        <v>21</v>
      </c>
      <c r="F64" t="s">
        <v>40</v>
      </c>
      <c r="G64" t="s">
        <v>59</v>
      </c>
      <c r="H64">
        <v>1</v>
      </c>
      <c r="J64">
        <v>165</v>
      </c>
      <c r="K64">
        <v>2E-3</v>
      </c>
      <c r="L64">
        <v>5403</v>
      </c>
      <c r="M64">
        <v>24.66</v>
      </c>
      <c r="N64">
        <v>17</v>
      </c>
      <c r="O64">
        <v>2.2000000000000002</v>
      </c>
    </row>
    <row r="65" spans="1:19" x14ac:dyDescent="0.2">
      <c r="A65" t="s">
        <v>157</v>
      </c>
      <c r="B65" t="s">
        <v>158</v>
      </c>
      <c r="C65">
        <v>2008</v>
      </c>
      <c r="D65">
        <v>0</v>
      </c>
      <c r="E65" t="s">
        <v>55</v>
      </c>
      <c r="F65" t="s">
        <v>128</v>
      </c>
      <c r="G65" t="s">
        <v>159</v>
      </c>
      <c r="H65">
        <v>1</v>
      </c>
      <c r="I65">
        <v>1.5089557</v>
      </c>
      <c r="J65">
        <v>805.31</v>
      </c>
      <c r="L65">
        <v>327.35000000000002</v>
      </c>
      <c r="M65">
        <v>16.7</v>
      </c>
      <c r="N65">
        <v>1.03</v>
      </c>
      <c r="O65">
        <v>1.49</v>
      </c>
      <c r="P65">
        <v>0.38</v>
      </c>
      <c r="Q65">
        <v>0.95</v>
      </c>
      <c r="R65">
        <v>1.1100000000000001</v>
      </c>
    </row>
    <row r="66" spans="1:19" x14ac:dyDescent="0.2">
      <c r="A66" t="s">
        <v>160</v>
      </c>
      <c r="B66" t="s">
        <v>161</v>
      </c>
      <c r="C66">
        <v>2010</v>
      </c>
      <c r="D66">
        <v>0</v>
      </c>
      <c r="E66" t="s">
        <v>55</v>
      </c>
      <c r="F66" t="s">
        <v>128</v>
      </c>
      <c r="G66" t="s">
        <v>159</v>
      </c>
      <c r="H66">
        <v>1</v>
      </c>
      <c r="I66">
        <v>13.240600000000001</v>
      </c>
      <c r="J66">
        <v>345</v>
      </c>
      <c r="K66">
        <v>3</v>
      </c>
      <c r="L66">
        <v>874</v>
      </c>
      <c r="M66">
        <v>10.87</v>
      </c>
      <c r="N66">
        <v>2.75</v>
      </c>
      <c r="O66">
        <v>0.97</v>
      </c>
      <c r="P66">
        <v>3.7</v>
      </c>
      <c r="Q66">
        <v>0.89</v>
      </c>
      <c r="R66">
        <v>0.79</v>
      </c>
      <c r="S66">
        <v>3.32</v>
      </c>
    </row>
    <row r="67" spans="1:19" x14ac:dyDescent="0.2">
      <c r="A67" t="s">
        <v>162</v>
      </c>
      <c r="B67" t="s">
        <v>163</v>
      </c>
      <c r="C67">
        <v>2010</v>
      </c>
      <c r="D67">
        <v>0</v>
      </c>
      <c r="E67" t="s">
        <v>55</v>
      </c>
      <c r="F67" t="s">
        <v>128</v>
      </c>
      <c r="G67" t="s">
        <v>159</v>
      </c>
      <c r="H67">
        <v>1</v>
      </c>
      <c r="I67">
        <v>2.9943300000000002</v>
      </c>
      <c r="J67">
        <v>560</v>
      </c>
      <c r="K67">
        <v>2</v>
      </c>
      <c r="L67">
        <v>740.51</v>
      </c>
      <c r="M67">
        <v>16.03</v>
      </c>
      <c r="N67">
        <v>2.33</v>
      </c>
      <c r="O67">
        <v>1.43</v>
      </c>
      <c r="P67">
        <v>0.99</v>
      </c>
      <c r="Q67">
        <v>1.27</v>
      </c>
      <c r="R67">
        <v>1.37</v>
      </c>
      <c r="S67">
        <v>0.69</v>
      </c>
    </row>
    <row r="68" spans="1:19" x14ac:dyDescent="0.2">
      <c r="A68" t="s">
        <v>164</v>
      </c>
      <c r="B68" t="s">
        <v>165</v>
      </c>
      <c r="C68">
        <v>2010</v>
      </c>
      <c r="D68">
        <v>0</v>
      </c>
      <c r="E68" t="s">
        <v>55</v>
      </c>
      <c r="F68" t="s">
        <v>128</v>
      </c>
      <c r="G68" t="s">
        <v>159</v>
      </c>
      <c r="H68">
        <v>1</v>
      </c>
      <c r="I68">
        <v>2.8280419999999999</v>
      </c>
      <c r="J68">
        <v>1150</v>
      </c>
      <c r="K68">
        <v>6.3</v>
      </c>
      <c r="L68">
        <v>291.43799999999999</v>
      </c>
      <c r="M68">
        <v>16.14</v>
      </c>
      <c r="N68">
        <v>0.91700000000000004</v>
      </c>
      <c r="O68">
        <v>1.44</v>
      </c>
      <c r="P68">
        <v>0.41099999999999998</v>
      </c>
      <c r="Q68">
        <v>1.08</v>
      </c>
      <c r="R68">
        <v>1.1200000000000001</v>
      </c>
      <c r="S68">
        <v>1.08</v>
      </c>
    </row>
    <row r="69" spans="1:19" x14ac:dyDescent="0.2">
      <c r="A69" t="s">
        <v>166</v>
      </c>
      <c r="B69" t="s">
        <v>167</v>
      </c>
      <c r="C69">
        <v>2010</v>
      </c>
      <c r="D69">
        <v>0</v>
      </c>
      <c r="E69" t="s">
        <v>55</v>
      </c>
      <c r="F69" t="s">
        <v>128</v>
      </c>
      <c r="G69" t="s">
        <v>159</v>
      </c>
      <c r="H69">
        <v>1</v>
      </c>
      <c r="I69">
        <v>4.0351900000000001</v>
      </c>
      <c r="J69">
        <v>1060</v>
      </c>
      <c r="K69">
        <v>1.635</v>
      </c>
      <c r="L69">
        <v>415.70400000000001</v>
      </c>
      <c r="M69">
        <v>9.92</v>
      </c>
      <c r="N69">
        <v>1.3080000000000001</v>
      </c>
      <c r="O69">
        <v>0.88500000000000001</v>
      </c>
      <c r="P69">
        <v>2.34</v>
      </c>
      <c r="Q69">
        <v>1.0900000000000001</v>
      </c>
      <c r="R69">
        <v>1.01</v>
      </c>
      <c r="S69">
        <v>1.468</v>
      </c>
    </row>
    <row r="70" spans="1:19" x14ac:dyDescent="0.2">
      <c r="A70" t="s">
        <v>168</v>
      </c>
      <c r="B70" t="s">
        <v>169</v>
      </c>
      <c r="C70">
        <v>2010</v>
      </c>
      <c r="D70">
        <v>0</v>
      </c>
      <c r="E70" t="s">
        <v>55</v>
      </c>
      <c r="F70" t="s">
        <v>128</v>
      </c>
      <c r="G70" t="s">
        <v>159</v>
      </c>
      <c r="H70">
        <v>1</v>
      </c>
      <c r="I70">
        <v>1.51214</v>
      </c>
      <c r="J70">
        <v>1340</v>
      </c>
      <c r="K70">
        <v>4.2</v>
      </c>
      <c r="L70">
        <v>2415.4</v>
      </c>
      <c r="M70">
        <v>12.22</v>
      </c>
      <c r="N70">
        <v>7.6</v>
      </c>
      <c r="O70">
        <v>1.0900000000000001</v>
      </c>
      <c r="P70">
        <v>7.3</v>
      </c>
      <c r="Q70">
        <v>1.1299999999999999</v>
      </c>
      <c r="R70">
        <v>1.21</v>
      </c>
      <c r="S70">
        <v>0.91</v>
      </c>
    </row>
    <row r="71" spans="1:19" x14ac:dyDescent="0.2">
      <c r="A71" t="s">
        <v>170</v>
      </c>
      <c r="B71" t="s">
        <v>171</v>
      </c>
      <c r="C71">
        <v>2011</v>
      </c>
      <c r="D71">
        <v>0</v>
      </c>
      <c r="E71" t="s">
        <v>55</v>
      </c>
      <c r="F71" t="s">
        <v>128</v>
      </c>
      <c r="G71" t="s">
        <v>159</v>
      </c>
      <c r="H71">
        <v>1</v>
      </c>
      <c r="I71">
        <v>5.3522699999999999</v>
      </c>
      <c r="J71">
        <v>840</v>
      </c>
      <c r="K71">
        <v>6.73</v>
      </c>
      <c r="L71">
        <v>170.03200000000001</v>
      </c>
      <c r="M71">
        <v>13.11</v>
      </c>
      <c r="N71">
        <v>0.53500000000000003</v>
      </c>
      <c r="O71">
        <v>1.17</v>
      </c>
      <c r="P71">
        <v>0.44</v>
      </c>
      <c r="Q71">
        <v>1.1000000000000001</v>
      </c>
      <c r="R71">
        <v>1.19</v>
      </c>
      <c r="S71">
        <v>0.93</v>
      </c>
    </row>
    <row r="72" spans="1:19" x14ac:dyDescent="0.2">
      <c r="A72" t="s">
        <v>172</v>
      </c>
      <c r="B72" t="s">
        <v>173</v>
      </c>
      <c r="C72">
        <v>2011</v>
      </c>
      <c r="D72">
        <v>0</v>
      </c>
      <c r="E72" t="s">
        <v>55</v>
      </c>
      <c r="F72" t="s">
        <v>128</v>
      </c>
      <c r="G72" t="s">
        <v>159</v>
      </c>
      <c r="H72">
        <v>1</v>
      </c>
      <c r="I72">
        <v>3.7681</v>
      </c>
      <c r="J72">
        <v>920</v>
      </c>
      <c r="K72">
        <v>10.7</v>
      </c>
      <c r="L72">
        <v>772.29</v>
      </c>
      <c r="M72">
        <v>11.43</v>
      </c>
      <c r="N72">
        <v>2.4300000000000002</v>
      </c>
      <c r="O72">
        <v>1.02</v>
      </c>
      <c r="P72">
        <v>2.82</v>
      </c>
      <c r="Q72">
        <v>1.04</v>
      </c>
      <c r="R72">
        <v>1.59</v>
      </c>
      <c r="S72">
        <v>0.32</v>
      </c>
    </row>
    <row r="73" spans="1:19" x14ac:dyDescent="0.2">
      <c r="A73" t="s">
        <v>174</v>
      </c>
      <c r="B73" t="s">
        <v>175</v>
      </c>
      <c r="C73">
        <v>2011</v>
      </c>
      <c r="D73">
        <v>0</v>
      </c>
      <c r="E73" t="s">
        <v>55</v>
      </c>
      <c r="F73" t="s">
        <v>128</v>
      </c>
      <c r="G73" t="s">
        <v>159</v>
      </c>
      <c r="H73">
        <v>1</v>
      </c>
      <c r="I73">
        <v>1.9000693</v>
      </c>
      <c r="J73">
        <v>870</v>
      </c>
      <c r="L73">
        <v>1102.82</v>
      </c>
      <c r="M73">
        <v>14.68</v>
      </c>
      <c r="N73">
        <v>3.47</v>
      </c>
      <c r="O73">
        <v>1.31</v>
      </c>
      <c r="P73">
        <v>2.2000000000000002</v>
      </c>
      <c r="Q73">
        <v>0.95</v>
      </c>
      <c r="R73">
        <v>1</v>
      </c>
      <c r="S73">
        <v>1.35</v>
      </c>
    </row>
    <row r="74" spans="1:19" x14ac:dyDescent="0.2">
      <c r="A74" t="s">
        <v>176</v>
      </c>
      <c r="B74" t="s">
        <v>177</v>
      </c>
      <c r="C74">
        <v>2011</v>
      </c>
      <c r="D74">
        <v>0</v>
      </c>
      <c r="E74" t="s">
        <v>55</v>
      </c>
      <c r="F74" t="s">
        <v>128</v>
      </c>
      <c r="G74" t="s">
        <v>159</v>
      </c>
      <c r="H74">
        <v>1</v>
      </c>
      <c r="I74">
        <v>3.8971300000000002</v>
      </c>
      <c r="J74">
        <v>770</v>
      </c>
      <c r="K74">
        <v>5</v>
      </c>
      <c r="L74">
        <v>352.78</v>
      </c>
      <c r="M74">
        <v>14.46</v>
      </c>
      <c r="N74">
        <v>1.1100000000000001</v>
      </c>
      <c r="O74">
        <v>1.29</v>
      </c>
      <c r="P74">
        <v>0.71</v>
      </c>
      <c r="Q74">
        <v>1.21</v>
      </c>
      <c r="R74">
        <v>1.65</v>
      </c>
      <c r="S74">
        <v>0.38</v>
      </c>
    </row>
    <row r="75" spans="1:19" x14ac:dyDescent="0.2">
      <c r="A75" t="s">
        <v>178</v>
      </c>
      <c r="B75" t="s">
        <v>179</v>
      </c>
      <c r="C75">
        <v>2008</v>
      </c>
      <c r="D75">
        <v>0</v>
      </c>
      <c r="E75" t="s">
        <v>55</v>
      </c>
      <c r="F75" t="s">
        <v>128</v>
      </c>
      <c r="G75" t="s">
        <v>159</v>
      </c>
      <c r="H75">
        <v>1</v>
      </c>
      <c r="I75">
        <v>1.7429935000000001</v>
      </c>
      <c r="J75">
        <v>200</v>
      </c>
      <c r="K75">
        <v>2.7</v>
      </c>
      <c r="L75">
        <v>1102.82</v>
      </c>
      <c r="M75">
        <v>16.431999999999999</v>
      </c>
      <c r="N75">
        <v>3.47</v>
      </c>
      <c r="O75">
        <v>1.466</v>
      </c>
      <c r="P75">
        <v>1.47</v>
      </c>
      <c r="Q75">
        <v>0.96</v>
      </c>
      <c r="R75">
        <v>0.91</v>
      </c>
      <c r="S75">
        <v>1.8140000000000001</v>
      </c>
    </row>
    <row r="76" spans="1:19" x14ac:dyDescent="0.2">
      <c r="A76" t="s">
        <v>180</v>
      </c>
      <c r="B76" t="s">
        <v>181</v>
      </c>
      <c r="C76">
        <v>2011</v>
      </c>
      <c r="D76">
        <v>0</v>
      </c>
      <c r="E76" t="s">
        <v>55</v>
      </c>
      <c r="F76" t="s">
        <v>128</v>
      </c>
      <c r="G76" t="s">
        <v>159</v>
      </c>
      <c r="H76">
        <v>2</v>
      </c>
      <c r="I76">
        <v>9.2428500000000007</v>
      </c>
      <c r="J76">
        <v>864.31</v>
      </c>
      <c r="L76">
        <v>1366.6690000000001</v>
      </c>
      <c r="N76">
        <v>4.3</v>
      </c>
      <c r="Q76">
        <v>1.1399999999999999</v>
      </c>
    </row>
    <row r="77" spans="1:19" x14ac:dyDescent="0.2">
      <c r="A77" t="s">
        <v>180</v>
      </c>
      <c r="B77" t="s">
        <v>182</v>
      </c>
      <c r="C77">
        <v>2018</v>
      </c>
      <c r="D77">
        <v>0</v>
      </c>
      <c r="E77" t="s">
        <v>21</v>
      </c>
      <c r="F77" t="s">
        <v>22</v>
      </c>
      <c r="G77" t="s">
        <v>35</v>
      </c>
      <c r="H77">
        <v>2</v>
      </c>
      <c r="I77">
        <v>1675</v>
      </c>
      <c r="J77">
        <v>864.31</v>
      </c>
      <c r="N77">
        <v>17</v>
      </c>
      <c r="Q77">
        <v>1.1399999999999999</v>
      </c>
    </row>
    <row r="78" spans="1:19" x14ac:dyDescent="0.2">
      <c r="A78" t="s">
        <v>183</v>
      </c>
      <c r="B78" t="s">
        <v>184</v>
      </c>
      <c r="C78">
        <v>2012</v>
      </c>
      <c r="D78">
        <v>0</v>
      </c>
      <c r="E78" t="s">
        <v>55</v>
      </c>
      <c r="F78" t="s">
        <v>128</v>
      </c>
      <c r="G78" t="s">
        <v>159</v>
      </c>
      <c r="H78">
        <v>1</v>
      </c>
      <c r="I78">
        <v>2.7247400000000002</v>
      </c>
      <c r="J78">
        <v>1398.83</v>
      </c>
      <c r="K78">
        <v>4.0999999999999996</v>
      </c>
      <c r="L78">
        <v>718.29579999999999</v>
      </c>
      <c r="M78">
        <v>14.571999999999999</v>
      </c>
      <c r="N78">
        <v>2.2599999999999998</v>
      </c>
      <c r="O78">
        <v>1.3</v>
      </c>
      <c r="P78">
        <v>1.36</v>
      </c>
      <c r="Q78">
        <v>1.29</v>
      </c>
      <c r="R78">
        <v>1.95</v>
      </c>
      <c r="S78">
        <v>0.255</v>
      </c>
    </row>
    <row r="79" spans="1:19" x14ac:dyDescent="0.2">
      <c r="A79" t="s">
        <v>185</v>
      </c>
      <c r="B79" t="s">
        <v>186</v>
      </c>
      <c r="C79">
        <v>2014</v>
      </c>
      <c r="D79">
        <v>0</v>
      </c>
      <c r="E79" t="s">
        <v>55</v>
      </c>
      <c r="F79" t="s">
        <v>128</v>
      </c>
      <c r="G79" t="s">
        <v>159</v>
      </c>
      <c r="H79">
        <v>1</v>
      </c>
      <c r="I79">
        <v>9.7559799999999992</v>
      </c>
      <c r="J79">
        <v>592</v>
      </c>
      <c r="K79">
        <v>3.3</v>
      </c>
      <c r="L79">
        <v>12.2</v>
      </c>
      <c r="M79">
        <v>4.88</v>
      </c>
      <c r="N79">
        <v>3.7999999999999999E-2</v>
      </c>
      <c r="O79">
        <v>0.435</v>
      </c>
      <c r="P79">
        <v>0.249</v>
      </c>
      <c r="Q79">
        <v>1.1000000000000001</v>
      </c>
      <c r="R79">
        <v>1.1399999999999999</v>
      </c>
      <c r="S79">
        <v>1.0269999999999999</v>
      </c>
    </row>
    <row r="80" spans="1:19" x14ac:dyDescent="0.2">
      <c r="A80" t="s">
        <v>187</v>
      </c>
      <c r="B80" t="s">
        <v>188</v>
      </c>
      <c r="C80">
        <v>2011</v>
      </c>
      <c r="D80">
        <v>0</v>
      </c>
      <c r="E80" t="s">
        <v>55</v>
      </c>
      <c r="F80" t="s">
        <v>128</v>
      </c>
      <c r="G80" t="s">
        <v>159</v>
      </c>
      <c r="H80">
        <v>1</v>
      </c>
      <c r="I80">
        <v>3.6313</v>
      </c>
      <c r="J80">
        <v>600</v>
      </c>
      <c r="K80">
        <v>7.2</v>
      </c>
      <c r="L80">
        <v>889.9</v>
      </c>
      <c r="M80">
        <v>11.77</v>
      </c>
      <c r="N80">
        <v>2.8</v>
      </c>
      <c r="O80">
        <v>1.05</v>
      </c>
      <c r="P80">
        <v>3</v>
      </c>
      <c r="Q80">
        <v>1.1399999999999999</v>
      </c>
      <c r="R80">
        <v>1.61</v>
      </c>
      <c r="S80">
        <v>0.5</v>
      </c>
    </row>
    <row r="81" spans="1:19" x14ac:dyDescent="0.2">
      <c r="A81" t="s">
        <v>189</v>
      </c>
      <c r="B81" t="s">
        <v>190</v>
      </c>
      <c r="C81">
        <v>2014</v>
      </c>
      <c r="D81">
        <v>0</v>
      </c>
      <c r="E81" t="s">
        <v>55</v>
      </c>
      <c r="F81" t="s">
        <v>128</v>
      </c>
      <c r="G81" t="s">
        <v>159</v>
      </c>
      <c r="H81">
        <v>2</v>
      </c>
      <c r="I81">
        <v>5.1134000000000004</v>
      </c>
      <c r="J81">
        <v>600</v>
      </c>
      <c r="K81">
        <v>11</v>
      </c>
      <c r="L81">
        <v>5.7</v>
      </c>
      <c r="M81">
        <v>3.7</v>
      </c>
      <c r="N81">
        <v>1.7999999999999999E-2</v>
      </c>
      <c r="O81">
        <v>0.33</v>
      </c>
      <c r="P81">
        <v>0.9</v>
      </c>
      <c r="Q81">
        <v>0.91</v>
      </c>
      <c r="R81">
        <v>0.86</v>
      </c>
    </row>
    <row r="82" spans="1:19" x14ac:dyDescent="0.2">
      <c r="A82" t="s">
        <v>189</v>
      </c>
      <c r="B82" t="s">
        <v>191</v>
      </c>
      <c r="C82">
        <v>2014</v>
      </c>
      <c r="D82">
        <v>0</v>
      </c>
      <c r="E82" t="s">
        <v>55</v>
      </c>
      <c r="F82" t="s">
        <v>128</v>
      </c>
      <c r="G82" t="s">
        <v>159</v>
      </c>
      <c r="H82">
        <v>2</v>
      </c>
      <c r="I82">
        <v>11.759</v>
      </c>
      <c r="J82">
        <v>600</v>
      </c>
      <c r="K82">
        <v>11</v>
      </c>
      <c r="L82">
        <v>28</v>
      </c>
      <c r="M82">
        <v>5</v>
      </c>
      <c r="N82">
        <v>8.7999999999999995E-2</v>
      </c>
      <c r="O82">
        <v>0.44</v>
      </c>
      <c r="P82">
        <v>1.3</v>
      </c>
      <c r="Q82">
        <v>0.91</v>
      </c>
      <c r="R82">
        <v>0.86</v>
      </c>
    </row>
    <row r="83" spans="1:19" x14ac:dyDescent="0.2">
      <c r="A83" t="s">
        <v>192</v>
      </c>
      <c r="B83" t="s">
        <v>193</v>
      </c>
      <c r="C83">
        <v>2013</v>
      </c>
      <c r="D83">
        <v>0</v>
      </c>
      <c r="E83" t="s">
        <v>55</v>
      </c>
      <c r="F83" t="s">
        <v>128</v>
      </c>
      <c r="G83" t="s">
        <v>159</v>
      </c>
      <c r="H83">
        <v>1</v>
      </c>
      <c r="I83">
        <v>4.86069</v>
      </c>
      <c r="J83">
        <v>1000</v>
      </c>
      <c r="K83">
        <v>4.5</v>
      </c>
      <c r="L83">
        <v>85.81</v>
      </c>
      <c r="M83">
        <v>12.11</v>
      </c>
      <c r="N83">
        <v>0.27</v>
      </c>
      <c r="O83">
        <v>1.08</v>
      </c>
      <c r="P83">
        <v>0.15</v>
      </c>
      <c r="Q83">
        <v>1.0900000000000001</v>
      </c>
      <c r="R83">
        <v>1.19</v>
      </c>
    </row>
    <row r="84" spans="1:19" x14ac:dyDescent="0.2">
      <c r="A84" t="s">
        <v>194</v>
      </c>
      <c r="B84" t="s">
        <v>195</v>
      </c>
      <c r="C84">
        <v>2013</v>
      </c>
      <c r="D84">
        <v>0</v>
      </c>
      <c r="E84" t="s">
        <v>55</v>
      </c>
      <c r="F84" t="s">
        <v>128</v>
      </c>
      <c r="G84" t="s">
        <v>159</v>
      </c>
      <c r="H84">
        <v>1</v>
      </c>
      <c r="I84">
        <v>4.2047400000000001</v>
      </c>
      <c r="J84">
        <v>1670</v>
      </c>
      <c r="K84">
        <v>8.6</v>
      </c>
      <c r="L84">
        <v>165.26</v>
      </c>
      <c r="M84">
        <v>14.12</v>
      </c>
      <c r="N84">
        <v>0.52</v>
      </c>
      <c r="O84">
        <v>1.26</v>
      </c>
      <c r="P84">
        <v>0.28000000000000003</v>
      </c>
      <c r="Q84">
        <v>1.0900000000000001</v>
      </c>
      <c r="R84">
        <v>1.79</v>
      </c>
    </row>
    <row r="85" spans="1:19" x14ac:dyDescent="0.2">
      <c r="A85" t="s">
        <v>196</v>
      </c>
      <c r="B85" t="s">
        <v>197</v>
      </c>
      <c r="C85">
        <v>2014</v>
      </c>
      <c r="D85">
        <v>0</v>
      </c>
      <c r="E85" t="s">
        <v>55</v>
      </c>
      <c r="F85" t="s">
        <v>128</v>
      </c>
      <c r="G85" t="s">
        <v>159</v>
      </c>
      <c r="H85">
        <v>1</v>
      </c>
      <c r="I85">
        <v>3.5753200000000001</v>
      </c>
      <c r="J85">
        <v>1035.1500000000001</v>
      </c>
      <c r="K85">
        <v>4.21</v>
      </c>
      <c r="L85">
        <v>3302.11</v>
      </c>
      <c r="M85">
        <v>11.287000000000001</v>
      </c>
      <c r="N85">
        <v>10.39</v>
      </c>
      <c r="O85">
        <v>1.0069999999999999</v>
      </c>
      <c r="P85">
        <v>12.6</v>
      </c>
      <c r="Q85">
        <v>1.05</v>
      </c>
      <c r="R85">
        <v>1.08</v>
      </c>
      <c r="S85">
        <v>1.24</v>
      </c>
    </row>
    <row r="86" spans="1:19" x14ac:dyDescent="0.2">
      <c r="A86" t="s">
        <v>198</v>
      </c>
      <c r="B86" t="s">
        <v>199</v>
      </c>
      <c r="C86">
        <v>2015</v>
      </c>
      <c r="D86">
        <v>0</v>
      </c>
      <c r="E86" t="s">
        <v>55</v>
      </c>
      <c r="F86" t="s">
        <v>128</v>
      </c>
      <c r="G86" t="s">
        <v>159</v>
      </c>
      <c r="H86">
        <v>1</v>
      </c>
      <c r="I86">
        <v>5.2085100000000004</v>
      </c>
      <c r="J86">
        <v>560</v>
      </c>
      <c r="K86">
        <v>12</v>
      </c>
      <c r="L86">
        <v>153.82972000000001</v>
      </c>
      <c r="M86">
        <v>10.705</v>
      </c>
      <c r="N86">
        <v>0.48399999999999999</v>
      </c>
      <c r="O86">
        <v>0.95499999999999996</v>
      </c>
      <c r="P86">
        <v>0.69</v>
      </c>
      <c r="Q86">
        <v>1.01</v>
      </c>
      <c r="R86">
        <v>1.78</v>
      </c>
      <c r="S86">
        <v>0.27</v>
      </c>
    </row>
    <row r="87" spans="1:19" x14ac:dyDescent="0.2">
      <c r="A87" t="s">
        <v>200</v>
      </c>
      <c r="B87" t="s">
        <v>201</v>
      </c>
      <c r="C87">
        <v>2015</v>
      </c>
      <c r="D87">
        <v>0</v>
      </c>
      <c r="E87" t="s">
        <v>55</v>
      </c>
      <c r="F87" t="s">
        <v>128</v>
      </c>
      <c r="G87" t="s">
        <v>159</v>
      </c>
      <c r="H87">
        <v>1</v>
      </c>
      <c r="I87">
        <v>2.8505699999999998</v>
      </c>
      <c r="J87">
        <v>765</v>
      </c>
      <c r="K87">
        <v>4.5</v>
      </c>
      <c r="L87">
        <v>270.15550000000002</v>
      </c>
      <c r="M87">
        <v>10.087999999999999</v>
      </c>
      <c r="N87">
        <v>0.85</v>
      </c>
      <c r="O87">
        <v>0.9</v>
      </c>
      <c r="P87">
        <v>1.45</v>
      </c>
      <c r="Q87">
        <v>0.97</v>
      </c>
      <c r="R87">
        <v>0.9</v>
      </c>
      <c r="S87">
        <v>1.825</v>
      </c>
    </row>
    <row r="88" spans="1:19" x14ac:dyDescent="0.2">
      <c r="A88" t="s">
        <v>202</v>
      </c>
      <c r="B88" t="s">
        <v>203</v>
      </c>
      <c r="C88">
        <v>2008</v>
      </c>
      <c r="D88">
        <v>0</v>
      </c>
      <c r="E88" t="s">
        <v>55</v>
      </c>
      <c r="F88" t="s">
        <v>128</v>
      </c>
      <c r="G88" t="s">
        <v>159</v>
      </c>
      <c r="H88">
        <v>1</v>
      </c>
      <c r="I88">
        <v>4.2568000000000001</v>
      </c>
      <c r="J88">
        <v>680</v>
      </c>
      <c r="K88">
        <v>2.2000000000000002</v>
      </c>
      <c r="L88">
        <v>6883.91</v>
      </c>
      <c r="M88">
        <v>11.32</v>
      </c>
      <c r="N88">
        <v>21.66</v>
      </c>
      <c r="O88">
        <v>1.01</v>
      </c>
      <c r="P88">
        <v>26.4</v>
      </c>
      <c r="Q88">
        <v>1.37</v>
      </c>
      <c r="R88">
        <v>1.56</v>
      </c>
    </row>
    <row r="89" spans="1:19" x14ac:dyDescent="0.2">
      <c r="A89" t="s">
        <v>204</v>
      </c>
      <c r="B89" t="s">
        <v>205</v>
      </c>
      <c r="C89">
        <v>2008</v>
      </c>
      <c r="D89">
        <v>0</v>
      </c>
      <c r="E89" t="s">
        <v>55</v>
      </c>
      <c r="F89" t="s">
        <v>128</v>
      </c>
      <c r="G89" t="s">
        <v>159</v>
      </c>
      <c r="H89">
        <v>1</v>
      </c>
      <c r="I89">
        <v>9.2020499999999998</v>
      </c>
      <c r="J89">
        <v>741.6</v>
      </c>
      <c r="K89">
        <v>1</v>
      </c>
      <c r="L89">
        <v>228.83</v>
      </c>
      <c r="M89">
        <v>13.34</v>
      </c>
      <c r="N89">
        <v>0.72</v>
      </c>
      <c r="O89">
        <v>1.19</v>
      </c>
      <c r="P89">
        <v>0.52500000000000002</v>
      </c>
      <c r="Q89">
        <v>1.1599999999999999</v>
      </c>
      <c r="R89">
        <v>1.17</v>
      </c>
    </row>
    <row r="90" spans="1:19" x14ac:dyDescent="0.2">
      <c r="A90" t="s">
        <v>206</v>
      </c>
      <c r="B90" t="s">
        <v>207</v>
      </c>
      <c r="C90">
        <v>2009</v>
      </c>
      <c r="D90">
        <v>0</v>
      </c>
      <c r="E90" t="s">
        <v>55</v>
      </c>
      <c r="F90" t="s">
        <v>128</v>
      </c>
      <c r="G90" t="s">
        <v>159</v>
      </c>
      <c r="H90">
        <v>1</v>
      </c>
      <c r="I90">
        <v>4.0378961999999996</v>
      </c>
      <c r="J90">
        <v>904.65</v>
      </c>
      <c r="K90">
        <v>6.9</v>
      </c>
      <c r="L90">
        <v>148.41999999999999</v>
      </c>
      <c r="M90">
        <v>15.558</v>
      </c>
      <c r="N90">
        <v>0.46700000000000003</v>
      </c>
      <c r="O90">
        <v>1.3879999999999999</v>
      </c>
      <c r="P90">
        <v>0.217</v>
      </c>
      <c r="Q90">
        <v>1</v>
      </c>
      <c r="R90">
        <v>1.19</v>
      </c>
    </row>
    <row r="91" spans="1:19" x14ac:dyDescent="0.2">
      <c r="A91" t="s">
        <v>208</v>
      </c>
      <c r="B91" t="s">
        <v>209</v>
      </c>
      <c r="C91">
        <v>2009</v>
      </c>
      <c r="D91">
        <v>0</v>
      </c>
      <c r="E91" t="s">
        <v>55</v>
      </c>
      <c r="F91" t="s">
        <v>128</v>
      </c>
      <c r="G91" t="s">
        <v>159</v>
      </c>
      <c r="H91">
        <v>1</v>
      </c>
      <c r="I91">
        <v>8.8865929999999995</v>
      </c>
      <c r="J91">
        <v>657.24</v>
      </c>
      <c r="L91">
        <v>940.74</v>
      </c>
      <c r="M91">
        <v>13.068</v>
      </c>
      <c r="N91">
        <v>2.96</v>
      </c>
      <c r="O91">
        <v>1.1659999999999999</v>
      </c>
      <c r="P91">
        <v>2.3199999999999998</v>
      </c>
      <c r="Q91">
        <v>1.05</v>
      </c>
      <c r="R91">
        <v>1.02</v>
      </c>
    </row>
    <row r="92" spans="1:19" x14ac:dyDescent="0.2">
      <c r="A92" t="s">
        <v>210</v>
      </c>
      <c r="B92" t="s">
        <v>211</v>
      </c>
      <c r="C92">
        <v>2009</v>
      </c>
      <c r="D92">
        <v>0</v>
      </c>
      <c r="E92" t="s">
        <v>55</v>
      </c>
      <c r="F92" t="s">
        <v>128</v>
      </c>
      <c r="G92" t="s">
        <v>159</v>
      </c>
      <c r="H92">
        <v>2</v>
      </c>
      <c r="I92">
        <v>0.85359163000000005</v>
      </c>
      <c r="J92">
        <v>153.69999999999999</v>
      </c>
      <c r="L92">
        <v>3.1783000000000001</v>
      </c>
      <c r="M92">
        <v>1.681</v>
      </c>
      <c r="N92">
        <v>0.01</v>
      </c>
      <c r="O92">
        <v>0.15</v>
      </c>
      <c r="Q92">
        <v>0.82</v>
      </c>
      <c r="R92">
        <v>0.83</v>
      </c>
      <c r="S92">
        <v>2</v>
      </c>
    </row>
    <row r="93" spans="1:19" x14ac:dyDescent="0.2">
      <c r="A93" t="s">
        <v>210</v>
      </c>
      <c r="B93" t="s">
        <v>212</v>
      </c>
      <c r="C93">
        <v>2009</v>
      </c>
      <c r="D93">
        <v>0</v>
      </c>
      <c r="E93" t="s">
        <v>55</v>
      </c>
      <c r="F93" t="s">
        <v>22</v>
      </c>
      <c r="G93" t="s">
        <v>159</v>
      </c>
      <c r="H93">
        <v>2</v>
      </c>
      <c r="I93">
        <v>3.698</v>
      </c>
      <c r="J93">
        <v>153.69999999999999</v>
      </c>
      <c r="L93">
        <v>8.4</v>
      </c>
      <c r="N93">
        <v>2.6429999999999999E-2</v>
      </c>
      <c r="Q93">
        <v>0.82</v>
      </c>
      <c r="R93">
        <v>0.83</v>
      </c>
      <c r="S93">
        <v>2</v>
      </c>
    </row>
    <row r="94" spans="1:19" x14ac:dyDescent="0.2">
      <c r="A94" t="s">
        <v>213</v>
      </c>
      <c r="B94" t="s">
        <v>214</v>
      </c>
      <c r="C94">
        <v>2010</v>
      </c>
      <c r="D94">
        <v>0</v>
      </c>
      <c r="E94" t="s">
        <v>55</v>
      </c>
      <c r="F94" t="s">
        <v>128</v>
      </c>
      <c r="G94" t="s">
        <v>159</v>
      </c>
      <c r="H94">
        <v>1</v>
      </c>
      <c r="I94">
        <v>6.2122900000000003</v>
      </c>
      <c r="J94">
        <v>380</v>
      </c>
      <c r="K94">
        <v>3</v>
      </c>
      <c r="L94">
        <v>69.92</v>
      </c>
      <c r="M94">
        <v>6.39</v>
      </c>
      <c r="N94">
        <v>0.22</v>
      </c>
      <c r="O94">
        <v>0.56999999999999995</v>
      </c>
      <c r="P94">
        <v>1.6</v>
      </c>
      <c r="Q94">
        <v>0.88</v>
      </c>
      <c r="R94">
        <v>0.77</v>
      </c>
      <c r="S94">
        <v>2.7</v>
      </c>
    </row>
    <row r="95" spans="1:19" x14ac:dyDescent="0.2">
      <c r="A95" t="s">
        <v>215</v>
      </c>
      <c r="B95" t="s">
        <v>216</v>
      </c>
      <c r="C95">
        <v>2009</v>
      </c>
      <c r="D95">
        <v>0</v>
      </c>
      <c r="E95" t="s">
        <v>55</v>
      </c>
      <c r="F95" t="s">
        <v>128</v>
      </c>
      <c r="G95" t="s">
        <v>159</v>
      </c>
      <c r="H95">
        <v>1</v>
      </c>
      <c r="I95">
        <v>95.272655999999998</v>
      </c>
      <c r="J95">
        <v>460</v>
      </c>
      <c r="K95">
        <v>6</v>
      </c>
      <c r="L95">
        <v>266.97719999999998</v>
      </c>
      <c r="M95">
        <v>11.949</v>
      </c>
      <c r="N95">
        <v>0.84</v>
      </c>
      <c r="O95">
        <v>1.0660000000000001</v>
      </c>
      <c r="P95">
        <v>0.86</v>
      </c>
      <c r="Q95">
        <v>0.96</v>
      </c>
      <c r="R95">
        <v>0.96</v>
      </c>
      <c r="S95">
        <v>1.51</v>
      </c>
    </row>
    <row r="96" spans="1:19" x14ac:dyDescent="0.2">
      <c r="A96" t="s">
        <v>217</v>
      </c>
      <c r="B96" t="s">
        <v>218</v>
      </c>
      <c r="C96">
        <v>2017</v>
      </c>
      <c r="D96">
        <v>0</v>
      </c>
      <c r="E96" t="s">
        <v>55</v>
      </c>
      <c r="F96" t="s">
        <v>128</v>
      </c>
      <c r="G96" t="s">
        <v>159</v>
      </c>
      <c r="H96">
        <v>1</v>
      </c>
      <c r="I96">
        <v>6.7183700000000002</v>
      </c>
      <c r="J96">
        <v>586.20000000000005</v>
      </c>
      <c r="L96">
        <v>47.674500000000002</v>
      </c>
      <c r="M96">
        <v>6.3890000000000002</v>
      </c>
      <c r="N96">
        <v>0.15</v>
      </c>
      <c r="O96">
        <v>0.56999999999999995</v>
      </c>
      <c r="P96">
        <v>1.1000000000000001</v>
      </c>
      <c r="Q96">
        <v>1.08</v>
      </c>
      <c r="R96">
        <v>0.79</v>
      </c>
    </row>
    <row r="97" spans="1:19" x14ac:dyDescent="0.2">
      <c r="A97" t="s">
        <v>219</v>
      </c>
      <c r="B97" t="s">
        <v>220</v>
      </c>
      <c r="C97">
        <v>2013</v>
      </c>
      <c r="D97">
        <v>0</v>
      </c>
      <c r="E97" t="s">
        <v>21</v>
      </c>
      <c r="F97" t="s">
        <v>221</v>
      </c>
      <c r="G97" t="s">
        <v>59</v>
      </c>
      <c r="H97">
        <v>1</v>
      </c>
      <c r="I97">
        <v>246.36</v>
      </c>
      <c r="J97">
        <v>20.77</v>
      </c>
      <c r="K97">
        <v>1</v>
      </c>
      <c r="L97">
        <v>9057.77</v>
      </c>
      <c r="N97">
        <v>28.5</v>
      </c>
      <c r="Q97">
        <v>7.0000000000000007E-2</v>
      </c>
    </row>
    <row r="98" spans="1:19" x14ac:dyDescent="0.2">
      <c r="A98" t="s">
        <v>222</v>
      </c>
      <c r="B98" t="s">
        <v>223</v>
      </c>
      <c r="C98">
        <v>2004</v>
      </c>
      <c r="D98">
        <v>0</v>
      </c>
      <c r="E98" t="s">
        <v>21</v>
      </c>
      <c r="F98" t="s">
        <v>40</v>
      </c>
      <c r="G98" t="s">
        <v>224</v>
      </c>
      <c r="H98">
        <v>1</v>
      </c>
      <c r="J98">
        <v>140</v>
      </c>
      <c r="K98">
        <v>1E-3</v>
      </c>
      <c r="L98">
        <v>3496</v>
      </c>
      <c r="N98">
        <v>11</v>
      </c>
      <c r="Q98">
        <v>0.33</v>
      </c>
      <c r="R98">
        <v>0.27</v>
      </c>
    </row>
    <row r="99" spans="1:19" x14ac:dyDescent="0.2">
      <c r="A99" t="s">
        <v>225</v>
      </c>
      <c r="B99" t="s">
        <v>226</v>
      </c>
      <c r="C99">
        <v>2009</v>
      </c>
      <c r="D99">
        <v>0</v>
      </c>
      <c r="E99" t="s">
        <v>21</v>
      </c>
      <c r="F99" t="s">
        <v>62</v>
      </c>
      <c r="G99" t="s">
        <v>227</v>
      </c>
      <c r="H99">
        <v>1</v>
      </c>
      <c r="I99">
        <v>10220</v>
      </c>
      <c r="J99">
        <v>305.06</v>
      </c>
      <c r="N99">
        <v>6.05</v>
      </c>
      <c r="R99">
        <v>0.01</v>
      </c>
    </row>
    <row r="100" spans="1:19" x14ac:dyDescent="0.2">
      <c r="A100" t="s">
        <v>228</v>
      </c>
      <c r="B100" t="s">
        <v>229</v>
      </c>
      <c r="C100">
        <v>2016</v>
      </c>
      <c r="D100">
        <v>0</v>
      </c>
      <c r="E100" t="s">
        <v>55</v>
      </c>
      <c r="F100" t="s">
        <v>128</v>
      </c>
      <c r="G100" t="s">
        <v>129</v>
      </c>
      <c r="H100">
        <v>1</v>
      </c>
      <c r="I100">
        <v>21.169861000000001</v>
      </c>
      <c r="J100">
        <v>187.19</v>
      </c>
      <c r="M100">
        <v>1.98</v>
      </c>
      <c r="O100">
        <v>0.17699999999999999</v>
      </c>
      <c r="Q100">
        <v>0.66</v>
      </c>
      <c r="R100">
        <v>0.56999999999999995</v>
      </c>
    </row>
    <row r="101" spans="1:19" x14ac:dyDescent="0.2">
      <c r="A101" t="s">
        <v>230</v>
      </c>
      <c r="B101" t="s">
        <v>231</v>
      </c>
      <c r="C101">
        <v>2018</v>
      </c>
      <c r="D101">
        <v>0</v>
      </c>
      <c r="E101" t="s">
        <v>55</v>
      </c>
      <c r="F101" t="s">
        <v>128</v>
      </c>
      <c r="G101" t="s">
        <v>129</v>
      </c>
      <c r="H101">
        <v>1</v>
      </c>
      <c r="I101">
        <v>19.49221</v>
      </c>
      <c r="J101">
        <v>182.69</v>
      </c>
      <c r="M101">
        <v>5.76</v>
      </c>
      <c r="O101">
        <v>0.51400000000000001</v>
      </c>
      <c r="Q101">
        <v>1.17</v>
      </c>
      <c r="R101">
        <v>1.39</v>
      </c>
      <c r="S101">
        <v>2.2530000000000001</v>
      </c>
    </row>
    <row r="102" spans="1:19" x14ac:dyDescent="0.2">
      <c r="A102" t="s">
        <v>232</v>
      </c>
      <c r="B102" t="s">
        <v>233</v>
      </c>
      <c r="C102">
        <v>2016</v>
      </c>
      <c r="D102">
        <v>0</v>
      </c>
      <c r="E102" t="s">
        <v>55</v>
      </c>
      <c r="F102" t="s">
        <v>128</v>
      </c>
      <c r="G102" t="s">
        <v>129</v>
      </c>
      <c r="H102">
        <v>2</v>
      </c>
      <c r="I102">
        <v>0.57133100000000003</v>
      </c>
      <c r="J102">
        <v>246.1</v>
      </c>
      <c r="M102">
        <v>1.82</v>
      </c>
      <c r="O102">
        <v>0.16200000000000001</v>
      </c>
      <c r="Q102">
        <v>0.97</v>
      </c>
      <c r="R102">
        <v>0.98</v>
      </c>
    </row>
    <row r="103" spans="1:19" x14ac:dyDescent="0.2">
      <c r="A103" t="s">
        <v>232</v>
      </c>
      <c r="B103" t="s">
        <v>234</v>
      </c>
      <c r="C103">
        <v>2016</v>
      </c>
      <c r="D103">
        <v>0</v>
      </c>
      <c r="E103" t="s">
        <v>55</v>
      </c>
      <c r="F103" t="s">
        <v>128</v>
      </c>
      <c r="G103" t="s">
        <v>129</v>
      </c>
      <c r="H103">
        <v>2</v>
      </c>
      <c r="I103">
        <v>13.339079</v>
      </c>
      <c r="J103">
        <v>246.1</v>
      </c>
      <c r="M103">
        <v>2.73</v>
      </c>
      <c r="O103">
        <v>0.24399999999999999</v>
      </c>
      <c r="Q103">
        <v>0.97</v>
      </c>
      <c r="R103">
        <v>0.98</v>
      </c>
    </row>
    <row r="104" spans="1:19" x14ac:dyDescent="0.2">
      <c r="A104" t="s">
        <v>235</v>
      </c>
      <c r="B104" t="s">
        <v>236</v>
      </c>
      <c r="C104">
        <v>2018</v>
      </c>
      <c r="D104">
        <v>0</v>
      </c>
      <c r="E104" t="s">
        <v>55</v>
      </c>
      <c r="F104" t="s">
        <v>128</v>
      </c>
      <c r="G104" t="s">
        <v>129</v>
      </c>
      <c r="H104">
        <v>1</v>
      </c>
      <c r="I104">
        <v>6.1802349999999997</v>
      </c>
      <c r="J104">
        <v>336.7</v>
      </c>
      <c r="K104">
        <v>3.02</v>
      </c>
      <c r="L104">
        <v>953.49</v>
      </c>
      <c r="M104">
        <v>11.781000000000001</v>
      </c>
      <c r="N104">
        <v>3</v>
      </c>
      <c r="O104">
        <v>1.0509999999999999</v>
      </c>
      <c r="P104">
        <v>3.1</v>
      </c>
      <c r="Q104">
        <v>1.32</v>
      </c>
      <c r="R104">
        <v>1.59</v>
      </c>
      <c r="S104">
        <v>0.46500000000000002</v>
      </c>
    </row>
    <row r="105" spans="1:19" x14ac:dyDescent="0.2">
      <c r="A105" t="s">
        <v>237</v>
      </c>
      <c r="B105" t="s">
        <v>238</v>
      </c>
      <c r="C105">
        <v>2008</v>
      </c>
      <c r="D105">
        <v>0</v>
      </c>
      <c r="E105" t="s">
        <v>55</v>
      </c>
      <c r="F105" t="s">
        <v>40</v>
      </c>
      <c r="G105" t="s">
        <v>239</v>
      </c>
      <c r="H105">
        <v>1</v>
      </c>
      <c r="J105">
        <v>140</v>
      </c>
      <c r="K105">
        <v>1E-3</v>
      </c>
      <c r="L105">
        <v>5085.28</v>
      </c>
      <c r="N105">
        <v>16</v>
      </c>
      <c r="Q105">
        <v>0.05</v>
      </c>
    </row>
    <row r="106" spans="1:19" x14ac:dyDescent="0.2">
      <c r="A106" t="s">
        <v>240</v>
      </c>
      <c r="B106" t="s">
        <v>241</v>
      </c>
      <c r="C106">
        <v>2008</v>
      </c>
      <c r="D106">
        <v>0</v>
      </c>
      <c r="E106" t="s">
        <v>55</v>
      </c>
      <c r="F106" t="s">
        <v>40</v>
      </c>
      <c r="G106" t="s">
        <v>56</v>
      </c>
      <c r="H106">
        <v>1</v>
      </c>
      <c r="I106">
        <v>555530</v>
      </c>
      <c r="J106">
        <v>7.7</v>
      </c>
      <c r="Q106">
        <v>1.92</v>
      </c>
    </row>
    <row r="107" spans="1:19" x14ac:dyDescent="0.2">
      <c r="A107" t="s">
        <v>242</v>
      </c>
      <c r="B107" t="s">
        <v>243</v>
      </c>
      <c r="C107">
        <v>2015</v>
      </c>
      <c r="D107">
        <v>0</v>
      </c>
      <c r="E107" t="s">
        <v>21</v>
      </c>
      <c r="F107" t="s">
        <v>128</v>
      </c>
      <c r="G107" t="s">
        <v>52</v>
      </c>
      <c r="H107">
        <v>2</v>
      </c>
      <c r="I107">
        <v>1.6289309999999999</v>
      </c>
      <c r="J107">
        <v>12.04</v>
      </c>
      <c r="L107">
        <v>1.66</v>
      </c>
      <c r="N107">
        <v>5.2199999999999998E-3</v>
      </c>
      <c r="P107">
        <v>6.3</v>
      </c>
      <c r="Q107">
        <v>0.18</v>
      </c>
      <c r="R107">
        <v>0.21</v>
      </c>
    </row>
    <row r="108" spans="1:19" x14ac:dyDescent="0.2">
      <c r="A108" t="s">
        <v>242</v>
      </c>
      <c r="B108" t="s">
        <v>244</v>
      </c>
      <c r="C108">
        <v>2018</v>
      </c>
      <c r="D108">
        <v>0</v>
      </c>
      <c r="E108" t="s">
        <v>21</v>
      </c>
      <c r="F108" t="s">
        <v>128</v>
      </c>
      <c r="G108" t="s">
        <v>138</v>
      </c>
      <c r="H108">
        <v>2</v>
      </c>
      <c r="I108">
        <v>8.9290000000000003</v>
      </c>
      <c r="J108">
        <v>12.04</v>
      </c>
      <c r="N108">
        <v>8.3099999999999997E-3</v>
      </c>
      <c r="Q108">
        <v>0.18</v>
      </c>
      <c r="R108">
        <v>0.21</v>
      </c>
    </row>
    <row r="109" spans="1:19" x14ac:dyDescent="0.2">
      <c r="A109" t="s">
        <v>245</v>
      </c>
      <c r="B109" t="s">
        <v>246</v>
      </c>
      <c r="C109">
        <v>2010</v>
      </c>
      <c r="D109">
        <v>0</v>
      </c>
      <c r="E109" t="s">
        <v>21</v>
      </c>
      <c r="F109" t="s">
        <v>22</v>
      </c>
      <c r="G109" t="s">
        <v>32</v>
      </c>
      <c r="H109">
        <v>2</v>
      </c>
      <c r="I109">
        <v>41.38</v>
      </c>
      <c r="J109">
        <v>11.02</v>
      </c>
      <c r="N109">
        <v>0.30425000000000002</v>
      </c>
      <c r="Q109">
        <v>0.35</v>
      </c>
      <c r="R109">
        <v>0.4</v>
      </c>
    </row>
    <row r="110" spans="1:19" x14ac:dyDescent="0.2">
      <c r="A110" t="s">
        <v>245</v>
      </c>
      <c r="B110" t="s">
        <v>247</v>
      </c>
      <c r="C110">
        <v>2017</v>
      </c>
      <c r="D110">
        <v>0</v>
      </c>
      <c r="E110" t="s">
        <v>21</v>
      </c>
      <c r="F110" t="s">
        <v>22</v>
      </c>
      <c r="G110" t="s">
        <v>248</v>
      </c>
      <c r="H110">
        <v>2</v>
      </c>
      <c r="I110">
        <v>532.58000000000004</v>
      </c>
      <c r="J110">
        <v>11.02</v>
      </c>
      <c r="N110">
        <v>0.21414</v>
      </c>
      <c r="Q110">
        <v>0.35</v>
      </c>
      <c r="R110">
        <v>0.4</v>
      </c>
    </row>
    <row r="111" spans="1:19" x14ac:dyDescent="0.2">
      <c r="A111" t="s">
        <v>249</v>
      </c>
      <c r="B111" t="s">
        <v>250</v>
      </c>
      <c r="C111">
        <v>2009</v>
      </c>
      <c r="D111">
        <v>0</v>
      </c>
      <c r="E111" t="s">
        <v>21</v>
      </c>
      <c r="F111" t="s">
        <v>128</v>
      </c>
      <c r="G111" t="s">
        <v>251</v>
      </c>
      <c r="H111">
        <v>1</v>
      </c>
      <c r="I111">
        <v>1.5804045600000001</v>
      </c>
      <c r="J111">
        <v>12.95</v>
      </c>
      <c r="L111">
        <v>6.2612500000000004</v>
      </c>
      <c r="M111">
        <v>2.847</v>
      </c>
      <c r="N111">
        <v>1.9699999999999999E-2</v>
      </c>
      <c r="O111">
        <v>0.254</v>
      </c>
      <c r="P111">
        <v>1.49</v>
      </c>
      <c r="Q111">
        <v>0.15</v>
      </c>
      <c r="R111">
        <v>0.22</v>
      </c>
    </row>
    <row r="112" spans="1:19" x14ac:dyDescent="0.2">
      <c r="A112" t="s">
        <v>252</v>
      </c>
      <c r="B112" t="s">
        <v>253</v>
      </c>
      <c r="C112">
        <v>2018</v>
      </c>
      <c r="D112">
        <v>0</v>
      </c>
      <c r="E112" t="s">
        <v>21</v>
      </c>
      <c r="F112" t="s">
        <v>22</v>
      </c>
      <c r="G112" t="s">
        <v>248</v>
      </c>
      <c r="H112">
        <v>1</v>
      </c>
      <c r="I112">
        <v>3.6511</v>
      </c>
      <c r="J112">
        <v>10.26</v>
      </c>
      <c r="N112">
        <v>2.3279999999999999E-2</v>
      </c>
      <c r="Q112">
        <v>0.18</v>
      </c>
      <c r="R112">
        <v>0.19</v>
      </c>
    </row>
    <row r="113" spans="1:19" x14ac:dyDescent="0.2">
      <c r="A113" t="s">
        <v>254</v>
      </c>
      <c r="B113" t="s">
        <v>255</v>
      </c>
      <c r="C113">
        <v>2019</v>
      </c>
      <c r="D113">
        <v>0</v>
      </c>
      <c r="E113" t="s">
        <v>55</v>
      </c>
      <c r="F113" t="s">
        <v>128</v>
      </c>
      <c r="G113" t="s">
        <v>256</v>
      </c>
      <c r="H113">
        <v>2</v>
      </c>
      <c r="I113">
        <v>35.61253</v>
      </c>
      <c r="J113">
        <v>16.329999999999998</v>
      </c>
      <c r="K113">
        <v>3.8</v>
      </c>
      <c r="L113">
        <v>22.7</v>
      </c>
      <c r="M113">
        <v>2.61</v>
      </c>
      <c r="N113">
        <v>7.1419999999999997E-2</v>
      </c>
      <c r="O113">
        <v>0.23300000000000001</v>
      </c>
      <c r="P113">
        <v>7</v>
      </c>
      <c r="Q113">
        <v>0.73</v>
      </c>
      <c r="R113">
        <v>0.69</v>
      </c>
      <c r="S113">
        <v>3.03</v>
      </c>
    </row>
    <row r="114" spans="1:19" x14ac:dyDescent="0.2">
      <c r="A114" t="s">
        <v>257</v>
      </c>
      <c r="B114" t="s">
        <v>258</v>
      </c>
      <c r="C114">
        <v>2013</v>
      </c>
      <c r="D114">
        <v>0</v>
      </c>
      <c r="E114" t="s">
        <v>21</v>
      </c>
      <c r="F114" t="s">
        <v>22</v>
      </c>
      <c r="G114" t="s">
        <v>138</v>
      </c>
      <c r="H114">
        <v>3</v>
      </c>
      <c r="I114">
        <v>8.6318199999999994</v>
      </c>
      <c r="J114">
        <v>15.14</v>
      </c>
      <c r="K114">
        <v>6</v>
      </c>
      <c r="N114">
        <v>3.3349999999999998E-2</v>
      </c>
      <c r="Q114">
        <v>0.4</v>
      </c>
    </row>
    <row r="115" spans="1:19" x14ac:dyDescent="0.2">
      <c r="A115" t="s">
        <v>257</v>
      </c>
      <c r="B115" t="s">
        <v>259</v>
      </c>
      <c r="C115">
        <v>2013</v>
      </c>
      <c r="D115">
        <v>0</v>
      </c>
      <c r="E115" t="s">
        <v>21</v>
      </c>
      <c r="F115" t="s">
        <v>22</v>
      </c>
      <c r="G115" t="s">
        <v>138</v>
      </c>
      <c r="H115">
        <v>3</v>
      </c>
      <c r="I115">
        <v>25.630579999999998</v>
      </c>
      <c r="J115">
        <v>15.14</v>
      </c>
      <c r="K115">
        <v>6</v>
      </c>
      <c r="N115">
        <v>2.1399999999999999E-2</v>
      </c>
      <c r="Q115">
        <v>0.4</v>
      </c>
    </row>
    <row r="116" spans="1:19" x14ac:dyDescent="0.2">
      <c r="A116" t="s">
        <v>257</v>
      </c>
      <c r="B116" t="s">
        <v>260</v>
      </c>
      <c r="C116">
        <v>2013</v>
      </c>
      <c r="D116">
        <v>0</v>
      </c>
      <c r="E116" t="s">
        <v>21</v>
      </c>
      <c r="F116" t="s">
        <v>22</v>
      </c>
      <c r="G116" t="s">
        <v>138</v>
      </c>
      <c r="H116">
        <v>3</v>
      </c>
      <c r="I116">
        <v>603.95115999999996</v>
      </c>
      <c r="J116">
        <v>15.14</v>
      </c>
      <c r="K116">
        <v>6</v>
      </c>
      <c r="N116">
        <v>9.2499999999999999E-2</v>
      </c>
      <c r="Q116">
        <v>0.4</v>
      </c>
    </row>
    <row r="117" spans="1:19" x14ac:dyDescent="0.2">
      <c r="A117" t="s">
        <v>261</v>
      </c>
      <c r="B117" t="s">
        <v>262</v>
      </c>
      <c r="C117">
        <v>2009</v>
      </c>
      <c r="D117">
        <v>0</v>
      </c>
      <c r="E117" t="s">
        <v>21</v>
      </c>
      <c r="F117" t="s">
        <v>22</v>
      </c>
      <c r="G117" t="s">
        <v>32</v>
      </c>
      <c r="H117">
        <v>1</v>
      </c>
      <c r="I117">
        <v>2288</v>
      </c>
      <c r="J117">
        <v>12.36</v>
      </c>
      <c r="N117">
        <v>0.82</v>
      </c>
      <c r="Q117">
        <v>0.36</v>
      </c>
      <c r="R117">
        <v>0.38</v>
      </c>
    </row>
    <row r="118" spans="1:19" x14ac:dyDescent="0.2">
      <c r="A118" t="s">
        <v>263</v>
      </c>
      <c r="B118" t="s">
        <v>264</v>
      </c>
      <c r="C118">
        <v>2017</v>
      </c>
      <c r="D118">
        <v>0</v>
      </c>
      <c r="E118" t="s">
        <v>21</v>
      </c>
      <c r="F118" t="s">
        <v>22</v>
      </c>
      <c r="G118" t="s">
        <v>138</v>
      </c>
      <c r="H118">
        <v>2</v>
      </c>
      <c r="I118">
        <v>18.649799999999999</v>
      </c>
      <c r="J118">
        <v>3.8</v>
      </c>
      <c r="N118">
        <v>9.0900000000000009E-3</v>
      </c>
      <c r="Q118">
        <v>0.28999999999999998</v>
      </c>
      <c r="R118">
        <v>0.28999999999999998</v>
      </c>
    </row>
    <row r="119" spans="1:19" x14ac:dyDescent="0.2">
      <c r="A119" t="s">
        <v>263</v>
      </c>
      <c r="B119" t="s">
        <v>265</v>
      </c>
      <c r="C119">
        <v>2017</v>
      </c>
      <c r="D119">
        <v>0</v>
      </c>
      <c r="E119" t="s">
        <v>21</v>
      </c>
      <c r="F119" t="s">
        <v>22</v>
      </c>
      <c r="G119" t="s">
        <v>138</v>
      </c>
      <c r="H119">
        <v>2</v>
      </c>
      <c r="I119">
        <v>4.7233999999999998</v>
      </c>
      <c r="J119">
        <v>3.8</v>
      </c>
      <c r="N119">
        <v>3.7100000000000002E-3</v>
      </c>
      <c r="Q119">
        <v>0.28999999999999998</v>
      </c>
      <c r="R119">
        <v>0.28999999999999998</v>
      </c>
    </row>
    <row r="120" spans="1:19" x14ac:dyDescent="0.2">
      <c r="A120" t="s">
        <v>266</v>
      </c>
      <c r="B120" t="s">
        <v>267</v>
      </c>
      <c r="C120">
        <v>2000</v>
      </c>
      <c r="D120">
        <v>0</v>
      </c>
      <c r="E120" t="s">
        <v>21</v>
      </c>
      <c r="F120" t="s">
        <v>22</v>
      </c>
      <c r="G120" t="s">
        <v>138</v>
      </c>
      <c r="H120">
        <v>1</v>
      </c>
      <c r="I120">
        <v>133.71</v>
      </c>
      <c r="J120">
        <v>17.559999999999999</v>
      </c>
      <c r="N120">
        <v>3.37</v>
      </c>
      <c r="Q120">
        <v>0.9</v>
      </c>
      <c r="R120">
        <v>0.9</v>
      </c>
    </row>
    <row r="121" spans="1:19" x14ac:dyDescent="0.2">
      <c r="A121" t="s">
        <v>268</v>
      </c>
      <c r="B121" t="s">
        <v>269</v>
      </c>
      <c r="C121">
        <v>2017</v>
      </c>
      <c r="D121">
        <v>0</v>
      </c>
      <c r="E121" t="s">
        <v>21</v>
      </c>
      <c r="F121" t="s">
        <v>22</v>
      </c>
      <c r="G121" t="s">
        <v>138</v>
      </c>
      <c r="H121">
        <v>3</v>
      </c>
      <c r="I121">
        <v>1.2200299999999999</v>
      </c>
      <c r="J121">
        <v>28.49</v>
      </c>
      <c r="N121">
        <v>5.5999999999999999E-3</v>
      </c>
      <c r="Q121">
        <v>0.68</v>
      </c>
      <c r="R121">
        <v>0.5</v>
      </c>
    </row>
    <row r="122" spans="1:19" x14ac:dyDescent="0.2">
      <c r="A122" t="s">
        <v>268</v>
      </c>
      <c r="B122" t="s">
        <v>270</v>
      </c>
      <c r="C122">
        <v>2017</v>
      </c>
      <c r="D122">
        <v>0</v>
      </c>
      <c r="E122" t="s">
        <v>21</v>
      </c>
      <c r="F122" t="s">
        <v>22</v>
      </c>
      <c r="G122" t="s">
        <v>138</v>
      </c>
      <c r="H122">
        <v>3</v>
      </c>
      <c r="I122">
        <v>5.9740000000000002</v>
      </c>
      <c r="J122">
        <v>28.49</v>
      </c>
      <c r="N122">
        <v>1.315E-2</v>
      </c>
      <c r="Q122">
        <v>0.68</v>
      </c>
      <c r="R122">
        <v>0.5</v>
      </c>
    </row>
    <row r="123" spans="1:19" x14ac:dyDescent="0.2">
      <c r="A123" t="s">
        <v>268</v>
      </c>
      <c r="B123" t="s">
        <v>271</v>
      </c>
      <c r="C123">
        <v>2017</v>
      </c>
      <c r="D123">
        <v>0</v>
      </c>
      <c r="E123" t="s">
        <v>21</v>
      </c>
      <c r="F123" t="s">
        <v>22</v>
      </c>
      <c r="G123" t="s">
        <v>138</v>
      </c>
      <c r="H123">
        <v>3</v>
      </c>
      <c r="I123">
        <v>257.8</v>
      </c>
      <c r="J123">
        <v>28.49</v>
      </c>
      <c r="N123">
        <v>3.304E-2</v>
      </c>
      <c r="Q123">
        <v>0.68</v>
      </c>
      <c r="R123">
        <v>0.5</v>
      </c>
    </row>
    <row r="124" spans="1:19" x14ac:dyDescent="0.2">
      <c r="A124" t="s">
        <v>272</v>
      </c>
      <c r="B124" t="s">
        <v>273</v>
      </c>
      <c r="C124">
        <v>2007</v>
      </c>
      <c r="D124">
        <v>0</v>
      </c>
      <c r="E124" t="s">
        <v>21</v>
      </c>
      <c r="F124" t="s">
        <v>22</v>
      </c>
      <c r="G124" t="s">
        <v>32</v>
      </c>
      <c r="H124">
        <v>2</v>
      </c>
      <c r="I124">
        <v>692</v>
      </c>
      <c r="J124">
        <v>15.1</v>
      </c>
      <c r="K124">
        <v>5</v>
      </c>
      <c r="L124">
        <v>794.5</v>
      </c>
      <c r="N124">
        <v>2.5</v>
      </c>
      <c r="Q124">
        <v>0.42</v>
      </c>
    </row>
    <row r="125" spans="1:19" x14ac:dyDescent="0.2">
      <c r="A125" t="s">
        <v>272</v>
      </c>
      <c r="B125" t="s">
        <v>274</v>
      </c>
      <c r="C125">
        <v>2018</v>
      </c>
      <c r="D125">
        <v>0</v>
      </c>
      <c r="E125" t="s">
        <v>21</v>
      </c>
      <c r="F125" t="s">
        <v>22</v>
      </c>
      <c r="G125" t="s">
        <v>32</v>
      </c>
      <c r="H125">
        <v>2</v>
      </c>
      <c r="I125">
        <v>5312</v>
      </c>
      <c r="J125">
        <v>15.1</v>
      </c>
      <c r="K125">
        <v>5</v>
      </c>
      <c r="N125">
        <v>1.54</v>
      </c>
      <c r="Q125">
        <v>0.42</v>
      </c>
    </row>
    <row r="126" spans="1:19" x14ac:dyDescent="0.2">
      <c r="A126" t="s">
        <v>275</v>
      </c>
      <c r="B126" t="s">
        <v>276</v>
      </c>
      <c r="C126">
        <v>2013</v>
      </c>
      <c r="D126">
        <v>0</v>
      </c>
      <c r="E126" t="s">
        <v>21</v>
      </c>
      <c r="F126" t="s">
        <v>22</v>
      </c>
      <c r="G126" t="s">
        <v>86</v>
      </c>
      <c r="H126">
        <v>1</v>
      </c>
      <c r="I126">
        <v>4100</v>
      </c>
      <c r="J126">
        <v>20.54</v>
      </c>
      <c r="N126">
        <v>2.2999999999999998</v>
      </c>
      <c r="Q126">
        <v>0.69</v>
      </c>
    </row>
    <row r="127" spans="1:19" x14ac:dyDescent="0.2">
      <c r="A127" t="s">
        <v>277</v>
      </c>
      <c r="B127" t="s">
        <v>278</v>
      </c>
      <c r="C127">
        <v>2015</v>
      </c>
      <c r="D127">
        <v>0</v>
      </c>
      <c r="E127" t="s">
        <v>21</v>
      </c>
      <c r="F127" t="s">
        <v>22</v>
      </c>
      <c r="G127" t="s">
        <v>138</v>
      </c>
      <c r="H127">
        <v>4</v>
      </c>
      <c r="I127">
        <v>30.598700000000001</v>
      </c>
      <c r="J127">
        <v>20.2</v>
      </c>
      <c r="N127">
        <v>7.4060000000000001E-2</v>
      </c>
      <c r="Q127">
        <v>0.42</v>
      </c>
      <c r="R127">
        <v>0.4</v>
      </c>
    </row>
    <row r="128" spans="1:19" x14ac:dyDescent="0.2">
      <c r="A128" t="s">
        <v>277</v>
      </c>
      <c r="B128" t="s">
        <v>279</v>
      </c>
      <c r="C128">
        <v>2015</v>
      </c>
      <c r="D128">
        <v>0</v>
      </c>
      <c r="E128" t="s">
        <v>21</v>
      </c>
      <c r="F128" t="s">
        <v>22</v>
      </c>
      <c r="G128" t="s">
        <v>138</v>
      </c>
      <c r="H128">
        <v>4</v>
      </c>
      <c r="I128">
        <v>122.61960000000001</v>
      </c>
      <c r="J128">
        <v>20.2</v>
      </c>
      <c r="N128">
        <v>6.6360000000000002E-2</v>
      </c>
      <c r="Q128">
        <v>0.42</v>
      </c>
      <c r="R128">
        <v>0.4</v>
      </c>
    </row>
    <row r="129" spans="1:19" x14ac:dyDescent="0.2">
      <c r="A129" t="s">
        <v>277</v>
      </c>
      <c r="B129" t="s">
        <v>280</v>
      </c>
      <c r="C129">
        <v>2017</v>
      </c>
      <c r="D129">
        <v>0</v>
      </c>
      <c r="E129" t="s">
        <v>21</v>
      </c>
      <c r="F129" t="s">
        <v>22</v>
      </c>
      <c r="G129" t="s">
        <v>138</v>
      </c>
      <c r="H129">
        <v>4</v>
      </c>
      <c r="I129">
        <v>48.134500000000003</v>
      </c>
      <c r="J129">
        <v>20.2</v>
      </c>
      <c r="N129">
        <v>2.3910000000000001E-2</v>
      </c>
      <c r="Q129">
        <v>0.42</v>
      </c>
      <c r="R129">
        <v>0.4</v>
      </c>
    </row>
    <row r="130" spans="1:19" x14ac:dyDescent="0.2">
      <c r="A130" t="s">
        <v>277</v>
      </c>
      <c r="B130" t="s">
        <v>281</v>
      </c>
      <c r="C130">
        <v>2017</v>
      </c>
      <c r="D130">
        <v>0</v>
      </c>
      <c r="E130" t="s">
        <v>21</v>
      </c>
      <c r="F130" t="s">
        <v>22</v>
      </c>
      <c r="G130" t="s">
        <v>138</v>
      </c>
      <c r="H130">
        <v>4</v>
      </c>
      <c r="I130">
        <v>13.254300000000001</v>
      </c>
      <c r="J130">
        <v>20.2</v>
      </c>
      <c r="N130">
        <v>1.0319999999999999E-2</v>
      </c>
      <c r="Q130">
        <v>0.42</v>
      </c>
      <c r="R130">
        <v>0.4</v>
      </c>
    </row>
    <row r="131" spans="1:19" x14ac:dyDescent="0.2">
      <c r="A131" t="s">
        <v>282</v>
      </c>
      <c r="B131" t="s">
        <v>283</v>
      </c>
      <c r="C131">
        <v>2017</v>
      </c>
      <c r="D131">
        <v>0</v>
      </c>
      <c r="E131" t="s">
        <v>21</v>
      </c>
      <c r="F131" t="s">
        <v>22</v>
      </c>
      <c r="G131" t="s">
        <v>138</v>
      </c>
      <c r="H131">
        <v>2</v>
      </c>
      <c r="I131">
        <v>5.3635999999999999</v>
      </c>
      <c r="J131">
        <v>5.32</v>
      </c>
      <c r="N131">
        <v>6.3600000000000002E-3</v>
      </c>
      <c r="Q131">
        <v>0.16</v>
      </c>
      <c r="R131">
        <v>0.12</v>
      </c>
    </row>
    <row r="132" spans="1:19" x14ac:dyDescent="0.2">
      <c r="A132" t="s">
        <v>282</v>
      </c>
      <c r="B132" t="s">
        <v>284</v>
      </c>
      <c r="C132">
        <v>2017</v>
      </c>
      <c r="D132">
        <v>0</v>
      </c>
      <c r="E132" t="s">
        <v>21</v>
      </c>
      <c r="F132" t="s">
        <v>22</v>
      </c>
      <c r="G132" t="s">
        <v>138</v>
      </c>
      <c r="H132">
        <v>2</v>
      </c>
      <c r="I132">
        <v>40.54</v>
      </c>
      <c r="J132">
        <v>5.32</v>
      </c>
      <c r="N132">
        <v>7.2700000000000004E-3</v>
      </c>
      <c r="Q132">
        <v>0.16</v>
      </c>
      <c r="R132">
        <v>0.12</v>
      </c>
    </row>
    <row r="133" spans="1:19" x14ac:dyDescent="0.2">
      <c r="A133" t="s">
        <v>285</v>
      </c>
      <c r="B133" t="s">
        <v>286</v>
      </c>
      <c r="C133">
        <v>2015</v>
      </c>
      <c r="D133">
        <v>0</v>
      </c>
      <c r="E133" t="s">
        <v>21</v>
      </c>
      <c r="F133" t="s">
        <v>22</v>
      </c>
      <c r="G133" t="s">
        <v>138</v>
      </c>
      <c r="H133">
        <v>1</v>
      </c>
      <c r="I133">
        <v>14.207000000000001</v>
      </c>
      <c r="J133">
        <v>23.16</v>
      </c>
      <c r="N133">
        <v>2.0799999999999999E-2</v>
      </c>
      <c r="Q133">
        <v>0.47</v>
      </c>
      <c r="R133">
        <v>0.44</v>
      </c>
    </row>
    <row r="134" spans="1:19" x14ac:dyDescent="0.2">
      <c r="A134" t="s">
        <v>287</v>
      </c>
      <c r="B134" t="s">
        <v>288</v>
      </c>
      <c r="C134">
        <v>2012</v>
      </c>
      <c r="D134">
        <v>0</v>
      </c>
      <c r="E134" t="s">
        <v>21</v>
      </c>
      <c r="F134" t="s">
        <v>22</v>
      </c>
      <c r="G134" t="s">
        <v>138</v>
      </c>
      <c r="H134">
        <v>1</v>
      </c>
      <c r="I134">
        <v>3.3366495999999999</v>
      </c>
      <c r="J134">
        <v>25.2</v>
      </c>
      <c r="L134">
        <v>13.9</v>
      </c>
      <c r="M134">
        <v>4.57</v>
      </c>
      <c r="N134">
        <v>4.3729999999999998E-2</v>
      </c>
      <c r="O134">
        <v>0.40799999999999997</v>
      </c>
      <c r="P134">
        <v>0.8</v>
      </c>
      <c r="Q134">
        <v>0.54</v>
      </c>
      <c r="R134">
        <v>0.55000000000000004</v>
      </c>
      <c r="S134">
        <v>3.3</v>
      </c>
    </row>
    <row r="135" spans="1:19" x14ac:dyDescent="0.2">
      <c r="A135" t="s">
        <v>289</v>
      </c>
      <c r="B135" t="s">
        <v>290</v>
      </c>
      <c r="C135">
        <v>2010</v>
      </c>
      <c r="D135">
        <v>0</v>
      </c>
      <c r="E135" t="s">
        <v>21</v>
      </c>
      <c r="F135" t="s">
        <v>22</v>
      </c>
      <c r="G135" t="s">
        <v>138</v>
      </c>
      <c r="H135">
        <v>1</v>
      </c>
      <c r="I135">
        <v>2.64561</v>
      </c>
      <c r="J135">
        <v>19.8</v>
      </c>
      <c r="K135">
        <v>5</v>
      </c>
      <c r="L135">
        <v>8.4</v>
      </c>
      <c r="N135">
        <v>2.5999999999999999E-2</v>
      </c>
      <c r="Q135">
        <v>0.45</v>
      </c>
      <c r="R135">
        <v>0.43</v>
      </c>
    </row>
    <row r="136" spans="1:19" x14ac:dyDescent="0.2">
      <c r="A136" t="s">
        <v>291</v>
      </c>
      <c r="B136" t="s">
        <v>292</v>
      </c>
      <c r="C136">
        <v>2018</v>
      </c>
      <c r="D136">
        <v>0</v>
      </c>
      <c r="E136" t="s">
        <v>21</v>
      </c>
      <c r="F136" t="s">
        <v>22</v>
      </c>
      <c r="G136" t="s">
        <v>248</v>
      </c>
      <c r="H136">
        <v>1</v>
      </c>
      <c r="I136">
        <v>3.0232000000000001</v>
      </c>
      <c r="J136">
        <v>13.75</v>
      </c>
      <c r="N136">
        <v>2.5170000000000001E-2</v>
      </c>
      <c r="Q136">
        <v>0.27</v>
      </c>
      <c r="R136">
        <v>0.28000000000000003</v>
      </c>
    </row>
    <row r="137" spans="1:19" x14ac:dyDescent="0.2">
      <c r="A137" t="s">
        <v>293</v>
      </c>
      <c r="B137" t="s">
        <v>294</v>
      </c>
      <c r="C137">
        <v>2017</v>
      </c>
      <c r="D137">
        <v>0</v>
      </c>
      <c r="E137" t="s">
        <v>21</v>
      </c>
      <c r="F137" t="s">
        <v>22</v>
      </c>
      <c r="G137" t="s">
        <v>118</v>
      </c>
      <c r="H137">
        <v>1</v>
      </c>
      <c r="I137">
        <v>6.9050000000000002</v>
      </c>
      <c r="J137">
        <v>16.940000000000001</v>
      </c>
      <c r="N137">
        <v>2.2460000000000001E-2</v>
      </c>
      <c r="Q137">
        <v>0.63</v>
      </c>
      <c r="R137">
        <v>0.61</v>
      </c>
    </row>
    <row r="138" spans="1:19" x14ac:dyDescent="0.2">
      <c r="A138" t="s">
        <v>295</v>
      </c>
      <c r="B138" t="s">
        <v>296</v>
      </c>
      <c r="C138">
        <v>2016</v>
      </c>
      <c r="D138">
        <v>0</v>
      </c>
      <c r="E138" t="s">
        <v>21</v>
      </c>
      <c r="F138" t="s">
        <v>22</v>
      </c>
      <c r="G138" t="s">
        <v>118</v>
      </c>
      <c r="H138">
        <v>2</v>
      </c>
      <c r="I138">
        <v>2.6497700000000002</v>
      </c>
      <c r="J138">
        <v>17.79</v>
      </c>
      <c r="N138">
        <v>7.77E-3</v>
      </c>
      <c r="Q138">
        <v>0.5</v>
      </c>
      <c r="R138">
        <v>0.49</v>
      </c>
    </row>
    <row r="139" spans="1:19" x14ac:dyDescent="0.2">
      <c r="A139" t="s">
        <v>295</v>
      </c>
      <c r="B139" t="s">
        <v>297</v>
      </c>
      <c r="C139">
        <v>2016</v>
      </c>
      <c r="D139">
        <v>0</v>
      </c>
      <c r="E139" t="s">
        <v>21</v>
      </c>
      <c r="F139" t="s">
        <v>22</v>
      </c>
      <c r="G139" t="s">
        <v>118</v>
      </c>
      <c r="H139">
        <v>2</v>
      </c>
      <c r="I139">
        <v>13.74</v>
      </c>
      <c r="J139">
        <v>17.79</v>
      </c>
      <c r="N139">
        <v>1.9699999999999999E-2</v>
      </c>
      <c r="Q139">
        <v>0.5</v>
      </c>
      <c r="R139">
        <v>0.49</v>
      </c>
    </row>
    <row r="140" spans="1:19" x14ac:dyDescent="0.2">
      <c r="A140" t="s">
        <v>298</v>
      </c>
      <c r="B140" t="s">
        <v>299</v>
      </c>
      <c r="C140">
        <v>2019</v>
      </c>
      <c r="D140">
        <v>0</v>
      </c>
      <c r="E140" t="s">
        <v>21</v>
      </c>
      <c r="F140" t="s">
        <v>22</v>
      </c>
      <c r="G140" t="s">
        <v>82</v>
      </c>
      <c r="H140">
        <v>1</v>
      </c>
      <c r="I140">
        <v>12.953200000000001</v>
      </c>
      <c r="J140">
        <v>2.5499999999999998</v>
      </c>
      <c r="N140">
        <v>9.41E-3</v>
      </c>
      <c r="Q140">
        <v>0.39</v>
      </c>
      <c r="R140">
        <v>0.39</v>
      </c>
    </row>
    <row r="141" spans="1:19" x14ac:dyDescent="0.2">
      <c r="A141" t="s">
        <v>300</v>
      </c>
      <c r="B141" t="s">
        <v>301</v>
      </c>
      <c r="C141">
        <v>2019</v>
      </c>
      <c r="D141">
        <v>0</v>
      </c>
      <c r="E141" t="s">
        <v>21</v>
      </c>
      <c r="F141" t="s">
        <v>22</v>
      </c>
      <c r="G141" t="s">
        <v>248</v>
      </c>
      <c r="H141">
        <v>1</v>
      </c>
      <c r="I141">
        <v>13.352</v>
      </c>
      <c r="J141">
        <v>21.35</v>
      </c>
      <c r="K141">
        <v>6.9</v>
      </c>
      <c r="N141">
        <v>5.2130000000000003E-2</v>
      </c>
      <c r="Q141">
        <v>0.41</v>
      </c>
      <c r="R141">
        <v>0.41</v>
      </c>
    </row>
    <row r="142" spans="1:19" x14ac:dyDescent="0.2">
      <c r="A142" t="s">
        <v>302</v>
      </c>
      <c r="B142" t="s">
        <v>303</v>
      </c>
      <c r="C142">
        <v>2011</v>
      </c>
      <c r="D142">
        <v>0</v>
      </c>
      <c r="E142" t="s">
        <v>21</v>
      </c>
      <c r="F142" t="s">
        <v>22</v>
      </c>
      <c r="G142" t="s">
        <v>138</v>
      </c>
      <c r="H142">
        <v>1</v>
      </c>
      <c r="I142">
        <v>7.3708999999999998</v>
      </c>
      <c r="J142">
        <v>9.07</v>
      </c>
      <c r="N142">
        <v>0.02</v>
      </c>
      <c r="Q142">
        <v>0.59</v>
      </c>
      <c r="R142">
        <v>0.5</v>
      </c>
    </row>
    <row r="143" spans="1:19" x14ac:dyDescent="0.2">
      <c r="A143" t="s">
        <v>304</v>
      </c>
      <c r="B143" t="s">
        <v>305</v>
      </c>
      <c r="C143">
        <v>2004</v>
      </c>
      <c r="D143">
        <v>0</v>
      </c>
      <c r="E143" t="s">
        <v>21</v>
      </c>
      <c r="F143" t="s">
        <v>22</v>
      </c>
      <c r="G143" t="s">
        <v>32</v>
      </c>
      <c r="H143">
        <v>1</v>
      </c>
      <c r="I143">
        <v>2.6438831199999999</v>
      </c>
      <c r="J143">
        <v>9.76</v>
      </c>
      <c r="L143">
        <v>22.1</v>
      </c>
      <c r="M143">
        <v>4.17</v>
      </c>
      <c r="N143">
        <v>7.0000000000000007E-2</v>
      </c>
      <c r="O143">
        <v>0.372</v>
      </c>
      <c r="P143">
        <v>1.8</v>
      </c>
      <c r="Q143">
        <v>0.47</v>
      </c>
      <c r="R143">
        <v>0.46</v>
      </c>
      <c r="S143">
        <v>7</v>
      </c>
    </row>
    <row r="144" spans="1:19" x14ac:dyDescent="0.2">
      <c r="A144" t="s">
        <v>306</v>
      </c>
      <c r="B144" t="s">
        <v>307</v>
      </c>
      <c r="C144">
        <v>2013</v>
      </c>
      <c r="D144">
        <v>0</v>
      </c>
      <c r="E144" t="s">
        <v>21</v>
      </c>
      <c r="F144" t="s">
        <v>40</v>
      </c>
      <c r="G144" t="s">
        <v>224</v>
      </c>
      <c r="H144">
        <v>1</v>
      </c>
      <c r="J144">
        <v>17.54</v>
      </c>
      <c r="K144">
        <v>0.16</v>
      </c>
      <c r="L144">
        <v>1271.3</v>
      </c>
      <c r="N144">
        <v>4</v>
      </c>
      <c r="Q144">
        <v>1.22</v>
      </c>
    </row>
    <row r="145" spans="1:18" x14ac:dyDescent="0.2">
      <c r="A145" t="s">
        <v>308</v>
      </c>
      <c r="B145" t="s">
        <v>309</v>
      </c>
      <c r="C145">
        <v>2016</v>
      </c>
      <c r="D145">
        <v>0</v>
      </c>
      <c r="E145" t="s">
        <v>21</v>
      </c>
      <c r="F145" t="s">
        <v>22</v>
      </c>
      <c r="G145" t="s">
        <v>138</v>
      </c>
      <c r="H145">
        <v>1</v>
      </c>
      <c r="I145">
        <v>8.7075999999999993</v>
      </c>
      <c r="J145">
        <v>10.029999999999999</v>
      </c>
      <c r="N145">
        <v>1.686E-2</v>
      </c>
      <c r="Q145">
        <v>0.52</v>
      </c>
      <c r="R145">
        <v>0.5</v>
      </c>
    </row>
    <row r="146" spans="1:18" x14ac:dyDescent="0.2">
      <c r="A146" t="s">
        <v>310</v>
      </c>
      <c r="B146" t="s">
        <v>311</v>
      </c>
      <c r="C146">
        <v>2005</v>
      </c>
      <c r="D146">
        <v>0</v>
      </c>
      <c r="E146" t="s">
        <v>21</v>
      </c>
      <c r="F146" t="s">
        <v>22</v>
      </c>
      <c r="G146" t="s">
        <v>138</v>
      </c>
      <c r="H146">
        <v>3</v>
      </c>
      <c r="I146">
        <v>5.3685999999999998</v>
      </c>
      <c r="J146">
        <v>6.3</v>
      </c>
      <c r="K146">
        <v>2</v>
      </c>
      <c r="N146">
        <v>4.9700000000000001E-2</v>
      </c>
      <c r="Q146">
        <v>0.31</v>
      </c>
      <c r="R146">
        <v>0.28999999999999998</v>
      </c>
    </row>
    <row r="147" spans="1:18" x14ac:dyDescent="0.2">
      <c r="A147" t="s">
        <v>310</v>
      </c>
      <c r="B147" t="s">
        <v>312</v>
      </c>
      <c r="C147">
        <v>2007</v>
      </c>
      <c r="D147">
        <v>0</v>
      </c>
      <c r="E147" t="s">
        <v>21</v>
      </c>
      <c r="F147" t="s">
        <v>22</v>
      </c>
      <c r="G147" t="s">
        <v>138</v>
      </c>
      <c r="H147">
        <v>3</v>
      </c>
      <c r="I147">
        <v>12.914</v>
      </c>
      <c r="J147">
        <v>6.3</v>
      </c>
      <c r="K147">
        <v>2</v>
      </c>
      <c r="N147">
        <v>1.7299999999999999E-2</v>
      </c>
      <c r="Q147">
        <v>0.31</v>
      </c>
      <c r="R147">
        <v>0.28999999999999998</v>
      </c>
    </row>
    <row r="148" spans="1:18" x14ac:dyDescent="0.2">
      <c r="A148" t="s">
        <v>310</v>
      </c>
      <c r="B148" t="s">
        <v>313</v>
      </c>
      <c r="C148">
        <v>2009</v>
      </c>
      <c r="D148">
        <v>0</v>
      </c>
      <c r="E148" t="s">
        <v>21</v>
      </c>
      <c r="F148" t="s">
        <v>22</v>
      </c>
      <c r="G148" t="s">
        <v>138</v>
      </c>
      <c r="H148">
        <v>3</v>
      </c>
      <c r="I148">
        <v>3.149</v>
      </c>
      <c r="J148">
        <v>6.3</v>
      </c>
      <c r="K148">
        <v>2</v>
      </c>
      <c r="N148">
        <v>5.3E-3</v>
      </c>
      <c r="Q148">
        <v>0.31</v>
      </c>
      <c r="R148">
        <v>0.28999999999999998</v>
      </c>
    </row>
    <row r="149" spans="1:18" x14ac:dyDescent="0.2">
      <c r="A149" t="s">
        <v>314</v>
      </c>
      <c r="B149" t="s">
        <v>315</v>
      </c>
      <c r="C149">
        <v>2017</v>
      </c>
      <c r="D149">
        <v>0</v>
      </c>
      <c r="E149" t="s">
        <v>21</v>
      </c>
      <c r="F149" t="s">
        <v>22</v>
      </c>
      <c r="G149" t="s">
        <v>35</v>
      </c>
      <c r="H149">
        <v>1</v>
      </c>
      <c r="I149">
        <v>14.628</v>
      </c>
      <c r="J149">
        <v>6.49</v>
      </c>
      <c r="N149">
        <v>8.8699999999999994E-3</v>
      </c>
      <c r="Q149">
        <v>0.3</v>
      </c>
      <c r="R149">
        <v>0.31</v>
      </c>
    </row>
    <row r="150" spans="1:18" x14ac:dyDescent="0.2">
      <c r="A150" t="s">
        <v>316</v>
      </c>
      <c r="B150" t="s">
        <v>317</v>
      </c>
      <c r="C150">
        <v>2009</v>
      </c>
      <c r="D150">
        <v>0</v>
      </c>
      <c r="E150" t="s">
        <v>21</v>
      </c>
      <c r="F150" t="s">
        <v>22</v>
      </c>
      <c r="G150" t="s">
        <v>32</v>
      </c>
      <c r="H150">
        <v>1</v>
      </c>
      <c r="I150">
        <v>598.29999999999995</v>
      </c>
      <c r="J150">
        <v>10.38</v>
      </c>
      <c r="N150">
        <v>0.32800000000000001</v>
      </c>
      <c r="Q150">
        <v>0.54</v>
      </c>
    </row>
    <row r="151" spans="1:18" x14ac:dyDescent="0.2">
      <c r="A151" t="s">
        <v>318</v>
      </c>
      <c r="B151" t="s">
        <v>319</v>
      </c>
      <c r="C151">
        <v>2011</v>
      </c>
      <c r="D151">
        <v>0</v>
      </c>
      <c r="E151" t="s">
        <v>21</v>
      </c>
      <c r="F151" t="s">
        <v>22</v>
      </c>
      <c r="G151" t="s">
        <v>138</v>
      </c>
      <c r="H151">
        <v>5</v>
      </c>
      <c r="I151">
        <v>7.2004000000000001</v>
      </c>
      <c r="J151">
        <v>6.8</v>
      </c>
      <c r="K151">
        <v>2</v>
      </c>
      <c r="N151">
        <v>1.7999999999999999E-2</v>
      </c>
      <c r="Q151">
        <v>0.33</v>
      </c>
    </row>
    <row r="152" spans="1:18" x14ac:dyDescent="0.2">
      <c r="A152" t="s">
        <v>318</v>
      </c>
      <c r="B152" t="s">
        <v>320</v>
      </c>
      <c r="C152">
        <v>2011</v>
      </c>
      <c r="D152">
        <v>0</v>
      </c>
      <c r="E152" t="s">
        <v>21</v>
      </c>
      <c r="F152" t="s">
        <v>22</v>
      </c>
      <c r="G152" t="s">
        <v>138</v>
      </c>
      <c r="H152">
        <v>5</v>
      </c>
      <c r="I152">
        <v>28.14</v>
      </c>
      <c r="J152">
        <v>6.8</v>
      </c>
      <c r="K152">
        <v>2</v>
      </c>
      <c r="N152">
        <v>1.2E-2</v>
      </c>
      <c r="Q152">
        <v>0.33</v>
      </c>
    </row>
    <row r="153" spans="1:18" x14ac:dyDescent="0.2">
      <c r="A153" t="s">
        <v>318</v>
      </c>
      <c r="B153" t="s">
        <v>321</v>
      </c>
      <c r="C153">
        <v>2013</v>
      </c>
      <c r="D153">
        <v>0</v>
      </c>
      <c r="E153" t="s">
        <v>21</v>
      </c>
      <c r="F153" t="s">
        <v>22</v>
      </c>
      <c r="G153" t="s">
        <v>138</v>
      </c>
      <c r="H153">
        <v>5</v>
      </c>
      <c r="I153">
        <v>62.24</v>
      </c>
      <c r="J153">
        <v>6.8</v>
      </c>
      <c r="K153">
        <v>2</v>
      </c>
      <c r="N153">
        <v>8.0000000000000002E-3</v>
      </c>
      <c r="Q153">
        <v>0.33</v>
      </c>
    </row>
    <row r="154" spans="1:18" x14ac:dyDescent="0.2">
      <c r="A154" t="s">
        <v>318</v>
      </c>
      <c r="B154" t="s">
        <v>322</v>
      </c>
      <c r="C154">
        <v>2013</v>
      </c>
      <c r="D154">
        <v>0</v>
      </c>
      <c r="E154" t="s">
        <v>21</v>
      </c>
      <c r="F154" t="s">
        <v>22</v>
      </c>
      <c r="G154" t="s">
        <v>138</v>
      </c>
      <c r="H154">
        <v>5</v>
      </c>
      <c r="I154">
        <v>39.026000000000003</v>
      </c>
      <c r="J154">
        <v>6.8</v>
      </c>
      <c r="K154">
        <v>2</v>
      </c>
      <c r="N154">
        <v>8.0000000000000002E-3</v>
      </c>
      <c r="Q154">
        <v>0.33</v>
      </c>
    </row>
    <row r="155" spans="1:18" x14ac:dyDescent="0.2">
      <c r="A155" t="s">
        <v>318</v>
      </c>
      <c r="B155" t="s">
        <v>323</v>
      </c>
      <c r="C155">
        <v>2013</v>
      </c>
      <c r="D155">
        <v>0</v>
      </c>
      <c r="E155" t="s">
        <v>21</v>
      </c>
      <c r="F155" t="s">
        <v>22</v>
      </c>
      <c r="G155" t="s">
        <v>138</v>
      </c>
      <c r="H155">
        <v>5</v>
      </c>
      <c r="I155">
        <v>256.2</v>
      </c>
      <c r="J155">
        <v>6.8</v>
      </c>
      <c r="K155">
        <v>2</v>
      </c>
      <c r="N155">
        <v>1.4E-2</v>
      </c>
      <c r="Q155">
        <v>0.33</v>
      </c>
    </row>
    <row r="156" spans="1:18" x14ac:dyDescent="0.2">
      <c r="A156" t="s">
        <v>324</v>
      </c>
      <c r="B156" t="s">
        <v>325</v>
      </c>
      <c r="C156">
        <v>2007</v>
      </c>
      <c r="D156">
        <v>0</v>
      </c>
      <c r="E156" t="s">
        <v>21</v>
      </c>
      <c r="F156" t="s">
        <v>22</v>
      </c>
      <c r="G156" t="s">
        <v>138</v>
      </c>
      <c r="H156">
        <v>1</v>
      </c>
      <c r="I156">
        <v>4.6938000000000004</v>
      </c>
      <c r="J156">
        <v>4.55</v>
      </c>
      <c r="K156">
        <v>0.55000000000000004</v>
      </c>
      <c r="N156">
        <v>3.5000000000000003E-2</v>
      </c>
      <c r="Q156">
        <v>0.35</v>
      </c>
    </row>
    <row r="157" spans="1:18" x14ac:dyDescent="0.2">
      <c r="A157" t="s">
        <v>326</v>
      </c>
      <c r="B157" t="s">
        <v>327</v>
      </c>
      <c r="C157">
        <v>2010</v>
      </c>
      <c r="D157">
        <v>0</v>
      </c>
      <c r="E157" t="s">
        <v>21</v>
      </c>
      <c r="F157" t="s">
        <v>22</v>
      </c>
      <c r="G157" t="s">
        <v>138</v>
      </c>
      <c r="H157">
        <v>4</v>
      </c>
      <c r="I157">
        <v>1056.8000500000001</v>
      </c>
      <c r="J157">
        <v>16.899999999999999</v>
      </c>
      <c r="N157">
        <v>4.96</v>
      </c>
      <c r="Q157">
        <v>0.73</v>
      </c>
      <c r="R157">
        <v>0.69</v>
      </c>
    </row>
    <row r="158" spans="1:18" x14ac:dyDescent="0.2">
      <c r="A158" t="s">
        <v>326</v>
      </c>
      <c r="B158" t="s">
        <v>328</v>
      </c>
      <c r="C158">
        <v>2016</v>
      </c>
      <c r="D158">
        <v>0</v>
      </c>
      <c r="E158" t="s">
        <v>21</v>
      </c>
      <c r="F158" t="s">
        <v>22</v>
      </c>
      <c r="G158" t="s">
        <v>59</v>
      </c>
      <c r="H158">
        <v>4</v>
      </c>
      <c r="I158">
        <v>7337</v>
      </c>
      <c r="J158">
        <v>16.899999999999999</v>
      </c>
      <c r="N158">
        <v>6.8</v>
      </c>
      <c r="Q158">
        <v>0.73</v>
      </c>
      <c r="R158">
        <v>0.69</v>
      </c>
    </row>
    <row r="159" spans="1:18" x14ac:dyDescent="0.2">
      <c r="A159" t="s">
        <v>326</v>
      </c>
      <c r="B159" t="s">
        <v>329</v>
      </c>
      <c r="C159">
        <v>2012</v>
      </c>
      <c r="D159">
        <v>0</v>
      </c>
      <c r="E159" t="s">
        <v>21</v>
      </c>
      <c r="F159" t="s">
        <v>22</v>
      </c>
      <c r="G159" t="s">
        <v>138</v>
      </c>
      <c r="H159">
        <v>4</v>
      </c>
      <c r="I159">
        <v>3.6004999999999998</v>
      </c>
      <c r="J159">
        <v>16.899999999999999</v>
      </c>
      <c r="N159">
        <v>1.4E-2</v>
      </c>
      <c r="Q159">
        <v>0.73</v>
      </c>
      <c r="R159">
        <v>0.69</v>
      </c>
    </row>
    <row r="160" spans="1:18" x14ac:dyDescent="0.2">
      <c r="A160" t="s">
        <v>326</v>
      </c>
      <c r="B160" t="s">
        <v>330</v>
      </c>
      <c r="C160">
        <v>2012</v>
      </c>
      <c r="D160">
        <v>0</v>
      </c>
      <c r="E160" t="s">
        <v>21</v>
      </c>
      <c r="F160" t="s">
        <v>22</v>
      </c>
      <c r="G160" t="s">
        <v>138</v>
      </c>
      <c r="H160">
        <v>4</v>
      </c>
      <c r="I160">
        <v>35.39</v>
      </c>
      <c r="J160">
        <v>16.899999999999999</v>
      </c>
      <c r="N160">
        <v>2.5000000000000001E-2</v>
      </c>
      <c r="Q160">
        <v>0.73</v>
      </c>
      <c r="R160">
        <v>0.69</v>
      </c>
    </row>
    <row r="161" spans="1:19" x14ac:dyDescent="0.2">
      <c r="A161" t="s">
        <v>331</v>
      </c>
      <c r="B161" t="s">
        <v>332</v>
      </c>
      <c r="C161">
        <v>2019</v>
      </c>
      <c r="D161">
        <v>0</v>
      </c>
      <c r="E161" t="s">
        <v>21</v>
      </c>
      <c r="F161" t="s">
        <v>22</v>
      </c>
      <c r="G161" t="s">
        <v>333</v>
      </c>
      <c r="H161">
        <v>1</v>
      </c>
      <c r="I161">
        <v>24.16</v>
      </c>
      <c r="J161">
        <v>14.32</v>
      </c>
      <c r="N161">
        <v>2.8320000000000001E-2</v>
      </c>
      <c r="Q161">
        <v>0.55000000000000004</v>
      </c>
      <c r="R161">
        <v>0.54</v>
      </c>
    </row>
    <row r="162" spans="1:19" x14ac:dyDescent="0.2">
      <c r="A162" t="s">
        <v>334</v>
      </c>
      <c r="B162" t="s">
        <v>335</v>
      </c>
      <c r="C162">
        <v>2014</v>
      </c>
      <c r="D162">
        <v>0</v>
      </c>
      <c r="E162" t="s">
        <v>21</v>
      </c>
      <c r="F162" t="s">
        <v>22</v>
      </c>
      <c r="G162" t="s">
        <v>46</v>
      </c>
      <c r="H162">
        <v>1</v>
      </c>
      <c r="I162">
        <v>38.14</v>
      </c>
      <c r="J162">
        <v>4.55</v>
      </c>
      <c r="N162">
        <v>0.06</v>
      </c>
      <c r="Q162">
        <v>0.45</v>
      </c>
      <c r="R162">
        <v>0.43</v>
      </c>
    </row>
    <row r="163" spans="1:19" x14ac:dyDescent="0.2">
      <c r="A163" t="s">
        <v>336</v>
      </c>
      <c r="B163" t="s">
        <v>337</v>
      </c>
      <c r="C163">
        <v>2008</v>
      </c>
      <c r="D163">
        <v>0</v>
      </c>
      <c r="E163" t="s">
        <v>21</v>
      </c>
      <c r="F163" t="s">
        <v>22</v>
      </c>
      <c r="G163" t="s">
        <v>98</v>
      </c>
      <c r="H163">
        <v>2</v>
      </c>
      <c r="I163">
        <v>3657</v>
      </c>
      <c r="J163">
        <v>4.97</v>
      </c>
      <c r="N163">
        <v>0.68</v>
      </c>
      <c r="Q163">
        <v>0.45</v>
      </c>
    </row>
    <row r="164" spans="1:19" x14ac:dyDescent="0.2">
      <c r="A164" t="s">
        <v>336</v>
      </c>
      <c r="B164" t="s">
        <v>338</v>
      </c>
      <c r="C164">
        <v>2014</v>
      </c>
      <c r="D164">
        <v>0</v>
      </c>
      <c r="E164" t="s">
        <v>21</v>
      </c>
      <c r="F164" t="s">
        <v>22</v>
      </c>
      <c r="G164" t="s">
        <v>35</v>
      </c>
      <c r="H164">
        <v>2</v>
      </c>
      <c r="I164">
        <v>35.68</v>
      </c>
      <c r="J164">
        <v>4.97</v>
      </c>
      <c r="N164">
        <v>1.7000000000000001E-2</v>
      </c>
      <c r="Q164">
        <v>0.45</v>
      </c>
    </row>
    <row r="165" spans="1:19" x14ac:dyDescent="0.2">
      <c r="A165" t="s">
        <v>339</v>
      </c>
      <c r="B165" t="s">
        <v>340</v>
      </c>
      <c r="C165">
        <v>2006</v>
      </c>
      <c r="D165">
        <v>0</v>
      </c>
      <c r="E165" t="s">
        <v>21</v>
      </c>
      <c r="F165" t="s">
        <v>22</v>
      </c>
      <c r="G165" t="s">
        <v>32</v>
      </c>
      <c r="H165">
        <v>1</v>
      </c>
      <c r="I165">
        <v>1882</v>
      </c>
      <c r="J165">
        <v>8.8000000000000007</v>
      </c>
      <c r="N165">
        <v>1</v>
      </c>
      <c r="Q165">
        <v>0.65</v>
      </c>
      <c r="R165">
        <v>0.53</v>
      </c>
    </row>
    <row r="166" spans="1:19" x14ac:dyDescent="0.2">
      <c r="A166" t="s">
        <v>341</v>
      </c>
      <c r="B166" t="s">
        <v>342</v>
      </c>
      <c r="C166">
        <v>1999</v>
      </c>
      <c r="D166">
        <v>0</v>
      </c>
      <c r="E166" t="s">
        <v>21</v>
      </c>
      <c r="F166" t="s">
        <v>22</v>
      </c>
      <c r="G166" t="s">
        <v>138</v>
      </c>
      <c r="H166">
        <v>1</v>
      </c>
      <c r="I166">
        <v>15.76491</v>
      </c>
      <c r="J166">
        <v>10.79</v>
      </c>
      <c r="N166">
        <v>4.42</v>
      </c>
      <c r="Q166">
        <v>0.93</v>
      </c>
      <c r="R166">
        <v>0.77</v>
      </c>
    </row>
    <row r="167" spans="1:19" x14ac:dyDescent="0.2">
      <c r="A167" t="s">
        <v>343</v>
      </c>
      <c r="B167" t="s">
        <v>344</v>
      </c>
      <c r="C167">
        <v>1998</v>
      </c>
      <c r="D167">
        <v>0</v>
      </c>
      <c r="E167" t="s">
        <v>21</v>
      </c>
      <c r="F167" t="s">
        <v>22</v>
      </c>
      <c r="G167" t="s">
        <v>35</v>
      </c>
      <c r="H167">
        <v>4</v>
      </c>
      <c r="I167">
        <v>61.116599999999998</v>
      </c>
      <c r="J167">
        <v>4.68</v>
      </c>
      <c r="K167">
        <v>1</v>
      </c>
      <c r="L167">
        <v>723.22349999999994</v>
      </c>
      <c r="N167">
        <v>2.2755999999999998</v>
      </c>
      <c r="Q167">
        <v>0.32</v>
      </c>
      <c r="R167">
        <v>0.3</v>
      </c>
    </row>
    <row r="168" spans="1:19" x14ac:dyDescent="0.2">
      <c r="A168" t="s">
        <v>343</v>
      </c>
      <c r="B168" t="s">
        <v>345</v>
      </c>
      <c r="C168">
        <v>2000</v>
      </c>
      <c r="D168">
        <v>0</v>
      </c>
      <c r="E168" t="s">
        <v>21</v>
      </c>
      <c r="F168" t="s">
        <v>22</v>
      </c>
      <c r="G168" t="s">
        <v>35</v>
      </c>
      <c r="H168">
        <v>4</v>
      </c>
      <c r="I168">
        <v>30.088100000000001</v>
      </c>
      <c r="J168">
        <v>4.68</v>
      </c>
      <c r="K168">
        <v>1</v>
      </c>
      <c r="L168">
        <v>226.9846</v>
      </c>
      <c r="N168">
        <v>0.71419999999999995</v>
      </c>
      <c r="Q168">
        <v>0.32</v>
      </c>
      <c r="R168">
        <v>0.3</v>
      </c>
    </row>
    <row r="169" spans="1:19" x14ac:dyDescent="0.2">
      <c r="A169" t="s">
        <v>343</v>
      </c>
      <c r="B169" t="s">
        <v>346</v>
      </c>
      <c r="C169">
        <v>2005</v>
      </c>
      <c r="D169">
        <v>0</v>
      </c>
      <c r="E169" t="s">
        <v>21</v>
      </c>
      <c r="F169" t="s">
        <v>22</v>
      </c>
      <c r="G169" t="s">
        <v>32</v>
      </c>
      <c r="H169">
        <v>4</v>
      </c>
      <c r="I169">
        <v>1.9377800000000001</v>
      </c>
      <c r="J169">
        <v>4.68</v>
      </c>
      <c r="K169">
        <v>1</v>
      </c>
      <c r="L169">
        <v>6.83</v>
      </c>
      <c r="N169">
        <v>2.1000000000000001E-2</v>
      </c>
      <c r="Q169">
        <v>0.32</v>
      </c>
      <c r="R169">
        <v>0.3</v>
      </c>
    </row>
    <row r="170" spans="1:19" x14ac:dyDescent="0.2">
      <c r="A170" t="s">
        <v>343</v>
      </c>
      <c r="B170" t="s">
        <v>347</v>
      </c>
      <c r="C170">
        <v>2010</v>
      </c>
      <c r="D170">
        <v>0</v>
      </c>
      <c r="E170" t="s">
        <v>21</v>
      </c>
      <c r="F170" t="s">
        <v>22</v>
      </c>
      <c r="G170" t="s">
        <v>32</v>
      </c>
      <c r="H170">
        <v>4</v>
      </c>
      <c r="I170">
        <v>124.26</v>
      </c>
      <c r="J170">
        <v>4.68</v>
      </c>
      <c r="K170">
        <v>1</v>
      </c>
      <c r="L170">
        <v>14.6</v>
      </c>
      <c r="N170">
        <v>4.5999999999999999E-2</v>
      </c>
      <c r="Q170">
        <v>0.32</v>
      </c>
      <c r="R170">
        <v>0.3</v>
      </c>
    </row>
    <row r="171" spans="1:19" x14ac:dyDescent="0.2">
      <c r="A171" t="s">
        <v>348</v>
      </c>
      <c r="B171" t="s">
        <v>349</v>
      </c>
      <c r="C171">
        <v>2018</v>
      </c>
      <c r="D171">
        <v>0</v>
      </c>
      <c r="E171" t="s">
        <v>21</v>
      </c>
      <c r="F171" t="s">
        <v>22</v>
      </c>
      <c r="G171" t="s">
        <v>82</v>
      </c>
      <c r="H171">
        <v>1</v>
      </c>
      <c r="I171">
        <v>73.94</v>
      </c>
      <c r="J171">
        <v>11.94</v>
      </c>
      <c r="N171">
        <v>6.1859999999999998E-2</v>
      </c>
      <c r="Q171">
        <v>0.6</v>
      </c>
    </row>
    <row r="172" spans="1:19" x14ac:dyDescent="0.2">
      <c r="A172" t="s">
        <v>350</v>
      </c>
      <c r="B172" t="s">
        <v>351</v>
      </c>
      <c r="C172">
        <v>2017</v>
      </c>
      <c r="D172">
        <v>0</v>
      </c>
      <c r="E172" t="s">
        <v>55</v>
      </c>
      <c r="F172" t="s">
        <v>128</v>
      </c>
      <c r="G172" t="s">
        <v>129</v>
      </c>
      <c r="H172">
        <v>3</v>
      </c>
      <c r="I172">
        <v>1.2089802000000001</v>
      </c>
      <c r="J172">
        <v>30.32</v>
      </c>
      <c r="L172">
        <v>3.42</v>
      </c>
      <c r="M172">
        <v>1.62</v>
      </c>
      <c r="N172">
        <v>1.076E-2</v>
      </c>
      <c r="O172">
        <v>0.14499999999999999</v>
      </c>
      <c r="P172">
        <v>4.5</v>
      </c>
      <c r="Q172">
        <v>0.61</v>
      </c>
      <c r="R172">
        <v>0.61</v>
      </c>
      <c r="S172">
        <v>3.76</v>
      </c>
    </row>
    <row r="173" spans="1:19" x14ac:dyDescent="0.2">
      <c r="A173" t="s">
        <v>350</v>
      </c>
      <c r="B173" t="s">
        <v>352</v>
      </c>
      <c r="C173">
        <v>2017</v>
      </c>
      <c r="D173">
        <v>0</v>
      </c>
      <c r="E173" t="s">
        <v>55</v>
      </c>
      <c r="F173" t="s">
        <v>128</v>
      </c>
      <c r="G173" t="s">
        <v>129</v>
      </c>
      <c r="H173">
        <v>3</v>
      </c>
      <c r="I173">
        <v>3.6480830000000002</v>
      </c>
      <c r="J173">
        <v>30.32</v>
      </c>
      <c r="L173">
        <v>2.42</v>
      </c>
      <c r="M173">
        <v>1.2689999999999999</v>
      </c>
      <c r="N173">
        <v>7.6099999999999996E-3</v>
      </c>
      <c r="O173">
        <v>0.113</v>
      </c>
      <c r="P173">
        <v>6.4</v>
      </c>
      <c r="Q173">
        <v>0.61</v>
      </c>
      <c r="R173">
        <v>0.61</v>
      </c>
      <c r="S173">
        <v>3.76</v>
      </c>
    </row>
    <row r="174" spans="1:19" x14ac:dyDescent="0.2">
      <c r="A174" t="s">
        <v>350</v>
      </c>
      <c r="B174" t="s">
        <v>353</v>
      </c>
      <c r="C174">
        <v>2017</v>
      </c>
      <c r="D174">
        <v>0</v>
      </c>
      <c r="E174" t="s">
        <v>55</v>
      </c>
      <c r="F174" t="s">
        <v>128</v>
      </c>
      <c r="G174" t="s">
        <v>129</v>
      </c>
      <c r="H174">
        <v>3</v>
      </c>
      <c r="I174">
        <v>6.2014670000000001</v>
      </c>
      <c r="J174">
        <v>30.32</v>
      </c>
      <c r="L174">
        <v>5.2</v>
      </c>
      <c r="M174">
        <v>2.0699999999999998</v>
      </c>
      <c r="N174">
        <v>1.636E-2</v>
      </c>
      <c r="O174">
        <v>0.185</v>
      </c>
      <c r="P174">
        <v>3.23</v>
      </c>
      <c r="Q174">
        <v>0.61</v>
      </c>
      <c r="R174">
        <v>0.61</v>
      </c>
      <c r="S174">
        <v>3.76</v>
      </c>
    </row>
    <row r="175" spans="1:19" x14ac:dyDescent="0.2">
      <c r="A175" t="s">
        <v>354</v>
      </c>
      <c r="B175" t="s">
        <v>355</v>
      </c>
      <c r="C175">
        <v>2004</v>
      </c>
      <c r="D175">
        <v>0</v>
      </c>
      <c r="E175" t="s">
        <v>21</v>
      </c>
      <c r="F175" t="s">
        <v>40</v>
      </c>
      <c r="G175" t="s">
        <v>59</v>
      </c>
      <c r="H175">
        <v>1</v>
      </c>
      <c r="J175">
        <v>139</v>
      </c>
      <c r="K175">
        <v>1E-3</v>
      </c>
      <c r="L175">
        <v>6356</v>
      </c>
      <c r="M175">
        <v>33.6</v>
      </c>
      <c r="N175">
        <v>20</v>
      </c>
      <c r="O175">
        <v>3</v>
      </c>
      <c r="Q175">
        <v>0.7</v>
      </c>
    </row>
    <row r="176" spans="1:19" x14ac:dyDescent="0.2">
      <c r="A176" t="s">
        <v>356</v>
      </c>
      <c r="B176" t="s">
        <v>357</v>
      </c>
      <c r="C176">
        <v>2010</v>
      </c>
      <c r="D176">
        <v>0</v>
      </c>
      <c r="E176" t="s">
        <v>21</v>
      </c>
      <c r="F176" t="s">
        <v>40</v>
      </c>
      <c r="G176" t="s">
        <v>358</v>
      </c>
      <c r="H176">
        <v>1</v>
      </c>
      <c r="J176">
        <v>145</v>
      </c>
      <c r="K176">
        <v>5.0000000000000001E-3</v>
      </c>
      <c r="L176">
        <v>5000</v>
      </c>
      <c r="N176">
        <v>16</v>
      </c>
      <c r="Q176">
        <v>0.9</v>
      </c>
    </row>
    <row r="177" spans="1:19" x14ac:dyDescent="0.2">
      <c r="A177" t="s">
        <v>359</v>
      </c>
      <c r="B177" t="s">
        <v>360</v>
      </c>
      <c r="C177">
        <v>2014</v>
      </c>
      <c r="D177">
        <v>0</v>
      </c>
      <c r="E177" t="s">
        <v>21</v>
      </c>
      <c r="F177" t="s">
        <v>40</v>
      </c>
      <c r="G177" t="s">
        <v>41</v>
      </c>
      <c r="H177">
        <v>1</v>
      </c>
      <c r="J177">
        <v>48</v>
      </c>
      <c r="K177">
        <v>0.1</v>
      </c>
      <c r="L177">
        <v>3591.3</v>
      </c>
      <c r="M177">
        <v>14.179</v>
      </c>
      <c r="N177">
        <v>11.3</v>
      </c>
      <c r="O177">
        <v>1.2649999999999999</v>
      </c>
      <c r="Q177">
        <v>0.33</v>
      </c>
    </row>
    <row r="178" spans="1:19" x14ac:dyDescent="0.2">
      <c r="A178" t="s">
        <v>361</v>
      </c>
      <c r="B178" t="s">
        <v>362</v>
      </c>
      <c r="C178">
        <v>2019</v>
      </c>
      <c r="D178">
        <v>0</v>
      </c>
      <c r="E178" t="s">
        <v>21</v>
      </c>
      <c r="F178" t="s">
        <v>22</v>
      </c>
      <c r="G178" t="s">
        <v>82</v>
      </c>
      <c r="H178">
        <v>1</v>
      </c>
      <c r="I178">
        <v>3.8220000000000001</v>
      </c>
      <c r="J178">
        <v>14.96</v>
      </c>
      <c r="N178">
        <v>4.0969999999999999E-2</v>
      </c>
      <c r="Q178">
        <v>0.56000000000000005</v>
      </c>
      <c r="R178">
        <v>0.56000000000000005</v>
      </c>
    </row>
    <row r="179" spans="1:19" x14ac:dyDescent="0.2">
      <c r="A179" t="s">
        <v>363</v>
      </c>
      <c r="B179" t="s">
        <v>364</v>
      </c>
      <c r="C179">
        <v>2018</v>
      </c>
      <c r="D179">
        <v>0</v>
      </c>
      <c r="E179" t="s">
        <v>21</v>
      </c>
      <c r="F179" t="s">
        <v>22</v>
      </c>
      <c r="G179" t="s">
        <v>118</v>
      </c>
      <c r="H179">
        <v>1</v>
      </c>
      <c r="I179">
        <v>15.53209</v>
      </c>
      <c r="J179">
        <v>8.16</v>
      </c>
      <c r="N179">
        <v>2.2339999999999999E-2</v>
      </c>
      <c r="Q179">
        <v>0.42</v>
      </c>
      <c r="R179">
        <v>0.42</v>
      </c>
    </row>
    <row r="180" spans="1:19" x14ac:dyDescent="0.2">
      <c r="A180" t="s">
        <v>365</v>
      </c>
      <c r="B180" t="s">
        <v>366</v>
      </c>
      <c r="C180">
        <v>2006</v>
      </c>
      <c r="D180">
        <v>0</v>
      </c>
      <c r="E180" t="s">
        <v>21</v>
      </c>
      <c r="F180" t="s">
        <v>128</v>
      </c>
      <c r="G180" t="s">
        <v>367</v>
      </c>
      <c r="H180">
        <v>1</v>
      </c>
      <c r="I180">
        <v>4.4652997599999997</v>
      </c>
      <c r="J180">
        <v>139</v>
      </c>
      <c r="L180">
        <v>166.86075</v>
      </c>
      <c r="M180">
        <v>14.785</v>
      </c>
      <c r="N180">
        <v>0.52500000000000002</v>
      </c>
      <c r="O180">
        <v>1.319</v>
      </c>
      <c r="P180">
        <v>0.28199999999999997</v>
      </c>
      <c r="Q180">
        <v>1.1499999999999999</v>
      </c>
      <c r="R180">
        <v>1.17</v>
      </c>
      <c r="S180">
        <v>0.90800000000000003</v>
      </c>
    </row>
    <row r="181" spans="1:19" x14ac:dyDescent="0.2">
      <c r="A181" t="s">
        <v>368</v>
      </c>
      <c r="B181" t="s">
        <v>369</v>
      </c>
      <c r="C181">
        <v>2008</v>
      </c>
      <c r="D181">
        <v>1</v>
      </c>
      <c r="E181" t="s">
        <v>21</v>
      </c>
      <c r="F181" t="s">
        <v>128</v>
      </c>
      <c r="G181" t="s">
        <v>367</v>
      </c>
      <c r="H181">
        <v>2</v>
      </c>
      <c r="I181">
        <v>4.8878024399999997</v>
      </c>
      <c r="J181">
        <v>37.81</v>
      </c>
      <c r="K181">
        <v>6.5</v>
      </c>
      <c r="M181">
        <v>4.3600000000000003</v>
      </c>
      <c r="N181">
        <v>7.3620000000000005E-2</v>
      </c>
      <c r="O181">
        <v>0.38900000000000001</v>
      </c>
      <c r="Q181">
        <v>0.81</v>
      </c>
      <c r="R181">
        <v>0.68</v>
      </c>
    </row>
    <row r="182" spans="1:19" x14ac:dyDescent="0.2">
      <c r="A182" t="s">
        <v>368</v>
      </c>
      <c r="B182" t="s">
        <v>370</v>
      </c>
      <c r="C182">
        <v>2018</v>
      </c>
      <c r="D182">
        <v>1</v>
      </c>
      <c r="E182" t="s">
        <v>21</v>
      </c>
      <c r="F182" t="s">
        <v>22</v>
      </c>
      <c r="G182" t="s">
        <v>32</v>
      </c>
      <c r="H182">
        <v>2</v>
      </c>
      <c r="I182">
        <v>3407</v>
      </c>
      <c r="J182">
        <v>37.81</v>
      </c>
      <c r="K182">
        <v>6.5</v>
      </c>
      <c r="N182">
        <v>1.5951900000000001</v>
      </c>
      <c r="Q182">
        <v>0.81</v>
      </c>
      <c r="R182">
        <v>0.68</v>
      </c>
    </row>
    <row r="183" spans="1:19" x14ac:dyDescent="0.2">
      <c r="A183" t="s">
        <v>371</v>
      </c>
      <c r="B183" t="s">
        <v>372</v>
      </c>
      <c r="C183">
        <v>2009</v>
      </c>
      <c r="D183">
        <v>0</v>
      </c>
      <c r="E183" t="s">
        <v>21</v>
      </c>
      <c r="F183" t="s">
        <v>128</v>
      </c>
      <c r="G183" t="s">
        <v>367</v>
      </c>
      <c r="H183">
        <v>1</v>
      </c>
      <c r="I183">
        <v>3.2130597999999999</v>
      </c>
      <c r="J183">
        <v>142.5</v>
      </c>
      <c r="K183">
        <v>2.5</v>
      </c>
      <c r="L183">
        <v>67.058999999999997</v>
      </c>
      <c r="M183">
        <v>10.749000000000001</v>
      </c>
      <c r="N183">
        <v>0.21099999999999999</v>
      </c>
      <c r="O183">
        <v>0.95899999999999996</v>
      </c>
      <c r="P183">
        <v>0.31919999999999998</v>
      </c>
      <c r="Q183">
        <v>0.73</v>
      </c>
      <c r="R183">
        <v>0.7</v>
      </c>
    </row>
    <row r="184" spans="1:19" x14ac:dyDescent="0.2">
      <c r="A184" t="s">
        <v>373</v>
      </c>
      <c r="B184" t="s">
        <v>374</v>
      </c>
      <c r="C184">
        <v>2009</v>
      </c>
      <c r="D184">
        <v>0</v>
      </c>
      <c r="E184" t="s">
        <v>21</v>
      </c>
      <c r="F184" t="s">
        <v>128</v>
      </c>
      <c r="G184" t="s">
        <v>367</v>
      </c>
      <c r="H184">
        <v>2</v>
      </c>
      <c r="I184">
        <v>2.9162499999999998</v>
      </c>
      <c r="J184">
        <v>214</v>
      </c>
      <c r="K184">
        <v>5</v>
      </c>
      <c r="L184">
        <v>270.46199999999999</v>
      </c>
      <c r="M184">
        <v>14.257999999999999</v>
      </c>
      <c r="N184">
        <v>0.85099999999999998</v>
      </c>
      <c r="O184">
        <v>1.272</v>
      </c>
      <c r="Q184">
        <v>1.22</v>
      </c>
      <c r="R184">
        <v>1.56</v>
      </c>
    </row>
    <row r="185" spans="1:19" x14ac:dyDescent="0.2">
      <c r="A185" t="s">
        <v>373</v>
      </c>
      <c r="B185" t="s">
        <v>375</v>
      </c>
      <c r="C185">
        <v>2009</v>
      </c>
      <c r="D185">
        <v>0</v>
      </c>
      <c r="E185" t="s">
        <v>21</v>
      </c>
      <c r="F185" t="s">
        <v>22</v>
      </c>
      <c r="G185" t="s">
        <v>32</v>
      </c>
      <c r="H185">
        <v>2</v>
      </c>
      <c r="I185">
        <v>446.27</v>
      </c>
      <c r="J185">
        <v>214</v>
      </c>
      <c r="K185">
        <v>5</v>
      </c>
      <c r="N185">
        <v>14.28</v>
      </c>
      <c r="Q185">
        <v>1.22</v>
      </c>
      <c r="R185">
        <v>1.56</v>
      </c>
    </row>
    <row r="186" spans="1:19" x14ac:dyDescent="0.2">
      <c r="A186" t="s">
        <v>376</v>
      </c>
      <c r="B186" t="s">
        <v>377</v>
      </c>
      <c r="C186">
        <v>2010</v>
      </c>
      <c r="D186">
        <v>0</v>
      </c>
      <c r="E186" t="s">
        <v>21</v>
      </c>
      <c r="F186" t="s">
        <v>128</v>
      </c>
      <c r="G186" t="s">
        <v>367</v>
      </c>
      <c r="H186">
        <v>1</v>
      </c>
      <c r="I186">
        <v>4.6276700000000002</v>
      </c>
      <c r="J186">
        <v>205</v>
      </c>
      <c r="L186">
        <v>1093.3352</v>
      </c>
      <c r="M186">
        <v>15.917</v>
      </c>
      <c r="N186">
        <v>3.44</v>
      </c>
      <c r="O186">
        <v>1.42</v>
      </c>
      <c r="Q186">
        <v>2.65</v>
      </c>
      <c r="R186">
        <v>1.82</v>
      </c>
      <c r="S186">
        <v>0.62</v>
      </c>
    </row>
    <row r="187" spans="1:19" x14ac:dyDescent="0.2">
      <c r="A187" t="s">
        <v>378</v>
      </c>
      <c r="B187" t="s">
        <v>379</v>
      </c>
      <c r="C187">
        <v>2010</v>
      </c>
      <c r="D187">
        <v>0</v>
      </c>
      <c r="E187" t="s">
        <v>21</v>
      </c>
      <c r="F187" t="s">
        <v>128</v>
      </c>
      <c r="G187" t="s">
        <v>367</v>
      </c>
      <c r="H187">
        <v>1</v>
      </c>
      <c r="I187">
        <v>10.8635</v>
      </c>
      <c r="J187">
        <v>190</v>
      </c>
      <c r="L187">
        <v>616.59019999999998</v>
      </c>
      <c r="M187">
        <v>11.882</v>
      </c>
      <c r="N187">
        <v>1.94</v>
      </c>
      <c r="O187">
        <v>1.06</v>
      </c>
      <c r="Q187">
        <v>1</v>
      </c>
      <c r="R187">
        <v>1.07</v>
      </c>
      <c r="S187">
        <v>1.1399999999999999</v>
      </c>
    </row>
    <row r="188" spans="1:19" x14ac:dyDescent="0.2">
      <c r="A188" t="s">
        <v>380</v>
      </c>
      <c r="B188" t="s">
        <v>381</v>
      </c>
      <c r="C188">
        <v>2010</v>
      </c>
      <c r="D188">
        <v>0</v>
      </c>
      <c r="E188" t="s">
        <v>21</v>
      </c>
      <c r="F188" t="s">
        <v>128</v>
      </c>
      <c r="G188" t="s">
        <v>367</v>
      </c>
      <c r="H188">
        <v>1</v>
      </c>
      <c r="I188">
        <v>2.77596</v>
      </c>
      <c r="J188">
        <v>235</v>
      </c>
      <c r="K188">
        <v>2</v>
      </c>
      <c r="L188">
        <v>1332.605</v>
      </c>
      <c r="M188">
        <v>14.448</v>
      </c>
      <c r="N188">
        <v>4.1929999999999996</v>
      </c>
      <c r="O188">
        <v>1.2889999999999999</v>
      </c>
      <c r="P188">
        <v>2.42</v>
      </c>
      <c r="Q188">
        <v>1.22</v>
      </c>
      <c r="R188">
        <v>1.24</v>
      </c>
    </row>
    <row r="189" spans="1:19" x14ac:dyDescent="0.2">
      <c r="A189" t="s">
        <v>382</v>
      </c>
      <c r="B189" t="s">
        <v>383</v>
      </c>
      <c r="C189">
        <v>2010</v>
      </c>
      <c r="D189">
        <v>0</v>
      </c>
      <c r="E189" t="s">
        <v>21</v>
      </c>
      <c r="F189" t="s">
        <v>128</v>
      </c>
      <c r="G189" t="s">
        <v>367</v>
      </c>
      <c r="H189">
        <v>2</v>
      </c>
      <c r="I189">
        <v>10.338520000000001</v>
      </c>
      <c r="J189">
        <v>90</v>
      </c>
      <c r="L189">
        <v>184.34139999999999</v>
      </c>
      <c r="M189">
        <v>11.769</v>
      </c>
      <c r="N189">
        <v>0.57999999999999996</v>
      </c>
      <c r="O189">
        <v>1.05</v>
      </c>
      <c r="Q189">
        <v>0.99</v>
      </c>
      <c r="R189">
        <v>0.87</v>
      </c>
      <c r="S189">
        <v>2.08</v>
      </c>
    </row>
    <row r="190" spans="1:19" x14ac:dyDescent="0.2">
      <c r="A190" t="s">
        <v>382</v>
      </c>
      <c r="B190" t="s">
        <v>384</v>
      </c>
      <c r="C190">
        <v>2010</v>
      </c>
      <c r="D190">
        <v>0</v>
      </c>
      <c r="E190" t="s">
        <v>21</v>
      </c>
      <c r="F190" t="s">
        <v>22</v>
      </c>
      <c r="G190" t="s">
        <v>32</v>
      </c>
      <c r="H190">
        <v>2</v>
      </c>
      <c r="I190">
        <v>5584</v>
      </c>
      <c r="J190">
        <v>90</v>
      </c>
      <c r="N190">
        <v>3.4</v>
      </c>
      <c r="Q190">
        <v>0.99</v>
      </c>
      <c r="R190">
        <v>0.87</v>
      </c>
      <c r="S190">
        <v>2.08</v>
      </c>
    </row>
    <row r="191" spans="1:19" x14ac:dyDescent="0.2">
      <c r="A191" t="s">
        <v>385</v>
      </c>
      <c r="B191" t="s">
        <v>386</v>
      </c>
      <c r="C191">
        <v>2010</v>
      </c>
      <c r="D191">
        <v>0</v>
      </c>
      <c r="E191" t="s">
        <v>21</v>
      </c>
      <c r="F191" t="s">
        <v>128</v>
      </c>
      <c r="G191" t="s">
        <v>367</v>
      </c>
      <c r="H191">
        <v>1</v>
      </c>
      <c r="I191">
        <v>5.5080229999999997</v>
      </c>
      <c r="J191">
        <v>166</v>
      </c>
      <c r="K191">
        <v>12.4</v>
      </c>
      <c r="L191">
        <v>62.61</v>
      </c>
      <c r="M191">
        <v>11.153</v>
      </c>
      <c r="N191">
        <v>0.19700000000000001</v>
      </c>
      <c r="O191">
        <v>0.995</v>
      </c>
      <c r="P191">
        <v>0.25</v>
      </c>
      <c r="Q191">
        <v>0.77</v>
      </c>
      <c r="R191">
        <v>0.75</v>
      </c>
    </row>
    <row r="192" spans="1:19" x14ac:dyDescent="0.2">
      <c r="A192" t="s">
        <v>387</v>
      </c>
      <c r="B192" t="s">
        <v>388</v>
      </c>
      <c r="C192">
        <v>2010</v>
      </c>
      <c r="D192">
        <v>0</v>
      </c>
      <c r="E192" t="s">
        <v>21</v>
      </c>
      <c r="F192" t="s">
        <v>128</v>
      </c>
      <c r="G192" t="s">
        <v>367</v>
      </c>
      <c r="H192">
        <v>1</v>
      </c>
      <c r="I192">
        <v>4.0087780000000004</v>
      </c>
      <c r="J192">
        <v>215</v>
      </c>
      <c r="K192">
        <v>8.8000000000000007</v>
      </c>
      <c r="L192">
        <v>92.802000000000007</v>
      </c>
      <c r="M192">
        <v>12.689</v>
      </c>
      <c r="N192">
        <v>0.29199999999999998</v>
      </c>
      <c r="O192">
        <v>1.1319999999999999</v>
      </c>
      <c r="P192">
        <v>0.25</v>
      </c>
      <c r="Q192">
        <v>0.84</v>
      </c>
      <c r="R192">
        <v>0.82</v>
      </c>
    </row>
    <row r="193" spans="1:19" x14ac:dyDescent="0.2">
      <c r="A193" t="s">
        <v>389</v>
      </c>
      <c r="B193" t="s">
        <v>390</v>
      </c>
      <c r="C193">
        <v>2007</v>
      </c>
      <c r="D193">
        <v>0</v>
      </c>
      <c r="E193" t="s">
        <v>21</v>
      </c>
      <c r="F193" t="s">
        <v>128</v>
      </c>
      <c r="G193" t="s">
        <v>367</v>
      </c>
      <c r="H193">
        <v>1</v>
      </c>
      <c r="I193">
        <v>5.6335157999999996</v>
      </c>
      <c r="J193">
        <v>128.25</v>
      </c>
      <c r="K193">
        <v>1.44</v>
      </c>
      <c r="N193">
        <v>8.6199999999999992</v>
      </c>
      <c r="Q193">
        <v>1.33</v>
      </c>
      <c r="R193">
        <v>1.39</v>
      </c>
    </row>
    <row r="194" spans="1:19" x14ac:dyDescent="0.2">
      <c r="A194" t="s">
        <v>391</v>
      </c>
      <c r="B194" t="s">
        <v>392</v>
      </c>
      <c r="C194">
        <v>2010</v>
      </c>
      <c r="D194">
        <v>0</v>
      </c>
      <c r="E194" t="s">
        <v>21</v>
      </c>
      <c r="F194" t="s">
        <v>128</v>
      </c>
      <c r="G194" t="s">
        <v>367</v>
      </c>
      <c r="H194">
        <v>1</v>
      </c>
      <c r="I194">
        <v>2.8753169999999999</v>
      </c>
      <c r="J194">
        <v>70</v>
      </c>
      <c r="K194">
        <v>6.7</v>
      </c>
      <c r="L194">
        <v>2302.8989999999999</v>
      </c>
      <c r="M194">
        <v>9.718</v>
      </c>
      <c r="N194">
        <v>7.2460000000000004</v>
      </c>
      <c r="O194">
        <v>0.86699999999999999</v>
      </c>
      <c r="P194">
        <v>13.78</v>
      </c>
      <c r="Q194">
        <v>0.76</v>
      </c>
      <c r="R194">
        <v>0.69</v>
      </c>
    </row>
    <row r="195" spans="1:19" x14ac:dyDescent="0.2">
      <c r="A195" t="s">
        <v>393</v>
      </c>
      <c r="B195" t="s">
        <v>394</v>
      </c>
      <c r="C195">
        <v>2010</v>
      </c>
      <c r="D195">
        <v>0</v>
      </c>
      <c r="E195" t="s">
        <v>21</v>
      </c>
      <c r="F195" t="s">
        <v>128</v>
      </c>
      <c r="G195" t="s">
        <v>367</v>
      </c>
      <c r="H195">
        <v>1</v>
      </c>
      <c r="I195">
        <v>4.1244800000000001</v>
      </c>
      <c r="J195">
        <v>254</v>
      </c>
      <c r="L195">
        <v>1547.8321000000001</v>
      </c>
      <c r="M195">
        <v>12.442</v>
      </c>
      <c r="N195">
        <v>4.87</v>
      </c>
      <c r="O195">
        <v>1.1100000000000001</v>
      </c>
      <c r="Q195">
        <v>1.24</v>
      </c>
      <c r="R195">
        <v>1.21</v>
      </c>
      <c r="S195">
        <v>1</v>
      </c>
    </row>
    <row r="196" spans="1:19" x14ac:dyDescent="0.2">
      <c r="A196" t="s">
        <v>395</v>
      </c>
      <c r="B196" t="s">
        <v>396</v>
      </c>
      <c r="C196">
        <v>2010</v>
      </c>
      <c r="D196">
        <v>0</v>
      </c>
      <c r="E196" t="s">
        <v>21</v>
      </c>
      <c r="F196" t="s">
        <v>128</v>
      </c>
      <c r="G196" t="s">
        <v>367</v>
      </c>
      <c r="H196">
        <v>1</v>
      </c>
      <c r="I196">
        <v>3.2122199999999999</v>
      </c>
      <c r="J196">
        <v>82</v>
      </c>
      <c r="L196">
        <v>785.04010000000005</v>
      </c>
      <c r="M196">
        <v>12.89</v>
      </c>
      <c r="N196">
        <v>2.4700000000000002</v>
      </c>
      <c r="O196">
        <v>1.1499999999999999</v>
      </c>
      <c r="Q196">
        <v>1.1299999999999999</v>
      </c>
      <c r="R196">
        <v>1.1100000000000001</v>
      </c>
      <c r="S196">
        <v>1.1599999999999999</v>
      </c>
    </row>
    <row r="197" spans="1:19" x14ac:dyDescent="0.2">
      <c r="A197" t="s">
        <v>397</v>
      </c>
      <c r="B197" t="s">
        <v>398</v>
      </c>
      <c r="C197">
        <v>2010</v>
      </c>
      <c r="D197">
        <v>0</v>
      </c>
      <c r="E197" t="s">
        <v>21</v>
      </c>
      <c r="F197" t="s">
        <v>128</v>
      </c>
      <c r="G197" t="s">
        <v>367</v>
      </c>
      <c r="H197">
        <v>1</v>
      </c>
      <c r="I197">
        <v>1.21288</v>
      </c>
      <c r="J197">
        <v>393</v>
      </c>
      <c r="L197">
        <v>425.8922</v>
      </c>
      <c r="M197">
        <v>12.218</v>
      </c>
      <c r="N197">
        <v>1.34</v>
      </c>
      <c r="O197">
        <v>1.0900000000000001</v>
      </c>
      <c r="Q197">
        <v>0.57999999999999996</v>
      </c>
      <c r="R197">
        <v>0.96</v>
      </c>
      <c r="S197">
        <v>0.92</v>
      </c>
    </row>
    <row r="198" spans="1:19" x14ac:dyDescent="0.2">
      <c r="A198" t="s">
        <v>399</v>
      </c>
      <c r="B198" t="s">
        <v>400</v>
      </c>
      <c r="C198">
        <v>2010</v>
      </c>
      <c r="D198">
        <v>0</v>
      </c>
      <c r="E198" t="s">
        <v>21</v>
      </c>
      <c r="F198" t="s">
        <v>128</v>
      </c>
      <c r="G198" t="s">
        <v>367</v>
      </c>
      <c r="H198">
        <v>1</v>
      </c>
      <c r="I198">
        <v>3.3552399999999998</v>
      </c>
      <c r="J198">
        <v>396</v>
      </c>
      <c r="L198">
        <v>238.3725</v>
      </c>
      <c r="M198">
        <v>14.571999999999999</v>
      </c>
      <c r="N198">
        <v>0.75</v>
      </c>
      <c r="O198">
        <v>1.3</v>
      </c>
      <c r="Q198">
        <v>1.37</v>
      </c>
      <c r="R198">
        <v>1.38</v>
      </c>
      <c r="S198">
        <v>0.74</v>
      </c>
    </row>
    <row r="199" spans="1:19" x14ac:dyDescent="0.2">
      <c r="A199" t="s">
        <v>401</v>
      </c>
      <c r="B199" t="s">
        <v>402</v>
      </c>
      <c r="C199">
        <v>2010</v>
      </c>
      <c r="D199">
        <v>0</v>
      </c>
      <c r="E199" t="s">
        <v>21</v>
      </c>
      <c r="F199" t="s">
        <v>128</v>
      </c>
      <c r="G199" t="s">
        <v>367</v>
      </c>
      <c r="H199">
        <v>1</v>
      </c>
      <c r="I199">
        <v>3.65281514</v>
      </c>
      <c r="J199">
        <v>297</v>
      </c>
      <c r="L199">
        <v>180.84527</v>
      </c>
      <c r="M199">
        <v>12.722</v>
      </c>
      <c r="N199">
        <v>0.56899999999999995</v>
      </c>
      <c r="O199">
        <v>1.135</v>
      </c>
      <c r="P199">
        <v>0.48299999999999998</v>
      </c>
      <c r="Q199">
        <v>1.01</v>
      </c>
      <c r="R199">
        <v>0.92</v>
      </c>
      <c r="S199">
        <v>1.84</v>
      </c>
    </row>
    <row r="200" spans="1:19" x14ac:dyDescent="0.2">
      <c r="A200" t="s">
        <v>403</v>
      </c>
      <c r="B200" t="s">
        <v>404</v>
      </c>
      <c r="C200">
        <v>2010</v>
      </c>
      <c r="D200">
        <v>0</v>
      </c>
      <c r="E200" t="s">
        <v>21</v>
      </c>
      <c r="F200" t="s">
        <v>128</v>
      </c>
      <c r="G200" t="s">
        <v>367</v>
      </c>
      <c r="H200">
        <v>1</v>
      </c>
      <c r="I200">
        <v>4.2345199999999998</v>
      </c>
      <c r="J200">
        <v>134</v>
      </c>
      <c r="L200">
        <v>22.248100000000001</v>
      </c>
      <c r="M200">
        <v>7.0620000000000003</v>
      </c>
      <c r="N200">
        <v>7.0000000000000007E-2</v>
      </c>
      <c r="O200">
        <v>0.63</v>
      </c>
      <c r="Q200">
        <v>1.1200000000000001</v>
      </c>
      <c r="R200">
        <v>0.87</v>
      </c>
      <c r="S200">
        <v>2.37</v>
      </c>
    </row>
    <row r="201" spans="1:19" x14ac:dyDescent="0.2">
      <c r="A201" t="s">
        <v>405</v>
      </c>
      <c r="B201" t="s">
        <v>406</v>
      </c>
      <c r="C201">
        <v>2011</v>
      </c>
      <c r="D201">
        <v>0</v>
      </c>
      <c r="E201" t="s">
        <v>21</v>
      </c>
      <c r="F201" t="s">
        <v>128</v>
      </c>
      <c r="G201" t="s">
        <v>367</v>
      </c>
      <c r="H201">
        <v>1</v>
      </c>
      <c r="I201">
        <v>3.039577</v>
      </c>
      <c r="J201">
        <v>204</v>
      </c>
      <c r="K201">
        <v>4.4000000000000004</v>
      </c>
      <c r="L201">
        <v>197.05</v>
      </c>
      <c r="M201">
        <v>11.43</v>
      </c>
      <c r="N201">
        <v>0.62</v>
      </c>
      <c r="O201">
        <v>1.02</v>
      </c>
      <c r="Q201">
        <v>0.94</v>
      </c>
      <c r="R201">
        <v>0.9</v>
      </c>
    </row>
    <row r="202" spans="1:19" x14ac:dyDescent="0.2">
      <c r="A202" t="s">
        <v>407</v>
      </c>
      <c r="B202" t="s">
        <v>408</v>
      </c>
      <c r="C202">
        <v>2011</v>
      </c>
      <c r="D202">
        <v>0</v>
      </c>
      <c r="E202" t="s">
        <v>21</v>
      </c>
      <c r="F202" t="s">
        <v>128</v>
      </c>
      <c r="G202" t="s">
        <v>367</v>
      </c>
      <c r="H202">
        <v>1</v>
      </c>
      <c r="I202">
        <v>3.257215</v>
      </c>
      <c r="J202">
        <v>395</v>
      </c>
      <c r="K202">
        <v>6.1</v>
      </c>
      <c r="L202">
        <v>198.953</v>
      </c>
      <c r="M202">
        <v>13.585000000000001</v>
      </c>
      <c r="N202">
        <v>0.626</v>
      </c>
      <c r="O202">
        <v>1.212</v>
      </c>
      <c r="P202">
        <v>0.44</v>
      </c>
      <c r="Q202">
        <v>1.02</v>
      </c>
      <c r="R202">
        <v>1.1000000000000001</v>
      </c>
    </row>
    <row r="203" spans="1:19" x14ac:dyDescent="0.2">
      <c r="A203" t="s">
        <v>409</v>
      </c>
      <c r="B203" t="s">
        <v>410</v>
      </c>
      <c r="C203">
        <v>2011</v>
      </c>
      <c r="D203">
        <v>0</v>
      </c>
      <c r="E203" t="s">
        <v>21</v>
      </c>
      <c r="F203" t="s">
        <v>128</v>
      </c>
      <c r="G203" t="s">
        <v>367</v>
      </c>
      <c r="H203">
        <v>1</v>
      </c>
      <c r="I203">
        <v>5.7231899999999998</v>
      </c>
      <c r="J203">
        <v>322</v>
      </c>
      <c r="L203">
        <v>279.69040000000001</v>
      </c>
      <c r="M203">
        <v>13.115</v>
      </c>
      <c r="N203">
        <v>0.88</v>
      </c>
      <c r="O203">
        <v>1.17</v>
      </c>
      <c r="Q203">
        <v>1.45</v>
      </c>
      <c r="R203">
        <v>1.3</v>
      </c>
      <c r="S203">
        <v>0.93</v>
      </c>
    </row>
    <row r="204" spans="1:19" x14ac:dyDescent="0.2">
      <c r="A204" t="s">
        <v>411</v>
      </c>
      <c r="B204" t="s">
        <v>412</v>
      </c>
      <c r="C204">
        <v>2007</v>
      </c>
      <c r="D204">
        <v>0</v>
      </c>
      <c r="E204" t="s">
        <v>21</v>
      </c>
      <c r="F204" t="s">
        <v>128</v>
      </c>
      <c r="G204" t="s">
        <v>367</v>
      </c>
      <c r="H204">
        <v>1</v>
      </c>
      <c r="I204">
        <v>2.8997000000000002</v>
      </c>
      <c r="J204">
        <v>138</v>
      </c>
      <c r="L204">
        <v>206.58949999999999</v>
      </c>
      <c r="M204">
        <v>10.536</v>
      </c>
      <c r="N204">
        <v>0.65</v>
      </c>
      <c r="O204">
        <v>0.94</v>
      </c>
      <c r="Q204">
        <v>1.06</v>
      </c>
      <c r="R204">
        <v>0.87</v>
      </c>
      <c r="S204">
        <v>2.2799999999999998</v>
      </c>
    </row>
    <row r="205" spans="1:19" x14ac:dyDescent="0.2">
      <c r="A205" t="s">
        <v>413</v>
      </c>
      <c r="B205" t="s">
        <v>414</v>
      </c>
      <c r="C205">
        <v>2011</v>
      </c>
      <c r="D205">
        <v>0</v>
      </c>
      <c r="E205" t="s">
        <v>21</v>
      </c>
      <c r="F205" t="s">
        <v>128</v>
      </c>
      <c r="G205" t="s">
        <v>367</v>
      </c>
      <c r="H205">
        <v>1</v>
      </c>
      <c r="I205">
        <v>2.8106</v>
      </c>
      <c r="J205">
        <v>193</v>
      </c>
      <c r="L205">
        <v>263.7989</v>
      </c>
      <c r="M205">
        <v>16.140999999999998</v>
      </c>
      <c r="N205">
        <v>0.83</v>
      </c>
      <c r="O205">
        <v>1.44</v>
      </c>
      <c r="Q205">
        <v>1.55</v>
      </c>
      <c r="R205">
        <v>1.31</v>
      </c>
      <c r="S205">
        <v>0.98</v>
      </c>
    </row>
    <row r="206" spans="1:19" x14ac:dyDescent="0.2">
      <c r="A206" t="s">
        <v>415</v>
      </c>
      <c r="B206" t="s">
        <v>416</v>
      </c>
      <c r="C206">
        <v>2011</v>
      </c>
      <c r="D206">
        <v>0</v>
      </c>
      <c r="E206" t="s">
        <v>21</v>
      </c>
      <c r="F206" t="s">
        <v>128</v>
      </c>
      <c r="G206" t="s">
        <v>367</v>
      </c>
      <c r="H206">
        <v>1</v>
      </c>
      <c r="I206">
        <v>5.00542</v>
      </c>
      <c r="J206">
        <v>354</v>
      </c>
      <c r="L206">
        <v>721.47410000000002</v>
      </c>
      <c r="M206">
        <v>12.218</v>
      </c>
      <c r="N206">
        <v>2.27</v>
      </c>
      <c r="O206">
        <v>1.0900000000000001</v>
      </c>
      <c r="Q206">
        <v>1.31</v>
      </c>
      <c r="R206">
        <v>1.39</v>
      </c>
      <c r="S206">
        <v>0.69</v>
      </c>
    </row>
    <row r="207" spans="1:19" x14ac:dyDescent="0.2">
      <c r="A207" t="s">
        <v>417</v>
      </c>
      <c r="B207" t="s">
        <v>418</v>
      </c>
      <c r="C207">
        <v>2011</v>
      </c>
      <c r="D207">
        <v>0</v>
      </c>
      <c r="E207" t="s">
        <v>21</v>
      </c>
      <c r="F207" t="s">
        <v>128</v>
      </c>
      <c r="G207" t="s">
        <v>367</v>
      </c>
      <c r="H207">
        <v>1</v>
      </c>
      <c r="I207">
        <v>2.15001</v>
      </c>
      <c r="J207">
        <v>283</v>
      </c>
      <c r="L207">
        <v>263.7989</v>
      </c>
      <c r="M207">
        <v>19.616</v>
      </c>
      <c r="N207">
        <v>0.83</v>
      </c>
      <c r="O207">
        <v>1.75</v>
      </c>
      <c r="Q207">
        <v>1.0900000000000001</v>
      </c>
      <c r="R207">
        <v>1.19</v>
      </c>
      <c r="S207">
        <v>0.91</v>
      </c>
    </row>
    <row r="208" spans="1:19" x14ac:dyDescent="0.2">
      <c r="A208" t="s">
        <v>419</v>
      </c>
      <c r="B208" t="s">
        <v>420</v>
      </c>
      <c r="C208">
        <v>2011</v>
      </c>
      <c r="D208">
        <v>0</v>
      </c>
      <c r="E208" t="s">
        <v>21</v>
      </c>
      <c r="F208" t="s">
        <v>128</v>
      </c>
      <c r="G208" t="s">
        <v>367</v>
      </c>
      <c r="H208">
        <v>1</v>
      </c>
      <c r="I208">
        <v>3.4744700000000002</v>
      </c>
      <c r="J208">
        <v>387</v>
      </c>
      <c r="L208">
        <v>292.40359999999998</v>
      </c>
      <c r="M208">
        <v>20.736999999999998</v>
      </c>
      <c r="N208">
        <v>0.92</v>
      </c>
      <c r="O208">
        <v>1.85</v>
      </c>
      <c r="Q208">
        <v>1.82</v>
      </c>
      <c r="R208">
        <v>1.79</v>
      </c>
      <c r="S208">
        <v>0.45</v>
      </c>
    </row>
    <row r="209" spans="1:19" x14ac:dyDescent="0.2">
      <c r="A209" t="s">
        <v>421</v>
      </c>
      <c r="B209" t="s">
        <v>422</v>
      </c>
      <c r="C209">
        <v>2011</v>
      </c>
      <c r="D209">
        <v>0</v>
      </c>
      <c r="E209" t="s">
        <v>21</v>
      </c>
      <c r="F209" t="s">
        <v>128</v>
      </c>
      <c r="G209" t="s">
        <v>367</v>
      </c>
      <c r="H209">
        <v>1</v>
      </c>
      <c r="I209">
        <v>5.4526500000000002</v>
      </c>
      <c r="J209">
        <v>257</v>
      </c>
      <c r="L209">
        <v>2227.9883</v>
      </c>
      <c r="M209">
        <v>15.132</v>
      </c>
      <c r="N209">
        <v>7.01</v>
      </c>
      <c r="O209">
        <v>1.35</v>
      </c>
      <c r="Q209">
        <v>4.26</v>
      </c>
      <c r="R209">
        <v>1.73</v>
      </c>
      <c r="S209">
        <v>1.1499999999999999</v>
      </c>
    </row>
    <row r="210" spans="1:19" x14ac:dyDescent="0.2">
      <c r="A210" t="s">
        <v>423</v>
      </c>
      <c r="B210" t="s">
        <v>424</v>
      </c>
      <c r="C210">
        <v>2011</v>
      </c>
      <c r="D210">
        <v>0</v>
      </c>
      <c r="E210" t="s">
        <v>21</v>
      </c>
      <c r="F210" t="s">
        <v>128</v>
      </c>
      <c r="G210" t="s">
        <v>367</v>
      </c>
      <c r="H210">
        <v>1</v>
      </c>
      <c r="I210">
        <v>3.6467100000000001</v>
      </c>
      <c r="J210">
        <v>535</v>
      </c>
      <c r="L210">
        <v>2390.0816</v>
      </c>
      <c r="M210">
        <v>39.792000000000002</v>
      </c>
      <c r="N210">
        <v>7.52</v>
      </c>
      <c r="O210">
        <v>3.55</v>
      </c>
      <c r="Q210">
        <v>23.56</v>
      </c>
      <c r="R210">
        <v>3.82</v>
      </c>
      <c r="S210">
        <v>0.59</v>
      </c>
    </row>
    <row r="211" spans="1:19" x14ac:dyDescent="0.2">
      <c r="A211" t="s">
        <v>425</v>
      </c>
      <c r="B211" t="s">
        <v>426</v>
      </c>
      <c r="C211">
        <v>2011</v>
      </c>
      <c r="D211">
        <v>0</v>
      </c>
      <c r="E211" t="s">
        <v>21</v>
      </c>
      <c r="F211" t="s">
        <v>128</v>
      </c>
      <c r="G211" t="s">
        <v>367</v>
      </c>
      <c r="H211">
        <v>1</v>
      </c>
      <c r="I211">
        <v>1.32735</v>
      </c>
      <c r="J211">
        <v>317</v>
      </c>
      <c r="L211">
        <v>486.2799</v>
      </c>
      <c r="M211">
        <v>12.89</v>
      </c>
      <c r="N211">
        <v>1.53</v>
      </c>
      <c r="O211">
        <v>1.1499999999999999</v>
      </c>
      <c r="Q211">
        <v>0.78</v>
      </c>
      <c r="R211">
        <v>1</v>
      </c>
      <c r="S211">
        <v>1.1000000000000001</v>
      </c>
    </row>
    <row r="212" spans="1:19" x14ac:dyDescent="0.2">
      <c r="A212" t="s">
        <v>427</v>
      </c>
      <c r="B212" t="s">
        <v>428</v>
      </c>
      <c r="C212">
        <v>2011</v>
      </c>
      <c r="D212">
        <v>0</v>
      </c>
      <c r="E212" t="s">
        <v>21</v>
      </c>
      <c r="F212" t="s">
        <v>128</v>
      </c>
      <c r="G212" t="s">
        <v>367</v>
      </c>
      <c r="H212">
        <v>1</v>
      </c>
      <c r="I212">
        <v>2.7974359999999998</v>
      </c>
      <c r="J212">
        <v>411</v>
      </c>
      <c r="L212">
        <v>371.52800000000002</v>
      </c>
      <c r="M212">
        <v>13.204000000000001</v>
      </c>
      <c r="N212">
        <v>1.169</v>
      </c>
      <c r="O212">
        <v>1.1779999999999999</v>
      </c>
      <c r="P212">
        <v>0.89</v>
      </c>
      <c r="Q212">
        <v>0.93</v>
      </c>
      <c r="R212">
        <v>0.88</v>
      </c>
    </row>
    <row r="213" spans="1:19" x14ac:dyDescent="0.2">
      <c r="A213" t="s">
        <v>429</v>
      </c>
      <c r="B213" t="s">
        <v>430</v>
      </c>
      <c r="C213">
        <v>2012</v>
      </c>
      <c r="D213">
        <v>0</v>
      </c>
      <c r="E213" t="s">
        <v>21</v>
      </c>
      <c r="F213" t="s">
        <v>128</v>
      </c>
      <c r="G213" t="s">
        <v>367</v>
      </c>
      <c r="H213">
        <v>1</v>
      </c>
      <c r="I213">
        <v>4.6403819999999998</v>
      </c>
      <c r="J213">
        <v>249</v>
      </c>
      <c r="L213">
        <v>84.856999999999999</v>
      </c>
      <c r="M213">
        <v>9.2469999999999999</v>
      </c>
      <c r="N213">
        <v>0.26700000000000002</v>
      </c>
      <c r="O213">
        <v>0.82499999999999996</v>
      </c>
      <c r="P213">
        <v>0.59</v>
      </c>
      <c r="Q213">
        <v>0.89</v>
      </c>
      <c r="R213">
        <v>0.92</v>
      </c>
    </row>
    <row r="214" spans="1:19" x14ac:dyDescent="0.2">
      <c r="A214" t="s">
        <v>431</v>
      </c>
      <c r="B214" t="s">
        <v>432</v>
      </c>
      <c r="C214">
        <v>2012</v>
      </c>
      <c r="D214">
        <v>0</v>
      </c>
      <c r="E214" t="s">
        <v>21</v>
      </c>
      <c r="F214" t="s">
        <v>128</v>
      </c>
      <c r="G214" t="s">
        <v>367</v>
      </c>
      <c r="H214">
        <v>1</v>
      </c>
      <c r="I214">
        <v>3.5438700000000001</v>
      </c>
      <c r="J214">
        <v>642</v>
      </c>
      <c r="L214">
        <v>190.37200000000001</v>
      </c>
      <c r="M214">
        <v>17.609000000000002</v>
      </c>
      <c r="N214">
        <v>0.59899999999999998</v>
      </c>
      <c r="O214">
        <v>1.571</v>
      </c>
      <c r="P214">
        <v>0.19</v>
      </c>
      <c r="Q214">
        <v>1.4</v>
      </c>
      <c r="R214">
        <v>1.62</v>
      </c>
    </row>
    <row r="215" spans="1:19" x14ac:dyDescent="0.2">
      <c r="A215" t="s">
        <v>433</v>
      </c>
      <c r="B215" t="s">
        <v>434</v>
      </c>
      <c r="C215">
        <v>2007</v>
      </c>
      <c r="D215">
        <v>0</v>
      </c>
      <c r="E215" t="s">
        <v>21</v>
      </c>
      <c r="F215" t="s">
        <v>128</v>
      </c>
      <c r="G215" t="s">
        <v>367</v>
      </c>
      <c r="H215">
        <v>1</v>
      </c>
      <c r="I215">
        <v>3.0565359999999999</v>
      </c>
      <c r="J215">
        <v>314</v>
      </c>
      <c r="L215">
        <v>213.255</v>
      </c>
      <c r="M215">
        <v>14.28</v>
      </c>
      <c r="N215">
        <v>0.67100000000000004</v>
      </c>
      <c r="O215">
        <v>1.274</v>
      </c>
      <c r="P215">
        <v>0.40300000000000002</v>
      </c>
    </row>
    <row r="216" spans="1:19" x14ac:dyDescent="0.2">
      <c r="A216" t="s">
        <v>435</v>
      </c>
      <c r="B216" t="s">
        <v>436</v>
      </c>
      <c r="C216">
        <v>2012</v>
      </c>
      <c r="D216">
        <v>0</v>
      </c>
      <c r="E216" t="s">
        <v>21</v>
      </c>
      <c r="F216" t="s">
        <v>128</v>
      </c>
      <c r="G216" t="s">
        <v>367</v>
      </c>
      <c r="H216">
        <v>1</v>
      </c>
      <c r="I216">
        <v>4.4572399999999996</v>
      </c>
      <c r="J216">
        <v>501</v>
      </c>
      <c r="L216">
        <v>152.55840000000001</v>
      </c>
      <c r="M216">
        <v>17.038</v>
      </c>
      <c r="N216">
        <v>0.48</v>
      </c>
      <c r="O216">
        <v>1.52</v>
      </c>
      <c r="Q216">
        <v>1.03</v>
      </c>
      <c r="R216">
        <v>1.94</v>
      </c>
      <c r="S216">
        <v>0.2</v>
      </c>
    </row>
    <row r="217" spans="1:19" x14ac:dyDescent="0.2">
      <c r="A217" t="s">
        <v>437</v>
      </c>
      <c r="B217" t="s">
        <v>438</v>
      </c>
      <c r="C217">
        <v>2012</v>
      </c>
      <c r="D217">
        <v>0</v>
      </c>
      <c r="E217" t="s">
        <v>21</v>
      </c>
      <c r="F217" t="s">
        <v>128</v>
      </c>
      <c r="G217" t="s">
        <v>367</v>
      </c>
      <c r="H217">
        <v>1</v>
      </c>
      <c r="I217">
        <v>2.6940499999999998</v>
      </c>
      <c r="J217">
        <v>344</v>
      </c>
      <c r="L217">
        <v>378.21769999999998</v>
      </c>
      <c r="M217">
        <v>22.978000000000002</v>
      </c>
      <c r="N217">
        <v>1.19</v>
      </c>
      <c r="O217">
        <v>2.0499999999999998</v>
      </c>
      <c r="Q217">
        <v>2.56</v>
      </c>
      <c r="R217">
        <v>2.0499999999999998</v>
      </c>
      <c r="S217">
        <v>0.42</v>
      </c>
    </row>
    <row r="218" spans="1:19" x14ac:dyDescent="0.2">
      <c r="A218" t="s">
        <v>439</v>
      </c>
      <c r="B218" t="s">
        <v>440</v>
      </c>
      <c r="C218">
        <v>2012</v>
      </c>
      <c r="D218">
        <v>0</v>
      </c>
      <c r="E218" t="s">
        <v>21</v>
      </c>
      <c r="F218" t="s">
        <v>128</v>
      </c>
      <c r="G218" t="s">
        <v>367</v>
      </c>
      <c r="H218">
        <v>1</v>
      </c>
      <c r="I218">
        <v>4.6418780000000002</v>
      </c>
      <c r="J218">
        <v>447</v>
      </c>
      <c r="K218">
        <v>5.2</v>
      </c>
      <c r="L218">
        <v>331.80099999999999</v>
      </c>
      <c r="M218">
        <v>14.348000000000001</v>
      </c>
      <c r="N218">
        <v>1.044</v>
      </c>
      <c r="O218">
        <v>1.28</v>
      </c>
      <c r="P218">
        <v>0.61</v>
      </c>
      <c r="Q218">
        <v>1.18</v>
      </c>
      <c r="R218">
        <v>1.53</v>
      </c>
    </row>
    <row r="219" spans="1:19" x14ac:dyDescent="0.2">
      <c r="A219" t="s">
        <v>441</v>
      </c>
      <c r="B219" t="s">
        <v>442</v>
      </c>
      <c r="C219">
        <v>2012</v>
      </c>
      <c r="D219">
        <v>0</v>
      </c>
      <c r="E219" t="s">
        <v>21</v>
      </c>
      <c r="F219" t="s">
        <v>128</v>
      </c>
      <c r="G219" t="s">
        <v>367</v>
      </c>
      <c r="H219">
        <v>1</v>
      </c>
      <c r="I219">
        <v>3.332687</v>
      </c>
      <c r="J219">
        <v>542</v>
      </c>
      <c r="K219">
        <v>5.7</v>
      </c>
      <c r="L219">
        <v>210.39500000000001</v>
      </c>
      <c r="M219">
        <v>14.359</v>
      </c>
      <c r="N219">
        <v>0.66200000000000003</v>
      </c>
      <c r="O219">
        <v>1.2809999999999999</v>
      </c>
      <c r="P219">
        <v>0.39</v>
      </c>
      <c r="Q219">
        <v>1.05</v>
      </c>
      <c r="R219">
        <v>1.1000000000000001</v>
      </c>
    </row>
    <row r="220" spans="1:19" x14ac:dyDescent="0.2">
      <c r="A220" t="s">
        <v>443</v>
      </c>
      <c r="B220" t="s">
        <v>444</v>
      </c>
      <c r="C220">
        <v>2014</v>
      </c>
      <c r="D220">
        <v>0</v>
      </c>
      <c r="E220" t="s">
        <v>21</v>
      </c>
      <c r="F220" t="s">
        <v>128</v>
      </c>
      <c r="G220" t="s">
        <v>367</v>
      </c>
      <c r="H220">
        <v>2</v>
      </c>
      <c r="I220">
        <v>4.3012189999999997</v>
      </c>
      <c r="J220">
        <v>363</v>
      </c>
      <c r="K220">
        <v>7.5</v>
      </c>
      <c r="L220">
        <v>111.871</v>
      </c>
      <c r="M220">
        <v>13.922000000000001</v>
      </c>
      <c r="N220">
        <v>0.35199999999999998</v>
      </c>
      <c r="O220">
        <v>1.242</v>
      </c>
      <c r="P220">
        <v>0.23</v>
      </c>
      <c r="Q220">
        <v>0.94</v>
      </c>
      <c r="R220">
        <v>0.95</v>
      </c>
    </row>
    <row r="221" spans="1:19" x14ac:dyDescent="0.2">
      <c r="A221" t="s">
        <v>443</v>
      </c>
      <c r="B221" t="s">
        <v>445</v>
      </c>
      <c r="C221">
        <v>2014</v>
      </c>
      <c r="D221">
        <v>0</v>
      </c>
      <c r="E221" t="s">
        <v>21</v>
      </c>
      <c r="F221" t="s">
        <v>22</v>
      </c>
      <c r="G221" t="s">
        <v>32</v>
      </c>
      <c r="H221">
        <v>2</v>
      </c>
      <c r="I221">
        <v>872.2</v>
      </c>
      <c r="J221">
        <v>363</v>
      </c>
      <c r="K221">
        <v>7.5</v>
      </c>
      <c r="N221">
        <v>4</v>
      </c>
      <c r="Q221">
        <v>0.94</v>
      </c>
      <c r="R221">
        <v>0.95</v>
      </c>
    </row>
    <row r="222" spans="1:19" x14ac:dyDescent="0.2">
      <c r="A222" t="s">
        <v>446</v>
      </c>
      <c r="B222" t="s">
        <v>447</v>
      </c>
      <c r="C222">
        <v>2014</v>
      </c>
      <c r="D222">
        <v>0</v>
      </c>
      <c r="E222" t="s">
        <v>21</v>
      </c>
      <c r="F222" t="s">
        <v>128</v>
      </c>
      <c r="G222" t="s">
        <v>367</v>
      </c>
      <c r="H222">
        <v>1</v>
      </c>
      <c r="I222">
        <v>3.1289920000000002</v>
      </c>
      <c r="J222">
        <v>305</v>
      </c>
      <c r="K222">
        <v>2</v>
      </c>
      <c r="L222">
        <v>283.49200000000002</v>
      </c>
      <c r="M222">
        <v>15.984</v>
      </c>
      <c r="N222">
        <v>0.89200000000000002</v>
      </c>
      <c r="O222">
        <v>1.4259999999999999</v>
      </c>
      <c r="P222">
        <v>0.38</v>
      </c>
      <c r="Q222">
        <v>1.26</v>
      </c>
      <c r="R222">
        <v>1.32</v>
      </c>
    </row>
    <row r="223" spans="1:19" x14ac:dyDescent="0.2">
      <c r="A223" t="s">
        <v>448</v>
      </c>
      <c r="B223" t="s">
        <v>449</v>
      </c>
      <c r="C223">
        <v>2014</v>
      </c>
      <c r="D223">
        <v>0</v>
      </c>
      <c r="E223" t="s">
        <v>21</v>
      </c>
      <c r="F223" t="s">
        <v>128</v>
      </c>
      <c r="G223" t="s">
        <v>367</v>
      </c>
      <c r="H223">
        <v>1</v>
      </c>
      <c r="I223">
        <v>4.4631290000000003</v>
      </c>
      <c r="J223">
        <v>296</v>
      </c>
      <c r="K223">
        <v>2.5</v>
      </c>
      <c r="L223">
        <v>156.684</v>
      </c>
      <c r="M223">
        <v>14.391999999999999</v>
      </c>
      <c r="N223">
        <v>0.49299999999999999</v>
      </c>
      <c r="O223">
        <v>1.284</v>
      </c>
      <c r="P223">
        <v>0.28000000000000003</v>
      </c>
      <c r="Q223">
        <v>1.28</v>
      </c>
      <c r="R223">
        <v>1.4</v>
      </c>
    </row>
    <row r="224" spans="1:19" x14ac:dyDescent="0.2">
      <c r="A224" t="s">
        <v>450</v>
      </c>
      <c r="B224" t="s">
        <v>451</v>
      </c>
      <c r="C224">
        <v>2014</v>
      </c>
      <c r="D224">
        <v>0</v>
      </c>
      <c r="E224" t="s">
        <v>21</v>
      </c>
      <c r="F224" t="s">
        <v>128</v>
      </c>
      <c r="G224" t="s">
        <v>367</v>
      </c>
      <c r="H224">
        <v>1</v>
      </c>
      <c r="I224">
        <v>2.6915499999999999</v>
      </c>
      <c r="J224">
        <v>322</v>
      </c>
      <c r="L224">
        <v>699.226</v>
      </c>
      <c r="M224">
        <v>17.821999999999999</v>
      </c>
      <c r="N224">
        <v>2.2000000000000002</v>
      </c>
      <c r="O224">
        <v>1.59</v>
      </c>
      <c r="Q224">
        <v>2.2200000000000002</v>
      </c>
      <c r="R224">
        <v>2.06</v>
      </c>
      <c r="S224">
        <v>0.36</v>
      </c>
    </row>
    <row r="225" spans="1:19" x14ac:dyDescent="0.2">
      <c r="A225" t="s">
        <v>452</v>
      </c>
      <c r="B225" t="s">
        <v>453</v>
      </c>
      <c r="C225">
        <v>2007</v>
      </c>
      <c r="D225">
        <v>0</v>
      </c>
      <c r="E225" t="s">
        <v>21</v>
      </c>
      <c r="F225" t="s">
        <v>128</v>
      </c>
      <c r="G225" t="s">
        <v>367</v>
      </c>
      <c r="H225">
        <v>1</v>
      </c>
      <c r="I225">
        <v>2.7884899999999999</v>
      </c>
      <c r="J225">
        <v>340</v>
      </c>
      <c r="L225">
        <v>311.47340000000003</v>
      </c>
      <c r="M225">
        <v>13.563000000000001</v>
      </c>
      <c r="N225">
        <v>0.98</v>
      </c>
      <c r="O225">
        <v>1.21</v>
      </c>
      <c r="Q225">
        <v>1.04</v>
      </c>
      <c r="R225">
        <v>1.1200000000000001</v>
      </c>
      <c r="S225">
        <v>1.04</v>
      </c>
    </row>
    <row r="226" spans="1:19" x14ac:dyDescent="0.2">
      <c r="A226" t="s">
        <v>454</v>
      </c>
      <c r="B226" t="s">
        <v>455</v>
      </c>
      <c r="C226">
        <v>2015</v>
      </c>
      <c r="D226">
        <v>0</v>
      </c>
      <c r="E226" t="s">
        <v>21</v>
      </c>
      <c r="F226" t="s">
        <v>128</v>
      </c>
      <c r="G226" t="s">
        <v>367</v>
      </c>
      <c r="H226">
        <v>1</v>
      </c>
      <c r="I226">
        <v>3.1220108999999998</v>
      </c>
      <c r="J226">
        <v>497</v>
      </c>
      <c r="K226">
        <v>3.37</v>
      </c>
      <c r="L226">
        <v>429.07049999999998</v>
      </c>
      <c r="M226">
        <v>14.436999999999999</v>
      </c>
      <c r="N226">
        <v>1.35</v>
      </c>
      <c r="O226">
        <v>1.288</v>
      </c>
      <c r="P226">
        <v>0.78</v>
      </c>
      <c r="Q226">
        <v>1.27</v>
      </c>
      <c r="R226">
        <v>1.7</v>
      </c>
      <c r="S226">
        <v>0.35699999999999998</v>
      </c>
    </row>
    <row r="227" spans="1:19" x14ac:dyDescent="0.2">
      <c r="A227" t="s">
        <v>456</v>
      </c>
      <c r="B227" t="s">
        <v>457</v>
      </c>
      <c r="C227">
        <v>2015</v>
      </c>
      <c r="D227">
        <v>0</v>
      </c>
      <c r="E227" t="s">
        <v>21</v>
      </c>
      <c r="F227" t="s">
        <v>128</v>
      </c>
      <c r="G227" t="s">
        <v>367</v>
      </c>
      <c r="H227">
        <v>1</v>
      </c>
      <c r="I227">
        <v>4.2180277999999998</v>
      </c>
      <c r="J227">
        <v>470</v>
      </c>
      <c r="K227">
        <v>8.1999999999999993</v>
      </c>
      <c r="L227">
        <v>98.209469999999996</v>
      </c>
      <c r="M227">
        <v>14.493</v>
      </c>
      <c r="N227">
        <v>0.309</v>
      </c>
      <c r="O227">
        <v>1.2929999999999999</v>
      </c>
      <c r="P227">
        <v>0.17799999999999999</v>
      </c>
      <c r="Q227">
        <v>0.98</v>
      </c>
      <c r="R227">
        <v>1.04</v>
      </c>
      <c r="S227">
        <v>1.2230000000000001</v>
      </c>
    </row>
    <row r="228" spans="1:19" x14ac:dyDescent="0.2">
      <c r="A228" t="s">
        <v>458</v>
      </c>
      <c r="B228" t="s">
        <v>459</v>
      </c>
      <c r="C228">
        <v>2015</v>
      </c>
      <c r="D228">
        <v>0</v>
      </c>
      <c r="E228" t="s">
        <v>21</v>
      </c>
      <c r="F228" t="s">
        <v>128</v>
      </c>
      <c r="G228" t="s">
        <v>367</v>
      </c>
      <c r="H228">
        <v>1</v>
      </c>
      <c r="I228">
        <v>2.7535953000000002</v>
      </c>
      <c r="J228">
        <v>385</v>
      </c>
      <c r="K228">
        <v>9.4</v>
      </c>
      <c r="L228">
        <v>259.98493999999999</v>
      </c>
      <c r="M228">
        <v>11.31</v>
      </c>
      <c r="N228">
        <v>0.81799999999999995</v>
      </c>
      <c r="O228">
        <v>1.0089999999999999</v>
      </c>
      <c r="P228">
        <v>0.98</v>
      </c>
      <c r="Q228">
        <v>0.89</v>
      </c>
      <c r="R228">
        <v>0.89</v>
      </c>
      <c r="S228">
        <v>1.75</v>
      </c>
    </row>
    <row r="229" spans="1:19" x14ac:dyDescent="0.2">
      <c r="A229" t="s">
        <v>460</v>
      </c>
      <c r="B229" t="s">
        <v>461</v>
      </c>
      <c r="C229">
        <v>2015</v>
      </c>
      <c r="D229">
        <v>0</v>
      </c>
      <c r="E229" t="s">
        <v>21</v>
      </c>
      <c r="F229" t="s">
        <v>128</v>
      </c>
      <c r="G229" t="s">
        <v>367</v>
      </c>
      <c r="H229">
        <v>1</v>
      </c>
      <c r="I229">
        <v>1.9616241000000001</v>
      </c>
      <c r="J229">
        <v>719</v>
      </c>
      <c r="K229">
        <v>4.67</v>
      </c>
      <c r="L229">
        <v>471.65971999999999</v>
      </c>
      <c r="M229">
        <v>14.773</v>
      </c>
      <c r="N229">
        <v>1.484</v>
      </c>
      <c r="O229">
        <v>1.3180000000000001</v>
      </c>
      <c r="P229">
        <v>0.8</v>
      </c>
      <c r="Q229">
        <v>1.0900000000000001</v>
      </c>
      <c r="R229">
        <v>1.21</v>
      </c>
      <c r="S229">
        <v>0.87</v>
      </c>
    </row>
    <row r="230" spans="1:19" x14ac:dyDescent="0.2">
      <c r="A230" t="s">
        <v>462</v>
      </c>
      <c r="B230" t="s">
        <v>463</v>
      </c>
      <c r="C230">
        <v>2015</v>
      </c>
      <c r="D230">
        <v>0</v>
      </c>
      <c r="E230" t="s">
        <v>21</v>
      </c>
      <c r="F230" t="s">
        <v>128</v>
      </c>
      <c r="G230" t="s">
        <v>367</v>
      </c>
      <c r="H230">
        <v>1</v>
      </c>
      <c r="I230">
        <v>3.7998470000000002</v>
      </c>
      <c r="J230">
        <v>144.25</v>
      </c>
      <c r="K230">
        <v>3.9</v>
      </c>
      <c r="L230">
        <v>241.55080000000001</v>
      </c>
      <c r="M230">
        <v>10.581</v>
      </c>
      <c r="N230">
        <v>0.76</v>
      </c>
      <c r="O230">
        <v>0.94399999999999995</v>
      </c>
      <c r="P230">
        <v>1.1180000000000001</v>
      </c>
      <c r="Q230">
        <v>0.65</v>
      </c>
      <c r="R230">
        <v>0.62</v>
      </c>
    </row>
    <row r="231" spans="1:19" x14ac:dyDescent="0.2">
      <c r="A231" t="s">
        <v>464</v>
      </c>
      <c r="B231" t="s">
        <v>465</v>
      </c>
      <c r="C231">
        <v>2015</v>
      </c>
      <c r="D231">
        <v>0</v>
      </c>
      <c r="E231" t="s">
        <v>21</v>
      </c>
      <c r="F231" t="s">
        <v>128</v>
      </c>
      <c r="G231" t="s">
        <v>367</v>
      </c>
      <c r="H231">
        <v>1</v>
      </c>
      <c r="I231">
        <v>3.5852466999999999</v>
      </c>
      <c r="J231">
        <v>480</v>
      </c>
      <c r="K231">
        <v>4.2</v>
      </c>
      <c r="L231">
        <v>184.97705999999999</v>
      </c>
      <c r="M231">
        <v>13.249000000000001</v>
      </c>
      <c r="N231">
        <v>0.58199999999999996</v>
      </c>
      <c r="O231">
        <v>1.1819999999999999</v>
      </c>
      <c r="P231">
        <v>0.435</v>
      </c>
      <c r="Q231">
        <v>1.01</v>
      </c>
      <c r="R231">
        <v>1.01</v>
      </c>
    </row>
    <row r="232" spans="1:19" x14ac:dyDescent="0.2">
      <c r="A232" t="s">
        <v>466</v>
      </c>
      <c r="B232" t="s">
        <v>467</v>
      </c>
      <c r="C232">
        <v>2015</v>
      </c>
      <c r="D232">
        <v>0</v>
      </c>
      <c r="E232" t="s">
        <v>21</v>
      </c>
      <c r="F232" t="s">
        <v>128</v>
      </c>
      <c r="G232" t="s">
        <v>367</v>
      </c>
      <c r="H232">
        <v>1</v>
      </c>
      <c r="I232">
        <v>2.7908300000000001</v>
      </c>
      <c r="J232">
        <v>310.5</v>
      </c>
      <c r="L232">
        <v>734.18730000000005</v>
      </c>
      <c r="M232">
        <v>16.925999999999998</v>
      </c>
      <c r="N232">
        <v>2.31</v>
      </c>
      <c r="O232">
        <v>1.51</v>
      </c>
      <c r="Q232">
        <v>1.42</v>
      </c>
      <c r="R232">
        <v>1.47</v>
      </c>
      <c r="S232">
        <v>0.63</v>
      </c>
    </row>
    <row r="233" spans="1:19" x14ac:dyDescent="0.2">
      <c r="A233" t="s">
        <v>468</v>
      </c>
      <c r="B233" t="s">
        <v>469</v>
      </c>
      <c r="C233">
        <v>2015</v>
      </c>
      <c r="D233">
        <v>0</v>
      </c>
      <c r="E233" t="s">
        <v>21</v>
      </c>
      <c r="F233" t="s">
        <v>128</v>
      </c>
      <c r="G233" t="s">
        <v>367</v>
      </c>
      <c r="H233">
        <v>1</v>
      </c>
      <c r="I233">
        <v>2.4653</v>
      </c>
      <c r="J233">
        <v>303</v>
      </c>
      <c r="L233">
        <v>448.14030000000002</v>
      </c>
      <c r="M233">
        <v>19.504000000000001</v>
      </c>
      <c r="N233">
        <v>1.41</v>
      </c>
      <c r="O233">
        <v>1.74</v>
      </c>
      <c r="Q233">
        <v>2.77</v>
      </c>
      <c r="R233">
        <v>1.85</v>
      </c>
      <c r="S233">
        <v>0.62</v>
      </c>
    </row>
    <row r="234" spans="1:19" x14ac:dyDescent="0.2">
      <c r="A234" t="s">
        <v>470</v>
      </c>
      <c r="B234" t="s">
        <v>471</v>
      </c>
      <c r="C234">
        <v>2007</v>
      </c>
      <c r="D234">
        <v>0</v>
      </c>
      <c r="E234" t="s">
        <v>21</v>
      </c>
      <c r="F234" t="s">
        <v>128</v>
      </c>
      <c r="G234" t="s">
        <v>367</v>
      </c>
      <c r="H234">
        <v>1</v>
      </c>
      <c r="I234">
        <v>3.8529800000000001</v>
      </c>
      <c r="J234">
        <v>261</v>
      </c>
      <c r="L234">
        <v>419.53559999999999</v>
      </c>
      <c r="M234">
        <v>16.588999999999999</v>
      </c>
      <c r="N234">
        <v>1.32</v>
      </c>
      <c r="O234">
        <v>1.48</v>
      </c>
      <c r="Q234">
        <v>1.79</v>
      </c>
      <c r="R234">
        <v>1.62</v>
      </c>
      <c r="S234">
        <v>0.59</v>
      </c>
    </row>
    <row r="235" spans="1:19" x14ac:dyDescent="0.2">
      <c r="A235" t="s">
        <v>472</v>
      </c>
      <c r="B235" t="s">
        <v>473</v>
      </c>
      <c r="C235">
        <v>2016</v>
      </c>
      <c r="D235">
        <v>0</v>
      </c>
      <c r="E235" t="s">
        <v>21</v>
      </c>
      <c r="F235" t="s">
        <v>128</v>
      </c>
      <c r="G235" t="s">
        <v>367</v>
      </c>
      <c r="H235">
        <v>1</v>
      </c>
      <c r="I235">
        <v>2.6054552000000002</v>
      </c>
      <c r="J235">
        <v>841</v>
      </c>
      <c r="K235">
        <v>5.46</v>
      </c>
      <c r="L235">
        <v>167.49641</v>
      </c>
      <c r="M235">
        <v>21.184999999999999</v>
      </c>
      <c r="N235">
        <v>0.52700000000000002</v>
      </c>
      <c r="O235">
        <v>1.89</v>
      </c>
      <c r="P235">
        <v>9.6000000000000002E-2</v>
      </c>
      <c r="Q235">
        <v>1.21</v>
      </c>
      <c r="R235">
        <v>1.86</v>
      </c>
      <c r="S235">
        <v>0.26600000000000001</v>
      </c>
    </row>
    <row r="236" spans="1:19" x14ac:dyDescent="0.2">
      <c r="A236" t="s">
        <v>474</v>
      </c>
      <c r="B236" t="s">
        <v>475</v>
      </c>
      <c r="C236">
        <v>2016</v>
      </c>
      <c r="D236">
        <v>0</v>
      </c>
      <c r="E236" t="s">
        <v>21</v>
      </c>
      <c r="F236" t="s">
        <v>128</v>
      </c>
      <c r="G236" t="s">
        <v>367</v>
      </c>
      <c r="H236">
        <v>1</v>
      </c>
      <c r="I236">
        <v>2.972086</v>
      </c>
      <c r="J236">
        <v>927</v>
      </c>
      <c r="K236">
        <v>4.66</v>
      </c>
      <c r="L236">
        <v>248.86089000000001</v>
      </c>
      <c r="M236">
        <v>17.821999999999999</v>
      </c>
      <c r="N236">
        <v>0.78300000000000003</v>
      </c>
      <c r="O236">
        <v>1.59</v>
      </c>
      <c r="P236">
        <v>0.24199999999999999</v>
      </c>
      <c r="Q236">
        <v>1.25</v>
      </c>
      <c r="R236">
        <v>1.88</v>
      </c>
      <c r="S236">
        <v>0.26900000000000002</v>
      </c>
    </row>
    <row r="237" spans="1:19" x14ac:dyDescent="0.2">
      <c r="A237" t="s">
        <v>476</v>
      </c>
      <c r="B237" t="s">
        <v>477</v>
      </c>
      <c r="C237">
        <v>2017</v>
      </c>
      <c r="D237">
        <v>0</v>
      </c>
      <c r="E237" t="s">
        <v>21</v>
      </c>
      <c r="F237" t="s">
        <v>128</v>
      </c>
      <c r="G237" t="s">
        <v>367</v>
      </c>
      <c r="H237">
        <v>1</v>
      </c>
      <c r="I237">
        <v>4.8101025000000002</v>
      </c>
      <c r="J237">
        <v>320</v>
      </c>
      <c r="K237">
        <v>1.24</v>
      </c>
      <c r="L237">
        <v>108.0622</v>
      </c>
      <c r="M237">
        <v>23.370999999999999</v>
      </c>
      <c r="N237">
        <v>0.34</v>
      </c>
      <c r="O237">
        <v>2.085</v>
      </c>
      <c r="P237">
        <v>5.1999999999999998E-2</v>
      </c>
      <c r="Q237">
        <v>1.64</v>
      </c>
      <c r="R237">
        <v>2.5499999999999998</v>
      </c>
    </row>
    <row r="238" spans="1:19" x14ac:dyDescent="0.2">
      <c r="A238" t="s">
        <v>478</v>
      </c>
      <c r="B238" t="s">
        <v>479</v>
      </c>
      <c r="C238">
        <v>2008</v>
      </c>
      <c r="D238">
        <v>1</v>
      </c>
      <c r="E238" t="s">
        <v>21</v>
      </c>
      <c r="F238" t="s">
        <v>128</v>
      </c>
      <c r="G238" t="s">
        <v>367</v>
      </c>
      <c r="H238">
        <v>1</v>
      </c>
      <c r="I238">
        <v>2.2047400000000001</v>
      </c>
      <c r="J238">
        <v>320</v>
      </c>
      <c r="L238">
        <v>584.80719999999997</v>
      </c>
      <c r="M238">
        <v>16.925999999999998</v>
      </c>
      <c r="N238">
        <v>1.84</v>
      </c>
      <c r="O238">
        <v>1.51</v>
      </c>
      <c r="Q238">
        <v>1.56</v>
      </c>
      <c r="R238">
        <v>2</v>
      </c>
      <c r="S238">
        <v>0.27</v>
      </c>
    </row>
    <row r="239" spans="1:19" x14ac:dyDescent="0.2">
      <c r="A239" t="s">
        <v>480</v>
      </c>
      <c r="B239" t="s">
        <v>481</v>
      </c>
      <c r="C239">
        <v>2008</v>
      </c>
      <c r="D239">
        <v>0</v>
      </c>
      <c r="E239" t="s">
        <v>21</v>
      </c>
      <c r="F239" t="s">
        <v>128</v>
      </c>
      <c r="G239" t="s">
        <v>367</v>
      </c>
      <c r="H239">
        <v>1</v>
      </c>
      <c r="I239">
        <v>3.0763400000000001</v>
      </c>
      <c r="J239">
        <v>230</v>
      </c>
      <c r="L239">
        <v>406.82240000000002</v>
      </c>
      <c r="M239">
        <v>15.693</v>
      </c>
      <c r="N239">
        <v>1.28</v>
      </c>
      <c r="O239">
        <v>1.4</v>
      </c>
      <c r="Q239">
        <v>1.27</v>
      </c>
      <c r="R239">
        <v>1.57</v>
      </c>
      <c r="S239">
        <v>0.46</v>
      </c>
    </row>
    <row r="240" spans="1:19" x14ac:dyDescent="0.2">
      <c r="A240" t="s">
        <v>482</v>
      </c>
      <c r="B240" t="s">
        <v>483</v>
      </c>
      <c r="C240">
        <v>2008</v>
      </c>
      <c r="D240">
        <v>0</v>
      </c>
      <c r="E240" t="s">
        <v>21</v>
      </c>
      <c r="F240" t="s">
        <v>128</v>
      </c>
      <c r="G240" t="s">
        <v>367</v>
      </c>
      <c r="H240">
        <v>1</v>
      </c>
      <c r="I240">
        <v>3.9228900000000002</v>
      </c>
      <c r="J240">
        <v>480</v>
      </c>
      <c r="L240">
        <v>247.9</v>
      </c>
      <c r="M240">
        <v>15.69</v>
      </c>
      <c r="N240">
        <v>0.78</v>
      </c>
      <c r="O240">
        <v>1.4</v>
      </c>
      <c r="P240">
        <v>0.35</v>
      </c>
      <c r="Q240">
        <v>1.28</v>
      </c>
      <c r="R240">
        <v>1.32</v>
      </c>
    </row>
    <row r="241" spans="1:19" x14ac:dyDescent="0.2">
      <c r="A241" t="s">
        <v>484</v>
      </c>
      <c r="B241" t="s">
        <v>485</v>
      </c>
      <c r="C241">
        <v>2012</v>
      </c>
      <c r="D241">
        <v>0</v>
      </c>
      <c r="E241" t="s">
        <v>21</v>
      </c>
      <c r="F241" t="s">
        <v>128</v>
      </c>
      <c r="G241" t="s">
        <v>486</v>
      </c>
      <c r="H241">
        <v>1</v>
      </c>
      <c r="I241">
        <v>3.4464589999999999</v>
      </c>
      <c r="J241">
        <v>303</v>
      </c>
      <c r="L241">
        <v>589.54999999999995</v>
      </c>
      <c r="M241">
        <v>14.593999999999999</v>
      </c>
      <c r="N241">
        <v>1.855</v>
      </c>
      <c r="O241">
        <v>1.302</v>
      </c>
      <c r="P241">
        <v>1.03</v>
      </c>
      <c r="Q241">
        <v>0.99</v>
      </c>
      <c r="R241">
        <v>1.04</v>
      </c>
    </row>
    <row r="242" spans="1:19" x14ac:dyDescent="0.2">
      <c r="A242" t="s">
        <v>487</v>
      </c>
      <c r="B242" t="s">
        <v>488</v>
      </c>
      <c r="C242">
        <v>2015</v>
      </c>
      <c r="D242">
        <v>0</v>
      </c>
      <c r="E242" t="s">
        <v>21</v>
      </c>
      <c r="F242" t="s">
        <v>128</v>
      </c>
      <c r="G242" t="s">
        <v>486</v>
      </c>
      <c r="H242">
        <v>1</v>
      </c>
      <c r="I242">
        <v>3.312846</v>
      </c>
      <c r="J242">
        <v>496</v>
      </c>
      <c r="K242">
        <v>3.3</v>
      </c>
      <c r="L242">
        <v>167.17858000000001</v>
      </c>
      <c r="M242">
        <v>10.862</v>
      </c>
      <c r="N242">
        <v>0.52600000000000002</v>
      </c>
      <c r="O242">
        <v>0.96899999999999997</v>
      </c>
      <c r="P242">
        <v>0.7</v>
      </c>
      <c r="Q242">
        <v>1.1000000000000001</v>
      </c>
      <c r="R242">
        <v>1.1000000000000001</v>
      </c>
      <c r="S242">
        <v>1.1499999999999999</v>
      </c>
    </row>
    <row r="243" spans="1:19" x14ac:dyDescent="0.2">
      <c r="A243" t="s">
        <v>489</v>
      </c>
      <c r="B243" t="s">
        <v>490</v>
      </c>
      <c r="C243">
        <v>2016</v>
      </c>
      <c r="D243">
        <v>0</v>
      </c>
      <c r="E243" t="s">
        <v>21</v>
      </c>
      <c r="F243" t="s">
        <v>128</v>
      </c>
      <c r="G243" t="s">
        <v>486</v>
      </c>
      <c r="H243">
        <v>1</v>
      </c>
      <c r="I243">
        <v>3.6191879999999998</v>
      </c>
      <c r="J243">
        <v>967.34</v>
      </c>
      <c r="M243">
        <v>18.03</v>
      </c>
      <c r="O243">
        <v>1.609</v>
      </c>
      <c r="Q243">
        <v>1.33</v>
      </c>
      <c r="R243">
        <v>1.54</v>
      </c>
      <c r="S243">
        <v>0.47899999999999998</v>
      </c>
    </row>
    <row r="244" spans="1:19" x14ac:dyDescent="0.2">
      <c r="A244" t="s">
        <v>491</v>
      </c>
      <c r="B244" t="s">
        <v>492</v>
      </c>
      <c r="C244">
        <v>2016</v>
      </c>
      <c r="D244">
        <v>0</v>
      </c>
      <c r="E244" t="s">
        <v>21</v>
      </c>
      <c r="F244" t="s">
        <v>128</v>
      </c>
      <c r="G244" t="s">
        <v>486</v>
      </c>
      <c r="H244">
        <v>1</v>
      </c>
      <c r="I244">
        <v>3.1427019999999999</v>
      </c>
      <c r="J244">
        <v>512.41</v>
      </c>
      <c r="M244">
        <v>7.76</v>
      </c>
      <c r="O244">
        <v>0.69199999999999995</v>
      </c>
      <c r="Q244">
        <v>1.1599999999999999</v>
      </c>
      <c r="R244">
        <v>1.17</v>
      </c>
      <c r="S244">
        <v>0.26900000000000002</v>
      </c>
    </row>
    <row r="245" spans="1:19" x14ac:dyDescent="0.2">
      <c r="A245" t="s">
        <v>493</v>
      </c>
      <c r="B245" t="s">
        <v>494</v>
      </c>
      <c r="C245">
        <v>2015</v>
      </c>
      <c r="D245">
        <v>0</v>
      </c>
      <c r="E245" t="s">
        <v>21</v>
      </c>
      <c r="F245" t="s">
        <v>128</v>
      </c>
      <c r="G245" t="s">
        <v>486</v>
      </c>
      <c r="H245">
        <v>1</v>
      </c>
      <c r="I245">
        <v>3.0440499000000001</v>
      </c>
      <c r="J245">
        <v>476</v>
      </c>
      <c r="K245">
        <v>2.5</v>
      </c>
      <c r="L245">
        <v>172.58169000000001</v>
      </c>
      <c r="M245">
        <v>13.585000000000001</v>
      </c>
      <c r="N245">
        <v>0.54300000000000004</v>
      </c>
      <c r="O245">
        <v>1.212</v>
      </c>
      <c r="P245">
        <v>0.377</v>
      </c>
      <c r="Q245">
        <v>0.96</v>
      </c>
      <c r="R245">
        <v>0.89</v>
      </c>
      <c r="S245">
        <v>1.93</v>
      </c>
    </row>
    <row r="246" spans="1:19" x14ac:dyDescent="0.2">
      <c r="A246" t="s">
        <v>495</v>
      </c>
      <c r="B246" t="s">
        <v>496</v>
      </c>
      <c r="C246">
        <v>2015</v>
      </c>
      <c r="D246">
        <v>0</v>
      </c>
      <c r="E246" t="s">
        <v>21</v>
      </c>
      <c r="F246" t="s">
        <v>128</v>
      </c>
      <c r="G246" t="s">
        <v>486</v>
      </c>
      <c r="H246">
        <v>1</v>
      </c>
      <c r="I246">
        <v>2.7667641000000001</v>
      </c>
      <c r="J246">
        <v>513</v>
      </c>
      <c r="K246">
        <v>4.9000000000000004</v>
      </c>
      <c r="L246">
        <v>340.39593000000002</v>
      </c>
      <c r="M246">
        <v>11.646000000000001</v>
      </c>
      <c r="N246">
        <v>1.071</v>
      </c>
      <c r="O246">
        <v>1.0389999999999999</v>
      </c>
      <c r="P246">
        <v>1.1910000000000001</v>
      </c>
      <c r="Q246">
        <v>0.97</v>
      </c>
      <c r="R246">
        <v>0.93</v>
      </c>
      <c r="S246">
        <v>1.6819999999999999</v>
      </c>
    </row>
    <row r="247" spans="1:19" x14ac:dyDescent="0.2">
      <c r="A247" t="s">
        <v>497</v>
      </c>
      <c r="B247" t="s">
        <v>498</v>
      </c>
      <c r="C247">
        <v>2016</v>
      </c>
      <c r="D247">
        <v>0</v>
      </c>
      <c r="E247" t="s">
        <v>21</v>
      </c>
      <c r="F247" t="s">
        <v>128</v>
      </c>
      <c r="G247" t="s">
        <v>486</v>
      </c>
      <c r="H247">
        <v>1</v>
      </c>
      <c r="I247">
        <v>1.7474875299999999</v>
      </c>
      <c r="J247">
        <v>689</v>
      </c>
      <c r="K247">
        <v>11</v>
      </c>
      <c r="L247">
        <v>689.69110000000001</v>
      </c>
      <c r="M247">
        <v>12.385999999999999</v>
      </c>
      <c r="N247">
        <v>2.17</v>
      </c>
      <c r="O247">
        <v>1.105</v>
      </c>
      <c r="P247">
        <v>1.97</v>
      </c>
      <c r="Q247">
        <v>0.87</v>
      </c>
      <c r="R247">
        <v>0.92</v>
      </c>
      <c r="S247">
        <v>1.57</v>
      </c>
    </row>
    <row r="248" spans="1:19" x14ac:dyDescent="0.2">
      <c r="A248" t="s">
        <v>499</v>
      </c>
      <c r="B248" t="s">
        <v>500</v>
      </c>
      <c r="C248">
        <v>2016</v>
      </c>
      <c r="D248">
        <v>0</v>
      </c>
      <c r="E248" t="s">
        <v>21</v>
      </c>
      <c r="F248" t="s">
        <v>128</v>
      </c>
      <c r="G248" t="s">
        <v>486</v>
      </c>
      <c r="H248">
        <v>1</v>
      </c>
      <c r="I248">
        <v>2.6865019999999999</v>
      </c>
      <c r="J248">
        <v>774</v>
      </c>
      <c r="K248">
        <v>9.5</v>
      </c>
      <c r="L248">
        <v>1039.3041000000001</v>
      </c>
      <c r="M248">
        <v>14.571999999999999</v>
      </c>
      <c r="N248">
        <v>3.27</v>
      </c>
      <c r="O248">
        <v>1.3</v>
      </c>
      <c r="P248">
        <v>1.86</v>
      </c>
      <c r="Q248">
        <v>0.97</v>
      </c>
      <c r="R248">
        <v>1.24</v>
      </c>
      <c r="S248">
        <v>0.72</v>
      </c>
    </row>
    <row r="249" spans="1:19" x14ac:dyDescent="0.2">
      <c r="A249" t="s">
        <v>501</v>
      </c>
      <c r="B249" t="s">
        <v>502</v>
      </c>
      <c r="C249">
        <v>2016</v>
      </c>
      <c r="D249">
        <v>0</v>
      </c>
      <c r="E249" t="s">
        <v>21</v>
      </c>
      <c r="F249" t="s">
        <v>128</v>
      </c>
      <c r="G249" t="s">
        <v>486</v>
      </c>
      <c r="H249">
        <v>1</v>
      </c>
      <c r="I249">
        <v>16.254611000000001</v>
      </c>
      <c r="J249">
        <v>339</v>
      </c>
      <c r="K249">
        <v>2.1</v>
      </c>
      <c r="L249">
        <v>425.25653999999997</v>
      </c>
      <c r="M249">
        <v>8.7089999999999996</v>
      </c>
      <c r="N249">
        <v>1.3380000000000001</v>
      </c>
      <c r="O249">
        <v>0.77700000000000002</v>
      </c>
      <c r="P249">
        <v>3.5</v>
      </c>
      <c r="Q249">
        <v>1.1299999999999999</v>
      </c>
      <c r="R249">
        <v>1.0900000000000001</v>
      </c>
      <c r="S249">
        <v>1.22</v>
      </c>
    </row>
    <row r="250" spans="1:19" x14ac:dyDescent="0.2">
      <c r="A250" t="s">
        <v>503</v>
      </c>
      <c r="B250" t="s">
        <v>504</v>
      </c>
      <c r="C250">
        <v>2016</v>
      </c>
      <c r="D250">
        <v>0</v>
      </c>
      <c r="E250" t="s">
        <v>21</v>
      </c>
      <c r="F250" t="s">
        <v>128</v>
      </c>
      <c r="G250" t="s">
        <v>35</v>
      </c>
      <c r="H250">
        <v>1</v>
      </c>
      <c r="I250">
        <v>0.83784340000000002</v>
      </c>
      <c r="J250">
        <v>645</v>
      </c>
      <c r="K250">
        <v>4.2</v>
      </c>
      <c r="L250">
        <v>629.30340000000001</v>
      </c>
      <c r="M250">
        <v>14.986000000000001</v>
      </c>
      <c r="N250">
        <v>1.98</v>
      </c>
      <c r="O250">
        <v>1.337</v>
      </c>
      <c r="P250">
        <v>1.02</v>
      </c>
      <c r="Q250">
        <v>1.04</v>
      </c>
      <c r="R250">
        <v>1.02</v>
      </c>
      <c r="S250">
        <v>1.37</v>
      </c>
    </row>
    <row r="251" spans="1:19" x14ac:dyDescent="0.2">
      <c r="A251" t="s">
        <v>505</v>
      </c>
      <c r="B251" t="s">
        <v>506</v>
      </c>
      <c r="C251">
        <v>2013</v>
      </c>
      <c r="D251">
        <v>0</v>
      </c>
      <c r="E251" t="s">
        <v>21</v>
      </c>
      <c r="F251" t="s">
        <v>128</v>
      </c>
      <c r="G251" t="s">
        <v>486</v>
      </c>
      <c r="H251">
        <v>1</v>
      </c>
      <c r="I251">
        <v>1.354133</v>
      </c>
      <c r="J251">
        <v>360</v>
      </c>
      <c r="K251">
        <v>9.6999999999999993</v>
      </c>
      <c r="L251">
        <v>427.46300000000002</v>
      </c>
      <c r="M251">
        <v>13.092000000000001</v>
      </c>
      <c r="N251">
        <v>1.345</v>
      </c>
      <c r="O251">
        <v>1.1679999999999999</v>
      </c>
      <c r="P251">
        <v>1.05</v>
      </c>
      <c r="Q251">
        <v>0.88</v>
      </c>
      <c r="R251">
        <v>0.9</v>
      </c>
    </row>
    <row r="252" spans="1:19" x14ac:dyDescent="0.2">
      <c r="A252" t="s">
        <v>507</v>
      </c>
      <c r="B252" t="s">
        <v>508</v>
      </c>
      <c r="C252">
        <v>2017</v>
      </c>
      <c r="D252">
        <v>0</v>
      </c>
      <c r="E252" t="s">
        <v>21</v>
      </c>
      <c r="F252" t="s">
        <v>128</v>
      </c>
      <c r="G252" t="s">
        <v>486</v>
      </c>
      <c r="H252">
        <v>1</v>
      </c>
      <c r="I252">
        <v>4.7228123999999996</v>
      </c>
      <c r="J252">
        <v>207.9</v>
      </c>
      <c r="L252">
        <v>870.85419999999999</v>
      </c>
      <c r="M252">
        <v>10.682</v>
      </c>
      <c r="N252">
        <v>2.74</v>
      </c>
      <c r="O252">
        <v>0.95299999999999996</v>
      </c>
      <c r="P252">
        <v>3.89</v>
      </c>
      <c r="Q252">
        <v>0.76</v>
      </c>
      <c r="R252">
        <v>0.69</v>
      </c>
      <c r="S252">
        <v>3.28</v>
      </c>
    </row>
    <row r="253" spans="1:19" x14ac:dyDescent="0.2">
      <c r="A253" t="s">
        <v>509</v>
      </c>
      <c r="B253" t="s">
        <v>510</v>
      </c>
      <c r="C253">
        <v>2017</v>
      </c>
      <c r="D253">
        <v>0</v>
      </c>
      <c r="E253" t="s">
        <v>21</v>
      </c>
      <c r="F253" t="s">
        <v>128</v>
      </c>
      <c r="G253" t="s">
        <v>486</v>
      </c>
      <c r="H253">
        <v>1</v>
      </c>
      <c r="I253">
        <v>2.1605156000000001</v>
      </c>
      <c r="J253">
        <v>747</v>
      </c>
      <c r="K253">
        <v>4.2</v>
      </c>
      <c r="L253">
        <v>467.21010000000001</v>
      </c>
      <c r="M253">
        <v>20.849</v>
      </c>
      <c r="N253">
        <v>1.47</v>
      </c>
      <c r="O253">
        <v>1.86</v>
      </c>
      <c r="P253">
        <v>0.28999999999999998</v>
      </c>
      <c r="Q253">
        <v>1.1200000000000001</v>
      </c>
      <c r="R253">
        <v>1.2</v>
      </c>
      <c r="S253">
        <v>0.91</v>
      </c>
    </row>
    <row r="254" spans="1:19" x14ac:dyDescent="0.2">
      <c r="A254" t="s">
        <v>511</v>
      </c>
      <c r="B254" t="s">
        <v>512</v>
      </c>
      <c r="C254">
        <v>2017</v>
      </c>
      <c r="D254">
        <v>0</v>
      </c>
      <c r="E254" t="s">
        <v>21</v>
      </c>
      <c r="F254" t="s">
        <v>128</v>
      </c>
      <c r="G254" t="s">
        <v>486</v>
      </c>
      <c r="H254">
        <v>1</v>
      </c>
      <c r="I254">
        <v>1.3484954</v>
      </c>
      <c r="J254">
        <v>510</v>
      </c>
      <c r="K254">
        <v>0.88</v>
      </c>
      <c r="L254">
        <v>775.50519999999995</v>
      </c>
      <c r="M254">
        <v>16.667999999999999</v>
      </c>
      <c r="N254">
        <v>2.44</v>
      </c>
      <c r="O254">
        <v>1.4870000000000001</v>
      </c>
      <c r="P254">
        <v>0.92</v>
      </c>
      <c r="Q254">
        <v>1.21</v>
      </c>
      <c r="R254">
        <v>1.17</v>
      </c>
      <c r="S254">
        <v>1.0589999999999999</v>
      </c>
    </row>
    <row r="255" spans="1:19" x14ac:dyDescent="0.2">
      <c r="A255" t="s">
        <v>513</v>
      </c>
      <c r="B255" t="s">
        <v>514</v>
      </c>
      <c r="C255">
        <v>2016</v>
      </c>
      <c r="D255">
        <v>0</v>
      </c>
      <c r="E255" t="s">
        <v>21</v>
      </c>
      <c r="F255" t="s">
        <v>128</v>
      </c>
      <c r="G255" t="s">
        <v>486</v>
      </c>
      <c r="H255">
        <v>1</v>
      </c>
      <c r="I255">
        <v>4.2986431999999999</v>
      </c>
      <c r="J255">
        <v>466</v>
      </c>
      <c r="K255">
        <v>7.5</v>
      </c>
      <c r="L255">
        <v>194.82979</v>
      </c>
      <c r="M255">
        <v>14.122999999999999</v>
      </c>
      <c r="N255">
        <v>0.61299999999999999</v>
      </c>
      <c r="O255">
        <v>1.26</v>
      </c>
      <c r="P255">
        <v>0.38</v>
      </c>
      <c r="Q255">
        <v>0.99</v>
      </c>
      <c r="R255">
        <v>1.1100000000000001</v>
      </c>
      <c r="S255">
        <v>1.03</v>
      </c>
    </row>
    <row r="256" spans="1:19" x14ac:dyDescent="0.2">
      <c r="A256" t="s">
        <v>515</v>
      </c>
      <c r="B256" t="s">
        <v>516</v>
      </c>
      <c r="C256">
        <v>2016</v>
      </c>
      <c r="D256">
        <v>0</v>
      </c>
      <c r="E256" t="s">
        <v>21</v>
      </c>
      <c r="F256" t="s">
        <v>128</v>
      </c>
      <c r="G256" t="s">
        <v>486</v>
      </c>
      <c r="H256">
        <v>1</v>
      </c>
      <c r="I256">
        <v>3.3023880999999999</v>
      </c>
      <c r="J256">
        <v>907</v>
      </c>
      <c r="K256">
        <v>4.04</v>
      </c>
      <c r="L256">
        <v>206.58949999999999</v>
      </c>
      <c r="M256">
        <v>19.616</v>
      </c>
      <c r="N256">
        <v>0.65</v>
      </c>
      <c r="O256">
        <v>1.75</v>
      </c>
      <c r="P256">
        <v>0.153</v>
      </c>
      <c r="Q256">
        <v>1.3</v>
      </c>
      <c r="R256">
        <v>2.04</v>
      </c>
      <c r="S256">
        <v>0.218</v>
      </c>
    </row>
    <row r="257" spans="1:19" x14ac:dyDescent="0.2">
      <c r="A257" t="s">
        <v>517</v>
      </c>
      <c r="B257" t="s">
        <v>518</v>
      </c>
      <c r="C257">
        <v>2016</v>
      </c>
      <c r="D257">
        <v>0</v>
      </c>
      <c r="E257" t="s">
        <v>21</v>
      </c>
      <c r="F257" t="s">
        <v>128</v>
      </c>
      <c r="G257" t="s">
        <v>486</v>
      </c>
      <c r="H257">
        <v>1</v>
      </c>
      <c r="I257">
        <v>4.6370380000000004</v>
      </c>
      <c r="J257">
        <v>840</v>
      </c>
      <c r="K257">
        <v>2.2999999999999998</v>
      </c>
      <c r="L257">
        <v>168.44990000000001</v>
      </c>
      <c r="M257">
        <v>16.814</v>
      </c>
      <c r="N257">
        <v>0.53</v>
      </c>
      <c r="O257">
        <v>1.5</v>
      </c>
      <c r="P257">
        <v>0.18</v>
      </c>
      <c r="Q257">
        <v>1.42</v>
      </c>
      <c r="R257">
        <v>1.74</v>
      </c>
      <c r="S257">
        <v>0.379</v>
      </c>
    </row>
    <row r="258" spans="1:19" x14ac:dyDescent="0.2">
      <c r="A258" t="s">
        <v>519</v>
      </c>
      <c r="B258" t="s">
        <v>520</v>
      </c>
      <c r="C258">
        <v>2016</v>
      </c>
      <c r="D258">
        <v>0</v>
      </c>
      <c r="E258" t="s">
        <v>21</v>
      </c>
      <c r="F258" t="s">
        <v>128</v>
      </c>
      <c r="G258" t="s">
        <v>486</v>
      </c>
      <c r="H258">
        <v>1</v>
      </c>
      <c r="I258">
        <v>3.1810781000000001</v>
      </c>
      <c r="J258">
        <v>521</v>
      </c>
      <c r="K258">
        <v>6.2</v>
      </c>
      <c r="L258">
        <v>213.58176</v>
      </c>
      <c r="M258">
        <v>13.384</v>
      </c>
      <c r="N258">
        <v>0.67200000000000004</v>
      </c>
      <c r="O258">
        <v>1.194</v>
      </c>
      <c r="P258">
        <v>0.48</v>
      </c>
      <c r="Q258">
        <v>0.93</v>
      </c>
      <c r="R258">
        <v>0.92</v>
      </c>
      <c r="S258">
        <v>1.67</v>
      </c>
    </row>
    <row r="259" spans="1:19" x14ac:dyDescent="0.2">
      <c r="A259" t="s">
        <v>521</v>
      </c>
      <c r="B259" t="s">
        <v>522</v>
      </c>
      <c r="C259">
        <v>2016</v>
      </c>
      <c r="D259">
        <v>0</v>
      </c>
      <c r="E259" t="s">
        <v>21</v>
      </c>
      <c r="F259" t="s">
        <v>128</v>
      </c>
      <c r="G259" t="s">
        <v>486</v>
      </c>
      <c r="H259">
        <v>1</v>
      </c>
      <c r="I259">
        <v>4.6058748999999999</v>
      </c>
      <c r="J259">
        <v>351</v>
      </c>
      <c r="K259">
        <v>5.5</v>
      </c>
      <c r="L259">
        <v>207.54299</v>
      </c>
      <c r="M259">
        <v>14.022</v>
      </c>
      <c r="N259">
        <v>0.65300000000000002</v>
      </c>
      <c r="O259">
        <v>1.2509999999999999</v>
      </c>
      <c r="P259">
        <v>0.41099999999999998</v>
      </c>
      <c r="Q259">
        <v>1.03</v>
      </c>
      <c r="R259">
        <v>1.07</v>
      </c>
      <c r="S259">
        <v>1.17</v>
      </c>
    </row>
    <row r="260" spans="1:19" x14ac:dyDescent="0.2">
      <c r="A260" t="s">
        <v>523</v>
      </c>
      <c r="B260" t="s">
        <v>524</v>
      </c>
      <c r="C260">
        <v>2013</v>
      </c>
      <c r="D260">
        <v>0</v>
      </c>
      <c r="E260" t="s">
        <v>21</v>
      </c>
      <c r="F260" t="s">
        <v>128</v>
      </c>
      <c r="G260" t="s">
        <v>486</v>
      </c>
      <c r="H260">
        <v>1</v>
      </c>
      <c r="I260">
        <v>3.5478510000000001</v>
      </c>
      <c r="J260">
        <v>453</v>
      </c>
      <c r="K260">
        <v>3.2</v>
      </c>
      <c r="L260">
        <v>340.38200000000001</v>
      </c>
      <c r="M260">
        <v>15.48</v>
      </c>
      <c r="N260">
        <v>1.071</v>
      </c>
      <c r="O260">
        <v>1.381</v>
      </c>
      <c r="P260">
        <v>0.51</v>
      </c>
      <c r="Q260">
        <v>1.21</v>
      </c>
      <c r="R260">
        <v>1.4</v>
      </c>
    </row>
    <row r="261" spans="1:19" x14ac:dyDescent="0.2">
      <c r="A261" t="s">
        <v>525</v>
      </c>
      <c r="B261" t="s">
        <v>526</v>
      </c>
      <c r="C261">
        <v>2016</v>
      </c>
      <c r="D261">
        <v>0</v>
      </c>
      <c r="E261" t="s">
        <v>21</v>
      </c>
      <c r="F261" t="s">
        <v>128</v>
      </c>
      <c r="G261" t="s">
        <v>486</v>
      </c>
      <c r="H261">
        <v>1</v>
      </c>
      <c r="I261">
        <v>3.1743516000000001</v>
      </c>
      <c r="J261">
        <v>339</v>
      </c>
      <c r="K261">
        <v>2.2999999999999998</v>
      </c>
      <c r="L261">
        <v>224.38798</v>
      </c>
      <c r="M261">
        <v>13.170999999999999</v>
      </c>
      <c r="N261">
        <v>0.70599999999999996</v>
      </c>
      <c r="O261">
        <v>1.175</v>
      </c>
      <c r="P261">
        <v>0.54300000000000004</v>
      </c>
      <c r="Q261">
        <v>1.0900000000000001</v>
      </c>
      <c r="R261">
        <v>1.06</v>
      </c>
      <c r="S261">
        <v>1.29</v>
      </c>
    </row>
    <row r="262" spans="1:19" x14ac:dyDescent="0.2">
      <c r="A262" t="s">
        <v>527</v>
      </c>
      <c r="B262" t="s">
        <v>528</v>
      </c>
      <c r="C262">
        <v>2016</v>
      </c>
      <c r="D262">
        <v>0</v>
      </c>
      <c r="E262" t="s">
        <v>21</v>
      </c>
      <c r="F262" t="s">
        <v>128</v>
      </c>
      <c r="G262" t="s">
        <v>486</v>
      </c>
      <c r="H262">
        <v>1</v>
      </c>
      <c r="I262">
        <v>3.3779599999999999</v>
      </c>
      <c r="J262">
        <v>872</v>
      </c>
      <c r="K262">
        <v>4.3</v>
      </c>
      <c r="L262">
        <v>279.69040000000001</v>
      </c>
      <c r="M262">
        <v>18.382999999999999</v>
      </c>
      <c r="N262">
        <v>0.88</v>
      </c>
      <c r="O262">
        <v>1.64</v>
      </c>
      <c r="P262">
        <v>0.24299999999999999</v>
      </c>
      <c r="Q262">
        <v>1.27</v>
      </c>
      <c r="R262">
        <v>1.87</v>
      </c>
      <c r="S262">
        <v>0.27500000000000002</v>
      </c>
    </row>
    <row r="263" spans="1:19" x14ac:dyDescent="0.2">
      <c r="A263" t="s">
        <v>529</v>
      </c>
      <c r="B263" t="s">
        <v>530</v>
      </c>
      <c r="C263">
        <v>2016</v>
      </c>
      <c r="D263">
        <v>0</v>
      </c>
      <c r="E263" t="s">
        <v>21</v>
      </c>
      <c r="F263" t="s">
        <v>128</v>
      </c>
      <c r="G263" t="s">
        <v>486</v>
      </c>
      <c r="H263">
        <v>1</v>
      </c>
      <c r="I263">
        <v>2.8126547999999998</v>
      </c>
      <c r="J263">
        <v>839</v>
      </c>
      <c r="K263">
        <v>3.5</v>
      </c>
      <c r="L263">
        <v>292.40359999999998</v>
      </c>
      <c r="M263">
        <v>14</v>
      </c>
      <c r="N263">
        <v>0.92</v>
      </c>
      <c r="O263">
        <v>1.2490000000000001</v>
      </c>
      <c r="P263">
        <v>0.57999999999999996</v>
      </c>
      <c r="Q263">
        <v>1.1000000000000001</v>
      </c>
      <c r="R263">
        <v>1.1000000000000001</v>
      </c>
      <c r="S263">
        <v>1.17</v>
      </c>
    </row>
    <row r="264" spans="1:19" x14ac:dyDescent="0.2">
      <c r="A264" t="s">
        <v>531</v>
      </c>
      <c r="B264" t="s">
        <v>532</v>
      </c>
      <c r="C264">
        <v>2016</v>
      </c>
      <c r="D264">
        <v>0</v>
      </c>
      <c r="E264" t="s">
        <v>21</v>
      </c>
      <c r="F264" t="s">
        <v>128</v>
      </c>
      <c r="G264" t="s">
        <v>486</v>
      </c>
      <c r="H264">
        <v>1</v>
      </c>
      <c r="I264">
        <v>2.5495551000000001</v>
      </c>
      <c r="J264">
        <v>255</v>
      </c>
      <c r="K264">
        <v>3</v>
      </c>
      <c r="L264">
        <v>378.85336000000001</v>
      </c>
      <c r="M264">
        <v>13.787000000000001</v>
      </c>
      <c r="N264">
        <v>1.1919999999999999</v>
      </c>
      <c r="O264">
        <v>1.23</v>
      </c>
      <c r="P264">
        <v>0.79</v>
      </c>
      <c r="Q264">
        <v>1.06</v>
      </c>
      <c r="R264">
        <v>1.02</v>
      </c>
      <c r="S264">
        <v>1.4</v>
      </c>
    </row>
    <row r="265" spans="1:19" x14ac:dyDescent="0.2">
      <c r="A265" t="s">
        <v>533</v>
      </c>
      <c r="B265" t="s">
        <v>534</v>
      </c>
      <c r="C265">
        <v>2016</v>
      </c>
      <c r="D265">
        <v>0</v>
      </c>
      <c r="E265" t="s">
        <v>21</v>
      </c>
      <c r="F265" t="s">
        <v>128</v>
      </c>
      <c r="G265" t="s">
        <v>486</v>
      </c>
      <c r="H265">
        <v>1</v>
      </c>
      <c r="I265">
        <v>2.1061607000000002</v>
      </c>
      <c r="J265">
        <v>532</v>
      </c>
      <c r="K265">
        <v>7.7</v>
      </c>
      <c r="L265">
        <v>299.07803000000001</v>
      </c>
      <c r="M265">
        <v>16.029</v>
      </c>
      <c r="N265">
        <v>0.94099999999999995</v>
      </c>
      <c r="O265">
        <v>1.43</v>
      </c>
      <c r="P265">
        <v>0.4</v>
      </c>
      <c r="Q265">
        <v>0.95</v>
      </c>
      <c r="R265">
        <v>0.98</v>
      </c>
      <c r="S265">
        <v>1.44</v>
      </c>
    </row>
    <row r="266" spans="1:19" x14ac:dyDescent="0.2">
      <c r="A266" t="s">
        <v>535</v>
      </c>
      <c r="B266" t="s">
        <v>536</v>
      </c>
      <c r="C266">
        <v>2016</v>
      </c>
      <c r="D266">
        <v>0</v>
      </c>
      <c r="E266" t="s">
        <v>21</v>
      </c>
      <c r="F266" t="s">
        <v>128</v>
      </c>
      <c r="G266" t="s">
        <v>486</v>
      </c>
      <c r="H266">
        <v>1</v>
      </c>
      <c r="I266">
        <v>1.8209993</v>
      </c>
      <c r="J266">
        <v>557</v>
      </c>
      <c r="K266">
        <v>2.13</v>
      </c>
      <c r="L266">
        <v>388.38826</v>
      </c>
      <c r="M266">
        <v>16.41</v>
      </c>
      <c r="N266">
        <v>1.222</v>
      </c>
      <c r="O266">
        <v>1.464</v>
      </c>
      <c r="P266">
        <v>0.48399999999999999</v>
      </c>
      <c r="Q266">
        <v>1.32</v>
      </c>
      <c r="R266">
        <v>1.43</v>
      </c>
      <c r="S266">
        <v>0.628</v>
      </c>
    </row>
    <row r="267" spans="1:19" x14ac:dyDescent="0.2">
      <c r="A267" t="s">
        <v>537</v>
      </c>
      <c r="B267" t="s">
        <v>538</v>
      </c>
      <c r="C267">
        <v>2018</v>
      </c>
      <c r="D267">
        <v>0</v>
      </c>
      <c r="E267" t="s">
        <v>21</v>
      </c>
      <c r="F267" t="s">
        <v>128</v>
      </c>
      <c r="G267" t="s">
        <v>486</v>
      </c>
      <c r="H267">
        <v>1</v>
      </c>
      <c r="I267">
        <v>4.1751860000000001</v>
      </c>
      <c r="J267">
        <v>878.65</v>
      </c>
      <c r="M267">
        <v>12.92</v>
      </c>
      <c r="O267">
        <v>1.153</v>
      </c>
      <c r="Q267">
        <v>1.1000000000000001</v>
      </c>
      <c r="R267">
        <v>1.1000000000000001</v>
      </c>
      <c r="S267">
        <v>1.19</v>
      </c>
    </row>
    <row r="268" spans="1:19" x14ac:dyDescent="0.2">
      <c r="A268" t="s">
        <v>539</v>
      </c>
      <c r="B268" t="s">
        <v>540</v>
      </c>
      <c r="C268">
        <v>2018</v>
      </c>
      <c r="D268">
        <v>0</v>
      </c>
      <c r="E268" t="s">
        <v>21</v>
      </c>
      <c r="F268" t="s">
        <v>128</v>
      </c>
      <c r="G268" t="s">
        <v>486</v>
      </c>
      <c r="H268">
        <v>1</v>
      </c>
      <c r="I268">
        <v>4.5776348000000002</v>
      </c>
      <c r="J268">
        <v>773</v>
      </c>
      <c r="K268">
        <v>2.06</v>
      </c>
      <c r="L268">
        <v>200.2329</v>
      </c>
      <c r="M268">
        <v>17.597999999999999</v>
      </c>
      <c r="N268">
        <v>0.63</v>
      </c>
      <c r="O268">
        <v>1.57</v>
      </c>
      <c r="P268">
        <v>0.20200000000000001</v>
      </c>
      <c r="Q268">
        <v>1.38</v>
      </c>
      <c r="R268">
        <v>1.62</v>
      </c>
      <c r="S268">
        <v>0.45700000000000002</v>
      </c>
    </row>
    <row r="269" spans="1:19" x14ac:dyDescent="0.2">
      <c r="A269" t="s">
        <v>541</v>
      </c>
      <c r="B269" t="s">
        <v>542</v>
      </c>
      <c r="C269">
        <v>2014</v>
      </c>
      <c r="D269">
        <v>0</v>
      </c>
      <c r="E269" t="s">
        <v>21</v>
      </c>
      <c r="F269" t="s">
        <v>128</v>
      </c>
      <c r="G269" t="s">
        <v>486</v>
      </c>
      <c r="H269">
        <v>1</v>
      </c>
      <c r="I269">
        <v>2.5167290000000002</v>
      </c>
      <c r="J269">
        <v>420</v>
      </c>
      <c r="K269">
        <v>2.1</v>
      </c>
      <c r="L269">
        <v>420.471</v>
      </c>
      <c r="M269">
        <v>11.433</v>
      </c>
      <c r="N269">
        <v>1.323</v>
      </c>
      <c r="O269">
        <v>1.02</v>
      </c>
      <c r="P269">
        <v>1.55</v>
      </c>
      <c r="Q269">
        <v>1</v>
      </c>
      <c r="R269">
        <v>0.93</v>
      </c>
    </row>
    <row r="270" spans="1:19" x14ac:dyDescent="0.2">
      <c r="A270" t="s">
        <v>543</v>
      </c>
      <c r="B270" t="s">
        <v>544</v>
      </c>
      <c r="C270">
        <v>2018</v>
      </c>
      <c r="D270">
        <v>0</v>
      </c>
      <c r="E270" t="s">
        <v>21</v>
      </c>
      <c r="F270" t="s">
        <v>128</v>
      </c>
      <c r="G270" t="s">
        <v>486</v>
      </c>
      <c r="H270">
        <v>1</v>
      </c>
      <c r="I270">
        <v>3.2642736000000001</v>
      </c>
      <c r="J270">
        <v>1431</v>
      </c>
      <c r="K270">
        <v>2.0699999999999998</v>
      </c>
      <c r="L270">
        <v>505.34969999999998</v>
      </c>
      <c r="M270">
        <v>17.71</v>
      </c>
      <c r="N270">
        <v>1.59</v>
      </c>
      <c r="O270">
        <v>1.58</v>
      </c>
      <c r="P270">
        <v>0.49</v>
      </c>
      <c r="Q270">
        <v>1.56</v>
      </c>
      <c r="R270">
        <v>2.2599999999999998</v>
      </c>
      <c r="S270">
        <v>0.189</v>
      </c>
    </row>
    <row r="271" spans="1:19" x14ac:dyDescent="0.2">
      <c r="A271" t="s">
        <v>545</v>
      </c>
      <c r="B271" t="s">
        <v>546</v>
      </c>
      <c r="C271">
        <v>2018</v>
      </c>
      <c r="D271">
        <v>0</v>
      </c>
      <c r="E271" t="s">
        <v>21</v>
      </c>
      <c r="F271" t="s">
        <v>128</v>
      </c>
      <c r="G271" t="s">
        <v>486</v>
      </c>
      <c r="H271">
        <v>1</v>
      </c>
      <c r="I271">
        <v>4.1936489999999997</v>
      </c>
      <c r="J271">
        <v>800</v>
      </c>
      <c r="K271">
        <v>1.34</v>
      </c>
      <c r="L271">
        <v>3082.951</v>
      </c>
      <c r="M271">
        <v>14.907999999999999</v>
      </c>
      <c r="N271">
        <v>9.6999999999999993</v>
      </c>
      <c r="O271">
        <v>1.33</v>
      </c>
      <c r="P271">
        <v>5.0999999999999996</v>
      </c>
      <c r="Q271">
        <v>1.5</v>
      </c>
      <c r="R271">
        <v>1.71</v>
      </c>
      <c r="S271">
        <v>0.42</v>
      </c>
    </row>
    <row r="272" spans="1:19" x14ac:dyDescent="0.2">
      <c r="A272" t="s">
        <v>547</v>
      </c>
      <c r="B272" t="s">
        <v>548</v>
      </c>
      <c r="C272">
        <v>2018</v>
      </c>
      <c r="D272">
        <v>0</v>
      </c>
      <c r="E272" t="s">
        <v>21</v>
      </c>
      <c r="F272" t="s">
        <v>128</v>
      </c>
      <c r="G272" t="s">
        <v>486</v>
      </c>
      <c r="H272">
        <v>1</v>
      </c>
      <c r="I272">
        <v>2.2921019999999999</v>
      </c>
      <c r="J272">
        <v>942</v>
      </c>
      <c r="K272">
        <v>3.26</v>
      </c>
      <c r="L272">
        <v>597.5204</v>
      </c>
      <c r="M272">
        <v>15.693</v>
      </c>
      <c r="N272">
        <v>1.88</v>
      </c>
      <c r="O272">
        <v>1.4</v>
      </c>
      <c r="P272">
        <v>0.83</v>
      </c>
      <c r="Q272">
        <v>1.27</v>
      </c>
      <c r="R272">
        <v>1.48</v>
      </c>
      <c r="S272">
        <v>0.55000000000000004</v>
      </c>
    </row>
    <row r="273" spans="1:19" x14ac:dyDescent="0.2">
      <c r="A273" t="s">
        <v>549</v>
      </c>
      <c r="B273" t="s">
        <v>550</v>
      </c>
      <c r="C273">
        <v>2018</v>
      </c>
      <c r="D273">
        <v>0</v>
      </c>
      <c r="E273" t="s">
        <v>21</v>
      </c>
      <c r="F273" t="s">
        <v>128</v>
      </c>
      <c r="G273" t="s">
        <v>486</v>
      </c>
      <c r="H273">
        <v>1</v>
      </c>
      <c r="I273">
        <v>4.3888496999999997</v>
      </c>
      <c r="J273">
        <v>341</v>
      </c>
      <c r="K273">
        <v>8.6</v>
      </c>
      <c r="L273">
        <v>82.953630000000004</v>
      </c>
      <c r="M273">
        <v>13.227</v>
      </c>
      <c r="N273">
        <v>0.26100000000000001</v>
      </c>
      <c r="O273">
        <v>1.18</v>
      </c>
      <c r="P273">
        <v>0.191</v>
      </c>
      <c r="Q273">
        <v>0.84</v>
      </c>
      <c r="R273">
        <v>0.81</v>
      </c>
      <c r="S273">
        <v>2.1800000000000002</v>
      </c>
    </row>
    <row r="274" spans="1:19" x14ac:dyDescent="0.2">
      <c r="A274" t="s">
        <v>551</v>
      </c>
      <c r="B274" t="s">
        <v>552</v>
      </c>
      <c r="C274">
        <v>2018</v>
      </c>
      <c r="D274">
        <v>0</v>
      </c>
      <c r="E274" t="s">
        <v>21</v>
      </c>
      <c r="F274" t="s">
        <v>128</v>
      </c>
      <c r="G274" t="s">
        <v>486</v>
      </c>
      <c r="H274">
        <v>1</v>
      </c>
      <c r="I274">
        <v>2.7439003999999998</v>
      </c>
      <c r="J274">
        <v>463</v>
      </c>
      <c r="K274">
        <v>9.6999999999999993</v>
      </c>
      <c r="L274">
        <v>177.98480000000001</v>
      </c>
      <c r="M274">
        <v>11.96</v>
      </c>
      <c r="N274">
        <v>0.56000000000000005</v>
      </c>
      <c r="O274">
        <v>1.0669999999999999</v>
      </c>
      <c r="P274">
        <v>0.56000000000000005</v>
      </c>
      <c r="Q274">
        <v>0.86</v>
      </c>
      <c r="R274">
        <v>0.85</v>
      </c>
      <c r="S274">
        <v>1.98</v>
      </c>
    </row>
    <row r="275" spans="1:19" x14ac:dyDescent="0.2">
      <c r="A275" t="s">
        <v>553</v>
      </c>
      <c r="B275" t="s">
        <v>554</v>
      </c>
      <c r="C275">
        <v>2018</v>
      </c>
      <c r="D275">
        <v>0</v>
      </c>
      <c r="E275" t="s">
        <v>21</v>
      </c>
      <c r="F275" t="s">
        <v>128</v>
      </c>
      <c r="G275" t="s">
        <v>486</v>
      </c>
      <c r="H275">
        <v>1</v>
      </c>
      <c r="I275">
        <v>4.1876243999999998</v>
      </c>
      <c r="J275">
        <v>818</v>
      </c>
      <c r="K275">
        <v>1.52</v>
      </c>
      <c r="L275">
        <v>222.48099999999999</v>
      </c>
      <c r="M275">
        <v>14.414999999999999</v>
      </c>
      <c r="N275">
        <v>0.7</v>
      </c>
      <c r="O275">
        <v>1.286</v>
      </c>
      <c r="P275">
        <v>0.41</v>
      </c>
      <c r="Q275">
        <v>1.27</v>
      </c>
      <c r="R275">
        <v>1.31</v>
      </c>
      <c r="S275">
        <v>0.79</v>
      </c>
    </row>
    <row r="276" spans="1:19" x14ac:dyDescent="0.2">
      <c r="A276" t="s">
        <v>555</v>
      </c>
      <c r="B276" t="s">
        <v>556</v>
      </c>
      <c r="C276">
        <v>2018</v>
      </c>
      <c r="D276">
        <v>0</v>
      </c>
      <c r="E276" t="s">
        <v>21</v>
      </c>
      <c r="F276" t="s">
        <v>128</v>
      </c>
      <c r="G276" t="s">
        <v>486</v>
      </c>
      <c r="H276">
        <v>1</v>
      </c>
      <c r="I276">
        <v>4.7423729000000003</v>
      </c>
      <c r="J276">
        <v>448</v>
      </c>
      <c r="K276">
        <v>3</v>
      </c>
      <c r="L276">
        <v>54.984589999999997</v>
      </c>
      <c r="M276">
        <v>10.122</v>
      </c>
      <c r="N276">
        <v>0.17299999999999999</v>
      </c>
      <c r="O276">
        <v>0.90300000000000002</v>
      </c>
      <c r="P276">
        <v>0.28000000000000003</v>
      </c>
      <c r="Q276">
        <v>0.92</v>
      </c>
      <c r="R276">
        <v>0.85</v>
      </c>
      <c r="S276">
        <v>2.1</v>
      </c>
    </row>
    <row r="277" spans="1:19" x14ac:dyDescent="0.2">
      <c r="A277" t="s">
        <v>557</v>
      </c>
      <c r="B277" t="s">
        <v>558</v>
      </c>
      <c r="C277">
        <v>2014</v>
      </c>
      <c r="D277">
        <v>0</v>
      </c>
      <c r="E277" t="s">
        <v>21</v>
      </c>
      <c r="F277" t="s">
        <v>128</v>
      </c>
      <c r="G277" t="s">
        <v>486</v>
      </c>
      <c r="H277">
        <v>1</v>
      </c>
      <c r="I277">
        <v>4.7633869999999998</v>
      </c>
      <c r="J277">
        <v>257</v>
      </c>
      <c r="K277">
        <v>3.6</v>
      </c>
      <c r="L277">
        <v>75.322999999999993</v>
      </c>
      <c r="M277">
        <v>10.223000000000001</v>
      </c>
      <c r="N277">
        <v>0.23699999999999999</v>
      </c>
      <c r="O277">
        <v>0.91200000000000003</v>
      </c>
      <c r="P277">
        <v>0.39</v>
      </c>
      <c r="Q277">
        <v>0.94</v>
      </c>
      <c r="R277">
        <v>0.87</v>
      </c>
    </row>
    <row r="278" spans="1:19" x14ac:dyDescent="0.2">
      <c r="A278" t="s">
        <v>559</v>
      </c>
      <c r="B278" t="s">
        <v>560</v>
      </c>
      <c r="C278">
        <v>2017</v>
      </c>
      <c r="D278">
        <v>0</v>
      </c>
      <c r="E278" t="s">
        <v>21</v>
      </c>
      <c r="F278" t="s">
        <v>128</v>
      </c>
      <c r="G278" t="s">
        <v>486</v>
      </c>
      <c r="H278">
        <v>1</v>
      </c>
      <c r="I278">
        <v>3.8297015000000001</v>
      </c>
      <c r="J278">
        <v>717</v>
      </c>
      <c r="K278">
        <v>1.2</v>
      </c>
      <c r="L278">
        <v>123.9537</v>
      </c>
      <c r="M278">
        <v>12.666</v>
      </c>
      <c r="N278">
        <v>0.39</v>
      </c>
      <c r="O278">
        <v>1.1299999999999999</v>
      </c>
      <c r="P278">
        <v>0.33</v>
      </c>
      <c r="Q278">
        <v>1.17</v>
      </c>
      <c r="R278">
        <v>1.1200000000000001</v>
      </c>
      <c r="S278">
        <v>1.19</v>
      </c>
    </row>
    <row r="279" spans="1:19" x14ac:dyDescent="0.2">
      <c r="A279" t="s">
        <v>561</v>
      </c>
      <c r="B279" t="s">
        <v>562</v>
      </c>
      <c r="C279">
        <v>2017</v>
      </c>
      <c r="D279">
        <v>0</v>
      </c>
      <c r="E279" t="s">
        <v>21</v>
      </c>
      <c r="F279" t="s">
        <v>128</v>
      </c>
      <c r="G279" t="s">
        <v>486</v>
      </c>
      <c r="H279">
        <v>1</v>
      </c>
      <c r="I279">
        <v>3.3488701999999999</v>
      </c>
      <c r="J279">
        <v>478</v>
      </c>
      <c r="K279">
        <v>4.74</v>
      </c>
      <c r="L279">
        <v>244.09343999999999</v>
      </c>
      <c r="M279">
        <v>15.805</v>
      </c>
      <c r="N279">
        <v>0.76800000000000002</v>
      </c>
      <c r="O279">
        <v>1.41</v>
      </c>
      <c r="P279">
        <v>0.34</v>
      </c>
      <c r="Q279">
        <v>1.19</v>
      </c>
      <c r="R279">
        <v>1.44</v>
      </c>
      <c r="S279">
        <v>0.56000000000000005</v>
      </c>
    </row>
    <row r="280" spans="1:19" x14ac:dyDescent="0.2">
      <c r="A280" t="s">
        <v>563</v>
      </c>
      <c r="B280" t="s">
        <v>564</v>
      </c>
      <c r="C280">
        <v>2017</v>
      </c>
      <c r="D280">
        <v>0</v>
      </c>
      <c r="E280" t="s">
        <v>21</v>
      </c>
      <c r="F280" t="s">
        <v>128</v>
      </c>
      <c r="G280" t="s">
        <v>486</v>
      </c>
      <c r="H280">
        <v>1</v>
      </c>
      <c r="I280">
        <v>1.3666543600000001</v>
      </c>
      <c r="J280">
        <v>631</v>
      </c>
      <c r="K280">
        <v>1.2</v>
      </c>
      <c r="L280">
        <v>711.93920000000003</v>
      </c>
      <c r="M280">
        <v>15.491</v>
      </c>
      <c r="N280">
        <v>2.2400000000000002</v>
      </c>
      <c r="O280">
        <v>1.3819999999999999</v>
      </c>
      <c r="P280">
        <v>1.06</v>
      </c>
      <c r="Q280">
        <v>1.1100000000000001</v>
      </c>
      <c r="R280">
        <v>1.05</v>
      </c>
      <c r="S280">
        <v>1.37</v>
      </c>
    </row>
    <row r="281" spans="1:19" x14ac:dyDescent="0.2">
      <c r="A281" t="s">
        <v>565</v>
      </c>
      <c r="B281" t="s">
        <v>566</v>
      </c>
      <c r="C281">
        <v>2017</v>
      </c>
      <c r="D281">
        <v>0</v>
      </c>
      <c r="E281" t="s">
        <v>21</v>
      </c>
      <c r="F281" t="s">
        <v>128</v>
      </c>
      <c r="G281" t="s">
        <v>486</v>
      </c>
      <c r="H281">
        <v>1</v>
      </c>
      <c r="I281">
        <v>3.8537767999999999</v>
      </c>
      <c r="J281">
        <v>613</v>
      </c>
      <c r="K281">
        <v>9</v>
      </c>
      <c r="L281">
        <v>189.10884999999999</v>
      </c>
      <c r="M281">
        <v>15.02</v>
      </c>
      <c r="N281">
        <v>0.59499999999999997</v>
      </c>
      <c r="O281">
        <v>1.34</v>
      </c>
      <c r="P281">
        <v>0.30299999999999999</v>
      </c>
      <c r="Q281">
        <v>0.96</v>
      </c>
      <c r="R281">
        <v>1.1000000000000001</v>
      </c>
      <c r="S281">
        <v>1.0269999999999999</v>
      </c>
    </row>
    <row r="282" spans="1:19" x14ac:dyDescent="0.2">
      <c r="A282" t="s">
        <v>567</v>
      </c>
      <c r="B282" t="s">
        <v>568</v>
      </c>
      <c r="C282">
        <v>2018</v>
      </c>
      <c r="D282">
        <v>0</v>
      </c>
      <c r="E282" t="s">
        <v>21</v>
      </c>
      <c r="F282" t="s">
        <v>128</v>
      </c>
      <c r="G282" t="s">
        <v>486</v>
      </c>
      <c r="H282">
        <v>2</v>
      </c>
      <c r="I282">
        <v>5.4160810000000001</v>
      </c>
      <c r="J282">
        <v>654.88</v>
      </c>
      <c r="K282">
        <v>4.3</v>
      </c>
      <c r="L282">
        <v>256.17097999999999</v>
      </c>
      <c r="M282">
        <v>12.621</v>
      </c>
      <c r="N282">
        <v>0.80600000000000005</v>
      </c>
      <c r="O282">
        <v>1.1259999999999999</v>
      </c>
      <c r="P282">
        <v>0.7</v>
      </c>
      <c r="Q282">
        <v>1.04</v>
      </c>
      <c r="R282">
        <v>1.04</v>
      </c>
      <c r="S282">
        <v>1.31</v>
      </c>
    </row>
    <row r="283" spans="1:19" x14ac:dyDescent="0.2">
      <c r="A283" t="s">
        <v>567</v>
      </c>
      <c r="B283" t="s">
        <v>569</v>
      </c>
      <c r="C283">
        <v>2018</v>
      </c>
      <c r="D283">
        <v>0</v>
      </c>
      <c r="E283" t="s">
        <v>21</v>
      </c>
      <c r="F283" t="s">
        <v>22</v>
      </c>
      <c r="G283" t="s">
        <v>486</v>
      </c>
      <c r="H283">
        <v>2</v>
      </c>
      <c r="I283">
        <v>1422</v>
      </c>
      <c r="J283">
        <v>654.88</v>
      </c>
      <c r="K283">
        <v>4.3</v>
      </c>
      <c r="N283">
        <v>12.7</v>
      </c>
      <c r="Q283">
        <v>1.04</v>
      </c>
      <c r="R283">
        <v>1.04</v>
      </c>
      <c r="S283">
        <v>1.31</v>
      </c>
    </row>
    <row r="284" spans="1:19" x14ac:dyDescent="0.2">
      <c r="A284" t="s">
        <v>570</v>
      </c>
      <c r="B284" t="s">
        <v>571</v>
      </c>
      <c r="C284">
        <v>2015</v>
      </c>
      <c r="D284">
        <v>0</v>
      </c>
      <c r="E284" t="s">
        <v>21</v>
      </c>
      <c r="F284" t="s">
        <v>128</v>
      </c>
      <c r="G284" t="s">
        <v>486</v>
      </c>
      <c r="H284">
        <v>1</v>
      </c>
      <c r="I284">
        <v>3.3252725000000001</v>
      </c>
      <c r="J284">
        <v>148.4</v>
      </c>
      <c r="K284">
        <v>8.1</v>
      </c>
      <c r="L284">
        <v>101.38777</v>
      </c>
      <c r="M284">
        <v>11.186999999999999</v>
      </c>
      <c r="N284">
        <v>0.31900000000000001</v>
      </c>
      <c r="O284">
        <v>0.998</v>
      </c>
      <c r="P284">
        <v>0.39900000000000002</v>
      </c>
      <c r="Q284">
        <v>0.56999999999999995</v>
      </c>
      <c r="R284">
        <v>0.56999999999999995</v>
      </c>
      <c r="S284">
        <v>4.3600000000000003</v>
      </c>
    </row>
    <row r="285" spans="1:19" x14ac:dyDescent="0.2">
      <c r="A285" t="s">
        <v>572</v>
      </c>
      <c r="B285" t="s">
        <v>573</v>
      </c>
      <c r="C285">
        <v>2018</v>
      </c>
      <c r="D285">
        <v>0</v>
      </c>
      <c r="E285" t="s">
        <v>21</v>
      </c>
      <c r="F285" t="s">
        <v>128</v>
      </c>
      <c r="G285" t="s">
        <v>486</v>
      </c>
      <c r="H285">
        <v>1</v>
      </c>
      <c r="I285">
        <v>3.560829</v>
      </c>
      <c r="J285">
        <v>494.3</v>
      </c>
      <c r="K285">
        <v>7.55</v>
      </c>
      <c r="L285">
        <v>210.40346</v>
      </c>
      <c r="M285">
        <v>12.923999999999999</v>
      </c>
      <c r="N285">
        <v>0.66200000000000003</v>
      </c>
      <c r="O285">
        <v>1.153</v>
      </c>
      <c r="P285">
        <v>0.53700000000000003</v>
      </c>
      <c r="Q285">
        <v>1.1000000000000001</v>
      </c>
      <c r="R285">
        <v>1.46</v>
      </c>
      <c r="S285">
        <v>0.496</v>
      </c>
    </row>
    <row r="286" spans="1:19" x14ac:dyDescent="0.2">
      <c r="A286" t="s">
        <v>574</v>
      </c>
      <c r="B286" t="s">
        <v>575</v>
      </c>
      <c r="C286">
        <v>2018</v>
      </c>
      <c r="D286">
        <v>0</v>
      </c>
      <c r="E286" t="s">
        <v>21</v>
      </c>
      <c r="F286" t="s">
        <v>128</v>
      </c>
      <c r="G286" t="s">
        <v>486</v>
      </c>
      <c r="H286">
        <v>1</v>
      </c>
      <c r="I286">
        <v>7.8179530000000002</v>
      </c>
      <c r="J286">
        <v>694</v>
      </c>
      <c r="K286">
        <v>8.9</v>
      </c>
      <c r="L286">
        <v>1080.6220000000001</v>
      </c>
      <c r="M286">
        <v>13.395</v>
      </c>
      <c r="N286">
        <v>3.4</v>
      </c>
      <c r="O286">
        <v>1.1950000000000001</v>
      </c>
      <c r="P286">
        <v>2.4700000000000002</v>
      </c>
      <c r="Q286">
        <v>1.08</v>
      </c>
      <c r="R286">
        <v>1.66</v>
      </c>
      <c r="S286">
        <v>0.33</v>
      </c>
    </row>
    <row r="287" spans="1:19" x14ac:dyDescent="0.2">
      <c r="A287" t="s">
        <v>576</v>
      </c>
      <c r="B287" t="s">
        <v>577</v>
      </c>
      <c r="C287">
        <v>2018</v>
      </c>
      <c r="D287">
        <v>0</v>
      </c>
      <c r="E287" t="s">
        <v>21</v>
      </c>
      <c r="F287" t="s">
        <v>128</v>
      </c>
      <c r="G287" t="s">
        <v>486</v>
      </c>
      <c r="H287">
        <v>1</v>
      </c>
      <c r="I287">
        <v>3.2768837</v>
      </c>
      <c r="J287">
        <v>516.79999999999995</v>
      </c>
      <c r="K287">
        <v>9.5500000000000007</v>
      </c>
      <c r="L287">
        <v>56.891570000000002</v>
      </c>
      <c r="M287">
        <v>11.824999999999999</v>
      </c>
      <c r="N287">
        <v>0.17899999999999999</v>
      </c>
      <c r="O287">
        <v>1.0549999999999999</v>
      </c>
      <c r="P287">
        <v>7.5999999999999998E-2</v>
      </c>
      <c r="Q287">
        <v>0.9</v>
      </c>
      <c r="R287">
        <v>0.93</v>
      </c>
      <c r="S287">
        <v>1.556</v>
      </c>
    </row>
    <row r="288" spans="1:19" x14ac:dyDescent="0.2">
      <c r="A288" t="s">
        <v>578</v>
      </c>
      <c r="B288" t="s">
        <v>579</v>
      </c>
      <c r="C288">
        <v>2018</v>
      </c>
      <c r="D288">
        <v>0</v>
      </c>
      <c r="E288" t="s">
        <v>21</v>
      </c>
      <c r="F288" t="s">
        <v>128</v>
      </c>
      <c r="G288" t="s">
        <v>486</v>
      </c>
      <c r="H288">
        <v>1</v>
      </c>
      <c r="I288">
        <v>3.0566526999999999</v>
      </c>
      <c r="J288">
        <v>634.79999999999995</v>
      </c>
      <c r="K288">
        <v>10.3</v>
      </c>
      <c r="L288">
        <v>305.11680000000001</v>
      </c>
      <c r="M288">
        <v>13.529</v>
      </c>
      <c r="N288">
        <v>0.96</v>
      </c>
      <c r="O288">
        <v>1.2070000000000001</v>
      </c>
      <c r="P288">
        <v>0.67</v>
      </c>
      <c r="Q288">
        <v>0.93</v>
      </c>
      <c r="R288">
        <v>1.07</v>
      </c>
      <c r="S288">
        <v>1.071</v>
      </c>
    </row>
    <row r="289" spans="1:19" x14ac:dyDescent="0.2">
      <c r="A289" t="s">
        <v>580</v>
      </c>
      <c r="B289" t="s">
        <v>581</v>
      </c>
      <c r="C289">
        <v>2018</v>
      </c>
      <c r="D289">
        <v>0</v>
      </c>
      <c r="E289" t="s">
        <v>21</v>
      </c>
      <c r="F289" t="s">
        <v>128</v>
      </c>
      <c r="G289" t="s">
        <v>486</v>
      </c>
      <c r="H289">
        <v>1</v>
      </c>
      <c r="I289">
        <v>4.9088969999999996</v>
      </c>
      <c r="J289">
        <v>1083</v>
      </c>
      <c r="K289">
        <v>1.861</v>
      </c>
      <c r="L289">
        <v>305.11680000000001</v>
      </c>
      <c r="M289">
        <v>18.82</v>
      </c>
      <c r="N289">
        <v>0.96</v>
      </c>
      <c r="O289">
        <v>1.679</v>
      </c>
      <c r="P289">
        <v>0.245</v>
      </c>
      <c r="Q289">
        <v>1.56</v>
      </c>
      <c r="R289">
        <v>2.11</v>
      </c>
      <c r="S289">
        <v>0.23400000000000001</v>
      </c>
    </row>
    <row r="290" spans="1:19" x14ac:dyDescent="0.2">
      <c r="A290" t="s">
        <v>582</v>
      </c>
      <c r="B290" t="s">
        <v>583</v>
      </c>
      <c r="C290">
        <v>2018</v>
      </c>
      <c r="D290">
        <v>0</v>
      </c>
      <c r="E290" t="s">
        <v>21</v>
      </c>
      <c r="F290" t="s">
        <v>128</v>
      </c>
      <c r="G290" t="s">
        <v>486</v>
      </c>
      <c r="H290">
        <v>1</v>
      </c>
      <c r="I290">
        <v>3.1051609999999998</v>
      </c>
      <c r="J290">
        <v>495</v>
      </c>
      <c r="K290">
        <v>1.78</v>
      </c>
      <c r="L290">
        <v>260.93842999999998</v>
      </c>
      <c r="M290">
        <v>16.824999999999999</v>
      </c>
      <c r="N290">
        <v>0.82099999999999995</v>
      </c>
      <c r="O290">
        <v>1.5009999999999999</v>
      </c>
      <c r="P290">
        <v>0.3</v>
      </c>
      <c r="Q290">
        <v>1.26</v>
      </c>
      <c r="R290">
        <v>1.31</v>
      </c>
      <c r="S290">
        <v>0.78800000000000003</v>
      </c>
    </row>
    <row r="291" spans="1:19" x14ac:dyDescent="0.2">
      <c r="A291" t="s">
        <v>584</v>
      </c>
      <c r="B291" t="s">
        <v>585</v>
      </c>
      <c r="C291">
        <v>2018</v>
      </c>
      <c r="D291">
        <v>0</v>
      </c>
      <c r="E291" t="s">
        <v>21</v>
      </c>
      <c r="F291" t="s">
        <v>128</v>
      </c>
      <c r="G291" t="s">
        <v>486</v>
      </c>
      <c r="H291">
        <v>1</v>
      </c>
      <c r="I291">
        <v>3.1414390999999999</v>
      </c>
      <c r="J291">
        <v>1538</v>
      </c>
      <c r="K291">
        <v>2.17</v>
      </c>
      <c r="L291">
        <v>1694.0338999999999</v>
      </c>
      <c r="M291">
        <v>15.816000000000001</v>
      </c>
      <c r="N291">
        <v>5.33</v>
      </c>
      <c r="O291">
        <v>1.411</v>
      </c>
      <c r="P291">
        <v>2.34</v>
      </c>
      <c r="Q291">
        <v>1.41</v>
      </c>
      <c r="R291">
        <v>1.84</v>
      </c>
      <c r="S291">
        <v>0.318</v>
      </c>
    </row>
    <row r="292" spans="1:19" x14ac:dyDescent="0.2">
      <c r="A292" t="s">
        <v>586</v>
      </c>
      <c r="B292" t="s">
        <v>587</v>
      </c>
      <c r="C292">
        <v>2018</v>
      </c>
      <c r="D292">
        <v>0</v>
      </c>
      <c r="E292" t="s">
        <v>21</v>
      </c>
      <c r="F292" t="s">
        <v>128</v>
      </c>
      <c r="G292" t="s">
        <v>486</v>
      </c>
      <c r="H292">
        <v>1</v>
      </c>
      <c r="I292">
        <v>1.6091788</v>
      </c>
      <c r="J292">
        <v>982</v>
      </c>
      <c r="K292">
        <v>0.51</v>
      </c>
      <c r="L292">
        <v>460.8535</v>
      </c>
      <c r="M292">
        <v>18.887</v>
      </c>
      <c r="N292">
        <v>1.45</v>
      </c>
      <c r="O292">
        <v>1.6850000000000001</v>
      </c>
      <c r="P292">
        <v>0.374</v>
      </c>
      <c r="Q292">
        <v>1.44</v>
      </c>
      <c r="R292">
        <v>1.44</v>
      </c>
      <c r="S292">
        <v>0.67700000000000005</v>
      </c>
    </row>
    <row r="293" spans="1:19" x14ac:dyDescent="0.2">
      <c r="A293" t="s">
        <v>588</v>
      </c>
      <c r="B293" t="s">
        <v>589</v>
      </c>
      <c r="C293">
        <v>2018</v>
      </c>
      <c r="D293">
        <v>0</v>
      </c>
      <c r="E293" t="s">
        <v>21</v>
      </c>
      <c r="F293" t="s">
        <v>128</v>
      </c>
      <c r="G293" t="s">
        <v>486</v>
      </c>
      <c r="H293">
        <v>1</v>
      </c>
      <c r="I293">
        <v>3.5862202000000001</v>
      </c>
      <c r="J293">
        <v>618.20000000000005</v>
      </c>
      <c r="K293">
        <v>3.02</v>
      </c>
      <c r="L293">
        <v>410.00069999999999</v>
      </c>
      <c r="M293">
        <v>13.808999999999999</v>
      </c>
      <c r="N293">
        <v>1.29</v>
      </c>
      <c r="O293">
        <v>1.232</v>
      </c>
      <c r="P293">
        <v>0.85599999999999998</v>
      </c>
      <c r="Q293">
        <v>1.35</v>
      </c>
      <c r="R293">
        <v>1.75</v>
      </c>
      <c r="S293">
        <v>0.35599999999999998</v>
      </c>
    </row>
    <row r="294" spans="1:19" x14ac:dyDescent="0.2">
      <c r="A294" t="s">
        <v>590</v>
      </c>
      <c r="B294" t="s">
        <v>591</v>
      </c>
      <c r="C294">
        <v>2018</v>
      </c>
      <c r="D294">
        <v>0</v>
      </c>
      <c r="E294" t="s">
        <v>21</v>
      </c>
      <c r="F294" t="s">
        <v>128</v>
      </c>
      <c r="G294" t="s">
        <v>486</v>
      </c>
      <c r="H294">
        <v>1</v>
      </c>
      <c r="I294">
        <v>2.2252576999999998</v>
      </c>
      <c r="J294">
        <v>420.3</v>
      </c>
      <c r="K294">
        <v>8</v>
      </c>
      <c r="L294">
        <v>183.38791000000001</v>
      </c>
      <c r="M294">
        <v>10.593</v>
      </c>
      <c r="N294">
        <v>0.57699999999999996</v>
      </c>
      <c r="O294">
        <v>0.94499999999999995</v>
      </c>
      <c r="P294">
        <v>0.46</v>
      </c>
      <c r="Q294">
        <v>0.89</v>
      </c>
      <c r="R294">
        <v>0.88</v>
      </c>
      <c r="S294">
        <v>1.8540000000000001</v>
      </c>
    </row>
    <row r="295" spans="1:19" x14ac:dyDescent="0.2">
      <c r="A295" t="s">
        <v>592</v>
      </c>
      <c r="B295" t="s">
        <v>593</v>
      </c>
      <c r="C295">
        <v>2015</v>
      </c>
      <c r="D295">
        <v>0</v>
      </c>
      <c r="E295" t="s">
        <v>21</v>
      </c>
      <c r="F295" t="s">
        <v>128</v>
      </c>
      <c r="G295" t="s">
        <v>486</v>
      </c>
      <c r="H295">
        <v>1</v>
      </c>
      <c r="I295">
        <v>3.1853150000000001</v>
      </c>
      <c r="J295">
        <v>257</v>
      </c>
      <c r="K295">
        <v>7.8</v>
      </c>
      <c r="L295">
        <v>38.139600000000002</v>
      </c>
      <c r="M295">
        <v>6.3109999999999999</v>
      </c>
      <c r="N295">
        <v>0.12</v>
      </c>
      <c r="O295">
        <v>0.56299999999999994</v>
      </c>
      <c r="P295">
        <v>0.83</v>
      </c>
      <c r="Q295">
        <v>0.85</v>
      </c>
      <c r="R295">
        <v>0.81</v>
      </c>
      <c r="S295">
        <v>2.2200000000000002</v>
      </c>
    </row>
    <row r="296" spans="1:19" x14ac:dyDescent="0.2">
      <c r="A296" t="s">
        <v>594</v>
      </c>
      <c r="B296" t="s">
        <v>595</v>
      </c>
      <c r="C296">
        <v>2019</v>
      </c>
      <c r="D296">
        <v>0</v>
      </c>
      <c r="E296" t="s">
        <v>21</v>
      </c>
      <c r="F296" t="s">
        <v>128</v>
      </c>
      <c r="G296" t="s">
        <v>486</v>
      </c>
      <c r="H296">
        <v>1</v>
      </c>
      <c r="I296">
        <v>1.8882378</v>
      </c>
      <c r="J296">
        <v>1307</v>
      </c>
      <c r="K296">
        <v>0.81</v>
      </c>
      <c r="L296">
        <v>4100.0069999999996</v>
      </c>
      <c r="M296">
        <v>15.513</v>
      </c>
      <c r="N296">
        <v>12.9</v>
      </c>
      <c r="O296">
        <v>1.3839999999999999</v>
      </c>
      <c r="P296">
        <v>6.64</v>
      </c>
      <c r="Q296">
        <v>1.78</v>
      </c>
      <c r="R296">
        <v>1.88</v>
      </c>
    </row>
    <row r="297" spans="1:19" x14ac:dyDescent="0.2">
      <c r="A297" t="s">
        <v>596</v>
      </c>
      <c r="B297" t="s">
        <v>597</v>
      </c>
      <c r="C297">
        <v>2015</v>
      </c>
      <c r="D297">
        <v>0</v>
      </c>
      <c r="E297" t="s">
        <v>21</v>
      </c>
      <c r="F297" t="s">
        <v>128</v>
      </c>
      <c r="G297" t="s">
        <v>486</v>
      </c>
      <c r="H297">
        <v>1</v>
      </c>
      <c r="I297">
        <v>3.5838930000000002</v>
      </c>
      <c r="J297">
        <v>829</v>
      </c>
      <c r="K297">
        <v>5.0999999999999996</v>
      </c>
      <c r="L297">
        <v>43.86054</v>
      </c>
      <c r="M297">
        <v>9.7850000000000001</v>
      </c>
      <c r="N297">
        <v>0.13800000000000001</v>
      </c>
      <c r="O297">
        <v>0.873</v>
      </c>
      <c r="P297">
        <v>0.25900000000000001</v>
      </c>
      <c r="Q297">
        <v>1.06</v>
      </c>
      <c r="R297">
        <v>1.0900000000000001</v>
      </c>
      <c r="S297">
        <v>1.1499999999999999</v>
      </c>
    </row>
    <row r="298" spans="1:19" x14ac:dyDescent="0.2">
      <c r="A298" t="s">
        <v>598</v>
      </c>
      <c r="B298" t="s">
        <v>599</v>
      </c>
      <c r="C298">
        <v>2015</v>
      </c>
      <c r="D298">
        <v>0</v>
      </c>
      <c r="E298" t="s">
        <v>21</v>
      </c>
      <c r="F298" t="s">
        <v>128</v>
      </c>
      <c r="G298" t="s">
        <v>486</v>
      </c>
      <c r="H298">
        <v>1</v>
      </c>
      <c r="I298">
        <v>1.9152910000000001</v>
      </c>
      <c r="J298">
        <v>654.36</v>
      </c>
      <c r="M298">
        <v>13.85</v>
      </c>
      <c r="O298">
        <v>1.236</v>
      </c>
      <c r="Q298">
        <v>1.1000000000000001</v>
      </c>
      <c r="R298">
        <v>1.56</v>
      </c>
      <c r="S298">
        <v>0.45100000000000001</v>
      </c>
    </row>
    <row r="299" spans="1:19" x14ac:dyDescent="0.2">
      <c r="A299" t="s">
        <v>600</v>
      </c>
      <c r="B299" t="s">
        <v>601</v>
      </c>
      <c r="C299">
        <v>2014</v>
      </c>
      <c r="D299">
        <v>0</v>
      </c>
      <c r="E299" t="s">
        <v>21</v>
      </c>
      <c r="F299" t="s">
        <v>40</v>
      </c>
      <c r="G299" t="s">
        <v>59</v>
      </c>
      <c r="H299">
        <v>1</v>
      </c>
      <c r="J299">
        <v>97</v>
      </c>
      <c r="K299">
        <v>5.0000000000000001E-3</v>
      </c>
      <c r="M299">
        <v>77.341999999999999</v>
      </c>
      <c r="O299">
        <v>6.9</v>
      </c>
      <c r="Q299">
        <v>2.4</v>
      </c>
    </row>
    <row r="300" spans="1:19" x14ac:dyDescent="0.2">
      <c r="A300" t="s">
        <v>602</v>
      </c>
      <c r="B300" t="s">
        <v>603</v>
      </c>
      <c r="C300">
        <v>2011</v>
      </c>
      <c r="D300">
        <v>0</v>
      </c>
      <c r="E300" t="s">
        <v>21</v>
      </c>
      <c r="F300" t="s">
        <v>22</v>
      </c>
      <c r="G300" t="s">
        <v>105</v>
      </c>
      <c r="H300">
        <v>1</v>
      </c>
      <c r="I300">
        <v>157.57001</v>
      </c>
      <c r="J300">
        <v>137.72</v>
      </c>
      <c r="N300">
        <v>1.61</v>
      </c>
      <c r="Q300">
        <v>2.2799999999999998</v>
      </c>
      <c r="R300">
        <v>10.06</v>
      </c>
    </row>
    <row r="301" spans="1:19" x14ac:dyDescent="0.2">
      <c r="A301" t="s">
        <v>604</v>
      </c>
      <c r="B301" t="s">
        <v>605</v>
      </c>
      <c r="C301">
        <v>2007</v>
      </c>
      <c r="D301">
        <v>0</v>
      </c>
      <c r="E301" t="s">
        <v>21</v>
      </c>
      <c r="F301" t="s">
        <v>22</v>
      </c>
      <c r="G301" t="s">
        <v>138</v>
      </c>
      <c r="H301">
        <v>1</v>
      </c>
      <c r="I301">
        <v>383.70001000000002</v>
      </c>
      <c r="J301">
        <v>49.6</v>
      </c>
      <c r="N301">
        <v>1.03</v>
      </c>
      <c r="Q301">
        <v>0.83</v>
      </c>
      <c r="R301">
        <v>1.04</v>
      </c>
    </row>
    <row r="302" spans="1:19" x14ac:dyDescent="0.2">
      <c r="A302" t="s">
        <v>606</v>
      </c>
      <c r="B302" t="s">
        <v>607</v>
      </c>
      <c r="C302">
        <v>2010</v>
      </c>
      <c r="D302">
        <v>0</v>
      </c>
      <c r="E302" t="s">
        <v>21</v>
      </c>
      <c r="F302" t="s">
        <v>22</v>
      </c>
      <c r="G302" t="s">
        <v>138</v>
      </c>
      <c r="H302">
        <v>6</v>
      </c>
      <c r="I302">
        <v>5.75969</v>
      </c>
      <c r="J302">
        <v>39.020000000000003</v>
      </c>
      <c r="N302">
        <v>4.1599999999999998E-2</v>
      </c>
      <c r="Q302">
        <v>1.06</v>
      </c>
      <c r="R302">
        <v>1.1100000000000001</v>
      </c>
    </row>
    <row r="303" spans="1:19" x14ac:dyDescent="0.2">
      <c r="A303" t="s">
        <v>606</v>
      </c>
      <c r="B303" t="s">
        <v>608</v>
      </c>
      <c r="C303">
        <v>2010</v>
      </c>
      <c r="D303">
        <v>0</v>
      </c>
      <c r="E303" t="s">
        <v>21</v>
      </c>
      <c r="F303" t="s">
        <v>22</v>
      </c>
      <c r="G303" t="s">
        <v>138</v>
      </c>
      <c r="H303">
        <v>6</v>
      </c>
      <c r="I303">
        <v>16.356999999999999</v>
      </c>
      <c r="J303">
        <v>39.020000000000003</v>
      </c>
      <c r="N303">
        <v>3.78E-2</v>
      </c>
      <c r="Q303">
        <v>1.06</v>
      </c>
      <c r="R303">
        <v>1.1100000000000001</v>
      </c>
    </row>
    <row r="304" spans="1:19" x14ac:dyDescent="0.2">
      <c r="A304" t="s">
        <v>606</v>
      </c>
      <c r="B304" t="s">
        <v>609</v>
      </c>
      <c r="C304">
        <v>2010</v>
      </c>
      <c r="D304">
        <v>0</v>
      </c>
      <c r="E304" t="s">
        <v>21</v>
      </c>
      <c r="F304" t="s">
        <v>22</v>
      </c>
      <c r="G304" t="s">
        <v>138</v>
      </c>
      <c r="H304">
        <v>6</v>
      </c>
      <c r="I304">
        <v>49.747999999999998</v>
      </c>
      <c r="J304">
        <v>39.020000000000003</v>
      </c>
      <c r="N304">
        <v>8.0500000000000002E-2</v>
      </c>
      <c r="Q304">
        <v>1.06</v>
      </c>
      <c r="R304">
        <v>1.1100000000000001</v>
      </c>
    </row>
    <row r="305" spans="1:18" x14ac:dyDescent="0.2">
      <c r="A305" t="s">
        <v>606</v>
      </c>
      <c r="B305" t="s">
        <v>610</v>
      </c>
      <c r="C305">
        <v>2010</v>
      </c>
      <c r="D305">
        <v>0</v>
      </c>
      <c r="E305" t="s">
        <v>21</v>
      </c>
      <c r="F305" t="s">
        <v>22</v>
      </c>
      <c r="G305" t="s">
        <v>138</v>
      </c>
      <c r="H305">
        <v>6</v>
      </c>
      <c r="I305">
        <v>122.744</v>
      </c>
      <c r="J305">
        <v>39.020000000000003</v>
      </c>
      <c r="N305">
        <v>7.22E-2</v>
      </c>
      <c r="Q305">
        <v>1.06</v>
      </c>
      <c r="R305">
        <v>1.1100000000000001</v>
      </c>
    </row>
    <row r="306" spans="1:18" x14ac:dyDescent="0.2">
      <c r="A306" t="s">
        <v>606</v>
      </c>
      <c r="B306" t="s">
        <v>611</v>
      </c>
      <c r="C306">
        <v>2010</v>
      </c>
      <c r="D306">
        <v>0</v>
      </c>
      <c r="E306" t="s">
        <v>21</v>
      </c>
      <c r="F306" t="s">
        <v>22</v>
      </c>
      <c r="G306" t="s">
        <v>138</v>
      </c>
      <c r="H306">
        <v>6</v>
      </c>
      <c r="I306">
        <v>604.66999999999996</v>
      </c>
      <c r="J306">
        <v>39.020000000000003</v>
      </c>
      <c r="N306">
        <v>7.3200000000000001E-2</v>
      </c>
      <c r="Q306">
        <v>1.06</v>
      </c>
      <c r="R306">
        <v>1.1100000000000001</v>
      </c>
    </row>
    <row r="307" spans="1:18" x14ac:dyDescent="0.2">
      <c r="A307" t="s">
        <v>606</v>
      </c>
      <c r="B307" t="s">
        <v>612</v>
      </c>
      <c r="C307">
        <v>2010</v>
      </c>
      <c r="D307">
        <v>0</v>
      </c>
      <c r="E307" t="s">
        <v>21</v>
      </c>
      <c r="F307" t="s">
        <v>22</v>
      </c>
      <c r="G307" t="s">
        <v>138</v>
      </c>
      <c r="H307">
        <v>6</v>
      </c>
      <c r="I307">
        <v>2205</v>
      </c>
      <c r="J307">
        <v>39.020000000000003</v>
      </c>
      <c r="N307">
        <v>0.20660000000000001</v>
      </c>
      <c r="Q307">
        <v>1.06</v>
      </c>
      <c r="R307">
        <v>1.1100000000000001</v>
      </c>
    </row>
    <row r="308" spans="1:18" x14ac:dyDescent="0.2">
      <c r="A308" t="s">
        <v>613</v>
      </c>
      <c r="B308" t="s">
        <v>614</v>
      </c>
      <c r="C308">
        <v>2005</v>
      </c>
      <c r="D308">
        <v>0</v>
      </c>
      <c r="E308" t="s">
        <v>21</v>
      </c>
      <c r="F308" t="s">
        <v>22</v>
      </c>
      <c r="G308" t="s">
        <v>138</v>
      </c>
      <c r="H308">
        <v>1</v>
      </c>
      <c r="I308">
        <v>70.459999999999994</v>
      </c>
      <c r="J308">
        <v>30.05</v>
      </c>
      <c r="N308">
        <v>0.25</v>
      </c>
      <c r="Q308">
        <v>0.56999999999999995</v>
      </c>
      <c r="R308">
        <v>0.86</v>
      </c>
    </row>
    <row r="309" spans="1:18" x14ac:dyDescent="0.2">
      <c r="A309" t="s">
        <v>615</v>
      </c>
      <c r="B309" t="s">
        <v>616</v>
      </c>
      <c r="C309">
        <v>2005</v>
      </c>
      <c r="D309">
        <v>0</v>
      </c>
      <c r="E309" t="s">
        <v>21</v>
      </c>
      <c r="F309" t="s">
        <v>22</v>
      </c>
      <c r="G309" t="s">
        <v>138</v>
      </c>
      <c r="H309">
        <v>1</v>
      </c>
      <c r="I309">
        <v>20.813300000000002</v>
      </c>
      <c r="J309">
        <v>39.619999999999997</v>
      </c>
      <c r="N309">
        <v>0.17</v>
      </c>
      <c r="Q309">
        <v>1.06</v>
      </c>
      <c r="R309">
        <v>1.23</v>
      </c>
    </row>
    <row r="310" spans="1:18" x14ac:dyDescent="0.2">
      <c r="A310" t="s">
        <v>617</v>
      </c>
      <c r="B310" t="s">
        <v>618</v>
      </c>
      <c r="C310">
        <v>2006</v>
      </c>
      <c r="D310">
        <v>0</v>
      </c>
      <c r="E310" t="s">
        <v>21</v>
      </c>
      <c r="F310" t="s">
        <v>22</v>
      </c>
      <c r="G310" t="s">
        <v>619</v>
      </c>
      <c r="H310">
        <v>1</v>
      </c>
      <c r="I310">
        <v>4.1137699999999997</v>
      </c>
      <c r="J310">
        <v>29.36</v>
      </c>
      <c r="N310">
        <v>0.41</v>
      </c>
      <c r="Q310">
        <v>0.76</v>
      </c>
      <c r="R310">
        <v>0.82</v>
      </c>
    </row>
    <row r="311" spans="1:18" x14ac:dyDescent="0.2">
      <c r="A311" t="s">
        <v>620</v>
      </c>
      <c r="B311" t="s">
        <v>621</v>
      </c>
      <c r="C311">
        <v>2008</v>
      </c>
      <c r="D311">
        <v>0</v>
      </c>
      <c r="E311" t="s">
        <v>21</v>
      </c>
      <c r="F311" t="s">
        <v>22</v>
      </c>
      <c r="G311" t="s">
        <v>86</v>
      </c>
      <c r="H311">
        <v>1</v>
      </c>
      <c r="I311">
        <v>127.58</v>
      </c>
      <c r="J311">
        <v>350.01</v>
      </c>
      <c r="N311">
        <v>4.9400000000000004</v>
      </c>
      <c r="Q311">
        <v>1.45</v>
      </c>
      <c r="R311">
        <v>10.3</v>
      </c>
    </row>
    <row r="312" spans="1:18" x14ac:dyDescent="0.2">
      <c r="A312" t="s">
        <v>622</v>
      </c>
      <c r="B312" t="s">
        <v>623</v>
      </c>
      <c r="C312">
        <v>2011</v>
      </c>
      <c r="D312">
        <v>0</v>
      </c>
      <c r="E312" t="s">
        <v>21</v>
      </c>
      <c r="F312" t="s">
        <v>22</v>
      </c>
      <c r="G312" t="s">
        <v>32</v>
      </c>
      <c r="H312">
        <v>2</v>
      </c>
      <c r="I312">
        <v>778.09997999999996</v>
      </c>
      <c r="J312">
        <v>218.42</v>
      </c>
      <c r="N312">
        <v>8.16</v>
      </c>
      <c r="Q312">
        <v>3.21</v>
      </c>
      <c r="R312">
        <v>9.82</v>
      </c>
    </row>
    <row r="313" spans="1:18" x14ac:dyDescent="0.2">
      <c r="A313" t="s">
        <v>622</v>
      </c>
      <c r="B313" t="s">
        <v>624</v>
      </c>
      <c r="C313">
        <v>2018</v>
      </c>
      <c r="D313">
        <v>0</v>
      </c>
      <c r="E313" t="s">
        <v>21</v>
      </c>
      <c r="F313" t="s">
        <v>22</v>
      </c>
      <c r="G313" t="s">
        <v>32</v>
      </c>
      <c r="H313">
        <v>2</v>
      </c>
      <c r="I313">
        <v>1123</v>
      </c>
      <c r="J313">
        <v>218.42</v>
      </c>
      <c r="N313">
        <v>1.52</v>
      </c>
      <c r="Q313">
        <v>3.21</v>
      </c>
      <c r="R313">
        <v>9.82</v>
      </c>
    </row>
    <row r="314" spans="1:18" x14ac:dyDescent="0.2">
      <c r="A314" t="s">
        <v>625</v>
      </c>
      <c r="B314" t="s">
        <v>626</v>
      </c>
      <c r="C314">
        <v>2010</v>
      </c>
      <c r="D314">
        <v>0</v>
      </c>
      <c r="E314" t="s">
        <v>21</v>
      </c>
      <c r="F314" t="s">
        <v>22</v>
      </c>
      <c r="G314" t="s">
        <v>98</v>
      </c>
      <c r="H314">
        <v>1</v>
      </c>
      <c r="I314">
        <v>122.1</v>
      </c>
      <c r="J314">
        <v>9.2899999999999991</v>
      </c>
      <c r="K314">
        <v>9</v>
      </c>
      <c r="N314">
        <v>0.05</v>
      </c>
      <c r="Q314">
        <v>0.85</v>
      </c>
    </row>
    <row r="315" spans="1:18" x14ac:dyDescent="0.2">
      <c r="A315" t="s">
        <v>627</v>
      </c>
      <c r="B315" t="s">
        <v>628</v>
      </c>
      <c r="C315">
        <v>2019</v>
      </c>
      <c r="D315">
        <v>0</v>
      </c>
      <c r="E315" t="s">
        <v>21</v>
      </c>
      <c r="F315" t="s">
        <v>22</v>
      </c>
      <c r="G315" t="s">
        <v>629</v>
      </c>
      <c r="H315">
        <v>1</v>
      </c>
      <c r="I315">
        <v>3090.942</v>
      </c>
      <c r="J315">
        <v>62.87</v>
      </c>
      <c r="N315">
        <v>0.35837000000000002</v>
      </c>
      <c r="Q315">
        <v>0.95</v>
      </c>
    </row>
    <row r="316" spans="1:18" x14ac:dyDescent="0.2">
      <c r="A316" t="s">
        <v>630</v>
      </c>
      <c r="B316" t="s">
        <v>631</v>
      </c>
      <c r="C316">
        <v>2010</v>
      </c>
      <c r="D316">
        <v>0</v>
      </c>
      <c r="E316" t="s">
        <v>21</v>
      </c>
      <c r="F316" t="s">
        <v>22</v>
      </c>
      <c r="G316" t="s">
        <v>32</v>
      </c>
      <c r="H316">
        <v>1</v>
      </c>
      <c r="I316">
        <v>6.4946999999999999</v>
      </c>
      <c r="J316">
        <v>122.32</v>
      </c>
      <c r="N316">
        <v>0.96</v>
      </c>
      <c r="Q316">
        <v>1.66</v>
      </c>
      <c r="R316">
        <v>4.55</v>
      </c>
    </row>
    <row r="317" spans="1:18" x14ac:dyDescent="0.2">
      <c r="A317" t="s">
        <v>632</v>
      </c>
      <c r="B317" t="s">
        <v>633</v>
      </c>
      <c r="C317">
        <v>2009</v>
      </c>
      <c r="D317">
        <v>0</v>
      </c>
      <c r="E317" t="s">
        <v>21</v>
      </c>
      <c r="F317" t="s">
        <v>22</v>
      </c>
      <c r="G317" t="s">
        <v>138</v>
      </c>
      <c r="H317">
        <v>1</v>
      </c>
      <c r="I317">
        <v>47.84</v>
      </c>
      <c r="J317">
        <v>57.24</v>
      </c>
      <c r="N317">
        <v>0.09</v>
      </c>
      <c r="Q317">
        <v>0.8</v>
      </c>
      <c r="R317">
        <v>0.88</v>
      </c>
    </row>
    <row r="318" spans="1:18" x14ac:dyDescent="0.2">
      <c r="A318" t="s">
        <v>634</v>
      </c>
      <c r="B318" t="s">
        <v>635</v>
      </c>
      <c r="C318">
        <v>2014</v>
      </c>
      <c r="D318">
        <v>0</v>
      </c>
      <c r="E318" t="s">
        <v>21</v>
      </c>
      <c r="F318" t="s">
        <v>22</v>
      </c>
      <c r="G318" t="s">
        <v>138</v>
      </c>
      <c r="H318">
        <v>1</v>
      </c>
      <c r="I318">
        <v>4.5556999999999999</v>
      </c>
      <c r="J318">
        <v>41.6</v>
      </c>
      <c r="K318">
        <v>3.8</v>
      </c>
      <c r="N318">
        <v>0.62</v>
      </c>
      <c r="Q318">
        <v>0.79</v>
      </c>
      <c r="R318">
        <v>0.73</v>
      </c>
    </row>
    <row r="319" spans="1:18" x14ac:dyDescent="0.2">
      <c r="A319" t="s">
        <v>636</v>
      </c>
      <c r="B319" t="s">
        <v>637</v>
      </c>
      <c r="C319">
        <v>2013</v>
      </c>
      <c r="D319">
        <v>0</v>
      </c>
      <c r="E319" t="s">
        <v>21</v>
      </c>
      <c r="F319" t="s">
        <v>22</v>
      </c>
      <c r="G319" t="s">
        <v>138</v>
      </c>
      <c r="H319">
        <v>1</v>
      </c>
      <c r="I319">
        <v>5.8880999999999997</v>
      </c>
      <c r="J319">
        <v>56.5</v>
      </c>
      <c r="K319">
        <v>1.05</v>
      </c>
      <c r="N319">
        <v>0.36699999999999999</v>
      </c>
      <c r="Q319">
        <v>1.33</v>
      </c>
    </row>
    <row r="320" spans="1:18" x14ac:dyDescent="0.2">
      <c r="A320" t="s">
        <v>638</v>
      </c>
      <c r="B320" t="s">
        <v>639</v>
      </c>
      <c r="C320">
        <v>2019</v>
      </c>
      <c r="D320">
        <v>0</v>
      </c>
      <c r="E320" t="s">
        <v>21</v>
      </c>
      <c r="F320" t="s">
        <v>22</v>
      </c>
      <c r="G320" t="s">
        <v>629</v>
      </c>
      <c r="H320">
        <v>1</v>
      </c>
      <c r="I320">
        <v>120.878</v>
      </c>
      <c r="J320">
        <v>26.52</v>
      </c>
      <c r="N320">
        <v>3.524E-2</v>
      </c>
      <c r="Q320">
        <v>0.77</v>
      </c>
    </row>
    <row r="321" spans="1:18" x14ac:dyDescent="0.2">
      <c r="A321" t="s">
        <v>640</v>
      </c>
      <c r="B321" t="s">
        <v>641</v>
      </c>
      <c r="C321">
        <v>2009</v>
      </c>
      <c r="D321">
        <v>0</v>
      </c>
      <c r="E321" t="s">
        <v>21</v>
      </c>
      <c r="F321" t="s">
        <v>22</v>
      </c>
      <c r="G321" t="s">
        <v>138</v>
      </c>
      <c r="H321">
        <v>1</v>
      </c>
      <c r="I321">
        <v>55.805999999999997</v>
      </c>
      <c r="J321">
        <v>20.38</v>
      </c>
      <c r="N321">
        <v>0.16</v>
      </c>
      <c r="Q321">
        <v>0.62</v>
      </c>
      <c r="R321">
        <v>0.74</v>
      </c>
    </row>
    <row r="322" spans="1:18" x14ac:dyDescent="0.2">
      <c r="A322" t="s">
        <v>642</v>
      </c>
      <c r="B322" t="s">
        <v>643</v>
      </c>
      <c r="C322">
        <v>2014</v>
      </c>
      <c r="D322">
        <v>0</v>
      </c>
      <c r="E322" t="s">
        <v>21</v>
      </c>
      <c r="F322" t="s">
        <v>22</v>
      </c>
      <c r="G322" t="s">
        <v>32</v>
      </c>
      <c r="H322">
        <v>1</v>
      </c>
      <c r="I322">
        <v>1032.3</v>
      </c>
      <c r="J322">
        <v>135.88999999999999</v>
      </c>
      <c r="N322">
        <v>1.4870000000000001</v>
      </c>
      <c r="Q322">
        <v>1.01</v>
      </c>
      <c r="R322">
        <v>1.97</v>
      </c>
    </row>
    <row r="323" spans="1:18" x14ac:dyDescent="0.2">
      <c r="A323" t="s">
        <v>644</v>
      </c>
      <c r="B323" t="s">
        <v>645</v>
      </c>
      <c r="C323">
        <v>2003</v>
      </c>
      <c r="D323">
        <v>0</v>
      </c>
      <c r="E323" t="s">
        <v>21</v>
      </c>
      <c r="F323" t="s">
        <v>22</v>
      </c>
      <c r="G323" t="s">
        <v>29</v>
      </c>
      <c r="H323">
        <v>1</v>
      </c>
      <c r="I323">
        <v>199.505</v>
      </c>
      <c r="J323">
        <v>100.86</v>
      </c>
      <c r="N323">
        <v>8.3000000000000007</v>
      </c>
      <c r="Q323">
        <v>2.2999999999999998</v>
      </c>
      <c r="R323">
        <v>11</v>
      </c>
    </row>
    <row r="324" spans="1:18" x14ac:dyDescent="0.2">
      <c r="A324" t="s">
        <v>646</v>
      </c>
      <c r="B324" t="s">
        <v>647</v>
      </c>
      <c r="C324">
        <v>2002</v>
      </c>
      <c r="D324">
        <v>0</v>
      </c>
      <c r="E324" t="s">
        <v>21</v>
      </c>
      <c r="F324" t="s">
        <v>22</v>
      </c>
      <c r="G324" t="s">
        <v>46</v>
      </c>
      <c r="H324">
        <v>1</v>
      </c>
      <c r="I324">
        <v>1531</v>
      </c>
      <c r="J324">
        <v>37.4</v>
      </c>
      <c r="N324">
        <v>6.93</v>
      </c>
      <c r="Q324">
        <v>1.01</v>
      </c>
      <c r="R324">
        <v>1.1000000000000001</v>
      </c>
    </row>
    <row r="325" spans="1:18" x14ac:dyDescent="0.2">
      <c r="A325" t="s">
        <v>648</v>
      </c>
      <c r="B325" t="s">
        <v>649</v>
      </c>
      <c r="C325">
        <v>2011</v>
      </c>
      <c r="D325">
        <v>0</v>
      </c>
      <c r="E325" t="s">
        <v>21</v>
      </c>
      <c r="F325" t="s">
        <v>22</v>
      </c>
      <c r="G325" t="s">
        <v>32</v>
      </c>
      <c r="H325">
        <v>1</v>
      </c>
      <c r="I325">
        <v>1888</v>
      </c>
      <c r="J325">
        <v>94.06</v>
      </c>
      <c r="N325">
        <v>10.130000000000001</v>
      </c>
      <c r="Q325">
        <v>1.39</v>
      </c>
      <c r="R325">
        <v>2.66</v>
      </c>
    </row>
    <row r="326" spans="1:18" x14ac:dyDescent="0.2">
      <c r="A326" t="s">
        <v>650</v>
      </c>
      <c r="B326" t="s">
        <v>651</v>
      </c>
      <c r="C326">
        <v>2017</v>
      </c>
      <c r="D326">
        <v>0</v>
      </c>
      <c r="E326" t="s">
        <v>55</v>
      </c>
      <c r="F326" t="s">
        <v>128</v>
      </c>
      <c r="G326" t="s">
        <v>129</v>
      </c>
      <c r="H326">
        <v>2</v>
      </c>
      <c r="I326">
        <v>9.5580400000000001</v>
      </c>
      <c r="J326">
        <v>109.7</v>
      </c>
      <c r="M326">
        <v>2.3199999999999998</v>
      </c>
      <c r="O326">
        <v>0.20699999999999999</v>
      </c>
      <c r="Q326">
        <v>1.08</v>
      </c>
      <c r="R326">
        <v>1.29</v>
      </c>
    </row>
    <row r="327" spans="1:18" x14ac:dyDescent="0.2">
      <c r="A327" t="s">
        <v>650</v>
      </c>
      <c r="B327" t="s">
        <v>652</v>
      </c>
      <c r="C327">
        <v>2017</v>
      </c>
      <c r="D327">
        <v>0</v>
      </c>
      <c r="E327" t="s">
        <v>55</v>
      </c>
      <c r="F327" t="s">
        <v>128</v>
      </c>
      <c r="G327" t="s">
        <v>129</v>
      </c>
      <c r="H327">
        <v>2</v>
      </c>
      <c r="I327">
        <v>21.057880000000001</v>
      </c>
      <c r="J327">
        <v>109.7</v>
      </c>
      <c r="M327">
        <v>4.3099999999999996</v>
      </c>
      <c r="O327">
        <v>0.38500000000000001</v>
      </c>
      <c r="Q327">
        <v>1.08</v>
      </c>
      <c r="R327">
        <v>1.29</v>
      </c>
    </row>
    <row r="328" spans="1:18" x14ac:dyDescent="0.2">
      <c r="A328" t="s">
        <v>653</v>
      </c>
      <c r="B328" t="s">
        <v>654</v>
      </c>
      <c r="C328">
        <v>2006</v>
      </c>
      <c r="D328">
        <v>0</v>
      </c>
      <c r="E328" t="s">
        <v>21</v>
      </c>
      <c r="F328" t="s">
        <v>22</v>
      </c>
      <c r="G328" t="s">
        <v>32</v>
      </c>
      <c r="H328">
        <v>1</v>
      </c>
      <c r="I328">
        <v>989.2</v>
      </c>
      <c r="J328">
        <v>17.34</v>
      </c>
      <c r="K328">
        <v>1.4</v>
      </c>
      <c r="N328">
        <v>0.94</v>
      </c>
      <c r="Q328">
        <v>1.1100000000000001</v>
      </c>
      <c r="R328">
        <v>1.1000000000000001</v>
      </c>
    </row>
    <row r="329" spans="1:18" x14ac:dyDescent="0.2">
      <c r="A329" t="s">
        <v>655</v>
      </c>
      <c r="B329" t="s">
        <v>656</v>
      </c>
      <c r="C329">
        <v>2012</v>
      </c>
      <c r="D329">
        <v>0</v>
      </c>
      <c r="E329" t="s">
        <v>21</v>
      </c>
      <c r="F329" t="s">
        <v>22</v>
      </c>
      <c r="G329" t="s">
        <v>138</v>
      </c>
      <c r="H329">
        <v>1</v>
      </c>
      <c r="I329">
        <v>3630</v>
      </c>
      <c r="J329">
        <v>34.119999999999997</v>
      </c>
      <c r="K329">
        <v>11.7</v>
      </c>
      <c r="N329">
        <v>9.61</v>
      </c>
      <c r="Q329">
        <v>0.97</v>
      </c>
      <c r="R329">
        <v>1.62</v>
      </c>
    </row>
    <row r="330" spans="1:18" x14ac:dyDescent="0.2">
      <c r="A330" t="s">
        <v>657</v>
      </c>
      <c r="B330" t="s">
        <v>658</v>
      </c>
      <c r="C330">
        <v>2013</v>
      </c>
      <c r="D330">
        <v>0</v>
      </c>
      <c r="E330" t="s">
        <v>21</v>
      </c>
      <c r="F330" t="s">
        <v>40</v>
      </c>
      <c r="G330" t="s">
        <v>629</v>
      </c>
      <c r="H330">
        <v>1</v>
      </c>
      <c r="J330">
        <v>103.33</v>
      </c>
      <c r="K330">
        <v>1.2999999999999999E-2</v>
      </c>
      <c r="L330">
        <v>3496</v>
      </c>
      <c r="N330">
        <v>11</v>
      </c>
      <c r="Q330">
        <v>1.5</v>
      </c>
    </row>
    <row r="331" spans="1:18" x14ac:dyDescent="0.2">
      <c r="A331" t="s">
        <v>659</v>
      </c>
      <c r="B331" t="s">
        <v>660</v>
      </c>
      <c r="C331">
        <v>1999</v>
      </c>
      <c r="D331">
        <v>0</v>
      </c>
      <c r="E331" t="s">
        <v>21</v>
      </c>
      <c r="F331" t="s">
        <v>22</v>
      </c>
      <c r="G331" t="s">
        <v>32</v>
      </c>
      <c r="H331">
        <v>1</v>
      </c>
      <c r="I331">
        <v>1075.69</v>
      </c>
      <c r="J331">
        <v>32.6</v>
      </c>
      <c r="N331">
        <v>6.383</v>
      </c>
      <c r="Q331">
        <v>1.1299999999999999</v>
      </c>
      <c r="R331">
        <v>1.79</v>
      </c>
    </row>
    <row r="332" spans="1:18" x14ac:dyDescent="0.2">
      <c r="A332" t="s">
        <v>661</v>
      </c>
      <c r="B332" t="s">
        <v>662</v>
      </c>
      <c r="C332">
        <v>2005</v>
      </c>
      <c r="D332">
        <v>0</v>
      </c>
      <c r="E332" t="s">
        <v>21</v>
      </c>
      <c r="F332" t="s">
        <v>22</v>
      </c>
      <c r="G332" t="s">
        <v>32</v>
      </c>
      <c r="H332">
        <v>1</v>
      </c>
      <c r="I332">
        <v>48.055999999999997</v>
      </c>
      <c r="J332">
        <v>49.49</v>
      </c>
      <c r="N332">
        <v>0.21</v>
      </c>
      <c r="Q332">
        <v>1.1200000000000001</v>
      </c>
    </row>
    <row r="333" spans="1:18" x14ac:dyDescent="0.2">
      <c r="A333" t="s">
        <v>663</v>
      </c>
      <c r="B333" t="s">
        <v>664</v>
      </c>
      <c r="C333">
        <v>2002</v>
      </c>
      <c r="D333">
        <v>0</v>
      </c>
      <c r="E333" t="s">
        <v>21</v>
      </c>
      <c r="F333" t="s">
        <v>22</v>
      </c>
      <c r="G333" t="s">
        <v>138</v>
      </c>
      <c r="H333">
        <v>1</v>
      </c>
      <c r="I333">
        <v>10.8985</v>
      </c>
      <c r="J333">
        <v>38.96</v>
      </c>
      <c r="N333">
        <v>0.26100000000000001</v>
      </c>
      <c r="Q333">
        <v>1.27</v>
      </c>
    </row>
    <row r="334" spans="1:18" x14ac:dyDescent="0.2">
      <c r="A334" t="s">
        <v>665</v>
      </c>
      <c r="B334" t="s">
        <v>666</v>
      </c>
      <c r="C334">
        <v>2014</v>
      </c>
      <c r="D334">
        <v>0</v>
      </c>
      <c r="E334" t="s">
        <v>21</v>
      </c>
      <c r="F334" t="s">
        <v>22</v>
      </c>
      <c r="G334" t="s">
        <v>138</v>
      </c>
      <c r="H334">
        <v>1</v>
      </c>
      <c r="I334">
        <v>1129</v>
      </c>
      <c r="J334">
        <v>49.4</v>
      </c>
      <c r="K334">
        <v>4.9000000000000004</v>
      </c>
      <c r="N334">
        <v>3.5</v>
      </c>
      <c r="Q334">
        <v>0.84</v>
      </c>
      <c r="R334">
        <v>0.79</v>
      </c>
    </row>
    <row r="335" spans="1:18" x14ac:dyDescent="0.2">
      <c r="A335" t="s">
        <v>667</v>
      </c>
      <c r="B335" t="s">
        <v>668</v>
      </c>
      <c r="C335">
        <v>2011</v>
      </c>
      <c r="D335">
        <v>0</v>
      </c>
      <c r="E335" t="s">
        <v>21</v>
      </c>
      <c r="F335" t="s">
        <v>22</v>
      </c>
      <c r="G335" t="s">
        <v>32</v>
      </c>
      <c r="H335">
        <v>1</v>
      </c>
      <c r="I335">
        <v>437.7</v>
      </c>
      <c r="J335">
        <v>165.52</v>
      </c>
      <c r="N335">
        <v>2.4140000000000001</v>
      </c>
      <c r="Q335">
        <v>1.59</v>
      </c>
      <c r="R335">
        <v>5.74</v>
      </c>
    </row>
    <row r="336" spans="1:18" x14ac:dyDescent="0.2">
      <c r="A336" t="s">
        <v>669</v>
      </c>
      <c r="B336" t="s">
        <v>670</v>
      </c>
      <c r="C336">
        <v>2002</v>
      </c>
      <c r="D336">
        <v>0</v>
      </c>
      <c r="E336" t="s">
        <v>21</v>
      </c>
      <c r="F336" t="s">
        <v>22</v>
      </c>
      <c r="G336" t="s">
        <v>32</v>
      </c>
      <c r="H336">
        <v>2</v>
      </c>
      <c r="I336">
        <v>394.48122999999998</v>
      </c>
      <c r="J336">
        <v>68.5</v>
      </c>
      <c r="N336">
        <v>1.42</v>
      </c>
      <c r="Q336">
        <v>1.1000000000000001</v>
      </c>
      <c r="R336">
        <v>1.05</v>
      </c>
    </row>
    <row r="337" spans="1:18" x14ac:dyDescent="0.2">
      <c r="A337" t="s">
        <v>669</v>
      </c>
      <c r="B337" t="s">
        <v>671</v>
      </c>
      <c r="C337">
        <v>2005</v>
      </c>
      <c r="D337">
        <v>0</v>
      </c>
      <c r="E337" t="s">
        <v>21</v>
      </c>
      <c r="F337" t="s">
        <v>22</v>
      </c>
      <c r="G337" t="s">
        <v>32</v>
      </c>
      <c r="H337">
        <v>2</v>
      </c>
      <c r="I337">
        <v>1624</v>
      </c>
      <c r="J337">
        <v>68.5</v>
      </c>
      <c r="N337">
        <v>0.99</v>
      </c>
      <c r="Q337">
        <v>1.1000000000000001</v>
      </c>
      <c r="R337">
        <v>1.05</v>
      </c>
    </row>
    <row r="338" spans="1:18" x14ac:dyDescent="0.2">
      <c r="A338" t="s">
        <v>672</v>
      </c>
      <c r="B338" t="s">
        <v>673</v>
      </c>
      <c r="C338">
        <v>2010</v>
      </c>
      <c r="D338">
        <v>0</v>
      </c>
      <c r="E338" t="s">
        <v>21</v>
      </c>
      <c r="F338" t="s">
        <v>22</v>
      </c>
      <c r="G338" t="s">
        <v>82</v>
      </c>
      <c r="H338">
        <v>1</v>
      </c>
      <c r="I338">
        <v>68.27</v>
      </c>
      <c r="J338">
        <v>65.599999999999994</v>
      </c>
      <c r="N338">
        <v>0.86</v>
      </c>
      <c r="Q338">
        <v>1.2</v>
      </c>
      <c r="R338">
        <v>1.07</v>
      </c>
    </row>
    <row r="339" spans="1:18" x14ac:dyDescent="0.2">
      <c r="A339" t="s">
        <v>674</v>
      </c>
      <c r="B339" t="s">
        <v>675</v>
      </c>
      <c r="C339">
        <v>2013</v>
      </c>
      <c r="D339">
        <v>0</v>
      </c>
      <c r="E339" t="s">
        <v>21</v>
      </c>
      <c r="F339" t="s">
        <v>22</v>
      </c>
      <c r="G339" t="s">
        <v>138</v>
      </c>
      <c r="H339">
        <v>2</v>
      </c>
      <c r="I339">
        <v>7.8543000000000003</v>
      </c>
      <c r="J339">
        <v>55.96</v>
      </c>
      <c r="K339">
        <v>7.3</v>
      </c>
      <c r="N339">
        <v>5.3999999999999999E-2</v>
      </c>
      <c r="Q339">
        <v>1.05</v>
      </c>
    </row>
    <row r="340" spans="1:18" x14ac:dyDescent="0.2">
      <c r="A340" t="s">
        <v>674</v>
      </c>
      <c r="B340" t="s">
        <v>676</v>
      </c>
      <c r="C340">
        <v>2013</v>
      </c>
      <c r="D340">
        <v>0</v>
      </c>
      <c r="E340" t="s">
        <v>21</v>
      </c>
      <c r="F340" t="s">
        <v>22</v>
      </c>
      <c r="G340" t="s">
        <v>138</v>
      </c>
      <c r="H340">
        <v>2</v>
      </c>
      <c r="I340">
        <v>30.93</v>
      </c>
      <c r="J340">
        <v>55.96</v>
      </c>
      <c r="K340">
        <v>7.3</v>
      </c>
      <c r="N340">
        <v>7.5999999999999998E-2</v>
      </c>
      <c r="Q340">
        <v>1.05</v>
      </c>
    </row>
    <row r="341" spans="1:18" x14ac:dyDescent="0.2">
      <c r="A341" t="s">
        <v>677</v>
      </c>
      <c r="B341" t="s">
        <v>678</v>
      </c>
      <c r="C341">
        <v>2005</v>
      </c>
      <c r="D341">
        <v>0</v>
      </c>
      <c r="E341" t="s">
        <v>21</v>
      </c>
      <c r="F341" t="s">
        <v>22</v>
      </c>
      <c r="G341" t="s">
        <v>32</v>
      </c>
      <c r="H341">
        <v>1</v>
      </c>
      <c r="I341">
        <v>5.2398910000000001</v>
      </c>
      <c r="J341">
        <v>63.2</v>
      </c>
      <c r="K341">
        <v>3.3</v>
      </c>
      <c r="N341">
        <v>0.27</v>
      </c>
      <c r="Q341">
        <v>1.1299999999999999</v>
      </c>
      <c r="R341">
        <v>1.22</v>
      </c>
    </row>
    <row r="342" spans="1:18" x14ac:dyDescent="0.2">
      <c r="A342" t="s">
        <v>679</v>
      </c>
      <c r="B342" t="s">
        <v>680</v>
      </c>
      <c r="C342">
        <v>2009</v>
      </c>
      <c r="D342">
        <v>0</v>
      </c>
      <c r="E342" t="s">
        <v>21</v>
      </c>
      <c r="F342" t="s">
        <v>22</v>
      </c>
      <c r="G342" t="s">
        <v>138</v>
      </c>
      <c r="H342">
        <v>1</v>
      </c>
      <c r="I342">
        <v>835.47699999999998</v>
      </c>
      <c r="J342">
        <v>90</v>
      </c>
      <c r="K342">
        <v>0.95</v>
      </c>
      <c r="N342">
        <v>11.09</v>
      </c>
      <c r="Q342">
        <v>2.17</v>
      </c>
      <c r="R342">
        <v>20.9</v>
      </c>
    </row>
    <row r="343" spans="1:18" x14ac:dyDescent="0.2">
      <c r="A343" t="s">
        <v>681</v>
      </c>
      <c r="B343" t="s">
        <v>682</v>
      </c>
      <c r="C343">
        <v>2003</v>
      </c>
      <c r="D343">
        <v>0</v>
      </c>
      <c r="E343" t="s">
        <v>21</v>
      </c>
      <c r="F343" t="s">
        <v>22</v>
      </c>
      <c r="G343" t="s">
        <v>138</v>
      </c>
      <c r="H343">
        <v>1</v>
      </c>
      <c r="I343">
        <v>1143</v>
      </c>
      <c r="J343">
        <v>28.98</v>
      </c>
      <c r="N343">
        <v>7.14</v>
      </c>
      <c r="Q343">
        <v>0.84</v>
      </c>
      <c r="R343">
        <v>0.9</v>
      </c>
    </row>
    <row r="344" spans="1:18" x14ac:dyDescent="0.2">
      <c r="A344" t="s">
        <v>683</v>
      </c>
      <c r="B344" t="s">
        <v>684</v>
      </c>
      <c r="C344">
        <v>2017</v>
      </c>
      <c r="D344">
        <v>0</v>
      </c>
      <c r="E344" t="s">
        <v>21</v>
      </c>
      <c r="F344" t="s">
        <v>22</v>
      </c>
      <c r="G344" t="s">
        <v>35</v>
      </c>
      <c r="H344">
        <v>1</v>
      </c>
      <c r="I344">
        <v>1056.4000000000001</v>
      </c>
      <c r="J344">
        <v>114.54</v>
      </c>
      <c r="K344">
        <v>1.41</v>
      </c>
      <c r="N344">
        <v>4.4000000000000004</v>
      </c>
      <c r="Q344">
        <v>1.94</v>
      </c>
      <c r="R344">
        <v>8.0299999999999994</v>
      </c>
    </row>
    <row r="345" spans="1:18" x14ac:dyDescent="0.2">
      <c r="A345" t="s">
        <v>685</v>
      </c>
      <c r="B345" t="s">
        <v>686</v>
      </c>
      <c r="C345">
        <v>2016</v>
      </c>
      <c r="D345">
        <v>0</v>
      </c>
      <c r="E345" t="s">
        <v>21</v>
      </c>
      <c r="F345" t="s">
        <v>22</v>
      </c>
      <c r="G345" t="s">
        <v>138</v>
      </c>
      <c r="H345">
        <v>1</v>
      </c>
      <c r="I345">
        <v>825.9</v>
      </c>
      <c r="J345">
        <v>32.729999999999997</v>
      </c>
      <c r="K345">
        <v>1.9</v>
      </c>
      <c r="N345">
        <v>4.51</v>
      </c>
      <c r="Q345">
        <v>1.18</v>
      </c>
      <c r="R345">
        <v>1.45</v>
      </c>
    </row>
    <row r="346" spans="1:18" x14ac:dyDescent="0.2">
      <c r="A346" t="s">
        <v>687</v>
      </c>
      <c r="B346" t="s">
        <v>688</v>
      </c>
      <c r="C346">
        <v>2013</v>
      </c>
      <c r="D346">
        <v>0</v>
      </c>
      <c r="E346" t="s">
        <v>21</v>
      </c>
      <c r="F346" t="s">
        <v>22</v>
      </c>
      <c r="G346" t="s">
        <v>82</v>
      </c>
      <c r="H346">
        <v>1</v>
      </c>
      <c r="I346">
        <v>324</v>
      </c>
      <c r="J346">
        <v>36.22</v>
      </c>
      <c r="K346">
        <v>0.15</v>
      </c>
      <c r="N346">
        <v>2.83</v>
      </c>
      <c r="Q346">
        <v>1.4</v>
      </c>
      <c r="R346">
        <v>1.5</v>
      </c>
    </row>
    <row r="347" spans="1:18" x14ac:dyDescent="0.2">
      <c r="A347" t="s">
        <v>689</v>
      </c>
      <c r="B347" t="s">
        <v>690</v>
      </c>
      <c r="C347">
        <v>2010</v>
      </c>
      <c r="D347">
        <v>0</v>
      </c>
      <c r="E347" t="s">
        <v>21</v>
      </c>
      <c r="F347" t="s">
        <v>22</v>
      </c>
      <c r="G347" t="s">
        <v>138</v>
      </c>
      <c r="H347">
        <v>2</v>
      </c>
      <c r="I347">
        <v>663.2</v>
      </c>
      <c r="J347">
        <v>15.9</v>
      </c>
      <c r="K347">
        <v>4.3</v>
      </c>
      <c r="N347">
        <v>0.36</v>
      </c>
      <c r="Q347">
        <v>0.57999999999999996</v>
      </c>
      <c r="R347">
        <v>0.53</v>
      </c>
    </row>
    <row r="348" spans="1:18" x14ac:dyDescent="0.2">
      <c r="A348" t="s">
        <v>689</v>
      </c>
      <c r="B348" t="s">
        <v>691</v>
      </c>
      <c r="C348">
        <v>2010</v>
      </c>
      <c r="D348">
        <v>0</v>
      </c>
      <c r="E348" t="s">
        <v>21</v>
      </c>
      <c r="F348" t="s">
        <v>22</v>
      </c>
      <c r="G348" t="s">
        <v>138</v>
      </c>
      <c r="H348">
        <v>2</v>
      </c>
      <c r="I348">
        <v>1818</v>
      </c>
      <c r="J348">
        <v>15.9</v>
      </c>
      <c r="K348">
        <v>4.3</v>
      </c>
      <c r="N348">
        <v>0.93</v>
      </c>
      <c r="Q348">
        <v>0.57999999999999996</v>
      </c>
      <c r="R348">
        <v>0.53</v>
      </c>
    </row>
    <row r="349" spans="1:18" x14ac:dyDescent="0.2">
      <c r="A349" t="s">
        <v>692</v>
      </c>
      <c r="B349" t="s">
        <v>693</v>
      </c>
      <c r="C349">
        <v>2017</v>
      </c>
      <c r="D349">
        <v>0</v>
      </c>
      <c r="E349" t="s">
        <v>21</v>
      </c>
      <c r="F349" t="s">
        <v>22</v>
      </c>
      <c r="G349" t="s">
        <v>105</v>
      </c>
      <c r="H349">
        <v>1</v>
      </c>
      <c r="I349">
        <v>610.20000000000005</v>
      </c>
      <c r="J349">
        <v>101.63</v>
      </c>
      <c r="K349">
        <v>3.24</v>
      </c>
      <c r="N349">
        <v>6.3</v>
      </c>
      <c r="Q349">
        <v>1.49</v>
      </c>
      <c r="R349">
        <v>25.11</v>
      </c>
    </row>
    <row r="350" spans="1:18" x14ac:dyDescent="0.2">
      <c r="A350" t="s">
        <v>694</v>
      </c>
      <c r="B350" t="s">
        <v>695</v>
      </c>
      <c r="C350">
        <v>2003</v>
      </c>
      <c r="D350">
        <v>0</v>
      </c>
      <c r="E350" t="s">
        <v>21</v>
      </c>
      <c r="F350" t="s">
        <v>22</v>
      </c>
      <c r="G350" t="s">
        <v>138</v>
      </c>
      <c r="H350">
        <v>1</v>
      </c>
      <c r="I350">
        <v>937.70001000000002</v>
      </c>
      <c r="J350">
        <v>27.95</v>
      </c>
      <c r="N350">
        <v>1.1399999999999999</v>
      </c>
      <c r="Q350">
        <v>0.6</v>
      </c>
      <c r="R350">
        <v>0.76</v>
      </c>
    </row>
    <row r="351" spans="1:18" x14ac:dyDescent="0.2">
      <c r="A351" t="s">
        <v>696</v>
      </c>
      <c r="B351" t="s">
        <v>697</v>
      </c>
      <c r="C351">
        <v>2014</v>
      </c>
      <c r="D351">
        <v>0</v>
      </c>
      <c r="E351" t="s">
        <v>21</v>
      </c>
      <c r="F351" t="s">
        <v>22</v>
      </c>
      <c r="G351" t="s">
        <v>98</v>
      </c>
      <c r="H351">
        <v>1</v>
      </c>
      <c r="I351">
        <v>4000</v>
      </c>
      <c r="J351">
        <v>20.29</v>
      </c>
      <c r="N351">
        <v>0.35699999999999998</v>
      </c>
      <c r="Q351">
        <v>1.27</v>
      </c>
      <c r="R351">
        <v>2.14</v>
      </c>
    </row>
    <row r="352" spans="1:18" x14ac:dyDescent="0.2">
      <c r="A352" t="s">
        <v>698</v>
      </c>
      <c r="B352" t="s">
        <v>699</v>
      </c>
      <c r="C352">
        <v>2002</v>
      </c>
      <c r="D352">
        <v>0</v>
      </c>
      <c r="E352" t="s">
        <v>21</v>
      </c>
      <c r="F352" t="s">
        <v>22</v>
      </c>
      <c r="G352" t="s">
        <v>32</v>
      </c>
      <c r="H352">
        <v>1</v>
      </c>
      <c r="I352">
        <v>1114</v>
      </c>
      <c r="J352">
        <v>37.85</v>
      </c>
      <c r="N352">
        <v>1.0900000000000001</v>
      </c>
      <c r="Q352">
        <v>1.24</v>
      </c>
      <c r="R352">
        <v>1.55</v>
      </c>
    </row>
    <row r="353" spans="1:19" x14ac:dyDescent="0.2">
      <c r="A353" t="s">
        <v>700</v>
      </c>
      <c r="B353" t="s">
        <v>701</v>
      </c>
      <c r="C353">
        <v>1989</v>
      </c>
      <c r="D353">
        <v>0</v>
      </c>
      <c r="E353" t="s">
        <v>21</v>
      </c>
      <c r="F353" t="s">
        <v>22</v>
      </c>
      <c r="G353" t="s">
        <v>702</v>
      </c>
      <c r="H353">
        <v>1</v>
      </c>
      <c r="I353">
        <v>83.915099999999995</v>
      </c>
      <c r="J353">
        <v>40.229999999999997</v>
      </c>
      <c r="N353">
        <v>10.69</v>
      </c>
      <c r="Q353">
        <v>0.8</v>
      </c>
      <c r="R353">
        <v>1.2</v>
      </c>
    </row>
    <row r="354" spans="1:19" x14ac:dyDescent="0.2">
      <c r="A354" t="s">
        <v>703</v>
      </c>
      <c r="B354" t="s">
        <v>704</v>
      </c>
      <c r="C354">
        <v>2001</v>
      </c>
      <c r="D354">
        <v>0</v>
      </c>
      <c r="E354" t="s">
        <v>21</v>
      </c>
      <c r="F354" t="s">
        <v>22</v>
      </c>
      <c r="G354" t="s">
        <v>32</v>
      </c>
      <c r="H354">
        <v>2</v>
      </c>
      <c r="I354">
        <v>493.7</v>
      </c>
      <c r="J354">
        <v>20.399999999999999</v>
      </c>
      <c r="N354">
        <v>1.1000000000000001</v>
      </c>
      <c r="Q354">
        <v>0.85</v>
      </c>
    </row>
    <row r="355" spans="1:19" x14ac:dyDescent="0.2">
      <c r="A355" t="s">
        <v>703</v>
      </c>
      <c r="B355" t="s">
        <v>705</v>
      </c>
      <c r="C355">
        <v>2018</v>
      </c>
      <c r="D355">
        <v>0</v>
      </c>
      <c r="E355" t="s">
        <v>21</v>
      </c>
      <c r="F355" t="s">
        <v>22</v>
      </c>
      <c r="G355" t="s">
        <v>32</v>
      </c>
      <c r="H355">
        <v>2</v>
      </c>
      <c r="I355">
        <v>4319</v>
      </c>
      <c r="J355">
        <v>20.399999999999999</v>
      </c>
      <c r="N355">
        <v>0.61099999999999999</v>
      </c>
      <c r="Q355">
        <v>0.85</v>
      </c>
    </row>
    <row r="356" spans="1:19" x14ac:dyDescent="0.2">
      <c r="A356" t="s">
        <v>706</v>
      </c>
      <c r="B356" t="s">
        <v>707</v>
      </c>
      <c r="C356">
        <v>2007</v>
      </c>
      <c r="D356">
        <v>0</v>
      </c>
      <c r="E356" t="s">
        <v>21</v>
      </c>
      <c r="F356" t="s">
        <v>22</v>
      </c>
      <c r="G356" t="s">
        <v>32</v>
      </c>
      <c r="H356">
        <v>2</v>
      </c>
      <c r="I356">
        <v>1622.1</v>
      </c>
      <c r="J356">
        <v>51.7</v>
      </c>
      <c r="K356">
        <v>2.2999999999999998</v>
      </c>
      <c r="N356">
        <v>4.83</v>
      </c>
      <c r="Q356">
        <v>1.24</v>
      </c>
      <c r="R356">
        <v>1.34</v>
      </c>
    </row>
    <row r="357" spans="1:19" x14ac:dyDescent="0.2">
      <c r="A357" t="s">
        <v>706</v>
      </c>
      <c r="B357" t="s">
        <v>708</v>
      </c>
      <c r="C357">
        <v>2008</v>
      </c>
      <c r="D357">
        <v>0</v>
      </c>
      <c r="E357" t="s">
        <v>21</v>
      </c>
      <c r="F357" t="s">
        <v>22</v>
      </c>
      <c r="G357" t="s">
        <v>32</v>
      </c>
      <c r="H357">
        <v>2</v>
      </c>
      <c r="I357">
        <v>223.41</v>
      </c>
      <c r="J357">
        <v>51.7</v>
      </c>
      <c r="K357">
        <v>2.2999999999999998</v>
      </c>
      <c r="N357">
        <v>0.40799999999999997</v>
      </c>
      <c r="Q357">
        <v>1.24</v>
      </c>
      <c r="R357">
        <v>1.34</v>
      </c>
    </row>
    <row r="358" spans="1:19" x14ac:dyDescent="0.2">
      <c r="A358" t="s">
        <v>709</v>
      </c>
      <c r="B358" t="s">
        <v>710</v>
      </c>
      <c r="C358">
        <v>2011</v>
      </c>
      <c r="D358">
        <v>0</v>
      </c>
      <c r="E358" t="s">
        <v>21</v>
      </c>
      <c r="F358" t="s">
        <v>22</v>
      </c>
      <c r="G358" t="s">
        <v>32</v>
      </c>
      <c r="H358">
        <v>2</v>
      </c>
      <c r="I358">
        <v>670</v>
      </c>
      <c r="J358">
        <v>123.68</v>
      </c>
      <c r="N358">
        <v>1.4</v>
      </c>
      <c r="Q358">
        <v>0.83</v>
      </c>
      <c r="R358">
        <v>4.8899999999999997</v>
      </c>
    </row>
    <row r="359" spans="1:19" x14ac:dyDescent="0.2">
      <c r="A359" t="s">
        <v>709</v>
      </c>
      <c r="B359" t="s">
        <v>711</v>
      </c>
      <c r="C359">
        <v>2018</v>
      </c>
      <c r="D359">
        <v>0</v>
      </c>
      <c r="E359" t="s">
        <v>21</v>
      </c>
      <c r="F359" t="s">
        <v>22</v>
      </c>
      <c r="G359" t="s">
        <v>32</v>
      </c>
      <c r="H359">
        <v>2</v>
      </c>
      <c r="I359">
        <v>907</v>
      </c>
      <c r="J359">
        <v>123.68</v>
      </c>
      <c r="N359">
        <v>1.27</v>
      </c>
      <c r="Q359">
        <v>0.83</v>
      </c>
      <c r="R359">
        <v>4.8899999999999997</v>
      </c>
    </row>
    <row r="360" spans="1:19" x14ac:dyDescent="0.2">
      <c r="A360" t="s">
        <v>712</v>
      </c>
      <c r="B360" t="s">
        <v>713</v>
      </c>
      <c r="C360">
        <v>2004</v>
      </c>
      <c r="D360">
        <v>0</v>
      </c>
      <c r="E360" t="s">
        <v>21</v>
      </c>
      <c r="F360" t="s">
        <v>22</v>
      </c>
      <c r="G360" t="s">
        <v>32</v>
      </c>
      <c r="H360">
        <v>1</v>
      </c>
      <c r="I360">
        <v>2597</v>
      </c>
      <c r="J360">
        <v>32.380000000000003</v>
      </c>
      <c r="N360">
        <v>1.73</v>
      </c>
      <c r="Q360">
        <v>0.96</v>
      </c>
      <c r="R360">
        <v>1.1100000000000001</v>
      </c>
    </row>
    <row r="361" spans="1:19" x14ac:dyDescent="0.2">
      <c r="A361" t="s">
        <v>714</v>
      </c>
      <c r="B361" t="s">
        <v>715</v>
      </c>
      <c r="C361">
        <v>2015</v>
      </c>
      <c r="D361">
        <v>0</v>
      </c>
      <c r="E361" t="s">
        <v>21</v>
      </c>
      <c r="F361" t="s">
        <v>22</v>
      </c>
      <c r="G361" t="s">
        <v>105</v>
      </c>
      <c r="H361">
        <v>1</v>
      </c>
      <c r="I361">
        <v>433.70001000000002</v>
      </c>
      <c r="J361">
        <v>231.5</v>
      </c>
      <c r="N361">
        <v>5.63</v>
      </c>
      <c r="Q361">
        <v>0.72</v>
      </c>
      <c r="R361">
        <v>20.58</v>
      </c>
    </row>
    <row r="362" spans="1:19" x14ac:dyDescent="0.2">
      <c r="A362" t="s">
        <v>716</v>
      </c>
      <c r="B362" t="s">
        <v>717</v>
      </c>
      <c r="C362">
        <v>2004</v>
      </c>
      <c r="D362">
        <v>0</v>
      </c>
      <c r="E362" t="s">
        <v>21</v>
      </c>
      <c r="F362" t="s">
        <v>22</v>
      </c>
      <c r="G362" t="s">
        <v>98</v>
      </c>
      <c r="H362">
        <v>1</v>
      </c>
      <c r="I362">
        <v>25.8</v>
      </c>
      <c r="J362">
        <v>37.82</v>
      </c>
      <c r="N362">
        <v>0.17399999999999999</v>
      </c>
      <c r="Q362">
        <v>1.08</v>
      </c>
    </row>
    <row r="363" spans="1:19" x14ac:dyDescent="0.2">
      <c r="A363" t="s">
        <v>718</v>
      </c>
      <c r="B363" t="s">
        <v>719</v>
      </c>
      <c r="C363">
        <v>2005</v>
      </c>
      <c r="D363">
        <v>0</v>
      </c>
      <c r="E363" t="s">
        <v>21</v>
      </c>
      <c r="F363" t="s">
        <v>22</v>
      </c>
      <c r="G363" t="s">
        <v>82</v>
      </c>
      <c r="H363">
        <v>1</v>
      </c>
      <c r="I363">
        <v>6.1334999999999997</v>
      </c>
      <c r="J363">
        <v>92.51</v>
      </c>
      <c r="N363">
        <v>2.79</v>
      </c>
      <c r="Q363">
        <v>1.84</v>
      </c>
      <c r="R363">
        <v>2.06</v>
      </c>
    </row>
    <row r="364" spans="1:19" x14ac:dyDescent="0.2">
      <c r="A364" t="s">
        <v>720</v>
      </c>
      <c r="B364" t="s">
        <v>721</v>
      </c>
      <c r="C364">
        <v>2019</v>
      </c>
      <c r="D364">
        <v>0</v>
      </c>
      <c r="E364" t="s">
        <v>55</v>
      </c>
      <c r="F364" t="s">
        <v>128</v>
      </c>
      <c r="G364" t="s">
        <v>63</v>
      </c>
      <c r="H364">
        <v>1</v>
      </c>
      <c r="I364">
        <v>16.984100000000002</v>
      </c>
      <c r="J364">
        <v>114.29</v>
      </c>
      <c r="K364">
        <v>6.8</v>
      </c>
      <c r="L364">
        <v>24.5</v>
      </c>
      <c r="M364">
        <v>2.63</v>
      </c>
      <c r="N364">
        <v>7.7090000000000006E-2</v>
      </c>
      <c r="O364">
        <v>0.23499999999999999</v>
      </c>
      <c r="P364">
        <v>7.4</v>
      </c>
      <c r="Q364">
        <v>1</v>
      </c>
      <c r="R364">
        <v>1.0900000000000001</v>
      </c>
      <c r="S364">
        <v>1.1399999999999999</v>
      </c>
    </row>
    <row r="365" spans="1:19" x14ac:dyDescent="0.2">
      <c r="A365" t="s">
        <v>722</v>
      </c>
      <c r="B365" t="s">
        <v>723</v>
      </c>
      <c r="C365">
        <v>2005</v>
      </c>
      <c r="D365">
        <v>0</v>
      </c>
      <c r="E365" t="s">
        <v>21</v>
      </c>
      <c r="F365" t="s">
        <v>22</v>
      </c>
      <c r="G365" t="s">
        <v>32</v>
      </c>
      <c r="H365">
        <v>2</v>
      </c>
      <c r="I365">
        <v>1945</v>
      </c>
      <c r="J365">
        <v>33.57</v>
      </c>
      <c r="N365">
        <v>0.622</v>
      </c>
      <c r="Q365">
        <v>1.1200000000000001</v>
      </c>
    </row>
    <row r="366" spans="1:19" x14ac:dyDescent="0.2">
      <c r="A366" t="s">
        <v>722</v>
      </c>
      <c r="B366" t="s">
        <v>724</v>
      </c>
      <c r="C366">
        <v>2008</v>
      </c>
      <c r="D366">
        <v>0</v>
      </c>
      <c r="E366" t="s">
        <v>21</v>
      </c>
      <c r="F366" t="s">
        <v>22</v>
      </c>
      <c r="G366" t="s">
        <v>32</v>
      </c>
      <c r="H366">
        <v>2</v>
      </c>
      <c r="I366">
        <v>37.909999999999997</v>
      </c>
      <c r="J366">
        <v>33.57</v>
      </c>
      <c r="N366">
        <v>7.8799999999999995E-2</v>
      </c>
      <c r="Q366">
        <v>1.1200000000000001</v>
      </c>
    </row>
    <row r="367" spans="1:19" x14ac:dyDescent="0.2">
      <c r="A367" t="s">
        <v>725</v>
      </c>
      <c r="B367" t="s">
        <v>726</v>
      </c>
      <c r="C367">
        <v>2005</v>
      </c>
      <c r="D367">
        <v>0</v>
      </c>
      <c r="E367" t="s">
        <v>21</v>
      </c>
      <c r="F367" t="s">
        <v>22</v>
      </c>
      <c r="G367" t="s">
        <v>138</v>
      </c>
      <c r="H367">
        <v>1</v>
      </c>
      <c r="I367">
        <v>711</v>
      </c>
      <c r="J367">
        <v>68.05</v>
      </c>
      <c r="K367">
        <v>1.2</v>
      </c>
      <c r="N367">
        <v>6.54</v>
      </c>
      <c r="Q367">
        <v>1.91</v>
      </c>
      <c r="R367">
        <v>10.09</v>
      </c>
    </row>
    <row r="368" spans="1:19" x14ac:dyDescent="0.2">
      <c r="A368" t="s">
        <v>727</v>
      </c>
      <c r="B368" t="s">
        <v>728</v>
      </c>
      <c r="C368">
        <v>2013</v>
      </c>
      <c r="D368">
        <v>0</v>
      </c>
      <c r="E368" t="s">
        <v>21</v>
      </c>
      <c r="F368" t="s">
        <v>22</v>
      </c>
      <c r="G368" t="s">
        <v>29</v>
      </c>
      <c r="H368">
        <v>1</v>
      </c>
      <c r="I368">
        <v>2082</v>
      </c>
      <c r="J368">
        <v>103.35</v>
      </c>
      <c r="N368">
        <v>4.5</v>
      </c>
      <c r="Q368">
        <v>2.39</v>
      </c>
      <c r="R368">
        <v>9.1199999999999992</v>
      </c>
    </row>
    <row r="369" spans="1:18" x14ac:dyDescent="0.2">
      <c r="A369" t="s">
        <v>729</v>
      </c>
      <c r="B369" t="s">
        <v>730</v>
      </c>
      <c r="C369">
        <v>2003</v>
      </c>
      <c r="D369">
        <v>0</v>
      </c>
      <c r="E369" t="s">
        <v>21</v>
      </c>
      <c r="F369" t="s">
        <v>22</v>
      </c>
      <c r="G369" t="s">
        <v>138</v>
      </c>
      <c r="H369">
        <v>1</v>
      </c>
      <c r="I369">
        <v>63.33</v>
      </c>
      <c r="J369">
        <v>41.71</v>
      </c>
      <c r="N369">
        <v>1.51</v>
      </c>
      <c r="Q369">
        <v>1.62</v>
      </c>
      <c r="R369">
        <v>1.07</v>
      </c>
    </row>
    <row r="370" spans="1:18" x14ac:dyDescent="0.2">
      <c r="A370" t="s">
        <v>731</v>
      </c>
      <c r="B370" t="s">
        <v>732</v>
      </c>
      <c r="C370">
        <v>2016</v>
      </c>
      <c r="D370">
        <v>0</v>
      </c>
      <c r="E370" t="s">
        <v>21</v>
      </c>
      <c r="F370" t="s">
        <v>22</v>
      </c>
      <c r="G370" t="s">
        <v>82</v>
      </c>
      <c r="H370">
        <v>1</v>
      </c>
      <c r="I370">
        <v>58.83</v>
      </c>
      <c r="J370">
        <v>51.1</v>
      </c>
      <c r="N370">
        <v>2.98</v>
      </c>
      <c r="Q370">
        <v>1.01</v>
      </c>
    </row>
    <row r="371" spans="1:18" x14ac:dyDescent="0.2">
      <c r="A371" t="s">
        <v>733</v>
      </c>
      <c r="B371" t="s">
        <v>734</v>
      </c>
      <c r="C371">
        <v>2009</v>
      </c>
      <c r="D371">
        <v>0</v>
      </c>
      <c r="E371" t="s">
        <v>21</v>
      </c>
      <c r="F371" t="s">
        <v>22</v>
      </c>
      <c r="G371" t="s">
        <v>138</v>
      </c>
      <c r="H371">
        <v>1</v>
      </c>
      <c r="I371">
        <v>9.6737000000000002</v>
      </c>
      <c r="J371">
        <v>28.22</v>
      </c>
      <c r="N371">
        <v>0.02</v>
      </c>
      <c r="Q371">
        <v>0.28999999999999998</v>
      </c>
      <c r="R371">
        <v>0.74</v>
      </c>
    </row>
    <row r="372" spans="1:18" x14ac:dyDescent="0.2">
      <c r="A372" t="s">
        <v>735</v>
      </c>
      <c r="B372" t="s">
        <v>736</v>
      </c>
      <c r="C372">
        <v>2007</v>
      </c>
      <c r="D372">
        <v>0</v>
      </c>
      <c r="E372" t="s">
        <v>21</v>
      </c>
      <c r="F372" t="s">
        <v>22</v>
      </c>
      <c r="G372" t="s">
        <v>32</v>
      </c>
      <c r="H372">
        <v>3</v>
      </c>
      <c r="I372">
        <v>557.04</v>
      </c>
      <c r="J372">
        <v>57.72</v>
      </c>
      <c r="K372">
        <v>1.77</v>
      </c>
      <c r="N372">
        <v>3.1</v>
      </c>
      <c r="Q372">
        <v>1.1100000000000001</v>
      </c>
      <c r="R372">
        <v>1.05</v>
      </c>
    </row>
    <row r="373" spans="1:18" x14ac:dyDescent="0.2">
      <c r="A373" t="s">
        <v>735</v>
      </c>
      <c r="B373" t="s">
        <v>737</v>
      </c>
      <c r="C373">
        <v>2009</v>
      </c>
      <c r="D373">
        <v>0</v>
      </c>
      <c r="E373" t="s">
        <v>21</v>
      </c>
      <c r="F373" t="s">
        <v>22</v>
      </c>
      <c r="G373" t="s">
        <v>138</v>
      </c>
      <c r="H373">
        <v>3</v>
      </c>
      <c r="I373">
        <v>4.1551400000000003</v>
      </c>
      <c r="J373">
        <v>57.72</v>
      </c>
      <c r="K373">
        <v>1.77</v>
      </c>
      <c r="N373">
        <v>5.5E-2</v>
      </c>
      <c r="Q373">
        <v>1.1100000000000001</v>
      </c>
      <c r="R373">
        <v>1.05</v>
      </c>
    </row>
    <row r="374" spans="1:18" x14ac:dyDescent="0.2">
      <c r="A374" t="s">
        <v>735</v>
      </c>
      <c r="B374" t="s">
        <v>738</v>
      </c>
      <c r="C374">
        <v>2009</v>
      </c>
      <c r="D374">
        <v>0</v>
      </c>
      <c r="E374" t="s">
        <v>21</v>
      </c>
      <c r="F374" t="s">
        <v>22</v>
      </c>
      <c r="G374" t="s">
        <v>138</v>
      </c>
      <c r="H374">
        <v>3</v>
      </c>
      <c r="I374">
        <v>2835</v>
      </c>
      <c r="J374">
        <v>57.72</v>
      </c>
      <c r="K374">
        <v>1.77</v>
      </c>
      <c r="N374">
        <v>7.28</v>
      </c>
      <c r="Q374">
        <v>1.1100000000000001</v>
      </c>
      <c r="R374">
        <v>1.05</v>
      </c>
    </row>
    <row r="375" spans="1:18" x14ac:dyDescent="0.2">
      <c r="A375" t="s">
        <v>739</v>
      </c>
      <c r="B375" t="s">
        <v>740</v>
      </c>
      <c r="C375">
        <v>2015</v>
      </c>
      <c r="D375">
        <v>0</v>
      </c>
      <c r="E375" t="s">
        <v>21</v>
      </c>
      <c r="F375" t="s">
        <v>22</v>
      </c>
      <c r="G375" t="s">
        <v>105</v>
      </c>
      <c r="H375">
        <v>1</v>
      </c>
      <c r="I375">
        <v>133.60001</v>
      </c>
      <c r="J375">
        <v>158.4</v>
      </c>
      <c r="N375">
        <v>1.96</v>
      </c>
      <c r="Q375">
        <v>0.67</v>
      </c>
      <c r="R375">
        <v>11.02</v>
      </c>
    </row>
    <row r="376" spans="1:18" x14ac:dyDescent="0.2">
      <c r="A376" t="s">
        <v>741</v>
      </c>
      <c r="B376" t="s">
        <v>742</v>
      </c>
      <c r="C376">
        <v>2000</v>
      </c>
      <c r="D376">
        <v>0</v>
      </c>
      <c r="E376" t="s">
        <v>21</v>
      </c>
      <c r="F376" t="s">
        <v>22</v>
      </c>
      <c r="G376" t="s">
        <v>35</v>
      </c>
      <c r="H376">
        <v>2</v>
      </c>
      <c r="I376">
        <v>262.70862</v>
      </c>
      <c r="J376">
        <v>37.89</v>
      </c>
      <c r="N376">
        <v>2.4300000000000002</v>
      </c>
      <c r="Q376">
        <v>1.2</v>
      </c>
      <c r="R376">
        <v>1.2</v>
      </c>
    </row>
    <row r="377" spans="1:18" x14ac:dyDescent="0.2">
      <c r="A377" t="s">
        <v>741</v>
      </c>
      <c r="B377" t="s">
        <v>743</v>
      </c>
      <c r="C377">
        <v>2002</v>
      </c>
      <c r="D377">
        <v>0</v>
      </c>
      <c r="E377" t="s">
        <v>21</v>
      </c>
      <c r="F377" t="s">
        <v>22</v>
      </c>
      <c r="G377" t="s">
        <v>35</v>
      </c>
      <c r="H377">
        <v>2</v>
      </c>
      <c r="I377">
        <v>1708</v>
      </c>
      <c r="J377">
        <v>37.89</v>
      </c>
      <c r="N377">
        <v>1.8120000000000001</v>
      </c>
      <c r="Q377">
        <v>1.2</v>
      </c>
      <c r="R377">
        <v>1.2</v>
      </c>
    </row>
    <row r="378" spans="1:18" x14ac:dyDescent="0.2">
      <c r="A378" t="s">
        <v>744</v>
      </c>
      <c r="B378" t="s">
        <v>745</v>
      </c>
      <c r="C378">
        <v>2009</v>
      </c>
      <c r="D378">
        <v>0</v>
      </c>
      <c r="E378" t="s">
        <v>21</v>
      </c>
      <c r="F378" t="s">
        <v>22</v>
      </c>
      <c r="G378" t="s">
        <v>32</v>
      </c>
      <c r="H378">
        <v>1</v>
      </c>
      <c r="I378">
        <v>1244</v>
      </c>
      <c r="J378">
        <v>73.25</v>
      </c>
      <c r="N378">
        <v>0.41</v>
      </c>
      <c r="Q378">
        <v>1.26</v>
      </c>
      <c r="R378">
        <v>1.32</v>
      </c>
    </row>
    <row r="379" spans="1:18" x14ac:dyDescent="0.2">
      <c r="A379" t="s">
        <v>746</v>
      </c>
      <c r="B379" t="s">
        <v>747</v>
      </c>
      <c r="C379">
        <v>2002</v>
      </c>
      <c r="D379">
        <v>0</v>
      </c>
      <c r="E379" t="s">
        <v>21</v>
      </c>
      <c r="F379" t="s">
        <v>22</v>
      </c>
      <c r="G379" t="s">
        <v>32</v>
      </c>
      <c r="H379">
        <v>2</v>
      </c>
      <c r="I379">
        <v>453.01900000000001</v>
      </c>
      <c r="J379">
        <v>16.52</v>
      </c>
      <c r="K379">
        <v>0.96</v>
      </c>
      <c r="N379">
        <v>1.7689999999999999</v>
      </c>
      <c r="Q379">
        <v>0.83</v>
      </c>
      <c r="R379">
        <v>0.76</v>
      </c>
    </row>
    <row r="380" spans="1:18" x14ac:dyDescent="0.2">
      <c r="A380" t="s">
        <v>746</v>
      </c>
      <c r="B380" t="s">
        <v>748</v>
      </c>
      <c r="C380">
        <v>2005</v>
      </c>
      <c r="D380">
        <v>0</v>
      </c>
      <c r="E380" t="s">
        <v>21</v>
      </c>
      <c r="F380" t="s">
        <v>22</v>
      </c>
      <c r="G380" t="s">
        <v>32</v>
      </c>
      <c r="H380">
        <v>2</v>
      </c>
      <c r="I380">
        <v>921.53800000000001</v>
      </c>
      <c r="J380">
        <v>16.52</v>
      </c>
      <c r="K380">
        <v>0.96</v>
      </c>
      <c r="L380">
        <v>1204.2578699999999</v>
      </c>
      <c r="N380">
        <v>3.7890000000000001</v>
      </c>
      <c r="Q380">
        <v>0.83</v>
      </c>
      <c r="R380">
        <v>0.76</v>
      </c>
    </row>
    <row r="381" spans="1:18" x14ac:dyDescent="0.2">
      <c r="A381" t="s">
        <v>749</v>
      </c>
      <c r="B381" t="s">
        <v>750</v>
      </c>
      <c r="C381">
        <v>2016</v>
      </c>
      <c r="D381">
        <v>0</v>
      </c>
      <c r="E381" t="s">
        <v>21</v>
      </c>
      <c r="F381" t="s">
        <v>22</v>
      </c>
      <c r="G381" t="s">
        <v>35</v>
      </c>
      <c r="H381">
        <v>1</v>
      </c>
      <c r="I381">
        <v>298.2</v>
      </c>
      <c r="J381">
        <v>26.03</v>
      </c>
      <c r="K381">
        <v>10</v>
      </c>
      <c r="N381">
        <v>0.89</v>
      </c>
      <c r="Q381">
        <v>0.65</v>
      </c>
      <c r="R381">
        <v>0.85</v>
      </c>
    </row>
    <row r="382" spans="1:18" x14ac:dyDescent="0.2">
      <c r="A382" t="s">
        <v>751</v>
      </c>
      <c r="B382" t="s">
        <v>752</v>
      </c>
      <c r="C382">
        <v>2009</v>
      </c>
      <c r="D382">
        <v>0</v>
      </c>
      <c r="E382" t="s">
        <v>21</v>
      </c>
      <c r="F382" t="s">
        <v>22</v>
      </c>
      <c r="G382" t="s">
        <v>629</v>
      </c>
      <c r="H382">
        <v>1</v>
      </c>
      <c r="I382">
        <v>1840</v>
      </c>
      <c r="J382">
        <v>67.569999999999993</v>
      </c>
      <c r="N382">
        <v>1.6</v>
      </c>
      <c r="Q382">
        <v>0.99</v>
      </c>
    </row>
    <row r="383" spans="1:18" x14ac:dyDescent="0.2">
      <c r="A383" t="s">
        <v>753</v>
      </c>
      <c r="B383" t="s">
        <v>754</v>
      </c>
      <c r="C383">
        <v>1999</v>
      </c>
      <c r="D383">
        <v>0</v>
      </c>
      <c r="E383" t="s">
        <v>21</v>
      </c>
      <c r="F383" t="s">
        <v>22</v>
      </c>
      <c r="G383" t="s">
        <v>138</v>
      </c>
      <c r="H383">
        <v>1</v>
      </c>
      <c r="I383">
        <v>10.70871</v>
      </c>
      <c r="J383">
        <v>31.91</v>
      </c>
      <c r="N383">
        <v>1.1499999999999999</v>
      </c>
      <c r="Q383">
        <v>0.92</v>
      </c>
      <c r="R383">
        <v>0.85</v>
      </c>
    </row>
    <row r="384" spans="1:18" x14ac:dyDescent="0.2">
      <c r="A384" t="s">
        <v>755</v>
      </c>
      <c r="B384" t="s">
        <v>756</v>
      </c>
      <c r="C384">
        <v>2011</v>
      </c>
      <c r="D384">
        <v>0</v>
      </c>
      <c r="E384" t="s">
        <v>21</v>
      </c>
      <c r="F384" t="s">
        <v>22</v>
      </c>
      <c r="G384" t="s">
        <v>32</v>
      </c>
      <c r="H384">
        <v>1</v>
      </c>
      <c r="I384">
        <v>896</v>
      </c>
      <c r="J384">
        <v>132.34</v>
      </c>
      <c r="N384">
        <v>1.8</v>
      </c>
      <c r="Q384">
        <v>1.34</v>
      </c>
      <c r="R384">
        <v>4.4400000000000004</v>
      </c>
    </row>
    <row r="385" spans="1:18" x14ac:dyDescent="0.2">
      <c r="A385" t="s">
        <v>757</v>
      </c>
      <c r="B385" t="s">
        <v>758</v>
      </c>
      <c r="C385">
        <v>2008</v>
      </c>
      <c r="D385">
        <v>0</v>
      </c>
      <c r="E385" t="s">
        <v>21</v>
      </c>
      <c r="F385" t="s">
        <v>22</v>
      </c>
      <c r="G385" t="s">
        <v>138</v>
      </c>
      <c r="H385">
        <v>1</v>
      </c>
      <c r="I385">
        <v>1951</v>
      </c>
      <c r="J385">
        <v>52.89</v>
      </c>
      <c r="N385">
        <v>19.12</v>
      </c>
      <c r="Q385">
        <v>1.19</v>
      </c>
      <c r="R385">
        <v>1.08</v>
      </c>
    </row>
    <row r="386" spans="1:18" x14ac:dyDescent="0.2">
      <c r="A386" t="s">
        <v>759</v>
      </c>
      <c r="B386" t="s">
        <v>760</v>
      </c>
      <c r="C386">
        <v>2018</v>
      </c>
      <c r="D386">
        <v>0</v>
      </c>
      <c r="E386" t="s">
        <v>21</v>
      </c>
      <c r="F386" t="s">
        <v>22</v>
      </c>
      <c r="G386" t="s">
        <v>32</v>
      </c>
      <c r="H386">
        <v>1</v>
      </c>
      <c r="I386">
        <v>2613</v>
      </c>
      <c r="J386">
        <v>149.57</v>
      </c>
      <c r="N386">
        <v>3.31</v>
      </c>
      <c r="Q386">
        <v>1.35</v>
      </c>
      <c r="R386">
        <v>2.39</v>
      </c>
    </row>
    <row r="387" spans="1:18" x14ac:dyDescent="0.2">
      <c r="A387" t="s">
        <v>761</v>
      </c>
      <c r="B387" t="s">
        <v>762</v>
      </c>
      <c r="C387">
        <v>2005</v>
      </c>
      <c r="D387">
        <v>0</v>
      </c>
      <c r="E387" t="s">
        <v>21</v>
      </c>
      <c r="F387" t="s">
        <v>22</v>
      </c>
      <c r="G387" t="s">
        <v>26</v>
      </c>
      <c r="H387">
        <v>1</v>
      </c>
      <c r="I387">
        <v>471.60001</v>
      </c>
      <c r="J387">
        <v>504.71</v>
      </c>
      <c r="N387">
        <v>10.95</v>
      </c>
      <c r="Q387">
        <v>2.2400000000000002</v>
      </c>
      <c r="R387">
        <v>38.409999999999997</v>
      </c>
    </row>
    <row r="388" spans="1:18" x14ac:dyDescent="0.2">
      <c r="A388" t="s">
        <v>763</v>
      </c>
      <c r="B388" t="s">
        <v>764</v>
      </c>
      <c r="C388">
        <v>2007</v>
      </c>
      <c r="D388">
        <v>0</v>
      </c>
      <c r="E388" t="s">
        <v>21</v>
      </c>
      <c r="F388" t="s">
        <v>22</v>
      </c>
      <c r="G388" t="s">
        <v>82</v>
      </c>
      <c r="H388">
        <v>1</v>
      </c>
      <c r="I388">
        <v>974</v>
      </c>
      <c r="J388">
        <v>70.930000000000007</v>
      </c>
      <c r="N388">
        <v>5.38</v>
      </c>
      <c r="Q388">
        <v>1.03</v>
      </c>
      <c r="R388">
        <v>1.34</v>
      </c>
    </row>
    <row r="389" spans="1:18" x14ac:dyDescent="0.2">
      <c r="A389" t="s">
        <v>765</v>
      </c>
      <c r="B389" t="s">
        <v>766</v>
      </c>
      <c r="C389">
        <v>2011</v>
      </c>
      <c r="D389">
        <v>0</v>
      </c>
      <c r="E389" t="s">
        <v>21</v>
      </c>
      <c r="F389" t="s">
        <v>22</v>
      </c>
      <c r="G389" t="s">
        <v>118</v>
      </c>
      <c r="H389">
        <v>1</v>
      </c>
      <c r="I389">
        <v>1544</v>
      </c>
      <c r="J389">
        <v>105.47</v>
      </c>
      <c r="K389">
        <v>2.31</v>
      </c>
      <c r="N389">
        <v>1.49</v>
      </c>
      <c r="Q389">
        <v>1.08</v>
      </c>
      <c r="R389">
        <v>1.0900000000000001</v>
      </c>
    </row>
    <row r="390" spans="1:18" x14ac:dyDescent="0.2">
      <c r="A390" t="s">
        <v>767</v>
      </c>
      <c r="B390" t="s">
        <v>768</v>
      </c>
      <c r="C390">
        <v>2016</v>
      </c>
      <c r="D390">
        <v>0</v>
      </c>
      <c r="E390" t="s">
        <v>21</v>
      </c>
      <c r="F390" t="s">
        <v>22</v>
      </c>
      <c r="G390" t="s">
        <v>629</v>
      </c>
      <c r="H390">
        <v>2</v>
      </c>
      <c r="I390">
        <v>649</v>
      </c>
      <c r="J390">
        <v>47</v>
      </c>
      <c r="K390">
        <v>9.6999999999999993</v>
      </c>
      <c r="N390">
        <v>1.42</v>
      </c>
      <c r="Q390">
        <v>0.95</v>
      </c>
    </row>
    <row r="391" spans="1:18" x14ac:dyDescent="0.2">
      <c r="A391" t="s">
        <v>767</v>
      </c>
      <c r="B391" t="s">
        <v>769</v>
      </c>
      <c r="C391">
        <v>2016</v>
      </c>
      <c r="D391">
        <v>0</v>
      </c>
      <c r="E391" t="s">
        <v>21</v>
      </c>
      <c r="F391" t="s">
        <v>22</v>
      </c>
      <c r="G391" t="s">
        <v>629</v>
      </c>
      <c r="H391">
        <v>2</v>
      </c>
      <c r="I391">
        <v>3568</v>
      </c>
      <c r="J391">
        <v>47</v>
      </c>
      <c r="K391">
        <v>9.6999999999999993</v>
      </c>
      <c r="N391">
        <v>0.42</v>
      </c>
      <c r="Q391">
        <v>0.95</v>
      </c>
    </row>
    <row r="392" spans="1:18" x14ac:dyDescent="0.2">
      <c r="A392" t="s">
        <v>770</v>
      </c>
      <c r="B392" t="s">
        <v>771</v>
      </c>
      <c r="C392">
        <v>2016</v>
      </c>
      <c r="D392">
        <v>0</v>
      </c>
      <c r="E392" t="s">
        <v>21</v>
      </c>
      <c r="F392" t="s">
        <v>22</v>
      </c>
      <c r="G392" t="s">
        <v>629</v>
      </c>
      <c r="H392">
        <v>1</v>
      </c>
      <c r="I392">
        <v>5769</v>
      </c>
      <c r="J392">
        <v>47</v>
      </c>
      <c r="K392">
        <v>9.6999999999999993</v>
      </c>
      <c r="N392">
        <v>2.5</v>
      </c>
      <c r="Q392">
        <v>0.93</v>
      </c>
    </row>
    <row r="393" spans="1:18" x14ac:dyDescent="0.2">
      <c r="A393" t="s">
        <v>772</v>
      </c>
      <c r="B393" t="s">
        <v>773</v>
      </c>
      <c r="C393">
        <v>2019</v>
      </c>
      <c r="D393">
        <v>0</v>
      </c>
      <c r="E393" t="s">
        <v>21</v>
      </c>
      <c r="F393" t="s">
        <v>22</v>
      </c>
      <c r="G393" t="s">
        <v>138</v>
      </c>
      <c r="H393">
        <v>2</v>
      </c>
      <c r="I393">
        <v>3.2696000000000001</v>
      </c>
      <c r="J393">
        <v>24.2</v>
      </c>
      <c r="N393">
        <v>3.1800000000000002E-2</v>
      </c>
      <c r="Q393">
        <v>1.0900000000000001</v>
      </c>
    </row>
    <row r="394" spans="1:18" x14ac:dyDescent="0.2">
      <c r="A394" t="s">
        <v>772</v>
      </c>
      <c r="B394" t="s">
        <v>774</v>
      </c>
      <c r="C394">
        <v>2019</v>
      </c>
      <c r="D394">
        <v>0</v>
      </c>
      <c r="E394" t="s">
        <v>21</v>
      </c>
      <c r="F394" t="s">
        <v>22</v>
      </c>
      <c r="G394" t="s">
        <v>138</v>
      </c>
      <c r="H394">
        <v>2</v>
      </c>
      <c r="I394">
        <v>1291.5645999999999</v>
      </c>
      <c r="J394">
        <v>24.2</v>
      </c>
      <c r="N394">
        <v>9.2200000000000004E-2</v>
      </c>
      <c r="Q394">
        <v>1.0900000000000001</v>
      </c>
    </row>
    <row r="395" spans="1:18" x14ac:dyDescent="0.2">
      <c r="A395" t="s">
        <v>775</v>
      </c>
      <c r="B395" t="s">
        <v>776</v>
      </c>
      <c r="C395">
        <v>1999</v>
      </c>
      <c r="D395">
        <v>0</v>
      </c>
      <c r="E395" t="s">
        <v>21</v>
      </c>
      <c r="F395" t="s">
        <v>22</v>
      </c>
      <c r="G395" t="s">
        <v>32</v>
      </c>
      <c r="H395">
        <v>2</v>
      </c>
      <c r="I395">
        <v>258.17998999999998</v>
      </c>
      <c r="J395">
        <v>22.2</v>
      </c>
      <c r="N395">
        <v>1.61</v>
      </c>
      <c r="Q395">
        <v>1.1000000000000001</v>
      </c>
      <c r="R395">
        <v>1.22</v>
      </c>
    </row>
    <row r="396" spans="1:18" x14ac:dyDescent="0.2">
      <c r="A396" t="s">
        <v>775</v>
      </c>
      <c r="B396" t="s">
        <v>777</v>
      </c>
      <c r="C396">
        <v>2009</v>
      </c>
      <c r="D396">
        <v>0</v>
      </c>
      <c r="E396" t="s">
        <v>21</v>
      </c>
      <c r="F396" t="s">
        <v>22</v>
      </c>
      <c r="G396" t="s">
        <v>35</v>
      </c>
      <c r="H396">
        <v>2</v>
      </c>
      <c r="I396">
        <v>5000</v>
      </c>
      <c r="J396">
        <v>22.2</v>
      </c>
      <c r="N396">
        <v>0.82</v>
      </c>
      <c r="Q396">
        <v>1.1000000000000001</v>
      </c>
      <c r="R396">
        <v>1.22</v>
      </c>
    </row>
    <row r="397" spans="1:18" x14ac:dyDescent="0.2">
      <c r="A397" t="s">
        <v>778</v>
      </c>
      <c r="B397" t="s">
        <v>779</v>
      </c>
      <c r="C397">
        <v>2019</v>
      </c>
      <c r="D397">
        <v>0</v>
      </c>
      <c r="E397" t="s">
        <v>21</v>
      </c>
      <c r="F397" t="s">
        <v>22</v>
      </c>
      <c r="G397" t="s">
        <v>138</v>
      </c>
      <c r="H397">
        <v>3</v>
      </c>
      <c r="I397">
        <v>11.5824</v>
      </c>
      <c r="J397">
        <v>14.81</v>
      </c>
      <c r="N397">
        <v>1.5100000000000001E-2</v>
      </c>
      <c r="Q397">
        <v>0.81</v>
      </c>
    </row>
    <row r="398" spans="1:18" x14ac:dyDescent="0.2">
      <c r="A398" t="s">
        <v>778</v>
      </c>
      <c r="B398" t="s">
        <v>780</v>
      </c>
      <c r="C398">
        <v>2019</v>
      </c>
      <c r="D398">
        <v>0</v>
      </c>
      <c r="E398" t="s">
        <v>21</v>
      </c>
      <c r="F398" t="s">
        <v>22</v>
      </c>
      <c r="G398" t="s">
        <v>138</v>
      </c>
      <c r="H398">
        <v>3</v>
      </c>
      <c r="I398">
        <v>27.582100000000001</v>
      </c>
      <c r="J398">
        <v>14.81</v>
      </c>
      <c r="N398">
        <v>3.4000000000000002E-2</v>
      </c>
      <c r="Q398">
        <v>0.81</v>
      </c>
    </row>
    <row r="399" spans="1:18" x14ac:dyDescent="0.2">
      <c r="A399" t="s">
        <v>778</v>
      </c>
      <c r="B399" t="s">
        <v>781</v>
      </c>
      <c r="C399">
        <v>2019</v>
      </c>
      <c r="D399">
        <v>0</v>
      </c>
      <c r="E399" t="s">
        <v>21</v>
      </c>
      <c r="F399" t="s">
        <v>22</v>
      </c>
      <c r="G399" t="s">
        <v>138</v>
      </c>
      <c r="H399">
        <v>3</v>
      </c>
      <c r="I399">
        <v>107.59829999999999</v>
      </c>
      <c r="J399">
        <v>14.81</v>
      </c>
      <c r="N399">
        <v>2.7E-2</v>
      </c>
      <c r="Q399">
        <v>0.81</v>
      </c>
    </row>
    <row r="400" spans="1:18" x14ac:dyDescent="0.2">
      <c r="A400" t="s">
        <v>782</v>
      </c>
      <c r="B400" t="s">
        <v>783</v>
      </c>
      <c r="C400">
        <v>2009</v>
      </c>
      <c r="D400">
        <v>0</v>
      </c>
      <c r="E400" t="s">
        <v>21</v>
      </c>
      <c r="F400" t="s">
        <v>22</v>
      </c>
      <c r="G400" t="s">
        <v>32</v>
      </c>
      <c r="H400">
        <v>1</v>
      </c>
      <c r="I400">
        <v>464.29998999999998</v>
      </c>
      <c r="J400">
        <v>105.49</v>
      </c>
      <c r="N400">
        <v>2.14</v>
      </c>
      <c r="Q400">
        <v>1.48</v>
      </c>
      <c r="R400">
        <v>3.78</v>
      </c>
    </row>
    <row r="401" spans="1:19" x14ac:dyDescent="0.2">
      <c r="A401" t="s">
        <v>784</v>
      </c>
      <c r="B401" t="s">
        <v>785</v>
      </c>
      <c r="C401">
        <v>2019</v>
      </c>
      <c r="D401">
        <v>0</v>
      </c>
      <c r="E401" t="s">
        <v>21</v>
      </c>
      <c r="F401" t="s">
        <v>22</v>
      </c>
      <c r="G401" t="s">
        <v>138</v>
      </c>
      <c r="H401">
        <v>1</v>
      </c>
      <c r="I401">
        <v>14763.405000000001</v>
      </c>
      <c r="J401">
        <v>43.52</v>
      </c>
      <c r="K401">
        <v>0.76</v>
      </c>
      <c r="N401">
        <v>26.77</v>
      </c>
      <c r="Q401">
        <v>1.1399999999999999</v>
      </c>
      <c r="R401">
        <v>1.07</v>
      </c>
    </row>
    <row r="402" spans="1:19" x14ac:dyDescent="0.2">
      <c r="A402" t="s">
        <v>786</v>
      </c>
      <c r="B402" t="s">
        <v>787</v>
      </c>
      <c r="C402">
        <v>2011</v>
      </c>
      <c r="D402">
        <v>0</v>
      </c>
      <c r="E402" t="s">
        <v>21</v>
      </c>
      <c r="F402" t="s">
        <v>22</v>
      </c>
      <c r="G402" t="s">
        <v>138</v>
      </c>
      <c r="H402">
        <v>1</v>
      </c>
      <c r="I402">
        <v>330</v>
      </c>
      <c r="J402">
        <v>40.53</v>
      </c>
      <c r="N402">
        <v>0.2</v>
      </c>
      <c r="Q402">
        <v>0.68</v>
      </c>
      <c r="R402">
        <v>0.88</v>
      </c>
    </row>
    <row r="403" spans="1:19" x14ac:dyDescent="0.2">
      <c r="A403" t="s">
        <v>788</v>
      </c>
      <c r="B403" t="s">
        <v>789</v>
      </c>
      <c r="C403">
        <v>2013</v>
      </c>
      <c r="D403">
        <v>0</v>
      </c>
      <c r="E403" t="s">
        <v>21</v>
      </c>
      <c r="F403" t="s">
        <v>22</v>
      </c>
      <c r="G403" t="s">
        <v>82</v>
      </c>
      <c r="H403">
        <v>2</v>
      </c>
      <c r="I403">
        <v>19.382000000000001</v>
      </c>
      <c r="J403">
        <v>79.73</v>
      </c>
      <c r="K403">
        <v>2.9</v>
      </c>
      <c r="N403">
        <v>0.86499999999999999</v>
      </c>
      <c r="Q403">
        <v>1.29</v>
      </c>
      <c r="R403">
        <v>1.67</v>
      </c>
    </row>
    <row r="404" spans="1:19" x14ac:dyDescent="0.2">
      <c r="A404" t="s">
        <v>788</v>
      </c>
      <c r="B404" t="s">
        <v>790</v>
      </c>
      <c r="C404">
        <v>2013</v>
      </c>
      <c r="D404">
        <v>0</v>
      </c>
      <c r="E404" t="s">
        <v>21</v>
      </c>
      <c r="F404" t="s">
        <v>22</v>
      </c>
      <c r="G404" t="s">
        <v>82</v>
      </c>
      <c r="H404">
        <v>2</v>
      </c>
      <c r="I404">
        <v>931</v>
      </c>
      <c r="J404">
        <v>79.73</v>
      </c>
      <c r="K404">
        <v>2.9</v>
      </c>
      <c r="N404">
        <v>5.13</v>
      </c>
      <c r="Q404">
        <v>1.29</v>
      </c>
      <c r="R404">
        <v>1.67</v>
      </c>
    </row>
    <row r="405" spans="1:19" x14ac:dyDescent="0.2">
      <c r="A405" t="s">
        <v>791</v>
      </c>
      <c r="B405" t="s">
        <v>792</v>
      </c>
      <c r="C405">
        <v>2009</v>
      </c>
      <c r="D405">
        <v>0</v>
      </c>
      <c r="E405" t="s">
        <v>21</v>
      </c>
      <c r="F405" t="s">
        <v>22</v>
      </c>
      <c r="G405" t="s">
        <v>32</v>
      </c>
      <c r="H405">
        <v>1</v>
      </c>
      <c r="I405">
        <v>4218</v>
      </c>
      <c r="J405">
        <v>47.46</v>
      </c>
      <c r="N405">
        <v>2.2000000000000002</v>
      </c>
      <c r="Q405">
        <v>1.3</v>
      </c>
      <c r="R405">
        <v>1.25</v>
      </c>
    </row>
    <row r="406" spans="1:19" x14ac:dyDescent="0.2">
      <c r="A406" t="s">
        <v>793</v>
      </c>
      <c r="B406" t="s">
        <v>794</v>
      </c>
      <c r="C406">
        <v>2008</v>
      </c>
      <c r="D406">
        <v>0</v>
      </c>
      <c r="E406" t="s">
        <v>21</v>
      </c>
      <c r="F406" t="s">
        <v>22</v>
      </c>
      <c r="G406" t="s">
        <v>26</v>
      </c>
      <c r="H406">
        <v>1</v>
      </c>
      <c r="I406">
        <v>1125.7</v>
      </c>
      <c r="J406">
        <v>112.45</v>
      </c>
      <c r="K406">
        <v>3.07</v>
      </c>
      <c r="N406">
        <v>9.76</v>
      </c>
      <c r="Q406">
        <v>1.35</v>
      </c>
      <c r="R406">
        <v>11.47</v>
      </c>
    </row>
    <row r="407" spans="1:19" x14ac:dyDescent="0.2">
      <c r="A407" t="s">
        <v>795</v>
      </c>
      <c r="B407" t="s">
        <v>796</v>
      </c>
      <c r="C407">
        <v>2018</v>
      </c>
      <c r="D407">
        <v>0</v>
      </c>
      <c r="E407" t="s">
        <v>55</v>
      </c>
      <c r="F407" t="s">
        <v>128</v>
      </c>
      <c r="G407" t="s">
        <v>256</v>
      </c>
      <c r="H407">
        <v>1</v>
      </c>
      <c r="I407">
        <v>11.53533</v>
      </c>
      <c r="J407">
        <v>79.75</v>
      </c>
      <c r="K407">
        <v>4.51</v>
      </c>
      <c r="L407">
        <v>131.89945</v>
      </c>
      <c r="M407">
        <v>11.5</v>
      </c>
      <c r="N407">
        <v>0.41499999999999998</v>
      </c>
      <c r="O407">
        <v>1.026</v>
      </c>
      <c r="P407">
        <v>0.47699999999999998</v>
      </c>
      <c r="Q407">
        <v>1.32</v>
      </c>
      <c r="R407">
        <v>2.34</v>
      </c>
      <c r="S407">
        <v>0.14699999999999999</v>
      </c>
    </row>
    <row r="408" spans="1:19" x14ac:dyDescent="0.2">
      <c r="A408" t="s">
        <v>797</v>
      </c>
      <c r="B408" t="s">
        <v>798</v>
      </c>
      <c r="C408">
        <v>2014</v>
      </c>
      <c r="D408">
        <v>0</v>
      </c>
      <c r="E408" t="s">
        <v>21</v>
      </c>
      <c r="F408" t="s">
        <v>22</v>
      </c>
      <c r="G408" t="s">
        <v>29</v>
      </c>
      <c r="H408">
        <v>1</v>
      </c>
      <c r="I408">
        <v>1455</v>
      </c>
      <c r="J408">
        <v>163.4</v>
      </c>
      <c r="K408">
        <v>0.69</v>
      </c>
      <c r="N408">
        <v>7.8</v>
      </c>
      <c r="Q408">
        <v>2.4</v>
      </c>
      <c r="R408">
        <v>12.4</v>
      </c>
    </row>
    <row r="409" spans="1:19" x14ac:dyDescent="0.2">
      <c r="A409" t="s">
        <v>799</v>
      </c>
      <c r="B409" t="s">
        <v>800</v>
      </c>
      <c r="C409">
        <v>2014</v>
      </c>
      <c r="D409">
        <v>0</v>
      </c>
      <c r="E409" t="s">
        <v>21</v>
      </c>
      <c r="F409" t="s">
        <v>22</v>
      </c>
      <c r="G409" t="s">
        <v>35</v>
      </c>
      <c r="H409">
        <v>4</v>
      </c>
      <c r="I409">
        <v>94.44</v>
      </c>
      <c r="J409">
        <v>36.200000000000003</v>
      </c>
      <c r="N409">
        <v>0.45100000000000001</v>
      </c>
      <c r="Q409">
        <v>1.07</v>
      </c>
    </row>
    <row r="410" spans="1:19" x14ac:dyDescent="0.2">
      <c r="A410" t="s">
        <v>799</v>
      </c>
      <c r="B410" t="s">
        <v>801</v>
      </c>
      <c r="C410">
        <v>2014</v>
      </c>
      <c r="D410">
        <v>0</v>
      </c>
      <c r="E410" t="s">
        <v>21</v>
      </c>
      <c r="F410" t="s">
        <v>22</v>
      </c>
      <c r="G410" t="s">
        <v>35</v>
      </c>
      <c r="H410">
        <v>4</v>
      </c>
      <c r="I410">
        <v>201.99</v>
      </c>
      <c r="J410">
        <v>36.200000000000003</v>
      </c>
      <c r="N410">
        <v>1.33</v>
      </c>
      <c r="Q410">
        <v>1.07</v>
      </c>
    </row>
    <row r="411" spans="1:19" x14ac:dyDescent="0.2">
      <c r="A411" t="s">
        <v>799</v>
      </c>
      <c r="B411" t="s">
        <v>802</v>
      </c>
      <c r="C411">
        <v>2014</v>
      </c>
      <c r="D411">
        <v>0</v>
      </c>
      <c r="E411" t="s">
        <v>21</v>
      </c>
      <c r="F411" t="s">
        <v>22</v>
      </c>
      <c r="G411" t="s">
        <v>35</v>
      </c>
      <c r="H411">
        <v>4</v>
      </c>
      <c r="I411">
        <v>1069.8</v>
      </c>
      <c r="J411">
        <v>36.200000000000003</v>
      </c>
      <c r="N411">
        <v>1.18</v>
      </c>
      <c r="Q411">
        <v>1.07</v>
      </c>
    </row>
    <row r="412" spans="1:19" x14ac:dyDescent="0.2">
      <c r="A412" t="s">
        <v>799</v>
      </c>
      <c r="B412" t="s">
        <v>803</v>
      </c>
      <c r="C412">
        <v>2014</v>
      </c>
      <c r="D412">
        <v>0</v>
      </c>
      <c r="E412" t="s">
        <v>21</v>
      </c>
      <c r="F412" t="s">
        <v>22</v>
      </c>
      <c r="G412" t="s">
        <v>35</v>
      </c>
      <c r="H412">
        <v>4</v>
      </c>
      <c r="I412">
        <v>5000</v>
      </c>
      <c r="J412">
        <v>36.200000000000003</v>
      </c>
      <c r="N412">
        <v>0.66</v>
      </c>
      <c r="Q412">
        <v>1.07</v>
      </c>
    </row>
    <row r="413" spans="1:19" x14ac:dyDescent="0.2">
      <c r="A413" t="s">
        <v>804</v>
      </c>
      <c r="B413" t="s">
        <v>805</v>
      </c>
      <c r="C413">
        <v>2002</v>
      </c>
      <c r="D413">
        <v>0</v>
      </c>
      <c r="E413" t="s">
        <v>21</v>
      </c>
      <c r="F413" t="s">
        <v>22</v>
      </c>
      <c r="G413" t="s">
        <v>138</v>
      </c>
      <c r="H413">
        <v>1</v>
      </c>
      <c r="I413">
        <v>653.21996999999999</v>
      </c>
      <c r="J413">
        <v>33.39</v>
      </c>
      <c r="N413">
        <v>9.69</v>
      </c>
      <c r="Q413">
        <v>1.0900000000000001</v>
      </c>
      <c r="R413">
        <v>1.03</v>
      </c>
    </row>
    <row r="414" spans="1:19" x14ac:dyDescent="0.2">
      <c r="A414" t="s">
        <v>806</v>
      </c>
      <c r="B414" t="s">
        <v>807</v>
      </c>
      <c r="C414">
        <v>2001</v>
      </c>
      <c r="D414">
        <v>0</v>
      </c>
      <c r="E414" t="s">
        <v>21</v>
      </c>
      <c r="F414" t="s">
        <v>22</v>
      </c>
      <c r="G414" t="s">
        <v>98</v>
      </c>
      <c r="H414">
        <v>2</v>
      </c>
      <c r="I414">
        <v>349.7</v>
      </c>
      <c r="J414">
        <v>26.21</v>
      </c>
      <c r="N414">
        <v>1.25</v>
      </c>
      <c r="Q414">
        <v>1.23</v>
      </c>
      <c r="R414">
        <v>1.47</v>
      </c>
    </row>
    <row r="415" spans="1:19" x14ac:dyDescent="0.2">
      <c r="A415" t="s">
        <v>806</v>
      </c>
      <c r="B415" t="s">
        <v>808</v>
      </c>
      <c r="C415">
        <v>2012</v>
      </c>
      <c r="D415">
        <v>0</v>
      </c>
      <c r="E415" t="s">
        <v>21</v>
      </c>
      <c r="F415" t="s">
        <v>22</v>
      </c>
      <c r="G415" t="s">
        <v>98</v>
      </c>
      <c r="H415">
        <v>2</v>
      </c>
      <c r="I415">
        <v>6005</v>
      </c>
      <c r="J415">
        <v>26.21</v>
      </c>
      <c r="N415">
        <v>5.3</v>
      </c>
      <c r="Q415">
        <v>1.23</v>
      </c>
      <c r="R415">
        <v>1.47</v>
      </c>
    </row>
    <row r="416" spans="1:19" x14ac:dyDescent="0.2">
      <c r="A416" t="s">
        <v>809</v>
      </c>
      <c r="B416" t="s">
        <v>810</v>
      </c>
      <c r="C416">
        <v>2005</v>
      </c>
      <c r="D416">
        <v>0</v>
      </c>
      <c r="E416" t="s">
        <v>21</v>
      </c>
      <c r="F416" t="s">
        <v>22</v>
      </c>
      <c r="G416" t="s">
        <v>138</v>
      </c>
      <c r="H416">
        <v>1</v>
      </c>
      <c r="I416">
        <v>1928</v>
      </c>
      <c r="J416">
        <v>34.31</v>
      </c>
      <c r="N416">
        <v>4.4400000000000004</v>
      </c>
      <c r="Q416">
        <v>0.9</v>
      </c>
      <c r="R416">
        <v>1.04</v>
      </c>
    </row>
    <row r="417" spans="1:18" x14ac:dyDescent="0.2">
      <c r="A417" t="s">
        <v>811</v>
      </c>
      <c r="B417" t="s">
        <v>812</v>
      </c>
      <c r="C417">
        <v>2011</v>
      </c>
      <c r="D417">
        <v>0</v>
      </c>
      <c r="E417" t="s">
        <v>21</v>
      </c>
      <c r="F417" t="s">
        <v>22</v>
      </c>
      <c r="G417" t="s">
        <v>32</v>
      </c>
      <c r="H417">
        <v>1</v>
      </c>
      <c r="I417">
        <v>1299</v>
      </c>
      <c r="J417">
        <v>97.5</v>
      </c>
      <c r="N417">
        <v>3.07</v>
      </c>
      <c r="Q417">
        <v>3.5</v>
      </c>
      <c r="R417">
        <v>4.63</v>
      </c>
    </row>
    <row r="418" spans="1:18" x14ac:dyDescent="0.2">
      <c r="A418" t="s">
        <v>813</v>
      </c>
      <c r="B418" t="s">
        <v>814</v>
      </c>
      <c r="C418">
        <v>2003</v>
      </c>
      <c r="D418">
        <v>0</v>
      </c>
      <c r="E418" t="s">
        <v>21</v>
      </c>
      <c r="F418" t="s">
        <v>22</v>
      </c>
      <c r="G418" t="s">
        <v>138</v>
      </c>
      <c r="H418">
        <v>1</v>
      </c>
      <c r="I418">
        <v>386.29998999999998</v>
      </c>
      <c r="J418">
        <v>35.57</v>
      </c>
      <c r="N418">
        <v>1.67</v>
      </c>
      <c r="Q418">
        <v>1.07</v>
      </c>
      <c r="R418">
        <v>1.04</v>
      </c>
    </row>
    <row r="419" spans="1:18" x14ac:dyDescent="0.2">
      <c r="A419" t="s">
        <v>815</v>
      </c>
      <c r="B419" t="s">
        <v>816</v>
      </c>
      <c r="C419">
        <v>2016</v>
      </c>
      <c r="D419">
        <v>0</v>
      </c>
      <c r="E419" t="s">
        <v>21</v>
      </c>
      <c r="F419" t="s">
        <v>22</v>
      </c>
      <c r="G419" t="s">
        <v>82</v>
      </c>
      <c r="H419">
        <v>1</v>
      </c>
      <c r="I419">
        <v>2.1974</v>
      </c>
      <c r="J419">
        <v>48.7</v>
      </c>
      <c r="N419">
        <v>1.21</v>
      </c>
      <c r="Q419">
        <v>1.51</v>
      </c>
    </row>
    <row r="420" spans="1:18" x14ac:dyDescent="0.2">
      <c r="A420" t="s">
        <v>817</v>
      </c>
      <c r="B420" t="s">
        <v>818</v>
      </c>
      <c r="C420">
        <v>2008</v>
      </c>
      <c r="D420">
        <v>0</v>
      </c>
      <c r="E420" t="s">
        <v>21</v>
      </c>
      <c r="F420" t="s">
        <v>22</v>
      </c>
      <c r="G420" t="s">
        <v>629</v>
      </c>
      <c r="H420">
        <v>1</v>
      </c>
      <c r="I420">
        <v>1046.2</v>
      </c>
      <c r="J420">
        <v>65.66</v>
      </c>
      <c r="K420">
        <v>5</v>
      </c>
      <c r="N420">
        <v>3.48</v>
      </c>
      <c r="Q420">
        <v>0.95</v>
      </c>
      <c r="R420">
        <v>0.99</v>
      </c>
    </row>
    <row r="421" spans="1:18" x14ac:dyDescent="0.2">
      <c r="A421" t="s">
        <v>819</v>
      </c>
      <c r="B421" t="s">
        <v>820</v>
      </c>
      <c r="C421">
        <v>2008</v>
      </c>
      <c r="D421">
        <v>0</v>
      </c>
      <c r="E421" t="s">
        <v>21</v>
      </c>
      <c r="F421" t="s">
        <v>22</v>
      </c>
      <c r="G421" t="s">
        <v>138</v>
      </c>
      <c r="H421">
        <v>1</v>
      </c>
      <c r="I421">
        <v>103.95</v>
      </c>
      <c r="J421">
        <v>53.57</v>
      </c>
      <c r="N421">
        <v>6.02</v>
      </c>
      <c r="Q421">
        <v>1.2</v>
      </c>
      <c r="R421">
        <v>1.05</v>
      </c>
    </row>
    <row r="422" spans="1:18" x14ac:dyDescent="0.2">
      <c r="A422" t="s">
        <v>821</v>
      </c>
      <c r="B422" t="s">
        <v>822</v>
      </c>
      <c r="C422">
        <v>2010</v>
      </c>
      <c r="D422">
        <v>0</v>
      </c>
      <c r="E422" t="s">
        <v>21</v>
      </c>
      <c r="F422" t="s">
        <v>22</v>
      </c>
      <c r="G422" t="s">
        <v>224</v>
      </c>
      <c r="H422">
        <v>1</v>
      </c>
      <c r="I422">
        <v>176.3</v>
      </c>
      <c r="J422">
        <v>135.82</v>
      </c>
      <c r="N422">
        <v>2.23</v>
      </c>
      <c r="Q422">
        <v>1.23</v>
      </c>
      <c r="R422">
        <v>10.52</v>
      </c>
    </row>
    <row r="423" spans="1:18" x14ac:dyDescent="0.2">
      <c r="A423" t="s">
        <v>823</v>
      </c>
      <c r="B423" t="s">
        <v>824</v>
      </c>
      <c r="C423">
        <v>2015</v>
      </c>
      <c r="D423">
        <v>0</v>
      </c>
      <c r="E423" t="s">
        <v>21</v>
      </c>
      <c r="F423" t="s">
        <v>22</v>
      </c>
      <c r="G423" t="s">
        <v>32</v>
      </c>
      <c r="H423">
        <v>1</v>
      </c>
      <c r="I423">
        <v>2730</v>
      </c>
      <c r="J423">
        <v>229.35</v>
      </c>
      <c r="N423">
        <v>2.2799999999999998</v>
      </c>
      <c r="Q423">
        <v>1.75</v>
      </c>
      <c r="R423">
        <v>5.38</v>
      </c>
    </row>
    <row r="424" spans="1:18" x14ac:dyDescent="0.2">
      <c r="A424" t="s">
        <v>825</v>
      </c>
      <c r="B424" t="s">
        <v>826</v>
      </c>
      <c r="C424">
        <v>2010</v>
      </c>
      <c r="D424">
        <v>0</v>
      </c>
      <c r="E424" t="s">
        <v>21</v>
      </c>
      <c r="F424" t="s">
        <v>22</v>
      </c>
      <c r="G424" t="s">
        <v>32</v>
      </c>
      <c r="H424">
        <v>2</v>
      </c>
      <c r="I424">
        <v>5.7715199999999998</v>
      </c>
      <c r="J424">
        <v>23.47</v>
      </c>
      <c r="N424">
        <v>2.026E-2</v>
      </c>
      <c r="Q424">
        <v>1.02</v>
      </c>
    </row>
    <row r="425" spans="1:18" x14ac:dyDescent="0.2">
      <c r="A425" t="s">
        <v>825</v>
      </c>
      <c r="B425" t="s">
        <v>827</v>
      </c>
      <c r="C425">
        <v>2015</v>
      </c>
      <c r="D425">
        <v>0</v>
      </c>
      <c r="E425" t="s">
        <v>21</v>
      </c>
      <c r="F425" t="s">
        <v>22</v>
      </c>
      <c r="G425" t="s">
        <v>138</v>
      </c>
      <c r="H425">
        <v>2</v>
      </c>
      <c r="I425">
        <v>13.5052</v>
      </c>
      <c r="J425">
        <v>23.47</v>
      </c>
      <c r="N425">
        <v>1.7590000000000001E-2</v>
      </c>
      <c r="Q425">
        <v>1.02</v>
      </c>
    </row>
    <row r="426" spans="1:18" x14ac:dyDescent="0.2">
      <c r="A426" t="s">
        <v>828</v>
      </c>
      <c r="B426" t="s">
        <v>829</v>
      </c>
      <c r="C426">
        <v>2009</v>
      </c>
      <c r="D426">
        <v>0</v>
      </c>
      <c r="E426" t="s">
        <v>21</v>
      </c>
      <c r="F426" t="s">
        <v>22</v>
      </c>
      <c r="G426" t="s">
        <v>138</v>
      </c>
      <c r="H426">
        <v>2</v>
      </c>
      <c r="I426">
        <v>44.235999999999997</v>
      </c>
      <c r="J426">
        <v>42.96</v>
      </c>
      <c r="K426">
        <v>6.36</v>
      </c>
      <c r="N426">
        <v>2.12</v>
      </c>
      <c r="Q426">
        <v>0.93</v>
      </c>
    </row>
    <row r="427" spans="1:18" x14ac:dyDescent="0.2">
      <c r="A427" t="s">
        <v>828</v>
      </c>
      <c r="B427" t="s">
        <v>830</v>
      </c>
      <c r="C427">
        <v>2009</v>
      </c>
      <c r="D427">
        <v>0</v>
      </c>
      <c r="E427" t="s">
        <v>21</v>
      </c>
      <c r="F427" t="s">
        <v>22</v>
      </c>
      <c r="G427" t="s">
        <v>138</v>
      </c>
      <c r="H427">
        <v>2</v>
      </c>
      <c r="I427">
        <v>1008</v>
      </c>
      <c r="J427">
        <v>42.96</v>
      </c>
      <c r="K427">
        <v>6.36</v>
      </c>
      <c r="N427">
        <v>6.56</v>
      </c>
      <c r="Q427">
        <v>0.93</v>
      </c>
    </row>
    <row r="428" spans="1:18" x14ac:dyDescent="0.2">
      <c r="A428" t="s">
        <v>831</v>
      </c>
      <c r="B428" t="s">
        <v>832</v>
      </c>
      <c r="C428">
        <v>2017</v>
      </c>
      <c r="D428">
        <v>0</v>
      </c>
      <c r="E428" t="s">
        <v>21</v>
      </c>
      <c r="F428" t="s">
        <v>22</v>
      </c>
      <c r="G428" t="s">
        <v>248</v>
      </c>
      <c r="H428">
        <v>1</v>
      </c>
      <c r="I428">
        <v>86.78</v>
      </c>
      <c r="J428">
        <v>10.77</v>
      </c>
      <c r="N428">
        <v>8.9829999999999993E-2</v>
      </c>
      <c r="Q428">
        <v>0.6</v>
      </c>
    </row>
    <row r="429" spans="1:18" x14ac:dyDescent="0.2">
      <c r="A429" t="s">
        <v>833</v>
      </c>
      <c r="B429" t="s">
        <v>834</v>
      </c>
      <c r="C429">
        <v>2003</v>
      </c>
      <c r="D429">
        <v>0</v>
      </c>
      <c r="E429" t="s">
        <v>21</v>
      </c>
      <c r="F429" t="s">
        <v>22</v>
      </c>
      <c r="G429" t="s">
        <v>138</v>
      </c>
      <c r="H429">
        <v>1</v>
      </c>
      <c r="I429">
        <v>528.4</v>
      </c>
      <c r="J429">
        <v>12.91</v>
      </c>
      <c r="K429">
        <v>0.3</v>
      </c>
      <c r="N429">
        <v>1.21</v>
      </c>
      <c r="Q429">
        <v>1.1100000000000001</v>
      </c>
    </row>
    <row r="430" spans="1:18" x14ac:dyDescent="0.2">
      <c r="A430" t="s">
        <v>835</v>
      </c>
      <c r="B430" t="s">
        <v>836</v>
      </c>
      <c r="C430">
        <v>2018</v>
      </c>
      <c r="D430">
        <v>0</v>
      </c>
      <c r="E430" t="s">
        <v>21</v>
      </c>
      <c r="F430" t="s">
        <v>22</v>
      </c>
      <c r="G430" t="s">
        <v>32</v>
      </c>
      <c r="H430">
        <v>1</v>
      </c>
      <c r="I430">
        <v>676.6</v>
      </c>
      <c r="J430">
        <v>119.54</v>
      </c>
      <c r="N430">
        <v>1.121</v>
      </c>
      <c r="Q430">
        <v>1.43</v>
      </c>
      <c r="R430">
        <v>5.01</v>
      </c>
    </row>
    <row r="431" spans="1:18" x14ac:dyDescent="0.2">
      <c r="A431" t="s">
        <v>837</v>
      </c>
      <c r="B431" t="s">
        <v>838</v>
      </c>
      <c r="C431">
        <v>2016</v>
      </c>
      <c r="D431">
        <v>0</v>
      </c>
      <c r="E431" t="s">
        <v>21</v>
      </c>
      <c r="F431" t="s">
        <v>22</v>
      </c>
      <c r="G431" t="s">
        <v>35</v>
      </c>
      <c r="H431">
        <v>2</v>
      </c>
      <c r="I431">
        <v>116.596</v>
      </c>
      <c r="J431">
        <v>104.93</v>
      </c>
      <c r="K431">
        <v>4</v>
      </c>
      <c r="N431">
        <v>5.14</v>
      </c>
      <c r="Q431">
        <v>1.38</v>
      </c>
      <c r="R431">
        <v>2.29</v>
      </c>
    </row>
    <row r="432" spans="1:18" x14ac:dyDescent="0.2">
      <c r="A432" t="s">
        <v>837</v>
      </c>
      <c r="B432" t="s">
        <v>839</v>
      </c>
      <c r="C432">
        <v>2016</v>
      </c>
      <c r="D432">
        <v>0</v>
      </c>
      <c r="E432" t="s">
        <v>21</v>
      </c>
      <c r="F432" t="s">
        <v>22</v>
      </c>
      <c r="G432" t="s">
        <v>35</v>
      </c>
      <c r="H432">
        <v>2</v>
      </c>
      <c r="I432">
        <v>491.54</v>
      </c>
      <c r="J432">
        <v>104.93</v>
      </c>
      <c r="K432">
        <v>4</v>
      </c>
      <c r="N432">
        <v>2.2999999999999998</v>
      </c>
      <c r="Q432">
        <v>1.38</v>
      </c>
      <c r="R432">
        <v>2.29</v>
      </c>
    </row>
    <row r="433" spans="1:19" x14ac:dyDescent="0.2">
      <c r="A433" t="s">
        <v>840</v>
      </c>
      <c r="B433" t="s">
        <v>841</v>
      </c>
      <c r="C433">
        <v>2009</v>
      </c>
      <c r="D433">
        <v>0</v>
      </c>
      <c r="E433" t="s">
        <v>21</v>
      </c>
      <c r="F433" t="s">
        <v>22</v>
      </c>
      <c r="G433" t="s">
        <v>138</v>
      </c>
      <c r="H433">
        <v>1</v>
      </c>
      <c r="I433">
        <v>1027</v>
      </c>
      <c r="J433">
        <v>57.22</v>
      </c>
      <c r="N433">
        <v>0.85</v>
      </c>
      <c r="Q433">
        <v>1.22</v>
      </c>
      <c r="R433">
        <v>1.21</v>
      </c>
    </row>
    <row r="434" spans="1:19" x14ac:dyDescent="0.2">
      <c r="A434" t="s">
        <v>842</v>
      </c>
      <c r="B434" t="s">
        <v>843</v>
      </c>
      <c r="C434">
        <v>2018</v>
      </c>
      <c r="D434">
        <v>0</v>
      </c>
      <c r="E434" t="s">
        <v>21</v>
      </c>
      <c r="F434" t="s">
        <v>22</v>
      </c>
      <c r="G434" t="s">
        <v>32</v>
      </c>
      <c r="H434">
        <v>2</v>
      </c>
      <c r="I434">
        <v>328.55</v>
      </c>
      <c r="J434">
        <v>77.37</v>
      </c>
      <c r="K434">
        <v>2.41</v>
      </c>
      <c r="N434">
        <v>1.23</v>
      </c>
      <c r="Q434">
        <v>1.21</v>
      </c>
      <c r="R434">
        <v>1.34</v>
      </c>
    </row>
    <row r="435" spans="1:19" x14ac:dyDescent="0.2">
      <c r="A435" t="s">
        <v>842</v>
      </c>
      <c r="B435" t="s">
        <v>844</v>
      </c>
      <c r="C435">
        <v>2018</v>
      </c>
      <c r="D435">
        <v>0</v>
      </c>
      <c r="E435" t="s">
        <v>21</v>
      </c>
      <c r="F435" t="s">
        <v>22</v>
      </c>
      <c r="G435" t="s">
        <v>32</v>
      </c>
      <c r="H435">
        <v>2</v>
      </c>
      <c r="I435">
        <v>5062</v>
      </c>
      <c r="J435">
        <v>77.37</v>
      </c>
      <c r="K435">
        <v>2.41</v>
      </c>
      <c r="N435">
        <v>5.16</v>
      </c>
      <c r="Q435">
        <v>1.21</v>
      </c>
      <c r="R435">
        <v>1.34</v>
      </c>
    </row>
    <row r="436" spans="1:19" x14ac:dyDescent="0.2">
      <c r="A436" t="s">
        <v>845</v>
      </c>
      <c r="B436" t="s">
        <v>846</v>
      </c>
      <c r="C436">
        <v>2018</v>
      </c>
      <c r="D436">
        <v>0</v>
      </c>
      <c r="E436" t="s">
        <v>21</v>
      </c>
      <c r="F436" t="s">
        <v>22</v>
      </c>
      <c r="G436" t="s">
        <v>32</v>
      </c>
      <c r="H436">
        <v>1</v>
      </c>
      <c r="I436">
        <v>339.33100000000002</v>
      </c>
      <c r="J436">
        <v>121.61</v>
      </c>
      <c r="K436">
        <v>8.66</v>
      </c>
      <c r="N436">
        <v>33.700000000000003</v>
      </c>
      <c r="Q436">
        <v>1.07</v>
      </c>
      <c r="R436">
        <v>1.48</v>
      </c>
    </row>
    <row r="437" spans="1:19" x14ac:dyDescent="0.2">
      <c r="A437" t="s">
        <v>847</v>
      </c>
      <c r="B437" t="s">
        <v>848</v>
      </c>
      <c r="C437">
        <v>2009</v>
      </c>
      <c r="D437">
        <v>0</v>
      </c>
      <c r="E437" t="s">
        <v>21</v>
      </c>
      <c r="F437" t="s">
        <v>22</v>
      </c>
      <c r="G437" t="s">
        <v>46</v>
      </c>
      <c r="H437">
        <v>1</v>
      </c>
      <c r="I437">
        <v>331.5</v>
      </c>
      <c r="J437">
        <v>71.5</v>
      </c>
      <c r="N437">
        <v>1.3</v>
      </c>
      <c r="Q437">
        <v>1.64</v>
      </c>
      <c r="R437">
        <v>3.86</v>
      </c>
    </row>
    <row r="438" spans="1:19" x14ac:dyDescent="0.2">
      <c r="A438" t="s">
        <v>849</v>
      </c>
      <c r="B438" t="s">
        <v>850</v>
      </c>
      <c r="C438">
        <v>2005</v>
      </c>
      <c r="D438">
        <v>0</v>
      </c>
      <c r="E438" t="s">
        <v>21</v>
      </c>
      <c r="F438" t="s">
        <v>22</v>
      </c>
      <c r="G438" t="s">
        <v>224</v>
      </c>
      <c r="H438">
        <v>1</v>
      </c>
      <c r="I438">
        <v>2.8758900000000001</v>
      </c>
      <c r="J438">
        <v>76.03</v>
      </c>
      <c r="L438">
        <v>120.7754</v>
      </c>
      <c r="M438">
        <v>8.2949999999999999</v>
      </c>
      <c r="N438">
        <v>0.38</v>
      </c>
      <c r="O438">
        <v>0.74</v>
      </c>
      <c r="Q438">
        <v>1.42</v>
      </c>
      <c r="R438">
        <v>1.41</v>
      </c>
      <c r="S438">
        <v>0.72</v>
      </c>
    </row>
    <row r="439" spans="1:19" x14ac:dyDescent="0.2">
      <c r="A439" t="s">
        <v>851</v>
      </c>
      <c r="B439" t="s">
        <v>852</v>
      </c>
      <c r="C439">
        <v>2005</v>
      </c>
      <c r="D439">
        <v>0</v>
      </c>
      <c r="E439" t="s">
        <v>21</v>
      </c>
      <c r="F439" t="s">
        <v>22</v>
      </c>
      <c r="G439" t="s">
        <v>82</v>
      </c>
      <c r="H439">
        <v>1</v>
      </c>
      <c r="I439">
        <v>4.0718199999999998</v>
      </c>
      <c r="J439">
        <v>73.430000000000007</v>
      </c>
      <c r="K439">
        <v>4.28</v>
      </c>
      <c r="N439">
        <v>1.33</v>
      </c>
      <c r="Q439">
        <v>1.2</v>
      </c>
      <c r="R439">
        <v>1.44</v>
      </c>
    </row>
    <row r="440" spans="1:19" x14ac:dyDescent="0.2">
      <c r="A440" t="s">
        <v>853</v>
      </c>
      <c r="B440" t="s">
        <v>854</v>
      </c>
      <c r="C440">
        <v>2011</v>
      </c>
      <c r="D440">
        <v>0</v>
      </c>
      <c r="E440" t="s">
        <v>21</v>
      </c>
      <c r="F440" t="s">
        <v>22</v>
      </c>
      <c r="G440" t="s">
        <v>32</v>
      </c>
      <c r="H440">
        <v>1</v>
      </c>
      <c r="I440">
        <v>428.5</v>
      </c>
      <c r="J440">
        <v>191.96</v>
      </c>
      <c r="N440">
        <v>2.75</v>
      </c>
      <c r="Q440">
        <v>1.46</v>
      </c>
      <c r="R440">
        <v>4.67</v>
      </c>
    </row>
    <row r="441" spans="1:19" x14ac:dyDescent="0.2">
      <c r="A441" t="s">
        <v>855</v>
      </c>
      <c r="B441" t="s">
        <v>856</v>
      </c>
      <c r="C441">
        <v>2012</v>
      </c>
      <c r="D441">
        <v>0</v>
      </c>
      <c r="E441" t="s">
        <v>21</v>
      </c>
      <c r="F441" t="s">
        <v>22</v>
      </c>
      <c r="G441" t="s">
        <v>82</v>
      </c>
      <c r="H441">
        <v>1</v>
      </c>
      <c r="I441">
        <v>5894</v>
      </c>
      <c r="J441">
        <v>28.29</v>
      </c>
      <c r="K441">
        <v>3</v>
      </c>
      <c r="N441">
        <v>2.71</v>
      </c>
      <c r="Q441">
        <v>1.17</v>
      </c>
      <c r="R441">
        <v>0.96</v>
      </c>
    </row>
    <row r="442" spans="1:19" x14ac:dyDescent="0.2">
      <c r="A442" t="s">
        <v>857</v>
      </c>
      <c r="B442" t="s">
        <v>858</v>
      </c>
      <c r="C442">
        <v>2009</v>
      </c>
      <c r="D442">
        <v>0</v>
      </c>
      <c r="E442" t="s">
        <v>21</v>
      </c>
      <c r="F442" t="s">
        <v>22</v>
      </c>
      <c r="G442" t="s">
        <v>629</v>
      </c>
      <c r="H442">
        <v>1</v>
      </c>
      <c r="I442">
        <v>2899</v>
      </c>
      <c r="J442">
        <v>83.33</v>
      </c>
      <c r="K442">
        <v>3</v>
      </c>
      <c r="N442">
        <v>2.1800000000000002</v>
      </c>
      <c r="Q442">
        <v>1.1000000000000001</v>
      </c>
      <c r="R442">
        <v>1.1499999999999999</v>
      </c>
    </row>
    <row r="443" spans="1:19" x14ac:dyDescent="0.2">
      <c r="A443" t="s">
        <v>859</v>
      </c>
      <c r="B443" t="s">
        <v>860</v>
      </c>
      <c r="C443">
        <v>2011</v>
      </c>
      <c r="D443">
        <v>0</v>
      </c>
      <c r="E443" t="s">
        <v>21</v>
      </c>
      <c r="F443" t="s">
        <v>22</v>
      </c>
      <c r="G443" t="s">
        <v>32</v>
      </c>
      <c r="H443">
        <v>1</v>
      </c>
      <c r="I443">
        <v>686.5</v>
      </c>
      <c r="J443">
        <v>166.54</v>
      </c>
      <c r="N443">
        <v>1.869</v>
      </c>
      <c r="Q443">
        <v>1.3</v>
      </c>
      <c r="R443">
        <v>5.14</v>
      </c>
    </row>
    <row r="444" spans="1:19" x14ac:dyDescent="0.2">
      <c r="A444" t="s">
        <v>861</v>
      </c>
      <c r="B444" t="s">
        <v>862</v>
      </c>
      <c r="C444">
        <v>2019</v>
      </c>
      <c r="D444">
        <v>0</v>
      </c>
      <c r="E444" t="s">
        <v>55</v>
      </c>
      <c r="F444" t="s">
        <v>128</v>
      </c>
      <c r="G444" t="s">
        <v>256</v>
      </c>
      <c r="H444">
        <v>2</v>
      </c>
      <c r="I444">
        <v>4.7561499999999999</v>
      </c>
      <c r="J444">
        <v>44.87</v>
      </c>
      <c r="K444">
        <v>5.0999999999999996</v>
      </c>
      <c r="L444">
        <v>7.51</v>
      </c>
      <c r="M444">
        <v>1.64</v>
      </c>
      <c r="N444">
        <v>2.3630000000000002E-2</v>
      </c>
      <c r="O444">
        <v>0.14599999999999999</v>
      </c>
      <c r="P444">
        <v>9.3000000000000007</v>
      </c>
      <c r="Q444">
        <v>0.9</v>
      </c>
      <c r="R444">
        <v>0.86</v>
      </c>
    </row>
    <row r="445" spans="1:19" x14ac:dyDescent="0.2">
      <c r="A445" t="s">
        <v>861</v>
      </c>
      <c r="B445" t="s">
        <v>863</v>
      </c>
      <c r="C445">
        <v>2019</v>
      </c>
      <c r="D445">
        <v>0</v>
      </c>
      <c r="E445" t="s">
        <v>55</v>
      </c>
      <c r="F445" t="s">
        <v>128</v>
      </c>
      <c r="G445" t="s">
        <v>256</v>
      </c>
      <c r="H445">
        <v>2</v>
      </c>
      <c r="I445">
        <v>17.1784</v>
      </c>
      <c r="J445">
        <v>44.87</v>
      </c>
      <c r="K445">
        <v>5.0999999999999996</v>
      </c>
      <c r="L445">
        <v>8.11</v>
      </c>
      <c r="M445">
        <v>2.39</v>
      </c>
      <c r="N445">
        <v>2.5520000000000001E-2</v>
      </c>
      <c r="O445">
        <v>0.21299999999999999</v>
      </c>
      <c r="P445">
        <v>3.23</v>
      </c>
      <c r="Q445">
        <v>0.9</v>
      </c>
      <c r="R445">
        <v>0.86</v>
      </c>
    </row>
    <row r="446" spans="1:19" x14ac:dyDescent="0.2">
      <c r="A446" t="s">
        <v>864</v>
      </c>
      <c r="B446" t="s">
        <v>865</v>
      </c>
      <c r="C446">
        <v>2008</v>
      </c>
      <c r="D446">
        <v>0</v>
      </c>
      <c r="E446" t="s">
        <v>21</v>
      </c>
      <c r="F446" t="s">
        <v>22</v>
      </c>
      <c r="G446" t="s">
        <v>138</v>
      </c>
      <c r="H446">
        <v>1</v>
      </c>
      <c r="I446">
        <v>499.39999</v>
      </c>
      <c r="J446">
        <v>48.52</v>
      </c>
      <c r="N446">
        <v>2.95</v>
      </c>
      <c r="Q446">
        <v>1.25</v>
      </c>
      <c r="R446">
        <v>1.28</v>
      </c>
    </row>
    <row r="447" spans="1:19" x14ac:dyDescent="0.2">
      <c r="A447" t="s">
        <v>866</v>
      </c>
      <c r="B447" t="s">
        <v>867</v>
      </c>
      <c r="C447">
        <v>2006</v>
      </c>
      <c r="D447">
        <v>0</v>
      </c>
      <c r="E447" t="s">
        <v>21</v>
      </c>
      <c r="F447" t="s">
        <v>22</v>
      </c>
      <c r="G447" t="s">
        <v>32</v>
      </c>
      <c r="H447">
        <v>1</v>
      </c>
      <c r="I447">
        <v>3341.5588400000001</v>
      </c>
      <c r="J447">
        <v>18.29</v>
      </c>
      <c r="N447">
        <v>0.82</v>
      </c>
      <c r="Q447">
        <v>0.71</v>
      </c>
      <c r="R447">
        <v>0.85</v>
      </c>
    </row>
    <row r="448" spans="1:19" x14ac:dyDescent="0.2">
      <c r="A448" t="s">
        <v>868</v>
      </c>
      <c r="B448" t="s">
        <v>869</v>
      </c>
      <c r="C448">
        <v>2008</v>
      </c>
      <c r="D448">
        <v>0</v>
      </c>
      <c r="E448" t="s">
        <v>21</v>
      </c>
      <c r="F448" t="s">
        <v>22</v>
      </c>
      <c r="G448" t="s">
        <v>629</v>
      </c>
      <c r="H448">
        <v>1</v>
      </c>
      <c r="I448">
        <v>163.94</v>
      </c>
      <c r="J448">
        <v>64.77</v>
      </c>
      <c r="N448">
        <v>5.37</v>
      </c>
      <c r="Q448">
        <v>1.18</v>
      </c>
      <c r="R448">
        <v>1.32</v>
      </c>
    </row>
    <row r="449" spans="1:18" x14ac:dyDescent="0.2">
      <c r="A449" t="s">
        <v>870</v>
      </c>
      <c r="B449" t="s">
        <v>871</v>
      </c>
      <c r="C449">
        <v>2004</v>
      </c>
      <c r="D449">
        <v>0</v>
      </c>
      <c r="E449" t="s">
        <v>21</v>
      </c>
      <c r="F449" t="s">
        <v>22</v>
      </c>
      <c r="G449" t="s">
        <v>98</v>
      </c>
      <c r="H449">
        <v>2</v>
      </c>
      <c r="I449">
        <v>408.60001</v>
      </c>
      <c r="J449">
        <v>63.56</v>
      </c>
      <c r="N449">
        <v>2.4500000000000002</v>
      </c>
      <c r="Q449">
        <v>1.96</v>
      </c>
      <c r="R449">
        <v>2.2999999999999998</v>
      </c>
    </row>
    <row r="450" spans="1:18" x14ac:dyDescent="0.2">
      <c r="A450" t="s">
        <v>870</v>
      </c>
      <c r="B450" t="s">
        <v>872</v>
      </c>
      <c r="C450">
        <v>2014</v>
      </c>
      <c r="D450">
        <v>0</v>
      </c>
      <c r="E450" t="s">
        <v>21</v>
      </c>
      <c r="F450" t="s">
        <v>22</v>
      </c>
      <c r="G450" t="s">
        <v>98</v>
      </c>
      <c r="H450">
        <v>2</v>
      </c>
      <c r="I450">
        <v>3452</v>
      </c>
      <c r="J450">
        <v>63.56</v>
      </c>
      <c r="N450">
        <v>2.58</v>
      </c>
      <c r="Q450">
        <v>1.96</v>
      </c>
      <c r="R450">
        <v>2.2999999999999998</v>
      </c>
    </row>
    <row r="451" spans="1:18" x14ac:dyDescent="0.2">
      <c r="A451" t="s">
        <v>873</v>
      </c>
      <c r="B451" t="s">
        <v>874</v>
      </c>
      <c r="C451">
        <v>2015</v>
      </c>
      <c r="D451">
        <v>0</v>
      </c>
      <c r="E451" t="s">
        <v>21</v>
      </c>
      <c r="F451" t="s">
        <v>22</v>
      </c>
      <c r="G451" t="s">
        <v>98</v>
      </c>
      <c r="H451">
        <v>1</v>
      </c>
      <c r="I451">
        <v>818.8</v>
      </c>
      <c r="J451">
        <v>75.13</v>
      </c>
      <c r="N451">
        <v>2.6</v>
      </c>
      <c r="Q451">
        <v>1.69</v>
      </c>
      <c r="R451">
        <v>5.03</v>
      </c>
    </row>
    <row r="452" spans="1:18" x14ac:dyDescent="0.2">
      <c r="A452" t="s">
        <v>875</v>
      </c>
      <c r="B452" t="s">
        <v>876</v>
      </c>
      <c r="C452">
        <v>2007</v>
      </c>
      <c r="D452">
        <v>0</v>
      </c>
      <c r="E452" t="s">
        <v>21</v>
      </c>
      <c r="F452" t="s">
        <v>22</v>
      </c>
      <c r="G452" t="s">
        <v>86</v>
      </c>
      <c r="H452">
        <v>2</v>
      </c>
      <c r="I452">
        <v>194.3</v>
      </c>
      <c r="J452">
        <v>43</v>
      </c>
      <c r="N452">
        <v>0.99</v>
      </c>
      <c r="Q452">
        <v>1.1499999999999999</v>
      </c>
      <c r="R452">
        <v>1.38</v>
      </c>
    </row>
    <row r="453" spans="1:18" x14ac:dyDescent="0.2">
      <c r="A453" t="s">
        <v>875</v>
      </c>
      <c r="B453" t="s">
        <v>877</v>
      </c>
      <c r="C453">
        <v>2007</v>
      </c>
      <c r="D453">
        <v>0</v>
      </c>
      <c r="E453" t="s">
        <v>21</v>
      </c>
      <c r="F453" t="s">
        <v>22</v>
      </c>
      <c r="G453" t="s">
        <v>86</v>
      </c>
      <c r="H453">
        <v>2</v>
      </c>
      <c r="I453">
        <v>391.9</v>
      </c>
      <c r="J453">
        <v>43</v>
      </c>
      <c r="N453">
        <v>0.82</v>
      </c>
      <c r="Q453">
        <v>1.1499999999999999</v>
      </c>
      <c r="R453">
        <v>1.38</v>
      </c>
    </row>
    <row r="454" spans="1:18" x14ac:dyDescent="0.2">
      <c r="A454" t="s">
        <v>878</v>
      </c>
      <c r="B454" t="s">
        <v>879</v>
      </c>
      <c r="C454">
        <v>2011</v>
      </c>
      <c r="D454">
        <v>0</v>
      </c>
      <c r="E454" t="s">
        <v>21</v>
      </c>
      <c r="F454" t="s">
        <v>22</v>
      </c>
      <c r="G454" t="s">
        <v>82</v>
      </c>
      <c r="H454">
        <v>2</v>
      </c>
      <c r="I454">
        <v>131.05000000000001</v>
      </c>
      <c r="J454">
        <v>36.229999999999997</v>
      </c>
      <c r="N454">
        <v>9.8800000000000008</v>
      </c>
      <c r="Q454">
        <v>0.95</v>
      </c>
      <c r="R454">
        <v>0.95</v>
      </c>
    </row>
    <row r="455" spans="1:18" x14ac:dyDescent="0.2">
      <c r="A455" t="s">
        <v>878</v>
      </c>
      <c r="B455" t="s">
        <v>880</v>
      </c>
      <c r="C455">
        <v>2018</v>
      </c>
      <c r="D455">
        <v>0</v>
      </c>
      <c r="E455" t="s">
        <v>21</v>
      </c>
      <c r="F455" t="s">
        <v>22</v>
      </c>
      <c r="G455" t="s">
        <v>32</v>
      </c>
      <c r="H455">
        <v>2</v>
      </c>
      <c r="I455">
        <v>4191</v>
      </c>
      <c r="J455">
        <v>36.229999999999997</v>
      </c>
      <c r="N455">
        <v>8.6</v>
      </c>
      <c r="Q455">
        <v>0.95</v>
      </c>
      <c r="R455">
        <v>0.95</v>
      </c>
    </row>
    <row r="456" spans="1:18" x14ac:dyDescent="0.2">
      <c r="A456" t="s">
        <v>881</v>
      </c>
      <c r="B456" t="s">
        <v>882</v>
      </c>
      <c r="C456">
        <v>2009</v>
      </c>
      <c r="D456">
        <v>0</v>
      </c>
      <c r="E456" t="s">
        <v>21</v>
      </c>
      <c r="F456" t="s">
        <v>22</v>
      </c>
      <c r="G456" t="s">
        <v>138</v>
      </c>
      <c r="H456">
        <v>1</v>
      </c>
      <c r="I456">
        <v>842.2</v>
      </c>
      <c r="J456">
        <v>56.96</v>
      </c>
      <c r="N456">
        <v>0.74</v>
      </c>
      <c r="Q456">
        <v>1.25</v>
      </c>
      <c r="R456">
        <v>2.16</v>
      </c>
    </row>
    <row r="457" spans="1:18" x14ac:dyDescent="0.2">
      <c r="A457" t="s">
        <v>883</v>
      </c>
      <c r="B457" t="s">
        <v>884</v>
      </c>
      <c r="C457">
        <v>2010</v>
      </c>
      <c r="D457">
        <v>0</v>
      </c>
      <c r="E457" t="s">
        <v>21</v>
      </c>
      <c r="F457" t="s">
        <v>22</v>
      </c>
      <c r="G457" t="s">
        <v>32</v>
      </c>
      <c r="H457">
        <v>1</v>
      </c>
      <c r="I457">
        <v>4.6455000000000002</v>
      </c>
      <c r="J457">
        <v>24.35</v>
      </c>
      <c r="K457">
        <v>8.6</v>
      </c>
      <c r="N457">
        <v>1.2999999999999999E-2</v>
      </c>
      <c r="Q457">
        <v>0.77</v>
      </c>
      <c r="R457">
        <v>0.72</v>
      </c>
    </row>
    <row r="458" spans="1:18" x14ac:dyDescent="0.2">
      <c r="A458" t="s">
        <v>885</v>
      </c>
      <c r="B458" t="s">
        <v>886</v>
      </c>
      <c r="C458">
        <v>2007</v>
      </c>
      <c r="D458">
        <v>0</v>
      </c>
      <c r="E458" t="s">
        <v>21</v>
      </c>
      <c r="F458" t="s">
        <v>22</v>
      </c>
      <c r="G458" t="s">
        <v>138</v>
      </c>
      <c r="H458">
        <v>1</v>
      </c>
      <c r="I458">
        <v>359.51001000000002</v>
      </c>
      <c r="J458">
        <v>47.8</v>
      </c>
      <c r="N458">
        <v>10.67</v>
      </c>
      <c r="Q458">
        <v>1.38</v>
      </c>
      <c r="R458">
        <v>1.9</v>
      </c>
    </row>
    <row r="459" spans="1:18" x14ac:dyDescent="0.2">
      <c r="A459" t="s">
        <v>887</v>
      </c>
      <c r="B459" t="s">
        <v>888</v>
      </c>
      <c r="C459">
        <v>2011</v>
      </c>
      <c r="D459">
        <v>0</v>
      </c>
      <c r="E459" t="s">
        <v>21</v>
      </c>
      <c r="F459" t="s">
        <v>22</v>
      </c>
      <c r="G459" t="s">
        <v>32</v>
      </c>
      <c r="H459">
        <v>1</v>
      </c>
      <c r="I459">
        <v>521</v>
      </c>
      <c r="J459">
        <v>95.12</v>
      </c>
      <c r="N459">
        <v>1.53</v>
      </c>
      <c r="Q459">
        <v>1.3</v>
      </c>
      <c r="R459">
        <v>4.5</v>
      </c>
    </row>
    <row r="460" spans="1:18" x14ac:dyDescent="0.2">
      <c r="A460" t="s">
        <v>889</v>
      </c>
      <c r="B460" t="s">
        <v>890</v>
      </c>
      <c r="C460">
        <v>2018</v>
      </c>
      <c r="D460">
        <v>0</v>
      </c>
      <c r="E460" t="s">
        <v>21</v>
      </c>
      <c r="F460" t="s">
        <v>22</v>
      </c>
      <c r="G460" t="s">
        <v>105</v>
      </c>
      <c r="H460">
        <v>1</v>
      </c>
      <c r="I460">
        <v>820.2</v>
      </c>
      <c r="J460">
        <v>294.10000000000002</v>
      </c>
      <c r="K460">
        <v>1.6</v>
      </c>
      <c r="N460">
        <v>14</v>
      </c>
      <c r="Q460">
        <v>1.8</v>
      </c>
      <c r="R460">
        <v>50.3</v>
      </c>
    </row>
    <row r="461" spans="1:18" x14ac:dyDescent="0.2">
      <c r="A461" t="s">
        <v>891</v>
      </c>
      <c r="B461" t="s">
        <v>892</v>
      </c>
      <c r="C461">
        <v>2013</v>
      </c>
      <c r="D461">
        <v>0</v>
      </c>
      <c r="E461" t="s">
        <v>21</v>
      </c>
      <c r="F461" t="s">
        <v>22</v>
      </c>
      <c r="G461" t="s">
        <v>82</v>
      </c>
      <c r="H461">
        <v>2</v>
      </c>
      <c r="I461">
        <v>12.62</v>
      </c>
      <c r="J461">
        <v>73.459999999999994</v>
      </c>
      <c r="K461">
        <v>1.25</v>
      </c>
      <c r="N461">
        <v>1.1299999999999999</v>
      </c>
      <c r="Q461">
        <v>1.1200000000000001</v>
      </c>
      <c r="R461">
        <v>1.1200000000000001</v>
      </c>
    </row>
    <row r="462" spans="1:18" x14ac:dyDescent="0.2">
      <c r="A462" t="s">
        <v>891</v>
      </c>
      <c r="B462" t="s">
        <v>893</v>
      </c>
      <c r="C462">
        <v>2013</v>
      </c>
      <c r="D462">
        <v>0</v>
      </c>
      <c r="E462" t="s">
        <v>21</v>
      </c>
      <c r="F462" t="s">
        <v>22</v>
      </c>
      <c r="G462" t="s">
        <v>82</v>
      </c>
      <c r="H462">
        <v>2</v>
      </c>
      <c r="I462">
        <v>248.4</v>
      </c>
      <c r="J462">
        <v>73.459999999999994</v>
      </c>
      <c r="K462">
        <v>1.25</v>
      </c>
      <c r="N462">
        <v>1.9</v>
      </c>
      <c r="Q462">
        <v>1.1200000000000001</v>
      </c>
      <c r="R462">
        <v>1.1200000000000001</v>
      </c>
    </row>
    <row r="463" spans="1:18" x14ac:dyDescent="0.2">
      <c r="A463" t="s">
        <v>894</v>
      </c>
      <c r="B463" t="s">
        <v>895</v>
      </c>
      <c r="C463">
        <v>2006</v>
      </c>
      <c r="D463">
        <v>0</v>
      </c>
      <c r="E463" t="s">
        <v>21</v>
      </c>
      <c r="F463" t="s">
        <v>22</v>
      </c>
      <c r="G463" t="s">
        <v>98</v>
      </c>
      <c r="H463">
        <v>2</v>
      </c>
      <c r="I463">
        <v>1184.0999999999999</v>
      </c>
      <c r="J463">
        <v>55.94</v>
      </c>
      <c r="N463">
        <v>2.218</v>
      </c>
      <c r="Q463">
        <v>1.19</v>
      </c>
      <c r="R463">
        <v>2.13</v>
      </c>
    </row>
    <row r="464" spans="1:18" x14ac:dyDescent="0.2">
      <c r="A464" t="s">
        <v>894</v>
      </c>
      <c r="B464" t="s">
        <v>896</v>
      </c>
      <c r="C464">
        <v>2012</v>
      </c>
      <c r="D464">
        <v>0</v>
      </c>
      <c r="E464" t="s">
        <v>21</v>
      </c>
      <c r="F464" t="s">
        <v>22</v>
      </c>
      <c r="G464" t="s">
        <v>98</v>
      </c>
      <c r="H464">
        <v>2</v>
      </c>
      <c r="I464">
        <v>351</v>
      </c>
      <c r="J464">
        <v>55.94</v>
      </c>
      <c r="N464">
        <v>0.76800000000000002</v>
      </c>
      <c r="Q464">
        <v>1.19</v>
      </c>
      <c r="R464">
        <v>2.13</v>
      </c>
    </row>
    <row r="465" spans="1:18" x14ac:dyDescent="0.2">
      <c r="A465" t="s">
        <v>897</v>
      </c>
      <c r="B465" t="s">
        <v>898</v>
      </c>
      <c r="C465">
        <v>2015</v>
      </c>
      <c r="D465">
        <v>0</v>
      </c>
      <c r="E465" t="s">
        <v>21</v>
      </c>
      <c r="F465" t="s">
        <v>22</v>
      </c>
      <c r="G465" t="s">
        <v>35</v>
      </c>
      <c r="H465">
        <v>2</v>
      </c>
      <c r="I465">
        <v>577.20000000000005</v>
      </c>
      <c r="J465">
        <v>89.03</v>
      </c>
      <c r="K465">
        <v>4.3600000000000003</v>
      </c>
      <c r="N465">
        <v>0.93400000000000005</v>
      </c>
      <c r="Q465">
        <v>1.33</v>
      </c>
      <c r="R465">
        <v>3.49</v>
      </c>
    </row>
    <row r="466" spans="1:18" x14ac:dyDescent="0.2">
      <c r="A466" t="s">
        <v>897</v>
      </c>
      <c r="B466" t="s">
        <v>899</v>
      </c>
      <c r="C466">
        <v>2015</v>
      </c>
      <c r="D466">
        <v>0</v>
      </c>
      <c r="E466" t="s">
        <v>21</v>
      </c>
      <c r="F466" t="s">
        <v>22</v>
      </c>
      <c r="G466" t="s">
        <v>35</v>
      </c>
      <c r="H466">
        <v>2</v>
      </c>
      <c r="I466">
        <v>2149</v>
      </c>
      <c r="J466">
        <v>89.03</v>
      </c>
      <c r="K466">
        <v>4.3600000000000003</v>
      </c>
      <c r="N466">
        <v>3.62</v>
      </c>
      <c r="Q466">
        <v>1.33</v>
      </c>
      <c r="R466">
        <v>3.49</v>
      </c>
    </row>
    <row r="467" spans="1:18" x14ac:dyDescent="0.2">
      <c r="A467" t="s">
        <v>900</v>
      </c>
      <c r="B467" t="s">
        <v>901</v>
      </c>
      <c r="C467">
        <v>2000</v>
      </c>
      <c r="D467">
        <v>0</v>
      </c>
      <c r="E467" t="s">
        <v>21</v>
      </c>
      <c r="F467" t="s">
        <v>22</v>
      </c>
      <c r="G467" t="s">
        <v>98</v>
      </c>
      <c r="H467">
        <v>4</v>
      </c>
      <c r="I467">
        <v>643.25</v>
      </c>
      <c r="J467">
        <v>15.61</v>
      </c>
      <c r="K467">
        <v>6.4</v>
      </c>
      <c r="N467">
        <v>1.6759999999999999</v>
      </c>
      <c r="Q467">
        <v>1.08</v>
      </c>
    </row>
    <row r="468" spans="1:18" x14ac:dyDescent="0.2">
      <c r="A468" t="s">
        <v>900</v>
      </c>
      <c r="B468" t="s">
        <v>902</v>
      </c>
      <c r="C468">
        <v>2004</v>
      </c>
      <c r="D468">
        <v>0</v>
      </c>
      <c r="E468" t="s">
        <v>21</v>
      </c>
      <c r="F468" t="s">
        <v>22</v>
      </c>
      <c r="G468" t="s">
        <v>98</v>
      </c>
      <c r="H468">
        <v>4</v>
      </c>
      <c r="I468">
        <v>4205.8</v>
      </c>
      <c r="J468">
        <v>15.61</v>
      </c>
      <c r="K468">
        <v>6.4</v>
      </c>
      <c r="N468">
        <v>1.8140000000000001</v>
      </c>
      <c r="Q468">
        <v>1.08</v>
      </c>
    </row>
    <row r="469" spans="1:18" x14ac:dyDescent="0.2">
      <c r="A469" t="s">
        <v>900</v>
      </c>
      <c r="B469" t="s">
        <v>903</v>
      </c>
      <c r="C469">
        <v>2004</v>
      </c>
      <c r="D469">
        <v>0</v>
      </c>
      <c r="E469" t="s">
        <v>21</v>
      </c>
      <c r="F469" t="s">
        <v>22</v>
      </c>
      <c r="G469" t="s">
        <v>138</v>
      </c>
      <c r="H469">
        <v>4</v>
      </c>
      <c r="I469">
        <v>9.6386000000000003</v>
      </c>
      <c r="J469">
        <v>15.61</v>
      </c>
      <c r="K469">
        <v>6.4</v>
      </c>
      <c r="N469">
        <v>3.3210000000000003E-2</v>
      </c>
      <c r="Q469">
        <v>1.08</v>
      </c>
    </row>
    <row r="470" spans="1:18" x14ac:dyDescent="0.2">
      <c r="A470" t="s">
        <v>900</v>
      </c>
      <c r="B470" t="s">
        <v>904</v>
      </c>
      <c r="C470">
        <v>2006</v>
      </c>
      <c r="D470">
        <v>0</v>
      </c>
      <c r="E470" t="s">
        <v>21</v>
      </c>
      <c r="F470" t="s">
        <v>22</v>
      </c>
      <c r="G470" t="s">
        <v>138</v>
      </c>
      <c r="H470">
        <v>4</v>
      </c>
      <c r="I470">
        <v>310.55</v>
      </c>
      <c r="J470">
        <v>15.61</v>
      </c>
      <c r="K470">
        <v>6.4</v>
      </c>
      <c r="N470">
        <v>0.52190000000000003</v>
      </c>
      <c r="Q470">
        <v>1.08</v>
      </c>
    </row>
    <row r="471" spans="1:18" x14ac:dyDescent="0.2">
      <c r="A471" t="s">
        <v>905</v>
      </c>
      <c r="B471" t="s">
        <v>906</v>
      </c>
      <c r="C471">
        <v>2000</v>
      </c>
      <c r="D471">
        <v>0</v>
      </c>
      <c r="E471" t="s">
        <v>21</v>
      </c>
      <c r="F471" t="s">
        <v>22</v>
      </c>
      <c r="G471" t="s">
        <v>32</v>
      </c>
      <c r="H471">
        <v>1</v>
      </c>
      <c r="I471">
        <v>75.522999999999996</v>
      </c>
      <c r="J471">
        <v>37.83</v>
      </c>
      <c r="N471">
        <v>0.26</v>
      </c>
      <c r="Q471">
        <v>1.1100000000000001</v>
      </c>
      <c r="R471">
        <v>1.48</v>
      </c>
    </row>
    <row r="472" spans="1:18" x14ac:dyDescent="0.2">
      <c r="A472" t="s">
        <v>907</v>
      </c>
      <c r="B472" t="s">
        <v>908</v>
      </c>
      <c r="C472">
        <v>2009</v>
      </c>
      <c r="D472">
        <v>0</v>
      </c>
      <c r="E472" t="s">
        <v>21</v>
      </c>
      <c r="F472" t="s">
        <v>22</v>
      </c>
      <c r="G472" t="s">
        <v>46</v>
      </c>
      <c r="H472">
        <v>1</v>
      </c>
      <c r="I472">
        <v>990</v>
      </c>
      <c r="J472">
        <v>59.96</v>
      </c>
      <c r="N472">
        <v>5.0999999999999996</v>
      </c>
      <c r="Q472">
        <v>1.63</v>
      </c>
      <c r="R472">
        <v>1.72</v>
      </c>
    </row>
    <row r="473" spans="1:18" x14ac:dyDescent="0.2">
      <c r="A473" t="s">
        <v>909</v>
      </c>
      <c r="B473" t="s">
        <v>910</v>
      </c>
      <c r="C473">
        <v>2002</v>
      </c>
      <c r="D473">
        <v>0</v>
      </c>
      <c r="E473" t="s">
        <v>21</v>
      </c>
      <c r="F473" t="s">
        <v>22</v>
      </c>
      <c r="G473" t="s">
        <v>138</v>
      </c>
      <c r="H473">
        <v>1</v>
      </c>
      <c r="I473">
        <v>8.4282000000000004</v>
      </c>
      <c r="J473">
        <v>30.85</v>
      </c>
      <c r="N473">
        <v>9.84</v>
      </c>
      <c r="Q473">
        <v>0.42</v>
      </c>
      <c r="R473">
        <v>0.75</v>
      </c>
    </row>
    <row r="474" spans="1:18" x14ac:dyDescent="0.2">
      <c r="A474" t="s">
        <v>911</v>
      </c>
      <c r="B474" t="s">
        <v>912</v>
      </c>
      <c r="C474">
        <v>2010</v>
      </c>
      <c r="D474">
        <v>0</v>
      </c>
      <c r="E474" t="s">
        <v>21</v>
      </c>
      <c r="F474" t="s">
        <v>22</v>
      </c>
      <c r="G474" t="s">
        <v>32</v>
      </c>
      <c r="H474">
        <v>2</v>
      </c>
      <c r="I474">
        <v>75.220299999999995</v>
      </c>
      <c r="J474">
        <v>67.92</v>
      </c>
      <c r="N474">
        <v>0.78359999999999996</v>
      </c>
      <c r="Q474">
        <v>1.1200000000000001</v>
      </c>
      <c r="R474">
        <v>1.76</v>
      </c>
    </row>
    <row r="475" spans="1:18" x14ac:dyDescent="0.2">
      <c r="A475" t="s">
        <v>911</v>
      </c>
      <c r="B475" t="s">
        <v>913</v>
      </c>
      <c r="C475">
        <v>2010</v>
      </c>
      <c r="D475">
        <v>0</v>
      </c>
      <c r="E475" t="s">
        <v>21</v>
      </c>
      <c r="F475" t="s">
        <v>22</v>
      </c>
      <c r="G475" t="s">
        <v>32</v>
      </c>
      <c r="H475">
        <v>2</v>
      </c>
      <c r="I475">
        <v>1272</v>
      </c>
      <c r="J475">
        <v>67.92</v>
      </c>
      <c r="N475">
        <v>2.2010000000000001</v>
      </c>
      <c r="Q475">
        <v>1.1200000000000001</v>
      </c>
      <c r="R475">
        <v>1.76</v>
      </c>
    </row>
    <row r="476" spans="1:18" x14ac:dyDescent="0.2">
      <c r="A476" t="s">
        <v>914</v>
      </c>
      <c r="B476" t="s">
        <v>915</v>
      </c>
      <c r="C476">
        <v>2008</v>
      </c>
      <c r="D476">
        <v>0</v>
      </c>
      <c r="E476" t="s">
        <v>21</v>
      </c>
      <c r="F476" t="s">
        <v>22</v>
      </c>
      <c r="G476" t="s">
        <v>98</v>
      </c>
      <c r="H476">
        <v>1</v>
      </c>
      <c r="I476">
        <v>17.239999999999998</v>
      </c>
      <c r="J476">
        <v>25.41</v>
      </c>
      <c r="N476">
        <v>6.9599999999999995E-2</v>
      </c>
      <c r="Q476">
        <v>1.2</v>
      </c>
    </row>
    <row r="477" spans="1:18" x14ac:dyDescent="0.2">
      <c r="A477" t="s">
        <v>916</v>
      </c>
      <c r="B477" t="s">
        <v>917</v>
      </c>
      <c r="C477">
        <v>2010</v>
      </c>
      <c r="D477">
        <v>0</v>
      </c>
      <c r="E477" t="s">
        <v>21</v>
      </c>
      <c r="F477" t="s">
        <v>22</v>
      </c>
      <c r="G477" t="s">
        <v>32</v>
      </c>
      <c r="H477">
        <v>1</v>
      </c>
      <c r="I477">
        <v>280.17</v>
      </c>
      <c r="J477">
        <v>53.19</v>
      </c>
      <c r="K477">
        <v>2.3199999999999998</v>
      </c>
      <c r="N477">
        <v>0.443</v>
      </c>
      <c r="Q477">
        <v>1.1200000000000001</v>
      </c>
      <c r="R477">
        <v>1.1100000000000001</v>
      </c>
    </row>
    <row r="478" spans="1:18" x14ac:dyDescent="0.2">
      <c r="A478" t="s">
        <v>918</v>
      </c>
      <c r="B478" t="s">
        <v>919</v>
      </c>
      <c r="C478">
        <v>2015</v>
      </c>
      <c r="D478">
        <v>0</v>
      </c>
      <c r="E478" t="s">
        <v>21</v>
      </c>
      <c r="F478" t="s">
        <v>22</v>
      </c>
      <c r="G478" t="s">
        <v>82</v>
      </c>
      <c r="H478">
        <v>1</v>
      </c>
      <c r="I478">
        <v>40</v>
      </c>
      <c r="J478">
        <v>28.28</v>
      </c>
      <c r="N478">
        <v>5.0779999999999999E-2</v>
      </c>
      <c r="Q478">
        <v>0.99</v>
      </c>
    </row>
    <row r="479" spans="1:18" x14ac:dyDescent="0.2">
      <c r="A479" t="s">
        <v>920</v>
      </c>
      <c r="B479" t="s">
        <v>921</v>
      </c>
      <c r="C479">
        <v>2009</v>
      </c>
      <c r="D479">
        <v>0</v>
      </c>
      <c r="E479" t="s">
        <v>21</v>
      </c>
      <c r="F479" t="s">
        <v>22</v>
      </c>
      <c r="G479" t="s">
        <v>629</v>
      </c>
      <c r="H479">
        <v>1</v>
      </c>
      <c r="I479">
        <v>641.47199999999998</v>
      </c>
      <c r="J479">
        <v>39.409999999999997</v>
      </c>
      <c r="N479">
        <v>1.9979199999999999</v>
      </c>
      <c r="Q479">
        <v>0.77</v>
      </c>
    </row>
    <row r="480" spans="1:18" x14ac:dyDescent="0.2">
      <c r="A480" t="s">
        <v>922</v>
      </c>
      <c r="B480" t="s">
        <v>923</v>
      </c>
      <c r="C480">
        <v>2005</v>
      </c>
      <c r="D480">
        <v>0</v>
      </c>
      <c r="E480" t="s">
        <v>21</v>
      </c>
      <c r="F480" t="s">
        <v>22</v>
      </c>
      <c r="G480" t="s">
        <v>32</v>
      </c>
      <c r="H480">
        <v>2</v>
      </c>
      <c r="I480">
        <v>1155</v>
      </c>
      <c r="J480">
        <v>22.13</v>
      </c>
      <c r="N480">
        <v>0.31</v>
      </c>
      <c r="Q480">
        <v>0.76</v>
      </c>
      <c r="R480">
        <v>0.97</v>
      </c>
    </row>
    <row r="481" spans="1:19" x14ac:dyDescent="0.2">
      <c r="A481" t="s">
        <v>922</v>
      </c>
      <c r="B481" t="s">
        <v>924</v>
      </c>
      <c r="C481">
        <v>2016</v>
      </c>
      <c r="D481">
        <v>0</v>
      </c>
      <c r="E481" t="s">
        <v>21</v>
      </c>
      <c r="F481" t="s">
        <v>22</v>
      </c>
      <c r="G481" t="s">
        <v>35</v>
      </c>
      <c r="H481">
        <v>2</v>
      </c>
      <c r="I481">
        <v>75.765000000000001</v>
      </c>
      <c r="J481">
        <v>22.13</v>
      </c>
      <c r="N481">
        <v>4.0590000000000001E-2</v>
      </c>
      <c r="Q481">
        <v>0.76</v>
      </c>
      <c r="R481">
        <v>0.97</v>
      </c>
    </row>
    <row r="482" spans="1:19" x14ac:dyDescent="0.2">
      <c r="A482" t="s">
        <v>925</v>
      </c>
      <c r="B482" t="s">
        <v>926</v>
      </c>
      <c r="C482">
        <v>2016</v>
      </c>
      <c r="D482">
        <v>0</v>
      </c>
      <c r="E482" t="s">
        <v>21</v>
      </c>
      <c r="F482" t="s">
        <v>22</v>
      </c>
      <c r="G482" t="s">
        <v>35</v>
      </c>
      <c r="H482">
        <v>1</v>
      </c>
      <c r="I482">
        <v>434.5</v>
      </c>
      <c r="J482">
        <v>64.98</v>
      </c>
      <c r="K482">
        <v>11</v>
      </c>
      <c r="N482">
        <v>2.89</v>
      </c>
      <c r="Q482">
        <v>1.02</v>
      </c>
      <c r="R482">
        <v>0.95</v>
      </c>
    </row>
    <row r="483" spans="1:19" x14ac:dyDescent="0.2">
      <c r="A483" t="s">
        <v>927</v>
      </c>
      <c r="B483" t="s">
        <v>928</v>
      </c>
      <c r="C483">
        <v>2015</v>
      </c>
      <c r="D483">
        <v>0</v>
      </c>
      <c r="E483" t="s">
        <v>21</v>
      </c>
      <c r="F483" t="s">
        <v>22</v>
      </c>
      <c r="G483" t="s">
        <v>35</v>
      </c>
      <c r="H483">
        <v>1</v>
      </c>
      <c r="I483">
        <v>270</v>
      </c>
      <c r="J483">
        <v>118.31</v>
      </c>
      <c r="K483">
        <v>1.76</v>
      </c>
      <c r="N483">
        <v>6.43</v>
      </c>
      <c r="Q483">
        <v>1.5</v>
      </c>
      <c r="R483">
        <v>1.93</v>
      </c>
    </row>
    <row r="484" spans="1:19" x14ac:dyDescent="0.2">
      <c r="A484" t="s">
        <v>929</v>
      </c>
      <c r="B484" t="s">
        <v>930</v>
      </c>
      <c r="C484">
        <v>2012</v>
      </c>
      <c r="D484">
        <v>0</v>
      </c>
      <c r="E484" t="s">
        <v>21</v>
      </c>
      <c r="F484" t="s">
        <v>22</v>
      </c>
      <c r="G484" t="s">
        <v>138</v>
      </c>
      <c r="H484">
        <v>1</v>
      </c>
      <c r="I484">
        <v>5144</v>
      </c>
      <c r="J484">
        <v>45.19</v>
      </c>
      <c r="K484">
        <v>4</v>
      </c>
      <c r="N484">
        <v>3.53</v>
      </c>
      <c r="Q484">
        <v>0.81</v>
      </c>
    </row>
    <row r="485" spans="1:19" x14ac:dyDescent="0.2">
      <c r="A485" t="s">
        <v>931</v>
      </c>
      <c r="B485" t="s">
        <v>932</v>
      </c>
      <c r="C485">
        <v>2007</v>
      </c>
      <c r="D485">
        <v>0</v>
      </c>
      <c r="E485" t="s">
        <v>21</v>
      </c>
      <c r="F485" t="s">
        <v>22</v>
      </c>
      <c r="G485" t="s">
        <v>46</v>
      </c>
      <c r="H485">
        <v>1</v>
      </c>
      <c r="I485">
        <v>420.77</v>
      </c>
      <c r="J485">
        <v>49.73</v>
      </c>
      <c r="N485">
        <v>1.7</v>
      </c>
      <c r="Q485">
        <v>1.5</v>
      </c>
      <c r="R485">
        <v>4.5</v>
      </c>
    </row>
    <row r="486" spans="1:19" x14ac:dyDescent="0.2">
      <c r="A486" t="s">
        <v>933</v>
      </c>
      <c r="B486" t="s">
        <v>934</v>
      </c>
      <c r="C486">
        <v>1998</v>
      </c>
      <c r="D486">
        <v>0</v>
      </c>
      <c r="E486" t="s">
        <v>21</v>
      </c>
      <c r="F486" t="s">
        <v>22</v>
      </c>
      <c r="G486" t="s">
        <v>32</v>
      </c>
      <c r="H486">
        <v>2</v>
      </c>
      <c r="I486">
        <v>58.112470000000002</v>
      </c>
      <c r="J486">
        <v>39.67</v>
      </c>
      <c r="N486">
        <v>7.6589999999999998</v>
      </c>
      <c r="Q486">
        <v>0.99</v>
      </c>
      <c r="R486">
        <v>1.51</v>
      </c>
    </row>
    <row r="487" spans="1:19" x14ac:dyDescent="0.2">
      <c r="A487" t="s">
        <v>933</v>
      </c>
      <c r="B487" t="s">
        <v>935</v>
      </c>
      <c r="C487">
        <v>2000</v>
      </c>
      <c r="D487">
        <v>0</v>
      </c>
      <c r="E487" t="s">
        <v>21</v>
      </c>
      <c r="F487" t="s">
        <v>22</v>
      </c>
      <c r="G487" t="s">
        <v>32</v>
      </c>
      <c r="H487">
        <v>2</v>
      </c>
      <c r="I487">
        <v>1749.83</v>
      </c>
      <c r="J487">
        <v>39.67</v>
      </c>
      <c r="N487">
        <v>17.193000000000001</v>
      </c>
      <c r="Q487">
        <v>0.99</v>
      </c>
      <c r="R487">
        <v>1.51</v>
      </c>
    </row>
    <row r="488" spans="1:19" x14ac:dyDescent="0.2">
      <c r="A488" t="s">
        <v>936</v>
      </c>
      <c r="B488" t="s">
        <v>937</v>
      </c>
      <c r="C488">
        <v>2002</v>
      </c>
      <c r="D488">
        <v>0</v>
      </c>
      <c r="E488" t="s">
        <v>21</v>
      </c>
      <c r="F488" t="s">
        <v>22</v>
      </c>
      <c r="G488" t="s">
        <v>138</v>
      </c>
      <c r="H488">
        <v>1</v>
      </c>
      <c r="I488">
        <v>6.4039999999999999</v>
      </c>
      <c r="J488">
        <v>41.62</v>
      </c>
      <c r="N488">
        <v>0.27</v>
      </c>
      <c r="Q488">
        <v>1.07</v>
      </c>
      <c r="R488">
        <v>1.0900000000000001</v>
      </c>
    </row>
    <row r="489" spans="1:19" x14ac:dyDescent="0.2">
      <c r="A489" t="s">
        <v>938</v>
      </c>
      <c r="B489" t="s">
        <v>939</v>
      </c>
      <c r="C489">
        <v>2010</v>
      </c>
      <c r="D489">
        <v>0</v>
      </c>
      <c r="E489" t="s">
        <v>21</v>
      </c>
      <c r="F489" t="s">
        <v>22</v>
      </c>
      <c r="G489" t="s">
        <v>138</v>
      </c>
      <c r="H489">
        <v>1</v>
      </c>
      <c r="I489">
        <v>533</v>
      </c>
      <c r="J489">
        <v>769.37</v>
      </c>
      <c r="N489">
        <v>8.7899999999999991</v>
      </c>
      <c r="Q489">
        <v>1.86</v>
      </c>
      <c r="R489">
        <v>21.66</v>
      </c>
    </row>
    <row r="490" spans="1:19" x14ac:dyDescent="0.2">
      <c r="A490" t="s">
        <v>940</v>
      </c>
      <c r="B490" t="s">
        <v>941</v>
      </c>
      <c r="C490">
        <v>2000</v>
      </c>
      <c r="D490">
        <v>0</v>
      </c>
      <c r="E490" t="s">
        <v>21</v>
      </c>
      <c r="F490" t="s">
        <v>22</v>
      </c>
      <c r="G490" t="s">
        <v>138</v>
      </c>
      <c r="H490">
        <v>2</v>
      </c>
      <c r="I490">
        <v>225.62</v>
      </c>
      <c r="J490">
        <v>37.64</v>
      </c>
      <c r="K490">
        <v>2.8</v>
      </c>
      <c r="N490">
        <v>2.88</v>
      </c>
      <c r="Q490">
        <v>1.4</v>
      </c>
    </row>
    <row r="491" spans="1:19" x14ac:dyDescent="0.2">
      <c r="A491" t="s">
        <v>940</v>
      </c>
      <c r="B491" t="s">
        <v>942</v>
      </c>
      <c r="C491">
        <v>2003</v>
      </c>
      <c r="D491">
        <v>0</v>
      </c>
      <c r="E491" t="s">
        <v>21</v>
      </c>
      <c r="F491" t="s">
        <v>22</v>
      </c>
      <c r="G491" t="s">
        <v>138</v>
      </c>
      <c r="H491">
        <v>2</v>
      </c>
      <c r="I491">
        <v>2102</v>
      </c>
      <c r="J491">
        <v>37.64</v>
      </c>
      <c r="K491">
        <v>2.8</v>
      </c>
      <c r="N491">
        <v>4.04</v>
      </c>
      <c r="Q491">
        <v>1.4</v>
      </c>
    </row>
    <row r="492" spans="1:19" x14ac:dyDescent="0.2">
      <c r="A492" t="s">
        <v>943</v>
      </c>
      <c r="B492" t="s">
        <v>944</v>
      </c>
      <c r="C492">
        <v>2007</v>
      </c>
      <c r="D492">
        <v>0</v>
      </c>
      <c r="E492" t="s">
        <v>21</v>
      </c>
      <c r="F492" t="s">
        <v>22</v>
      </c>
      <c r="G492" t="s">
        <v>32</v>
      </c>
      <c r="H492">
        <v>1</v>
      </c>
      <c r="I492">
        <v>1145</v>
      </c>
      <c r="J492">
        <v>60.28</v>
      </c>
      <c r="N492">
        <v>0.66</v>
      </c>
      <c r="Q492">
        <v>1.1000000000000001</v>
      </c>
      <c r="R492">
        <v>1.24</v>
      </c>
    </row>
    <row r="493" spans="1:19" x14ac:dyDescent="0.2">
      <c r="A493" t="s">
        <v>945</v>
      </c>
      <c r="B493" t="s">
        <v>946</v>
      </c>
      <c r="C493">
        <v>2007</v>
      </c>
      <c r="D493">
        <v>0</v>
      </c>
      <c r="E493" t="s">
        <v>21</v>
      </c>
      <c r="F493" t="s">
        <v>22</v>
      </c>
      <c r="G493" t="s">
        <v>86</v>
      </c>
      <c r="H493">
        <v>1</v>
      </c>
      <c r="I493">
        <v>359.89999</v>
      </c>
      <c r="J493">
        <v>229.89</v>
      </c>
      <c r="N493">
        <v>10.130000000000001</v>
      </c>
      <c r="Q493">
        <v>6.73</v>
      </c>
      <c r="R493">
        <v>13.58</v>
      </c>
    </row>
    <row r="494" spans="1:19" x14ac:dyDescent="0.2">
      <c r="A494" t="s">
        <v>947</v>
      </c>
      <c r="B494" t="s">
        <v>948</v>
      </c>
      <c r="C494">
        <v>2007</v>
      </c>
      <c r="D494">
        <v>0</v>
      </c>
      <c r="E494" t="s">
        <v>21</v>
      </c>
      <c r="F494" t="s">
        <v>22</v>
      </c>
      <c r="G494" t="s">
        <v>138</v>
      </c>
      <c r="H494">
        <v>1</v>
      </c>
      <c r="I494">
        <v>550</v>
      </c>
      <c r="J494">
        <v>90</v>
      </c>
      <c r="N494">
        <v>2.62</v>
      </c>
      <c r="Q494">
        <v>1.53</v>
      </c>
      <c r="R494">
        <v>2.4700000000000002</v>
      </c>
    </row>
    <row r="495" spans="1:19" x14ac:dyDescent="0.2">
      <c r="A495" t="s">
        <v>949</v>
      </c>
      <c r="B495" t="s">
        <v>950</v>
      </c>
      <c r="C495">
        <v>2009</v>
      </c>
      <c r="D495">
        <v>0</v>
      </c>
      <c r="E495" t="s">
        <v>21</v>
      </c>
      <c r="F495" t="s">
        <v>22</v>
      </c>
      <c r="G495" t="s">
        <v>138</v>
      </c>
      <c r="H495">
        <v>1</v>
      </c>
      <c r="I495">
        <v>1532</v>
      </c>
      <c r="J495">
        <v>44.87</v>
      </c>
      <c r="K495">
        <v>7.56</v>
      </c>
      <c r="N495">
        <v>2.72</v>
      </c>
      <c r="Q495">
        <v>0.96</v>
      </c>
      <c r="R495">
        <v>1.01</v>
      </c>
    </row>
    <row r="496" spans="1:19" x14ac:dyDescent="0.2">
      <c r="A496" t="s">
        <v>951</v>
      </c>
      <c r="B496" t="s">
        <v>952</v>
      </c>
      <c r="C496">
        <v>2007</v>
      </c>
      <c r="D496">
        <v>0</v>
      </c>
      <c r="E496" t="s">
        <v>21</v>
      </c>
      <c r="F496" t="s">
        <v>22</v>
      </c>
      <c r="G496" t="s">
        <v>224</v>
      </c>
      <c r="H496">
        <v>1</v>
      </c>
      <c r="I496">
        <v>21.216629999999999</v>
      </c>
      <c r="J496">
        <v>75</v>
      </c>
      <c r="L496">
        <v>1115.5833</v>
      </c>
      <c r="M496">
        <v>12.33</v>
      </c>
      <c r="N496">
        <v>3.51</v>
      </c>
      <c r="O496">
        <v>1.1000000000000001</v>
      </c>
      <c r="Q496">
        <v>1.41</v>
      </c>
      <c r="R496">
        <v>1.55</v>
      </c>
      <c r="S496">
        <v>0.53</v>
      </c>
    </row>
    <row r="497" spans="1:18" x14ac:dyDescent="0.2">
      <c r="A497" t="s">
        <v>953</v>
      </c>
      <c r="B497" t="s">
        <v>954</v>
      </c>
      <c r="C497">
        <v>2008</v>
      </c>
      <c r="D497">
        <v>0</v>
      </c>
      <c r="E497" t="s">
        <v>21</v>
      </c>
      <c r="F497" t="s">
        <v>22</v>
      </c>
      <c r="G497" t="s">
        <v>23</v>
      </c>
      <c r="H497">
        <v>1</v>
      </c>
      <c r="I497">
        <v>323.60000000000002</v>
      </c>
      <c r="J497">
        <v>132.68</v>
      </c>
      <c r="N497">
        <v>2.7</v>
      </c>
      <c r="Q497">
        <v>2</v>
      </c>
      <c r="R497">
        <v>13.5</v>
      </c>
    </row>
    <row r="498" spans="1:18" x14ac:dyDescent="0.2">
      <c r="A498" t="s">
        <v>955</v>
      </c>
      <c r="B498" t="s">
        <v>956</v>
      </c>
      <c r="C498">
        <v>2009</v>
      </c>
      <c r="D498">
        <v>0</v>
      </c>
      <c r="E498" t="s">
        <v>21</v>
      </c>
      <c r="F498" t="s">
        <v>22</v>
      </c>
      <c r="G498" t="s">
        <v>629</v>
      </c>
      <c r="H498">
        <v>1</v>
      </c>
      <c r="I498">
        <v>1290</v>
      </c>
      <c r="J498">
        <v>71.23</v>
      </c>
      <c r="N498">
        <v>8.9700000000000006</v>
      </c>
      <c r="Q498">
        <v>1.37</v>
      </c>
      <c r="R498">
        <v>1.75</v>
      </c>
    </row>
    <row r="499" spans="1:18" x14ac:dyDescent="0.2">
      <c r="A499" t="s">
        <v>957</v>
      </c>
      <c r="B499" t="s">
        <v>958</v>
      </c>
      <c r="C499">
        <v>2007</v>
      </c>
      <c r="D499">
        <v>0</v>
      </c>
      <c r="E499" t="s">
        <v>21</v>
      </c>
      <c r="F499" t="s">
        <v>22</v>
      </c>
      <c r="G499" t="s">
        <v>32</v>
      </c>
      <c r="H499">
        <v>1</v>
      </c>
      <c r="I499">
        <v>298.43</v>
      </c>
      <c r="J499">
        <v>130.08000000000001</v>
      </c>
      <c r="N499">
        <v>0.59799999999999998</v>
      </c>
      <c r="Q499">
        <v>1.39</v>
      </c>
      <c r="R499">
        <v>4.1900000000000004</v>
      </c>
    </row>
    <row r="500" spans="1:18" x14ac:dyDescent="0.2">
      <c r="A500" t="s">
        <v>959</v>
      </c>
      <c r="B500" t="s">
        <v>960</v>
      </c>
      <c r="C500">
        <v>2015</v>
      </c>
      <c r="D500">
        <v>0</v>
      </c>
      <c r="E500" t="s">
        <v>21</v>
      </c>
      <c r="F500" t="s">
        <v>22</v>
      </c>
      <c r="G500" t="s">
        <v>138</v>
      </c>
      <c r="H500">
        <v>1</v>
      </c>
      <c r="I500">
        <v>29.01</v>
      </c>
      <c r="J500">
        <v>45.27</v>
      </c>
      <c r="K500">
        <v>10.32</v>
      </c>
      <c r="N500">
        <v>2.8250000000000001E-2</v>
      </c>
      <c r="Q500">
        <v>0.71</v>
      </c>
      <c r="R500">
        <v>0.7</v>
      </c>
    </row>
    <row r="501" spans="1:18" x14ac:dyDescent="0.2">
      <c r="A501" t="s">
        <v>961</v>
      </c>
      <c r="B501" t="s">
        <v>962</v>
      </c>
      <c r="C501">
        <v>2017</v>
      </c>
      <c r="D501">
        <v>0</v>
      </c>
      <c r="E501" t="s">
        <v>21</v>
      </c>
      <c r="F501" t="s">
        <v>22</v>
      </c>
      <c r="G501" t="s">
        <v>82</v>
      </c>
      <c r="H501">
        <v>1</v>
      </c>
      <c r="I501">
        <v>623.79999999999995</v>
      </c>
      <c r="J501">
        <v>44.48</v>
      </c>
      <c r="K501">
        <v>8.4</v>
      </c>
      <c r="N501">
        <v>0.87</v>
      </c>
      <c r="Q501">
        <v>0.98</v>
      </c>
      <c r="R501">
        <v>1.18</v>
      </c>
    </row>
    <row r="502" spans="1:18" x14ac:dyDescent="0.2">
      <c r="A502" t="s">
        <v>963</v>
      </c>
      <c r="B502" t="s">
        <v>964</v>
      </c>
      <c r="C502">
        <v>2017</v>
      </c>
      <c r="D502">
        <v>0</v>
      </c>
      <c r="E502" t="s">
        <v>21</v>
      </c>
      <c r="F502" t="s">
        <v>22</v>
      </c>
      <c r="G502" t="s">
        <v>35</v>
      </c>
      <c r="H502">
        <v>2</v>
      </c>
      <c r="I502">
        <v>6.4897999999999998</v>
      </c>
      <c r="J502">
        <v>27.81</v>
      </c>
      <c r="K502">
        <v>4.3</v>
      </c>
      <c r="N502">
        <v>1.806E-2</v>
      </c>
      <c r="Q502">
        <v>0.79</v>
      </c>
      <c r="R502">
        <v>0.78</v>
      </c>
    </row>
    <row r="503" spans="1:18" x14ac:dyDescent="0.2">
      <c r="A503" t="s">
        <v>963</v>
      </c>
      <c r="B503" t="s">
        <v>965</v>
      </c>
      <c r="C503">
        <v>2017</v>
      </c>
      <c r="D503">
        <v>0</v>
      </c>
      <c r="E503" t="s">
        <v>21</v>
      </c>
      <c r="F503" t="s">
        <v>22</v>
      </c>
      <c r="G503" t="s">
        <v>35</v>
      </c>
      <c r="H503">
        <v>2</v>
      </c>
      <c r="I503">
        <v>16.819099999999999</v>
      </c>
      <c r="J503">
        <v>27.81</v>
      </c>
      <c r="K503">
        <v>4.3</v>
      </c>
      <c r="N503">
        <v>2.8879999999999999E-2</v>
      </c>
      <c r="Q503">
        <v>0.79</v>
      </c>
      <c r="R503">
        <v>0.78</v>
      </c>
    </row>
    <row r="504" spans="1:18" x14ac:dyDescent="0.2">
      <c r="A504" t="s">
        <v>966</v>
      </c>
      <c r="B504" t="s">
        <v>967</v>
      </c>
      <c r="C504">
        <v>2017</v>
      </c>
      <c r="D504">
        <v>0</v>
      </c>
      <c r="E504" t="s">
        <v>21</v>
      </c>
      <c r="F504" t="s">
        <v>22</v>
      </c>
      <c r="G504" t="s">
        <v>138</v>
      </c>
      <c r="H504">
        <v>1</v>
      </c>
      <c r="I504">
        <v>44.505000000000003</v>
      </c>
      <c r="J504">
        <v>16.93</v>
      </c>
      <c r="N504">
        <v>4.7509999999999997E-2</v>
      </c>
      <c r="Q504">
        <v>1</v>
      </c>
    </row>
    <row r="505" spans="1:18" x14ac:dyDescent="0.2">
      <c r="A505" t="s">
        <v>968</v>
      </c>
      <c r="B505" t="s">
        <v>969</v>
      </c>
      <c r="C505">
        <v>1999</v>
      </c>
      <c r="D505">
        <v>0</v>
      </c>
      <c r="E505" t="s">
        <v>21</v>
      </c>
      <c r="F505" t="s">
        <v>22</v>
      </c>
      <c r="G505" t="s">
        <v>32</v>
      </c>
      <c r="H505">
        <v>2</v>
      </c>
      <c r="I505">
        <v>410.10001</v>
      </c>
      <c r="J505">
        <v>62.88</v>
      </c>
      <c r="N505">
        <v>1.69</v>
      </c>
      <c r="Q505">
        <v>1.7</v>
      </c>
      <c r="R505">
        <v>3.26</v>
      </c>
    </row>
    <row r="506" spans="1:18" x14ac:dyDescent="0.2">
      <c r="A506" t="s">
        <v>968</v>
      </c>
      <c r="B506" t="s">
        <v>970</v>
      </c>
      <c r="C506">
        <v>2010</v>
      </c>
      <c r="D506">
        <v>0</v>
      </c>
      <c r="E506" t="s">
        <v>21</v>
      </c>
      <c r="F506" t="s">
        <v>22</v>
      </c>
      <c r="G506" t="s">
        <v>32</v>
      </c>
      <c r="H506">
        <v>2</v>
      </c>
      <c r="I506">
        <v>110.9</v>
      </c>
      <c r="J506">
        <v>62.88</v>
      </c>
      <c r="N506">
        <v>0.15</v>
      </c>
      <c r="Q506">
        <v>1.7</v>
      </c>
      <c r="R506">
        <v>3.26</v>
      </c>
    </row>
    <row r="507" spans="1:18" x14ac:dyDescent="0.2">
      <c r="A507" t="s">
        <v>971</v>
      </c>
      <c r="B507" t="s">
        <v>972</v>
      </c>
      <c r="C507">
        <v>2001</v>
      </c>
      <c r="D507">
        <v>0</v>
      </c>
      <c r="E507" t="s">
        <v>21</v>
      </c>
      <c r="F507" t="s">
        <v>22</v>
      </c>
      <c r="G507" t="s">
        <v>32</v>
      </c>
      <c r="H507">
        <v>1</v>
      </c>
      <c r="I507">
        <v>71.483999999999995</v>
      </c>
      <c r="J507">
        <v>47</v>
      </c>
      <c r="N507">
        <v>8.0299999999999994</v>
      </c>
      <c r="Q507">
        <v>1.24</v>
      </c>
      <c r="R507">
        <v>1.08</v>
      </c>
    </row>
    <row r="508" spans="1:18" x14ac:dyDescent="0.2">
      <c r="A508" t="s">
        <v>973</v>
      </c>
      <c r="B508" t="s">
        <v>974</v>
      </c>
      <c r="C508">
        <v>2008</v>
      </c>
      <c r="D508">
        <v>0</v>
      </c>
      <c r="E508" t="s">
        <v>21</v>
      </c>
      <c r="F508" t="s">
        <v>22</v>
      </c>
      <c r="G508" t="s">
        <v>32</v>
      </c>
      <c r="H508">
        <v>1</v>
      </c>
      <c r="I508">
        <v>14.478999999999999</v>
      </c>
      <c r="J508">
        <v>69.849999999999994</v>
      </c>
      <c r="K508">
        <v>6.99</v>
      </c>
      <c r="N508">
        <v>8.1000000000000003E-2</v>
      </c>
      <c r="Q508">
        <v>1.1399999999999999</v>
      </c>
      <c r="R508">
        <v>1.63</v>
      </c>
    </row>
    <row r="509" spans="1:18" x14ac:dyDescent="0.2">
      <c r="A509" t="s">
        <v>975</v>
      </c>
      <c r="B509" t="s">
        <v>976</v>
      </c>
      <c r="C509">
        <v>2000</v>
      </c>
      <c r="D509">
        <v>0</v>
      </c>
      <c r="E509" t="s">
        <v>21</v>
      </c>
      <c r="F509" t="s">
        <v>22</v>
      </c>
      <c r="G509" t="s">
        <v>98</v>
      </c>
      <c r="H509">
        <v>1</v>
      </c>
      <c r="I509">
        <v>3.092514</v>
      </c>
      <c r="J509">
        <v>27.48</v>
      </c>
      <c r="N509">
        <v>0.91600000000000004</v>
      </c>
      <c r="Q509">
        <v>1.21</v>
      </c>
    </row>
    <row r="510" spans="1:18" x14ac:dyDescent="0.2">
      <c r="A510" t="s">
        <v>977</v>
      </c>
      <c r="B510" t="s">
        <v>978</v>
      </c>
      <c r="C510">
        <v>2018</v>
      </c>
      <c r="D510">
        <v>0</v>
      </c>
      <c r="E510" t="s">
        <v>21</v>
      </c>
      <c r="F510" t="s">
        <v>22</v>
      </c>
      <c r="G510" t="s">
        <v>32</v>
      </c>
      <c r="H510">
        <v>1</v>
      </c>
      <c r="I510">
        <v>213.72</v>
      </c>
      <c r="J510">
        <v>137.59</v>
      </c>
      <c r="N510">
        <v>2.194</v>
      </c>
      <c r="Q510">
        <v>1.75</v>
      </c>
      <c r="R510">
        <v>4.0599999999999996</v>
      </c>
    </row>
    <row r="511" spans="1:18" x14ac:dyDescent="0.2">
      <c r="A511" t="s">
        <v>979</v>
      </c>
      <c r="B511" t="s">
        <v>980</v>
      </c>
      <c r="C511">
        <v>2018</v>
      </c>
      <c r="D511">
        <v>0</v>
      </c>
      <c r="E511" t="s">
        <v>21</v>
      </c>
      <c r="F511" t="s">
        <v>22</v>
      </c>
      <c r="G511" t="s">
        <v>32</v>
      </c>
      <c r="H511">
        <v>1</v>
      </c>
      <c r="I511">
        <v>2278</v>
      </c>
      <c r="J511">
        <v>124.24</v>
      </c>
      <c r="N511">
        <v>3.18</v>
      </c>
      <c r="Q511">
        <v>1.49</v>
      </c>
      <c r="R511">
        <v>3.13</v>
      </c>
    </row>
    <row r="512" spans="1:18" x14ac:dyDescent="0.2">
      <c r="A512" t="s">
        <v>981</v>
      </c>
      <c r="B512" t="s">
        <v>982</v>
      </c>
      <c r="C512">
        <v>2010</v>
      </c>
      <c r="D512">
        <v>0</v>
      </c>
      <c r="E512" t="s">
        <v>21</v>
      </c>
      <c r="F512" t="s">
        <v>22</v>
      </c>
      <c r="G512" t="s">
        <v>224</v>
      </c>
      <c r="H512">
        <v>1</v>
      </c>
      <c r="I512">
        <v>396.03</v>
      </c>
      <c r="J512">
        <v>122.79</v>
      </c>
      <c r="N512">
        <v>20.13</v>
      </c>
      <c r="Q512">
        <v>2.2000000000000002</v>
      </c>
      <c r="R512">
        <v>8.1300000000000008</v>
      </c>
    </row>
    <row r="513" spans="1:19" x14ac:dyDescent="0.2">
      <c r="A513" t="s">
        <v>983</v>
      </c>
      <c r="B513" t="s">
        <v>984</v>
      </c>
      <c r="C513">
        <v>2009</v>
      </c>
      <c r="D513">
        <v>0</v>
      </c>
      <c r="E513" t="s">
        <v>21</v>
      </c>
      <c r="F513" t="s">
        <v>22</v>
      </c>
      <c r="G513" t="s">
        <v>32</v>
      </c>
      <c r="H513">
        <v>1</v>
      </c>
      <c r="I513">
        <v>510.9</v>
      </c>
      <c r="J513">
        <v>104.89</v>
      </c>
      <c r="N513">
        <v>1.6850000000000001</v>
      </c>
      <c r="Q513">
        <v>1.41</v>
      </c>
      <c r="R513">
        <v>4.16</v>
      </c>
    </row>
    <row r="514" spans="1:19" x14ac:dyDescent="0.2">
      <c r="A514" t="s">
        <v>985</v>
      </c>
      <c r="B514" t="s">
        <v>986</v>
      </c>
      <c r="C514">
        <v>2019</v>
      </c>
      <c r="D514">
        <v>0</v>
      </c>
      <c r="E514" t="s">
        <v>21</v>
      </c>
      <c r="F514" t="s">
        <v>22</v>
      </c>
      <c r="G514" t="s">
        <v>138</v>
      </c>
      <c r="H514">
        <v>1</v>
      </c>
      <c r="I514">
        <v>7462.0574999999999</v>
      </c>
      <c r="J514">
        <v>47.81</v>
      </c>
      <c r="K514">
        <v>6.32</v>
      </c>
      <c r="N514">
        <v>8.3699999999999992</v>
      </c>
      <c r="Q514">
        <v>1.01</v>
      </c>
      <c r="R514">
        <v>1.05</v>
      </c>
    </row>
    <row r="515" spans="1:19" x14ac:dyDescent="0.2">
      <c r="A515" t="s">
        <v>987</v>
      </c>
      <c r="B515" t="s">
        <v>988</v>
      </c>
      <c r="C515">
        <v>2009</v>
      </c>
      <c r="D515">
        <v>0</v>
      </c>
      <c r="E515" t="s">
        <v>21</v>
      </c>
      <c r="F515" t="s">
        <v>22</v>
      </c>
      <c r="G515" t="s">
        <v>32</v>
      </c>
      <c r="H515">
        <v>1</v>
      </c>
      <c r="I515">
        <v>564.1</v>
      </c>
      <c r="J515">
        <v>110.62</v>
      </c>
      <c r="N515">
        <v>2.54</v>
      </c>
      <c r="Q515">
        <v>1.69</v>
      </c>
      <c r="R515">
        <v>4.71</v>
      </c>
    </row>
    <row r="516" spans="1:19" x14ac:dyDescent="0.2">
      <c r="A516" t="s">
        <v>989</v>
      </c>
      <c r="B516" t="s">
        <v>990</v>
      </c>
      <c r="C516">
        <v>2008</v>
      </c>
      <c r="D516">
        <v>0</v>
      </c>
      <c r="E516" t="s">
        <v>21</v>
      </c>
      <c r="F516" t="s">
        <v>22</v>
      </c>
      <c r="G516" t="s">
        <v>138</v>
      </c>
      <c r="H516">
        <v>3</v>
      </c>
      <c r="I516">
        <v>9.3742999999999999</v>
      </c>
      <c r="J516">
        <v>26.9</v>
      </c>
      <c r="N516">
        <v>0.02</v>
      </c>
      <c r="Q516">
        <v>0.63</v>
      </c>
      <c r="R516">
        <v>0.79</v>
      </c>
    </row>
    <row r="517" spans="1:19" x14ac:dyDescent="0.2">
      <c r="A517" t="s">
        <v>989</v>
      </c>
      <c r="B517" t="s">
        <v>991</v>
      </c>
      <c r="C517">
        <v>2008</v>
      </c>
      <c r="D517">
        <v>0</v>
      </c>
      <c r="E517" t="s">
        <v>21</v>
      </c>
      <c r="F517" t="s">
        <v>22</v>
      </c>
      <c r="G517" t="s">
        <v>138</v>
      </c>
      <c r="H517">
        <v>3</v>
      </c>
      <c r="I517">
        <v>962</v>
      </c>
      <c r="J517">
        <v>26.9</v>
      </c>
      <c r="N517">
        <v>0.64</v>
      </c>
      <c r="Q517">
        <v>0.63</v>
      </c>
      <c r="R517">
        <v>0.79</v>
      </c>
    </row>
    <row r="518" spans="1:19" x14ac:dyDescent="0.2">
      <c r="A518" t="s">
        <v>989</v>
      </c>
      <c r="B518" t="s">
        <v>992</v>
      </c>
      <c r="C518">
        <v>2008</v>
      </c>
      <c r="D518">
        <v>0</v>
      </c>
      <c r="E518" t="s">
        <v>21</v>
      </c>
      <c r="F518" t="s">
        <v>22</v>
      </c>
      <c r="G518" t="s">
        <v>138</v>
      </c>
      <c r="H518">
        <v>3</v>
      </c>
      <c r="I518">
        <v>2172</v>
      </c>
      <c r="J518">
        <v>26.9</v>
      </c>
      <c r="N518">
        <v>0.54</v>
      </c>
      <c r="Q518">
        <v>0.63</v>
      </c>
      <c r="R518">
        <v>0.79</v>
      </c>
    </row>
    <row r="519" spans="1:19" x14ac:dyDescent="0.2">
      <c r="A519" t="s">
        <v>993</v>
      </c>
      <c r="B519" t="s">
        <v>994</v>
      </c>
      <c r="C519">
        <v>2009</v>
      </c>
      <c r="D519">
        <v>0</v>
      </c>
      <c r="E519" t="s">
        <v>21</v>
      </c>
      <c r="F519" t="s">
        <v>22</v>
      </c>
      <c r="G519" t="s">
        <v>138</v>
      </c>
      <c r="H519">
        <v>1</v>
      </c>
      <c r="I519">
        <v>956</v>
      </c>
      <c r="J519">
        <v>60.31</v>
      </c>
      <c r="N519">
        <v>0.4</v>
      </c>
      <c r="Q519">
        <v>1.03</v>
      </c>
      <c r="R519">
        <v>1.5</v>
      </c>
    </row>
    <row r="520" spans="1:19" x14ac:dyDescent="0.2">
      <c r="A520" t="s">
        <v>995</v>
      </c>
      <c r="B520" t="s">
        <v>996</v>
      </c>
      <c r="C520">
        <v>2004</v>
      </c>
      <c r="D520">
        <v>0</v>
      </c>
      <c r="E520" t="s">
        <v>21</v>
      </c>
      <c r="F520" t="s">
        <v>22</v>
      </c>
      <c r="G520" t="s">
        <v>32</v>
      </c>
      <c r="H520">
        <v>2</v>
      </c>
      <c r="I520">
        <v>626.51598999999999</v>
      </c>
      <c r="J520">
        <v>54.28</v>
      </c>
      <c r="N520">
        <v>3.95</v>
      </c>
      <c r="Q520">
        <v>1.31</v>
      </c>
      <c r="R520">
        <v>1.23</v>
      </c>
    </row>
    <row r="521" spans="1:19" x14ac:dyDescent="0.2">
      <c r="A521" t="s">
        <v>995</v>
      </c>
      <c r="B521" t="s">
        <v>997</v>
      </c>
      <c r="C521">
        <v>2008</v>
      </c>
      <c r="D521">
        <v>0</v>
      </c>
      <c r="E521" t="s">
        <v>21</v>
      </c>
      <c r="F521" t="s">
        <v>22</v>
      </c>
      <c r="G521" t="s">
        <v>32</v>
      </c>
      <c r="H521">
        <v>2</v>
      </c>
      <c r="I521">
        <v>3070</v>
      </c>
      <c r="J521">
        <v>54.28</v>
      </c>
      <c r="N521">
        <v>3.57</v>
      </c>
      <c r="Q521">
        <v>1.31</v>
      </c>
      <c r="R521">
        <v>1.23</v>
      </c>
    </row>
    <row r="522" spans="1:19" x14ac:dyDescent="0.2">
      <c r="A522" t="s">
        <v>998</v>
      </c>
      <c r="B522" t="s">
        <v>999</v>
      </c>
      <c r="C522">
        <v>2006</v>
      </c>
      <c r="D522">
        <v>0</v>
      </c>
      <c r="E522" t="s">
        <v>21</v>
      </c>
      <c r="F522" t="s">
        <v>22</v>
      </c>
      <c r="G522" t="s">
        <v>46</v>
      </c>
      <c r="H522">
        <v>1</v>
      </c>
      <c r="I522">
        <v>6.8377600000000003</v>
      </c>
      <c r="J522">
        <v>52.07</v>
      </c>
      <c r="N522">
        <v>1.01</v>
      </c>
      <c r="Q522">
        <v>1.3</v>
      </c>
      <c r="R522">
        <v>2</v>
      </c>
    </row>
    <row r="523" spans="1:19" x14ac:dyDescent="0.2">
      <c r="A523" t="s">
        <v>1000</v>
      </c>
      <c r="B523" t="s">
        <v>1001</v>
      </c>
      <c r="C523">
        <v>2006</v>
      </c>
      <c r="D523">
        <v>0</v>
      </c>
      <c r="E523" t="s">
        <v>21</v>
      </c>
      <c r="F523" t="s">
        <v>22</v>
      </c>
      <c r="G523" t="s">
        <v>98</v>
      </c>
      <c r="H523">
        <v>1</v>
      </c>
      <c r="I523">
        <v>986</v>
      </c>
      <c r="J523">
        <v>45.96</v>
      </c>
      <c r="K523">
        <v>3.3</v>
      </c>
      <c r="N523">
        <v>0.75</v>
      </c>
      <c r="Q523">
        <v>1.22</v>
      </c>
    </row>
    <row r="524" spans="1:19" x14ac:dyDescent="0.2">
      <c r="A524" t="s">
        <v>1002</v>
      </c>
      <c r="B524" t="s">
        <v>1003</v>
      </c>
      <c r="C524">
        <v>1998</v>
      </c>
      <c r="D524">
        <v>0</v>
      </c>
      <c r="E524" t="s">
        <v>21</v>
      </c>
      <c r="F524" t="s">
        <v>22</v>
      </c>
      <c r="G524" t="s">
        <v>32</v>
      </c>
      <c r="H524">
        <v>2</v>
      </c>
      <c r="I524">
        <v>3.0965828000000002</v>
      </c>
      <c r="J524">
        <v>46.02</v>
      </c>
      <c r="N524">
        <v>0.52300000000000002</v>
      </c>
      <c r="Q524">
        <v>1</v>
      </c>
    </row>
    <row r="525" spans="1:19" x14ac:dyDescent="0.2">
      <c r="A525" t="s">
        <v>1002</v>
      </c>
      <c r="B525" t="s">
        <v>1004</v>
      </c>
      <c r="C525">
        <v>2008</v>
      </c>
      <c r="D525">
        <v>0</v>
      </c>
      <c r="E525" t="s">
        <v>21</v>
      </c>
      <c r="F525" t="s">
        <v>22</v>
      </c>
      <c r="G525" t="s">
        <v>32</v>
      </c>
      <c r="H525">
        <v>2</v>
      </c>
      <c r="I525">
        <v>3810</v>
      </c>
      <c r="J525">
        <v>46.02</v>
      </c>
      <c r="N525">
        <v>1.99</v>
      </c>
      <c r="Q525">
        <v>1</v>
      </c>
    </row>
    <row r="526" spans="1:19" x14ac:dyDescent="0.2">
      <c r="A526" t="s">
        <v>1005</v>
      </c>
      <c r="B526" t="s">
        <v>1006</v>
      </c>
      <c r="C526">
        <v>2011</v>
      </c>
      <c r="D526">
        <v>0</v>
      </c>
      <c r="E526" t="s">
        <v>21</v>
      </c>
      <c r="F526" t="s">
        <v>22</v>
      </c>
      <c r="G526" t="s">
        <v>32</v>
      </c>
      <c r="H526">
        <v>1</v>
      </c>
      <c r="I526">
        <v>766</v>
      </c>
      <c r="J526">
        <v>163.37</v>
      </c>
      <c r="N526">
        <v>3.4</v>
      </c>
      <c r="Q526">
        <v>1.36</v>
      </c>
      <c r="R526">
        <v>5.13</v>
      </c>
    </row>
    <row r="527" spans="1:19" x14ac:dyDescent="0.2">
      <c r="A527" t="s">
        <v>1007</v>
      </c>
      <c r="B527" t="s">
        <v>1008</v>
      </c>
      <c r="C527">
        <v>2004</v>
      </c>
      <c r="D527">
        <v>0</v>
      </c>
      <c r="E527" t="s">
        <v>21</v>
      </c>
      <c r="F527" t="s">
        <v>22</v>
      </c>
      <c r="G527" t="s">
        <v>32</v>
      </c>
      <c r="H527">
        <v>1</v>
      </c>
      <c r="I527">
        <v>461.2</v>
      </c>
      <c r="J527">
        <v>50.74</v>
      </c>
      <c r="N527">
        <v>1.5</v>
      </c>
      <c r="Q527">
        <v>1.0900000000000001</v>
      </c>
    </row>
    <row r="528" spans="1:19" x14ac:dyDescent="0.2">
      <c r="A528" t="s">
        <v>1009</v>
      </c>
      <c r="B528" t="s">
        <v>1010</v>
      </c>
      <c r="C528">
        <v>2005</v>
      </c>
      <c r="D528">
        <v>0</v>
      </c>
      <c r="E528" t="s">
        <v>21</v>
      </c>
      <c r="F528" t="s">
        <v>22</v>
      </c>
      <c r="G528" t="s">
        <v>82</v>
      </c>
      <c r="H528">
        <v>1</v>
      </c>
      <c r="I528">
        <v>2.2185756699999999</v>
      </c>
      <c r="J528">
        <v>19.78</v>
      </c>
      <c r="L528">
        <v>359.14789999999999</v>
      </c>
      <c r="M528">
        <v>12.666</v>
      </c>
      <c r="N528">
        <v>1.1299999999999999</v>
      </c>
      <c r="O528">
        <v>1.1299999999999999</v>
      </c>
      <c r="Q528">
        <v>0.79</v>
      </c>
      <c r="R528">
        <v>0.75</v>
      </c>
      <c r="S528">
        <v>2.65</v>
      </c>
    </row>
    <row r="529" spans="1:18" x14ac:dyDescent="0.2">
      <c r="A529" t="s">
        <v>1011</v>
      </c>
      <c r="B529" t="s">
        <v>1012</v>
      </c>
      <c r="C529">
        <v>2003</v>
      </c>
      <c r="D529">
        <v>0</v>
      </c>
      <c r="E529" t="s">
        <v>21</v>
      </c>
      <c r="F529" t="s">
        <v>22</v>
      </c>
      <c r="G529" t="s">
        <v>82</v>
      </c>
      <c r="H529">
        <v>2</v>
      </c>
      <c r="I529">
        <v>2915.0368699999999</v>
      </c>
      <c r="J529">
        <v>16.010000000000002</v>
      </c>
      <c r="N529">
        <v>1.54</v>
      </c>
      <c r="Q529">
        <v>0.99</v>
      </c>
      <c r="R529">
        <v>1.1399999999999999</v>
      </c>
    </row>
    <row r="530" spans="1:18" x14ac:dyDescent="0.2">
      <c r="A530" t="s">
        <v>1011</v>
      </c>
      <c r="B530" t="s">
        <v>1013</v>
      </c>
      <c r="C530">
        <v>2005</v>
      </c>
      <c r="D530">
        <v>0</v>
      </c>
      <c r="E530" t="s">
        <v>21</v>
      </c>
      <c r="F530" t="s">
        <v>22</v>
      </c>
      <c r="G530" t="s">
        <v>32</v>
      </c>
      <c r="H530">
        <v>2</v>
      </c>
      <c r="I530">
        <v>17.111000000000001</v>
      </c>
      <c r="J530">
        <v>16.010000000000002</v>
      </c>
      <c r="N530">
        <v>0.06</v>
      </c>
      <c r="Q530">
        <v>0.99</v>
      </c>
      <c r="R530">
        <v>1.1399999999999999</v>
      </c>
    </row>
    <row r="531" spans="1:18" x14ac:dyDescent="0.2">
      <c r="A531" t="s">
        <v>1014</v>
      </c>
      <c r="B531" t="s">
        <v>1015</v>
      </c>
      <c r="C531">
        <v>2007</v>
      </c>
      <c r="D531">
        <v>0</v>
      </c>
      <c r="E531" t="s">
        <v>21</v>
      </c>
      <c r="F531" t="s">
        <v>22</v>
      </c>
      <c r="G531" t="s">
        <v>138</v>
      </c>
      <c r="H531">
        <v>1</v>
      </c>
      <c r="I531">
        <v>1038.09998</v>
      </c>
      <c r="J531">
        <v>54.56</v>
      </c>
      <c r="N531">
        <v>1.94</v>
      </c>
      <c r="Q531">
        <v>1.1399999999999999</v>
      </c>
      <c r="R531">
        <v>1.45</v>
      </c>
    </row>
    <row r="532" spans="1:18" x14ac:dyDescent="0.2">
      <c r="A532" t="s">
        <v>1016</v>
      </c>
      <c r="B532" t="s">
        <v>1017</v>
      </c>
      <c r="C532">
        <v>2009</v>
      </c>
      <c r="D532">
        <v>0</v>
      </c>
      <c r="E532" t="s">
        <v>21</v>
      </c>
      <c r="F532" t="s">
        <v>22</v>
      </c>
      <c r="G532" t="s">
        <v>138</v>
      </c>
      <c r="H532">
        <v>1</v>
      </c>
      <c r="I532">
        <v>4885</v>
      </c>
      <c r="J532">
        <v>148.81</v>
      </c>
      <c r="N532">
        <v>3.1</v>
      </c>
      <c r="Q532">
        <v>0.91</v>
      </c>
      <c r="R532">
        <v>1.53</v>
      </c>
    </row>
    <row r="533" spans="1:18" x14ac:dyDescent="0.2">
      <c r="A533" t="s">
        <v>1018</v>
      </c>
      <c r="B533" t="s">
        <v>1019</v>
      </c>
      <c r="C533">
        <v>2016</v>
      </c>
      <c r="D533">
        <v>0</v>
      </c>
      <c r="E533" t="s">
        <v>21</v>
      </c>
      <c r="F533" t="s">
        <v>22</v>
      </c>
      <c r="G533" t="s">
        <v>82</v>
      </c>
      <c r="H533">
        <v>1</v>
      </c>
      <c r="I533">
        <v>1606.3</v>
      </c>
      <c r="J533">
        <v>65.790000000000006</v>
      </c>
      <c r="K533">
        <v>2.9</v>
      </c>
      <c r="N533">
        <v>8.52</v>
      </c>
      <c r="Q533">
        <v>1.1399999999999999</v>
      </c>
    </row>
    <row r="534" spans="1:18" x14ac:dyDescent="0.2">
      <c r="A534" t="s">
        <v>1020</v>
      </c>
      <c r="B534" t="s">
        <v>1021</v>
      </c>
      <c r="C534">
        <v>1999</v>
      </c>
      <c r="D534">
        <v>0</v>
      </c>
      <c r="E534" t="s">
        <v>21</v>
      </c>
      <c r="F534" t="s">
        <v>22</v>
      </c>
      <c r="G534" t="s">
        <v>138</v>
      </c>
      <c r="H534">
        <v>1</v>
      </c>
      <c r="I534">
        <v>24.355599999999999</v>
      </c>
      <c r="J534">
        <v>19.649999999999999</v>
      </c>
      <c r="N534">
        <v>0.56000000000000005</v>
      </c>
      <c r="Q534">
        <v>0.66</v>
      </c>
      <c r="R534">
        <v>0.74</v>
      </c>
    </row>
    <row r="535" spans="1:18" x14ac:dyDescent="0.2">
      <c r="A535" t="s">
        <v>1022</v>
      </c>
      <c r="B535" t="s">
        <v>1023</v>
      </c>
      <c r="C535">
        <v>2011</v>
      </c>
      <c r="D535">
        <v>0</v>
      </c>
      <c r="E535" t="s">
        <v>21</v>
      </c>
      <c r="F535" t="s">
        <v>22</v>
      </c>
      <c r="G535" t="s">
        <v>138</v>
      </c>
      <c r="H535">
        <v>2</v>
      </c>
      <c r="I535">
        <v>74.72</v>
      </c>
      <c r="J535">
        <v>8.8000000000000007</v>
      </c>
      <c r="K535">
        <v>7.81</v>
      </c>
      <c r="N535">
        <v>5.3199999999999997E-2</v>
      </c>
      <c r="Q535">
        <v>0.8</v>
      </c>
    </row>
    <row r="536" spans="1:18" x14ac:dyDescent="0.2">
      <c r="A536" t="s">
        <v>1022</v>
      </c>
      <c r="B536" t="s">
        <v>1024</v>
      </c>
      <c r="C536">
        <v>2011</v>
      </c>
      <c r="D536">
        <v>0</v>
      </c>
      <c r="E536" t="s">
        <v>21</v>
      </c>
      <c r="F536" t="s">
        <v>22</v>
      </c>
      <c r="G536" t="s">
        <v>138</v>
      </c>
      <c r="H536">
        <v>2</v>
      </c>
      <c r="I536">
        <v>525.79999999999995</v>
      </c>
      <c r="J536">
        <v>8.8000000000000007</v>
      </c>
      <c r="K536">
        <v>7.81</v>
      </c>
      <c r="N536">
        <v>7.5999999999999998E-2</v>
      </c>
      <c r="Q536">
        <v>0.8</v>
      </c>
    </row>
    <row r="537" spans="1:18" x14ac:dyDescent="0.2">
      <c r="A537" t="s">
        <v>1025</v>
      </c>
      <c r="B537" t="s">
        <v>1026</v>
      </c>
      <c r="C537">
        <v>2007</v>
      </c>
      <c r="D537">
        <v>0</v>
      </c>
      <c r="E537" t="s">
        <v>21</v>
      </c>
      <c r="F537" t="s">
        <v>22</v>
      </c>
      <c r="G537" t="s">
        <v>46</v>
      </c>
      <c r="H537">
        <v>1</v>
      </c>
      <c r="I537">
        <v>340.94</v>
      </c>
      <c r="J537">
        <v>72.010000000000005</v>
      </c>
      <c r="N537">
        <v>2.0960000000000001</v>
      </c>
      <c r="Q537">
        <v>1.38</v>
      </c>
      <c r="R537">
        <v>4.41</v>
      </c>
    </row>
    <row r="538" spans="1:18" x14ac:dyDescent="0.2">
      <c r="A538" t="s">
        <v>1027</v>
      </c>
      <c r="B538" t="s">
        <v>1028</v>
      </c>
      <c r="C538">
        <v>1998</v>
      </c>
      <c r="D538">
        <v>0</v>
      </c>
      <c r="E538" t="s">
        <v>21</v>
      </c>
      <c r="F538" t="s">
        <v>22</v>
      </c>
      <c r="G538" t="s">
        <v>46</v>
      </c>
      <c r="H538">
        <v>1</v>
      </c>
      <c r="I538">
        <v>18.201319999999999</v>
      </c>
      <c r="J538">
        <v>37.71</v>
      </c>
      <c r="N538">
        <v>3.98</v>
      </c>
      <c r="Q538">
        <v>1.21</v>
      </c>
      <c r="R538">
        <v>1.48</v>
      </c>
    </row>
    <row r="539" spans="1:18" x14ac:dyDescent="0.2">
      <c r="A539" t="s">
        <v>1029</v>
      </c>
      <c r="B539" t="s">
        <v>1030</v>
      </c>
      <c r="C539">
        <v>2002</v>
      </c>
      <c r="D539">
        <v>0</v>
      </c>
      <c r="E539" t="s">
        <v>21</v>
      </c>
      <c r="F539" t="s">
        <v>22</v>
      </c>
      <c r="G539" t="s">
        <v>98</v>
      </c>
      <c r="H539">
        <v>1</v>
      </c>
      <c r="I539">
        <v>1378</v>
      </c>
      <c r="J539">
        <v>50.75</v>
      </c>
      <c r="N539">
        <v>3.18</v>
      </c>
      <c r="Q539">
        <v>1.31</v>
      </c>
      <c r="R539">
        <v>1.42</v>
      </c>
    </row>
    <row r="540" spans="1:18" x14ac:dyDescent="0.2">
      <c r="A540" t="s">
        <v>1031</v>
      </c>
      <c r="B540" t="s">
        <v>1032</v>
      </c>
      <c r="C540">
        <v>2012</v>
      </c>
      <c r="D540">
        <v>0</v>
      </c>
      <c r="E540" t="s">
        <v>21</v>
      </c>
      <c r="F540" t="s">
        <v>22</v>
      </c>
      <c r="G540" t="s">
        <v>138</v>
      </c>
      <c r="H540">
        <v>1</v>
      </c>
      <c r="I540">
        <v>3638</v>
      </c>
      <c r="J540">
        <v>39.979999999999997</v>
      </c>
      <c r="K540">
        <v>3.3</v>
      </c>
      <c r="N540">
        <v>6.9</v>
      </c>
      <c r="Q540">
        <v>1.29</v>
      </c>
      <c r="R540">
        <v>1.73</v>
      </c>
    </row>
    <row r="541" spans="1:18" x14ac:dyDescent="0.2">
      <c r="A541" t="s">
        <v>1033</v>
      </c>
      <c r="B541" t="s">
        <v>1034</v>
      </c>
      <c r="C541">
        <v>2007</v>
      </c>
      <c r="D541">
        <v>0</v>
      </c>
      <c r="E541" t="s">
        <v>21</v>
      </c>
      <c r="F541" t="s">
        <v>22</v>
      </c>
      <c r="G541" t="s">
        <v>82</v>
      </c>
      <c r="H541">
        <v>1</v>
      </c>
      <c r="I541">
        <v>1333</v>
      </c>
      <c r="J541">
        <v>34.200000000000003</v>
      </c>
      <c r="K541">
        <v>3.12</v>
      </c>
      <c r="N541">
        <v>2.58</v>
      </c>
      <c r="Q541">
        <v>1.28</v>
      </c>
      <c r="R541">
        <v>1.31</v>
      </c>
    </row>
    <row r="542" spans="1:18" x14ac:dyDescent="0.2">
      <c r="A542" t="s">
        <v>1035</v>
      </c>
      <c r="B542" t="s">
        <v>1036</v>
      </c>
      <c r="C542">
        <v>2012</v>
      </c>
      <c r="D542">
        <v>0</v>
      </c>
      <c r="E542" t="s">
        <v>21</v>
      </c>
      <c r="F542" t="s">
        <v>22</v>
      </c>
      <c r="G542" t="s">
        <v>86</v>
      </c>
      <c r="H542">
        <v>1</v>
      </c>
      <c r="I542">
        <v>1035.7</v>
      </c>
      <c r="J542">
        <v>33</v>
      </c>
      <c r="K542">
        <v>1.9</v>
      </c>
      <c r="N542">
        <v>0.79</v>
      </c>
      <c r="Q542">
        <v>1.1100000000000001</v>
      </c>
    </row>
    <row r="543" spans="1:18" x14ac:dyDescent="0.2">
      <c r="A543" t="s">
        <v>1037</v>
      </c>
      <c r="B543" t="s">
        <v>1038</v>
      </c>
      <c r="C543">
        <v>2003</v>
      </c>
      <c r="D543">
        <v>0</v>
      </c>
      <c r="E543" t="s">
        <v>21</v>
      </c>
      <c r="F543" t="s">
        <v>22</v>
      </c>
      <c r="G543" t="s">
        <v>138</v>
      </c>
      <c r="H543">
        <v>1</v>
      </c>
      <c r="I543">
        <v>466.2</v>
      </c>
      <c r="J543">
        <v>22.54</v>
      </c>
      <c r="N543">
        <v>1.37</v>
      </c>
      <c r="Q543">
        <v>1.36</v>
      </c>
    </row>
    <row r="544" spans="1:18" x14ac:dyDescent="0.2">
      <c r="A544" t="s">
        <v>1039</v>
      </c>
      <c r="B544" t="s">
        <v>1040</v>
      </c>
      <c r="C544">
        <v>2019</v>
      </c>
      <c r="D544">
        <v>0</v>
      </c>
      <c r="E544" t="s">
        <v>21</v>
      </c>
      <c r="F544" t="s">
        <v>22</v>
      </c>
      <c r="G544" t="s">
        <v>138</v>
      </c>
      <c r="H544">
        <v>2</v>
      </c>
      <c r="I544">
        <v>11.8482</v>
      </c>
      <c r="J544">
        <v>43.8</v>
      </c>
      <c r="N544">
        <v>3.6700000000000003E-2</v>
      </c>
      <c r="Q544">
        <v>0.88</v>
      </c>
    </row>
    <row r="545" spans="1:19" x14ac:dyDescent="0.2">
      <c r="A545" t="s">
        <v>1039</v>
      </c>
      <c r="B545" t="s">
        <v>1041</v>
      </c>
      <c r="C545">
        <v>2019</v>
      </c>
      <c r="D545">
        <v>0</v>
      </c>
      <c r="E545" t="s">
        <v>21</v>
      </c>
      <c r="F545" t="s">
        <v>22</v>
      </c>
      <c r="G545" t="s">
        <v>138</v>
      </c>
      <c r="H545">
        <v>2</v>
      </c>
      <c r="I545">
        <v>33.923900000000003</v>
      </c>
      <c r="J545">
        <v>43.8</v>
      </c>
      <c r="N545">
        <v>4.5400000000000003E-2</v>
      </c>
      <c r="Q545">
        <v>0.88</v>
      </c>
    </row>
    <row r="546" spans="1:19" x14ac:dyDescent="0.2">
      <c r="A546" t="s">
        <v>1042</v>
      </c>
      <c r="B546" t="s">
        <v>1043</v>
      </c>
      <c r="C546">
        <v>2010</v>
      </c>
      <c r="D546">
        <v>0</v>
      </c>
      <c r="E546" t="s">
        <v>21</v>
      </c>
      <c r="F546" t="s">
        <v>22</v>
      </c>
      <c r="G546" t="s">
        <v>46</v>
      </c>
      <c r="H546">
        <v>2</v>
      </c>
      <c r="I546">
        <v>606.29999999999995</v>
      </c>
      <c r="J546">
        <v>72.739999999999995</v>
      </c>
      <c r="N546">
        <v>1.599</v>
      </c>
      <c r="Q546">
        <v>1.39</v>
      </c>
      <c r="R546">
        <v>4.92</v>
      </c>
    </row>
    <row r="547" spans="1:19" x14ac:dyDescent="0.2">
      <c r="A547" t="s">
        <v>1042</v>
      </c>
      <c r="B547" t="s">
        <v>1044</v>
      </c>
      <c r="C547">
        <v>2010</v>
      </c>
      <c r="D547">
        <v>0</v>
      </c>
      <c r="E547" t="s">
        <v>21</v>
      </c>
      <c r="F547" t="s">
        <v>22</v>
      </c>
      <c r="G547" t="s">
        <v>46</v>
      </c>
      <c r="H547">
        <v>2</v>
      </c>
      <c r="I547">
        <v>852.5</v>
      </c>
      <c r="J547">
        <v>72.739999999999995</v>
      </c>
      <c r="N547">
        <v>1.214</v>
      </c>
      <c r="Q547">
        <v>1.39</v>
      </c>
      <c r="R547">
        <v>4.92</v>
      </c>
    </row>
    <row r="548" spans="1:19" x14ac:dyDescent="0.2">
      <c r="A548" t="s">
        <v>1045</v>
      </c>
      <c r="B548" t="s">
        <v>1046</v>
      </c>
      <c r="C548">
        <v>2004</v>
      </c>
      <c r="D548">
        <v>0</v>
      </c>
      <c r="E548" t="s">
        <v>21</v>
      </c>
      <c r="F548" t="s">
        <v>22</v>
      </c>
      <c r="G548" t="s">
        <v>138</v>
      </c>
      <c r="H548">
        <v>1</v>
      </c>
      <c r="I548">
        <v>1260</v>
      </c>
      <c r="J548">
        <v>45.5</v>
      </c>
      <c r="L548">
        <v>5689.1570000000002</v>
      </c>
      <c r="N548">
        <v>17.899999999999999</v>
      </c>
      <c r="Q548">
        <v>1.27</v>
      </c>
      <c r="R548">
        <v>1.03</v>
      </c>
    </row>
    <row r="549" spans="1:19" x14ac:dyDescent="0.2">
      <c r="A549" t="s">
        <v>1047</v>
      </c>
      <c r="B549" t="s">
        <v>1048</v>
      </c>
      <c r="C549">
        <v>2019</v>
      </c>
      <c r="D549">
        <v>0</v>
      </c>
      <c r="E549" t="s">
        <v>21</v>
      </c>
      <c r="F549" t="s">
        <v>22</v>
      </c>
      <c r="G549" t="s">
        <v>32</v>
      </c>
      <c r="H549">
        <v>2</v>
      </c>
      <c r="I549">
        <v>517.79999999999995</v>
      </c>
      <c r="J549">
        <v>189.56</v>
      </c>
      <c r="K549">
        <v>1.32</v>
      </c>
      <c r="L549">
        <v>634.38868000000002</v>
      </c>
      <c r="N549">
        <v>1.996</v>
      </c>
      <c r="Q549">
        <v>1.91</v>
      </c>
      <c r="R549">
        <v>6.43</v>
      </c>
    </row>
    <row r="550" spans="1:19" x14ac:dyDescent="0.2">
      <c r="A550" t="s">
        <v>1047</v>
      </c>
      <c r="B550" t="s">
        <v>1049</v>
      </c>
      <c r="C550">
        <v>2019</v>
      </c>
      <c r="D550">
        <v>0</v>
      </c>
      <c r="E550" t="s">
        <v>21</v>
      </c>
      <c r="F550" t="s">
        <v>22</v>
      </c>
      <c r="G550" t="s">
        <v>32</v>
      </c>
      <c r="H550">
        <v>2</v>
      </c>
      <c r="I550">
        <v>946.6</v>
      </c>
      <c r="J550">
        <v>189.56</v>
      </c>
      <c r="K550">
        <v>1.32</v>
      </c>
      <c r="L550">
        <v>592.43511999999998</v>
      </c>
      <c r="N550">
        <v>1.8640000000000001</v>
      </c>
      <c r="Q550">
        <v>1.91</v>
      </c>
      <c r="R550">
        <v>6.43</v>
      </c>
    </row>
    <row r="551" spans="1:19" x14ac:dyDescent="0.2">
      <c r="A551" t="s">
        <v>1050</v>
      </c>
      <c r="B551" t="s">
        <v>1051</v>
      </c>
      <c r="C551">
        <v>2019</v>
      </c>
      <c r="D551">
        <v>0</v>
      </c>
      <c r="E551" t="s">
        <v>55</v>
      </c>
      <c r="F551" t="s">
        <v>128</v>
      </c>
      <c r="G551" t="s">
        <v>256</v>
      </c>
      <c r="H551">
        <v>1</v>
      </c>
      <c r="I551">
        <v>3.3089580000000001</v>
      </c>
      <c r="J551">
        <v>147.19999999999999</v>
      </c>
      <c r="K551">
        <v>1.7</v>
      </c>
      <c r="L551">
        <v>323.23311000000001</v>
      </c>
      <c r="M551">
        <v>17.318000000000001</v>
      </c>
      <c r="N551">
        <v>1.0169999999999999</v>
      </c>
      <c r="O551">
        <v>1.5449999999999999</v>
      </c>
      <c r="P551">
        <v>0.34300000000000003</v>
      </c>
      <c r="Q551">
        <v>1.72</v>
      </c>
      <c r="R551">
        <v>2.59</v>
      </c>
      <c r="S551">
        <v>0.14000000000000001</v>
      </c>
    </row>
    <row r="552" spans="1:19" x14ac:dyDescent="0.2">
      <c r="A552" t="s">
        <v>1052</v>
      </c>
      <c r="B552" t="s">
        <v>1053</v>
      </c>
      <c r="C552">
        <v>2006</v>
      </c>
      <c r="D552">
        <v>0</v>
      </c>
      <c r="E552" t="s">
        <v>21</v>
      </c>
      <c r="F552" t="s">
        <v>40</v>
      </c>
      <c r="G552" t="s">
        <v>358</v>
      </c>
      <c r="H552">
        <v>1</v>
      </c>
      <c r="J552">
        <v>39.29</v>
      </c>
      <c r="K552">
        <v>0.22</v>
      </c>
      <c r="L552">
        <v>7656.0969999999998</v>
      </c>
      <c r="N552">
        <v>24.09</v>
      </c>
    </row>
    <row r="553" spans="1:19" x14ac:dyDescent="0.2">
      <c r="A553" t="s">
        <v>1054</v>
      </c>
      <c r="B553" t="s">
        <v>1055</v>
      </c>
      <c r="C553">
        <v>2018</v>
      </c>
      <c r="D553">
        <v>0</v>
      </c>
      <c r="E553" t="s">
        <v>21</v>
      </c>
      <c r="F553" t="s">
        <v>22</v>
      </c>
      <c r="G553" t="s">
        <v>32</v>
      </c>
      <c r="H553">
        <v>1</v>
      </c>
      <c r="I553">
        <v>1552.9</v>
      </c>
      <c r="J553">
        <v>72.790000000000006</v>
      </c>
      <c r="K553">
        <v>5.22</v>
      </c>
      <c r="N553">
        <v>7.8</v>
      </c>
      <c r="Q553">
        <v>1.1200000000000001</v>
      </c>
      <c r="R553">
        <v>1.33</v>
      </c>
    </row>
    <row r="554" spans="1:19" x14ac:dyDescent="0.2">
      <c r="A554" t="s">
        <v>1056</v>
      </c>
      <c r="B554" t="s">
        <v>1057</v>
      </c>
      <c r="C554">
        <v>2002</v>
      </c>
      <c r="D554">
        <v>0</v>
      </c>
      <c r="E554" t="s">
        <v>21</v>
      </c>
      <c r="F554" t="s">
        <v>22</v>
      </c>
      <c r="G554" t="s">
        <v>98</v>
      </c>
      <c r="H554">
        <v>1</v>
      </c>
      <c r="I554">
        <v>1120</v>
      </c>
      <c r="J554">
        <v>85.9</v>
      </c>
      <c r="N554">
        <v>6.29</v>
      </c>
      <c r="Q554">
        <v>1.23</v>
      </c>
      <c r="R554">
        <v>1.19</v>
      </c>
    </row>
    <row r="555" spans="1:19" x14ac:dyDescent="0.2">
      <c r="A555" t="s">
        <v>1058</v>
      </c>
      <c r="B555" t="s">
        <v>1059</v>
      </c>
      <c r="C555">
        <v>2010</v>
      </c>
      <c r="D555">
        <v>0</v>
      </c>
      <c r="E555" t="s">
        <v>21</v>
      </c>
      <c r="F555" t="s">
        <v>22</v>
      </c>
      <c r="G555" t="s">
        <v>138</v>
      </c>
      <c r="H555">
        <v>2</v>
      </c>
      <c r="I555">
        <v>1920.09998</v>
      </c>
      <c r="J555">
        <v>47.86</v>
      </c>
      <c r="N555">
        <v>3.46</v>
      </c>
      <c r="Q555">
        <v>1.03</v>
      </c>
      <c r="R555">
        <v>1.1000000000000001</v>
      </c>
    </row>
    <row r="556" spans="1:19" x14ac:dyDescent="0.2">
      <c r="A556" t="s">
        <v>1058</v>
      </c>
      <c r="B556" t="s">
        <v>1060</v>
      </c>
      <c r="C556">
        <v>2015</v>
      </c>
      <c r="D556">
        <v>0</v>
      </c>
      <c r="E556" t="s">
        <v>21</v>
      </c>
      <c r="F556" t="s">
        <v>22</v>
      </c>
      <c r="G556" t="s">
        <v>138</v>
      </c>
      <c r="H556">
        <v>2</v>
      </c>
      <c r="I556">
        <v>34.905000000000001</v>
      </c>
      <c r="J556">
        <v>47.86</v>
      </c>
      <c r="N556">
        <v>5.5300000000000002E-2</v>
      </c>
      <c r="Q556">
        <v>1.03</v>
      </c>
      <c r="R556">
        <v>1.1000000000000001</v>
      </c>
    </row>
    <row r="557" spans="1:19" x14ac:dyDescent="0.2">
      <c r="A557" t="s">
        <v>1061</v>
      </c>
      <c r="B557" t="s">
        <v>1062</v>
      </c>
      <c r="C557">
        <v>2011</v>
      </c>
      <c r="D557">
        <v>0</v>
      </c>
      <c r="E557" t="s">
        <v>21</v>
      </c>
      <c r="F557" t="s">
        <v>22</v>
      </c>
      <c r="G557" t="s">
        <v>138</v>
      </c>
      <c r="H557">
        <v>1</v>
      </c>
      <c r="I557">
        <v>1733</v>
      </c>
      <c r="J557">
        <v>28.74</v>
      </c>
      <c r="N557">
        <v>0.23</v>
      </c>
      <c r="Q557">
        <v>0.57999999999999996</v>
      </c>
      <c r="R557">
        <v>0.78</v>
      </c>
    </row>
    <row r="558" spans="1:19" x14ac:dyDescent="0.2">
      <c r="A558" t="s">
        <v>1063</v>
      </c>
      <c r="B558" t="s">
        <v>1064</v>
      </c>
      <c r="C558">
        <v>2008</v>
      </c>
      <c r="D558">
        <v>0</v>
      </c>
      <c r="E558" t="s">
        <v>21</v>
      </c>
      <c r="F558" t="s">
        <v>22</v>
      </c>
      <c r="G558" t="s">
        <v>629</v>
      </c>
      <c r="H558">
        <v>1</v>
      </c>
      <c r="I558">
        <v>279.8</v>
      </c>
      <c r="J558">
        <v>92.74</v>
      </c>
      <c r="K558">
        <v>2.84</v>
      </c>
      <c r="N558">
        <v>1.37</v>
      </c>
      <c r="Q558">
        <v>1.22</v>
      </c>
      <c r="R558">
        <v>1.33</v>
      </c>
    </row>
    <row r="559" spans="1:19" x14ac:dyDescent="0.2">
      <c r="A559" t="s">
        <v>1065</v>
      </c>
      <c r="B559" t="s">
        <v>1066</v>
      </c>
      <c r="C559">
        <v>2019</v>
      </c>
      <c r="D559">
        <v>0</v>
      </c>
      <c r="E559" t="s">
        <v>21</v>
      </c>
      <c r="F559" t="s">
        <v>22</v>
      </c>
      <c r="G559" t="s">
        <v>629</v>
      </c>
      <c r="H559">
        <v>1</v>
      </c>
      <c r="I559">
        <v>96.045000000000002</v>
      </c>
      <c r="J559">
        <v>75.400000000000006</v>
      </c>
      <c r="N559">
        <v>0.1076</v>
      </c>
      <c r="Q559">
        <v>1.42</v>
      </c>
    </row>
    <row r="560" spans="1:19" x14ac:dyDescent="0.2">
      <c r="A560" t="s">
        <v>1067</v>
      </c>
      <c r="B560" t="s">
        <v>1068</v>
      </c>
      <c r="C560">
        <v>2009</v>
      </c>
      <c r="D560">
        <v>0</v>
      </c>
      <c r="E560" t="s">
        <v>21</v>
      </c>
      <c r="F560" t="s">
        <v>22</v>
      </c>
      <c r="G560" t="s">
        <v>32</v>
      </c>
      <c r="H560">
        <v>1</v>
      </c>
      <c r="I560">
        <v>673.2</v>
      </c>
      <c r="J560">
        <v>147.78</v>
      </c>
      <c r="N560">
        <v>2.036</v>
      </c>
      <c r="Q560">
        <v>1.55</v>
      </c>
      <c r="R560">
        <v>6.12</v>
      </c>
    </row>
    <row r="561" spans="1:19" x14ac:dyDescent="0.2">
      <c r="A561" t="s">
        <v>1069</v>
      </c>
      <c r="B561" t="s">
        <v>1070</v>
      </c>
      <c r="C561">
        <v>2019</v>
      </c>
      <c r="D561">
        <v>0</v>
      </c>
      <c r="E561" t="s">
        <v>21</v>
      </c>
      <c r="F561" t="s">
        <v>22</v>
      </c>
      <c r="G561" t="s">
        <v>138</v>
      </c>
      <c r="H561">
        <v>4</v>
      </c>
      <c r="I561">
        <v>5.3135000000000003</v>
      </c>
      <c r="J561">
        <v>35.369999999999997</v>
      </c>
      <c r="N561">
        <v>6.1000000000000004E-3</v>
      </c>
      <c r="Q561">
        <v>0.7</v>
      </c>
    </row>
    <row r="562" spans="1:19" x14ac:dyDescent="0.2">
      <c r="A562" t="s">
        <v>1069</v>
      </c>
      <c r="B562" t="s">
        <v>1071</v>
      </c>
      <c r="C562">
        <v>2019</v>
      </c>
      <c r="D562">
        <v>0</v>
      </c>
      <c r="E562" t="s">
        <v>21</v>
      </c>
      <c r="F562" t="s">
        <v>22</v>
      </c>
      <c r="G562" t="s">
        <v>138</v>
      </c>
      <c r="H562">
        <v>4</v>
      </c>
      <c r="I562">
        <v>13.890499999999999</v>
      </c>
      <c r="J562">
        <v>35.369999999999997</v>
      </c>
      <c r="N562">
        <v>1.6799999999999999E-2</v>
      </c>
      <c r="Q562">
        <v>0.7</v>
      </c>
    </row>
    <row r="563" spans="1:19" x14ac:dyDescent="0.2">
      <c r="A563" t="s">
        <v>1069</v>
      </c>
      <c r="B563" t="s">
        <v>1072</v>
      </c>
      <c r="C563">
        <v>2019</v>
      </c>
      <c r="D563">
        <v>0</v>
      </c>
      <c r="E563" t="s">
        <v>21</v>
      </c>
      <c r="F563" t="s">
        <v>22</v>
      </c>
      <c r="G563" t="s">
        <v>138</v>
      </c>
      <c r="H563">
        <v>4</v>
      </c>
      <c r="I563">
        <v>29.158000000000001</v>
      </c>
      <c r="J563">
        <v>35.369999999999997</v>
      </c>
      <c r="N563">
        <v>3.3399999999999999E-2</v>
      </c>
      <c r="Q563">
        <v>0.7</v>
      </c>
    </row>
    <row r="564" spans="1:19" x14ac:dyDescent="0.2">
      <c r="A564" t="s">
        <v>1069</v>
      </c>
      <c r="B564" t="s">
        <v>1073</v>
      </c>
      <c r="C564">
        <v>2019</v>
      </c>
      <c r="D564">
        <v>0</v>
      </c>
      <c r="E564" t="s">
        <v>21</v>
      </c>
      <c r="F564" t="s">
        <v>22</v>
      </c>
      <c r="G564" t="s">
        <v>138</v>
      </c>
      <c r="H564">
        <v>4</v>
      </c>
      <c r="I564">
        <v>85.507300000000001</v>
      </c>
      <c r="J564">
        <v>35.369999999999997</v>
      </c>
      <c r="N564">
        <v>4.4200000000000003E-2</v>
      </c>
      <c r="Q564">
        <v>0.7</v>
      </c>
    </row>
    <row r="565" spans="1:19" x14ac:dyDescent="0.2">
      <c r="A565" t="s">
        <v>1074</v>
      </c>
      <c r="B565" t="s">
        <v>1075</v>
      </c>
      <c r="C565">
        <v>2006</v>
      </c>
      <c r="D565">
        <v>0</v>
      </c>
      <c r="E565" t="s">
        <v>21</v>
      </c>
      <c r="F565" t="s">
        <v>22</v>
      </c>
      <c r="G565" t="s">
        <v>98</v>
      </c>
      <c r="H565">
        <v>1</v>
      </c>
      <c r="I565">
        <v>597.0643</v>
      </c>
      <c r="J565">
        <v>35.5</v>
      </c>
      <c r="N565">
        <v>1.4878</v>
      </c>
      <c r="Q565">
        <v>1.07</v>
      </c>
      <c r="R565">
        <v>1.1100000000000001</v>
      </c>
    </row>
    <row r="566" spans="1:19" x14ac:dyDescent="0.2">
      <c r="A566" t="s">
        <v>1076</v>
      </c>
      <c r="B566" t="s">
        <v>1077</v>
      </c>
      <c r="C566">
        <v>2012</v>
      </c>
      <c r="D566">
        <v>0</v>
      </c>
      <c r="E566" t="s">
        <v>21</v>
      </c>
      <c r="F566" t="s">
        <v>22</v>
      </c>
      <c r="G566" t="s">
        <v>32</v>
      </c>
      <c r="H566">
        <v>2</v>
      </c>
      <c r="I566">
        <v>160.07</v>
      </c>
      <c r="J566">
        <v>59.03</v>
      </c>
      <c r="K566">
        <v>1.36</v>
      </c>
      <c r="N566">
        <v>0.56000000000000005</v>
      </c>
      <c r="Q566">
        <v>1.05</v>
      </c>
      <c r="R566">
        <v>0.89</v>
      </c>
    </row>
    <row r="567" spans="1:19" x14ac:dyDescent="0.2">
      <c r="A567" t="s">
        <v>1076</v>
      </c>
      <c r="B567" t="s">
        <v>1078</v>
      </c>
      <c r="C567">
        <v>2012</v>
      </c>
      <c r="D567">
        <v>0</v>
      </c>
      <c r="E567" t="s">
        <v>21</v>
      </c>
      <c r="F567" t="s">
        <v>22</v>
      </c>
      <c r="G567" t="s">
        <v>32</v>
      </c>
      <c r="H567">
        <v>2</v>
      </c>
      <c r="I567">
        <v>1155.7</v>
      </c>
      <c r="J567">
        <v>59.03</v>
      </c>
      <c r="K567">
        <v>1.36</v>
      </c>
      <c r="N567">
        <v>0.73</v>
      </c>
      <c r="Q567">
        <v>1.05</v>
      </c>
      <c r="R567">
        <v>0.89</v>
      </c>
    </row>
    <row r="568" spans="1:19" x14ac:dyDescent="0.2">
      <c r="A568" t="s">
        <v>1079</v>
      </c>
      <c r="B568" t="s">
        <v>1080</v>
      </c>
      <c r="C568">
        <v>2011</v>
      </c>
      <c r="D568">
        <v>0</v>
      </c>
      <c r="E568" t="s">
        <v>21</v>
      </c>
      <c r="F568" t="s">
        <v>22</v>
      </c>
      <c r="G568" t="s">
        <v>138</v>
      </c>
      <c r="H568">
        <v>4</v>
      </c>
      <c r="I568">
        <v>18.315000000000001</v>
      </c>
      <c r="J568">
        <v>6</v>
      </c>
      <c r="K568">
        <v>5.76</v>
      </c>
      <c r="N568">
        <v>8.5000000000000006E-3</v>
      </c>
      <c r="Q568">
        <v>0.7</v>
      </c>
    </row>
    <row r="569" spans="1:19" x14ac:dyDescent="0.2">
      <c r="A569" t="s">
        <v>1079</v>
      </c>
      <c r="B569" t="s">
        <v>1081</v>
      </c>
      <c r="C569">
        <v>2011</v>
      </c>
      <c r="D569">
        <v>0</v>
      </c>
      <c r="E569" t="s">
        <v>21</v>
      </c>
      <c r="F569" t="s">
        <v>22</v>
      </c>
      <c r="G569" t="s">
        <v>138</v>
      </c>
      <c r="H569">
        <v>4</v>
      </c>
      <c r="I569">
        <v>40.113999999999997</v>
      </c>
      <c r="J569">
        <v>6</v>
      </c>
      <c r="K569">
        <v>5.76</v>
      </c>
      <c r="N569">
        <v>7.6E-3</v>
      </c>
      <c r="Q569">
        <v>0.7</v>
      </c>
    </row>
    <row r="570" spans="1:19" x14ac:dyDescent="0.2">
      <c r="A570" t="s">
        <v>1079</v>
      </c>
      <c r="B570" t="s">
        <v>1082</v>
      </c>
      <c r="C570">
        <v>2011</v>
      </c>
      <c r="D570">
        <v>0</v>
      </c>
      <c r="E570" t="s">
        <v>21</v>
      </c>
      <c r="F570" t="s">
        <v>22</v>
      </c>
      <c r="G570" t="s">
        <v>138</v>
      </c>
      <c r="H570">
        <v>4</v>
      </c>
      <c r="I570">
        <v>90.308999999999997</v>
      </c>
      <c r="J570">
        <v>6</v>
      </c>
      <c r="K570">
        <v>5.76</v>
      </c>
      <c r="N570">
        <v>1.4999999999999999E-2</v>
      </c>
      <c r="Q570">
        <v>0.7</v>
      </c>
    </row>
    <row r="571" spans="1:19" x14ac:dyDescent="0.2">
      <c r="A571" t="s">
        <v>1079</v>
      </c>
      <c r="B571" t="s">
        <v>1083</v>
      </c>
      <c r="C571">
        <v>2017</v>
      </c>
      <c r="D571">
        <v>0</v>
      </c>
      <c r="E571" t="s">
        <v>21</v>
      </c>
      <c r="F571" t="s">
        <v>22</v>
      </c>
      <c r="G571" t="s">
        <v>138</v>
      </c>
      <c r="H571">
        <v>4</v>
      </c>
      <c r="I571">
        <v>147.02000000000001</v>
      </c>
      <c r="J571">
        <v>6</v>
      </c>
      <c r="K571">
        <v>5.76</v>
      </c>
      <c r="N571">
        <v>1.5010000000000001E-2</v>
      </c>
      <c r="Q571">
        <v>0.7</v>
      </c>
    </row>
    <row r="572" spans="1:19" x14ac:dyDescent="0.2">
      <c r="A572" t="s">
        <v>1084</v>
      </c>
      <c r="B572" t="s">
        <v>1085</v>
      </c>
      <c r="C572">
        <v>2004</v>
      </c>
      <c r="D572">
        <v>0</v>
      </c>
      <c r="E572" t="s">
        <v>21</v>
      </c>
      <c r="F572" t="s">
        <v>22</v>
      </c>
      <c r="G572" t="s">
        <v>98</v>
      </c>
      <c r="H572">
        <v>1</v>
      </c>
      <c r="I572">
        <v>130.08000000000001</v>
      </c>
      <c r="J572">
        <v>44</v>
      </c>
      <c r="N572">
        <v>0.52</v>
      </c>
      <c r="Q572">
        <v>1.1299999999999999</v>
      </c>
    </row>
    <row r="573" spans="1:19" x14ac:dyDescent="0.2">
      <c r="A573" t="s">
        <v>1086</v>
      </c>
      <c r="B573" t="s">
        <v>1087</v>
      </c>
      <c r="C573">
        <v>2012</v>
      </c>
      <c r="D573">
        <v>0</v>
      </c>
      <c r="E573" t="s">
        <v>21</v>
      </c>
      <c r="F573" t="s">
        <v>22</v>
      </c>
      <c r="G573" t="s">
        <v>105</v>
      </c>
      <c r="H573">
        <v>1</v>
      </c>
      <c r="I573">
        <v>875.5</v>
      </c>
      <c r="J573">
        <v>314.48</v>
      </c>
      <c r="K573">
        <v>2</v>
      </c>
      <c r="N573">
        <v>9.9</v>
      </c>
      <c r="Q573">
        <v>1.6</v>
      </c>
      <c r="R573">
        <v>51.1</v>
      </c>
    </row>
    <row r="574" spans="1:19" x14ac:dyDescent="0.2">
      <c r="A574" t="s">
        <v>1088</v>
      </c>
      <c r="B574" t="s">
        <v>1089</v>
      </c>
      <c r="C574">
        <v>2008</v>
      </c>
      <c r="D574">
        <v>0</v>
      </c>
      <c r="E574" t="s">
        <v>21</v>
      </c>
      <c r="F574" t="s">
        <v>22</v>
      </c>
      <c r="G574" t="s">
        <v>138</v>
      </c>
      <c r="H574">
        <v>1</v>
      </c>
      <c r="I574">
        <v>380.85001</v>
      </c>
      <c r="J574">
        <v>48.9</v>
      </c>
      <c r="N574">
        <v>1.25</v>
      </c>
      <c r="Q574">
        <v>0.39</v>
      </c>
      <c r="R574">
        <v>0.76</v>
      </c>
    </row>
    <row r="575" spans="1:19" x14ac:dyDescent="0.2">
      <c r="A575" t="s">
        <v>1090</v>
      </c>
      <c r="B575" t="s">
        <v>1091</v>
      </c>
      <c r="C575">
        <v>2017</v>
      </c>
      <c r="D575">
        <v>0</v>
      </c>
      <c r="E575" t="s">
        <v>21</v>
      </c>
      <c r="F575" t="s">
        <v>22</v>
      </c>
      <c r="G575" t="s">
        <v>35</v>
      </c>
      <c r="H575">
        <v>1</v>
      </c>
      <c r="I575">
        <v>352.7</v>
      </c>
      <c r="J575">
        <v>64.680000000000007</v>
      </c>
      <c r="N575">
        <v>1.4</v>
      </c>
      <c r="Q575">
        <v>1.25</v>
      </c>
      <c r="R575">
        <v>4.9800000000000004</v>
      </c>
    </row>
    <row r="576" spans="1:19" x14ac:dyDescent="0.2">
      <c r="A576" t="s">
        <v>1092</v>
      </c>
      <c r="B576" t="s">
        <v>1093</v>
      </c>
      <c r="C576">
        <v>1999</v>
      </c>
      <c r="D576">
        <v>0</v>
      </c>
      <c r="E576" t="s">
        <v>21</v>
      </c>
      <c r="F576" t="s">
        <v>22</v>
      </c>
      <c r="G576" t="s">
        <v>32</v>
      </c>
      <c r="H576">
        <v>1</v>
      </c>
      <c r="I576">
        <v>3.5247485900000002</v>
      </c>
      <c r="J576">
        <v>48.37</v>
      </c>
      <c r="L576">
        <v>232.01589999999999</v>
      </c>
      <c r="M576">
        <v>15.581</v>
      </c>
      <c r="N576">
        <v>0.73</v>
      </c>
      <c r="O576">
        <v>1.39</v>
      </c>
      <c r="Q576">
        <v>1.23</v>
      </c>
      <c r="R576">
        <v>1.19</v>
      </c>
      <c r="S576">
        <v>1.04</v>
      </c>
    </row>
    <row r="577" spans="1:18" x14ac:dyDescent="0.2">
      <c r="A577" t="s">
        <v>1094</v>
      </c>
      <c r="B577" t="s">
        <v>1095</v>
      </c>
      <c r="C577">
        <v>2019</v>
      </c>
      <c r="D577">
        <v>0</v>
      </c>
      <c r="E577" t="s">
        <v>21</v>
      </c>
      <c r="F577" t="s">
        <v>22</v>
      </c>
      <c r="G577" t="s">
        <v>629</v>
      </c>
      <c r="H577">
        <v>1</v>
      </c>
      <c r="I577">
        <v>649.91800000000001</v>
      </c>
      <c r="J577">
        <v>42.25</v>
      </c>
      <c r="N577">
        <v>0.48170000000000002</v>
      </c>
      <c r="Q577">
        <v>1.04</v>
      </c>
    </row>
    <row r="578" spans="1:18" x14ac:dyDescent="0.2">
      <c r="A578" t="s">
        <v>1096</v>
      </c>
      <c r="B578" t="s">
        <v>1097</v>
      </c>
      <c r="C578">
        <v>1998</v>
      </c>
      <c r="D578">
        <v>0</v>
      </c>
      <c r="E578" t="s">
        <v>21</v>
      </c>
      <c r="F578" t="s">
        <v>22</v>
      </c>
      <c r="G578" t="s">
        <v>32</v>
      </c>
      <c r="H578">
        <v>1</v>
      </c>
      <c r="I578">
        <v>442.19</v>
      </c>
      <c r="J578">
        <v>21.31</v>
      </c>
      <c r="N578">
        <v>1.29</v>
      </c>
      <c r="Q578">
        <v>1.01</v>
      </c>
      <c r="R578">
        <v>1.07</v>
      </c>
    </row>
    <row r="579" spans="1:18" x14ac:dyDescent="0.2">
      <c r="A579" t="s">
        <v>1098</v>
      </c>
      <c r="B579" t="s">
        <v>1099</v>
      </c>
      <c r="C579">
        <v>2007</v>
      </c>
      <c r="D579">
        <v>0</v>
      </c>
      <c r="E579" t="s">
        <v>21</v>
      </c>
      <c r="F579" t="s">
        <v>22</v>
      </c>
      <c r="G579" t="s">
        <v>46</v>
      </c>
      <c r="H579">
        <v>1</v>
      </c>
      <c r="I579">
        <v>354.1</v>
      </c>
      <c r="J579">
        <v>54.28</v>
      </c>
      <c r="N579">
        <v>1.8080000000000001</v>
      </c>
      <c r="Q579">
        <v>1.61</v>
      </c>
      <c r="R579">
        <v>4.92</v>
      </c>
    </row>
    <row r="580" spans="1:18" x14ac:dyDescent="0.2">
      <c r="A580" t="s">
        <v>1100</v>
      </c>
      <c r="B580" t="s">
        <v>1101</v>
      </c>
      <c r="C580">
        <v>2018</v>
      </c>
      <c r="D580">
        <v>0</v>
      </c>
      <c r="E580" t="s">
        <v>21</v>
      </c>
      <c r="F580" t="s">
        <v>22</v>
      </c>
      <c r="G580" t="s">
        <v>32</v>
      </c>
      <c r="H580">
        <v>1</v>
      </c>
      <c r="I580">
        <v>1558</v>
      </c>
      <c r="J580">
        <v>64.760000000000005</v>
      </c>
      <c r="N580">
        <v>0.67</v>
      </c>
      <c r="Q580">
        <v>1.03</v>
      </c>
      <c r="R580">
        <v>1.1299999999999999</v>
      </c>
    </row>
    <row r="581" spans="1:18" x14ac:dyDescent="0.2">
      <c r="A581" t="s">
        <v>1102</v>
      </c>
      <c r="B581" t="s">
        <v>1103</v>
      </c>
      <c r="C581">
        <v>2019</v>
      </c>
      <c r="D581">
        <v>0</v>
      </c>
      <c r="E581" t="s">
        <v>21</v>
      </c>
      <c r="F581" t="s">
        <v>22</v>
      </c>
      <c r="G581" t="s">
        <v>629</v>
      </c>
      <c r="H581">
        <v>1</v>
      </c>
      <c r="I581">
        <v>25.201000000000001</v>
      </c>
      <c r="J581">
        <v>13</v>
      </c>
      <c r="N581">
        <v>4.0899999999999999E-2</v>
      </c>
      <c r="Q581">
        <v>0.61</v>
      </c>
    </row>
    <row r="582" spans="1:18" x14ac:dyDescent="0.2">
      <c r="A582" t="s">
        <v>1104</v>
      </c>
      <c r="B582" t="s">
        <v>1105</v>
      </c>
      <c r="C582">
        <v>2005</v>
      </c>
      <c r="D582">
        <v>0</v>
      </c>
      <c r="E582" t="s">
        <v>21</v>
      </c>
      <c r="F582" t="s">
        <v>22</v>
      </c>
      <c r="G582" t="s">
        <v>138</v>
      </c>
      <c r="H582">
        <v>1</v>
      </c>
      <c r="I582">
        <v>2.2457099999999999</v>
      </c>
      <c r="J582">
        <v>54.32</v>
      </c>
      <c r="N582">
        <v>0.51</v>
      </c>
      <c r="Q582">
        <v>1.55</v>
      </c>
      <c r="R582">
        <v>1.1599999999999999</v>
      </c>
    </row>
    <row r="583" spans="1:18" x14ac:dyDescent="0.2">
      <c r="A583" t="s">
        <v>1106</v>
      </c>
      <c r="B583" t="s">
        <v>1107</v>
      </c>
      <c r="C583">
        <v>2009</v>
      </c>
      <c r="D583">
        <v>0</v>
      </c>
      <c r="E583" t="s">
        <v>21</v>
      </c>
      <c r="F583" t="s">
        <v>22</v>
      </c>
      <c r="G583" t="s">
        <v>32</v>
      </c>
      <c r="H583">
        <v>1</v>
      </c>
      <c r="I583">
        <v>380.7</v>
      </c>
      <c r="J583">
        <v>111.51</v>
      </c>
      <c r="N583">
        <v>2.39</v>
      </c>
      <c r="Q583">
        <v>1.56</v>
      </c>
      <c r="R583">
        <v>5.27</v>
      </c>
    </row>
    <row r="584" spans="1:18" x14ac:dyDescent="0.2">
      <c r="A584" t="s">
        <v>1108</v>
      </c>
      <c r="B584" t="s">
        <v>1109</v>
      </c>
      <c r="C584">
        <v>2001</v>
      </c>
      <c r="D584">
        <v>0</v>
      </c>
      <c r="E584" t="s">
        <v>21</v>
      </c>
      <c r="F584" t="s">
        <v>22</v>
      </c>
      <c r="G584" t="s">
        <v>138</v>
      </c>
      <c r="H584">
        <v>1</v>
      </c>
      <c r="I584">
        <v>882.70001000000002</v>
      </c>
      <c r="J584">
        <v>40.92</v>
      </c>
      <c r="N584">
        <v>5.58</v>
      </c>
      <c r="Q584">
        <v>1.57</v>
      </c>
      <c r="R584">
        <v>1.51</v>
      </c>
    </row>
    <row r="585" spans="1:18" x14ac:dyDescent="0.2">
      <c r="A585" t="s">
        <v>1110</v>
      </c>
      <c r="B585" t="s">
        <v>1111</v>
      </c>
      <c r="C585">
        <v>2019</v>
      </c>
      <c r="D585">
        <v>0</v>
      </c>
      <c r="E585" t="s">
        <v>21</v>
      </c>
      <c r="F585" t="s">
        <v>22</v>
      </c>
      <c r="G585" t="s">
        <v>629</v>
      </c>
      <c r="H585">
        <v>1</v>
      </c>
      <c r="I585">
        <v>84.287999999999997</v>
      </c>
      <c r="J585">
        <v>29.16</v>
      </c>
      <c r="N585">
        <v>0.20734</v>
      </c>
      <c r="Q585">
        <v>0.89</v>
      </c>
    </row>
    <row r="586" spans="1:18" x14ac:dyDescent="0.2">
      <c r="A586" t="s">
        <v>1112</v>
      </c>
      <c r="B586" t="s">
        <v>1113</v>
      </c>
      <c r="C586">
        <v>2016</v>
      </c>
      <c r="D586">
        <v>0</v>
      </c>
      <c r="E586" t="s">
        <v>21</v>
      </c>
      <c r="F586" t="s">
        <v>22</v>
      </c>
      <c r="G586" t="s">
        <v>82</v>
      </c>
      <c r="H586">
        <v>1</v>
      </c>
      <c r="I586">
        <v>1854.4</v>
      </c>
      <c r="J586">
        <v>101.66</v>
      </c>
      <c r="K586">
        <v>4.34</v>
      </c>
      <c r="N586">
        <v>20.3</v>
      </c>
      <c r="Q586">
        <v>1.31</v>
      </c>
      <c r="R586">
        <v>2.04</v>
      </c>
    </row>
    <row r="587" spans="1:18" x14ac:dyDescent="0.2">
      <c r="A587" t="s">
        <v>1114</v>
      </c>
      <c r="B587" t="s">
        <v>1115</v>
      </c>
      <c r="C587">
        <v>2018</v>
      </c>
      <c r="D587">
        <v>0</v>
      </c>
      <c r="E587" t="s">
        <v>21</v>
      </c>
      <c r="F587" t="s">
        <v>22</v>
      </c>
      <c r="G587" t="s">
        <v>138</v>
      </c>
      <c r="H587">
        <v>4</v>
      </c>
      <c r="I587">
        <v>5.7599900000000002</v>
      </c>
      <c r="J587">
        <v>21.61</v>
      </c>
      <c r="N587">
        <v>5.7200000000000003E-3</v>
      </c>
      <c r="Q587">
        <v>0.77</v>
      </c>
      <c r="R587">
        <v>0.73</v>
      </c>
    </row>
    <row r="588" spans="1:18" x14ac:dyDescent="0.2">
      <c r="A588" t="s">
        <v>1114</v>
      </c>
      <c r="B588" t="s">
        <v>1116</v>
      </c>
      <c r="C588">
        <v>2018</v>
      </c>
      <c r="D588">
        <v>0</v>
      </c>
      <c r="E588" t="s">
        <v>21</v>
      </c>
      <c r="F588" t="s">
        <v>22</v>
      </c>
      <c r="G588" t="s">
        <v>138</v>
      </c>
      <c r="H588">
        <v>4</v>
      </c>
      <c r="I588">
        <v>7.2824299999999997</v>
      </c>
      <c r="J588">
        <v>21.61</v>
      </c>
      <c r="N588">
        <v>5.4099999999999999E-3</v>
      </c>
      <c r="Q588">
        <v>0.77</v>
      </c>
      <c r="R588">
        <v>0.73</v>
      </c>
    </row>
    <row r="589" spans="1:18" x14ac:dyDescent="0.2">
      <c r="A589" t="s">
        <v>1114</v>
      </c>
      <c r="B589" t="s">
        <v>1117</v>
      </c>
      <c r="C589">
        <v>2018</v>
      </c>
      <c r="D589">
        <v>0</v>
      </c>
      <c r="E589" t="s">
        <v>21</v>
      </c>
      <c r="F589" t="s">
        <v>22</v>
      </c>
      <c r="G589" t="s">
        <v>138</v>
      </c>
      <c r="H589">
        <v>4</v>
      </c>
      <c r="I589">
        <v>10.864990000000001</v>
      </c>
      <c r="J589">
        <v>21.61</v>
      </c>
      <c r="N589">
        <v>8.8100000000000001E-3</v>
      </c>
      <c r="Q589">
        <v>0.77</v>
      </c>
      <c r="R589">
        <v>0.73</v>
      </c>
    </row>
    <row r="590" spans="1:18" x14ac:dyDescent="0.2">
      <c r="A590" t="s">
        <v>1114</v>
      </c>
      <c r="B590" t="s">
        <v>1118</v>
      </c>
      <c r="C590">
        <v>2018</v>
      </c>
      <c r="D590">
        <v>0</v>
      </c>
      <c r="E590" t="s">
        <v>21</v>
      </c>
      <c r="F590" t="s">
        <v>22</v>
      </c>
      <c r="G590" t="s">
        <v>138</v>
      </c>
      <c r="H590">
        <v>4</v>
      </c>
      <c r="I590">
        <v>25.1967</v>
      </c>
      <c r="J590">
        <v>21.61</v>
      </c>
      <c r="N590">
        <v>9.0500000000000008E-3</v>
      </c>
      <c r="Q590">
        <v>0.77</v>
      </c>
      <c r="R590">
        <v>0.73</v>
      </c>
    </row>
    <row r="591" spans="1:18" x14ac:dyDescent="0.2">
      <c r="A591" t="s">
        <v>1119</v>
      </c>
      <c r="B591" t="s">
        <v>1120</v>
      </c>
      <c r="C591">
        <v>2009</v>
      </c>
      <c r="D591">
        <v>0</v>
      </c>
      <c r="E591" t="s">
        <v>21</v>
      </c>
      <c r="F591" t="s">
        <v>22</v>
      </c>
      <c r="G591" t="s">
        <v>138</v>
      </c>
      <c r="H591">
        <v>2</v>
      </c>
      <c r="I591">
        <v>3.93404</v>
      </c>
      <c r="J591">
        <v>40.590000000000003</v>
      </c>
      <c r="N591">
        <v>0.02</v>
      </c>
      <c r="Q591">
        <v>0.67</v>
      </c>
      <c r="R591">
        <v>0.85</v>
      </c>
    </row>
    <row r="592" spans="1:18" x14ac:dyDescent="0.2">
      <c r="A592" t="s">
        <v>1119</v>
      </c>
      <c r="B592" t="s">
        <v>1121</v>
      </c>
      <c r="C592">
        <v>2009</v>
      </c>
      <c r="D592">
        <v>0</v>
      </c>
      <c r="E592" t="s">
        <v>21</v>
      </c>
      <c r="F592" t="s">
        <v>22</v>
      </c>
      <c r="G592" t="s">
        <v>138</v>
      </c>
      <c r="H592">
        <v>2</v>
      </c>
      <c r="I592">
        <v>567.94000000000005</v>
      </c>
      <c r="J592">
        <v>40.590000000000003</v>
      </c>
      <c r="N592">
        <v>0.33</v>
      </c>
      <c r="Q592">
        <v>0.67</v>
      </c>
      <c r="R592">
        <v>0.85</v>
      </c>
    </row>
    <row r="593" spans="1:19" x14ac:dyDescent="0.2">
      <c r="A593" t="s">
        <v>1122</v>
      </c>
      <c r="B593" t="s">
        <v>1123</v>
      </c>
      <c r="C593">
        <v>2002</v>
      </c>
      <c r="D593">
        <v>0</v>
      </c>
      <c r="E593" t="s">
        <v>21</v>
      </c>
      <c r="F593" t="s">
        <v>22</v>
      </c>
      <c r="G593" t="s">
        <v>98</v>
      </c>
      <c r="H593">
        <v>1</v>
      </c>
      <c r="I593">
        <v>1311</v>
      </c>
      <c r="J593">
        <v>33.01</v>
      </c>
      <c r="K593">
        <v>3</v>
      </c>
      <c r="N593">
        <v>1.26</v>
      </c>
      <c r="Q593">
        <v>1.3</v>
      </c>
    </row>
    <row r="594" spans="1:19" x14ac:dyDescent="0.2">
      <c r="A594" t="s">
        <v>1124</v>
      </c>
      <c r="B594" t="s">
        <v>1125</v>
      </c>
      <c r="C594">
        <v>2002</v>
      </c>
      <c r="D594">
        <v>0</v>
      </c>
      <c r="E594" t="s">
        <v>21</v>
      </c>
      <c r="F594" t="s">
        <v>22</v>
      </c>
      <c r="G594" t="s">
        <v>98</v>
      </c>
      <c r="H594">
        <v>1</v>
      </c>
      <c r="I594">
        <v>1256</v>
      </c>
      <c r="J594">
        <v>26.71</v>
      </c>
      <c r="K594">
        <v>5.8</v>
      </c>
      <c r="N594">
        <v>1.82</v>
      </c>
      <c r="Q594">
        <v>1.06</v>
      </c>
    </row>
    <row r="595" spans="1:19" x14ac:dyDescent="0.2">
      <c r="A595" t="s">
        <v>1126</v>
      </c>
      <c r="B595" t="s">
        <v>1127</v>
      </c>
      <c r="C595">
        <v>2015</v>
      </c>
      <c r="D595">
        <v>0</v>
      </c>
      <c r="E595" t="s">
        <v>21</v>
      </c>
      <c r="F595" t="s">
        <v>22</v>
      </c>
      <c r="G595" t="s">
        <v>86</v>
      </c>
      <c r="H595">
        <v>1</v>
      </c>
      <c r="I595">
        <v>148.60001</v>
      </c>
      <c r="J595">
        <v>380.33</v>
      </c>
      <c r="N595">
        <v>1.05</v>
      </c>
      <c r="Q595">
        <v>0.81</v>
      </c>
      <c r="R595">
        <v>9.83</v>
      </c>
    </row>
    <row r="596" spans="1:19" x14ac:dyDescent="0.2">
      <c r="A596" t="s">
        <v>1128</v>
      </c>
      <c r="B596" t="s">
        <v>1129</v>
      </c>
      <c r="C596">
        <v>2003</v>
      </c>
      <c r="D596">
        <v>0</v>
      </c>
      <c r="E596" t="s">
        <v>21</v>
      </c>
      <c r="F596" t="s">
        <v>22</v>
      </c>
      <c r="G596" t="s">
        <v>138</v>
      </c>
      <c r="H596">
        <v>1</v>
      </c>
      <c r="I596">
        <v>118.45</v>
      </c>
      <c r="J596">
        <v>36.700000000000003</v>
      </c>
      <c r="N596">
        <v>0.56999999999999995</v>
      </c>
      <c r="Q596">
        <v>0.74</v>
      </c>
      <c r="R596">
        <v>0.93</v>
      </c>
    </row>
    <row r="597" spans="1:19" x14ac:dyDescent="0.2">
      <c r="A597" t="s">
        <v>1130</v>
      </c>
      <c r="B597" t="s">
        <v>1131</v>
      </c>
      <c r="C597">
        <v>2019</v>
      </c>
      <c r="D597">
        <v>0</v>
      </c>
      <c r="E597" t="s">
        <v>21</v>
      </c>
      <c r="F597" t="s">
        <v>22</v>
      </c>
      <c r="G597" t="s">
        <v>138</v>
      </c>
      <c r="H597">
        <v>2</v>
      </c>
      <c r="I597">
        <v>22.678599999999999</v>
      </c>
      <c r="J597">
        <v>32.380000000000003</v>
      </c>
      <c r="N597">
        <v>2.5899999999999999E-2</v>
      </c>
      <c r="Q597">
        <v>0.8</v>
      </c>
    </row>
    <row r="598" spans="1:19" x14ac:dyDescent="0.2">
      <c r="A598" t="s">
        <v>1130</v>
      </c>
      <c r="B598" t="s">
        <v>1132</v>
      </c>
      <c r="C598">
        <v>2019</v>
      </c>
      <c r="D598">
        <v>0</v>
      </c>
      <c r="E598" t="s">
        <v>21</v>
      </c>
      <c r="F598" t="s">
        <v>22</v>
      </c>
      <c r="G598" t="s">
        <v>138</v>
      </c>
      <c r="H598">
        <v>2</v>
      </c>
      <c r="I598">
        <v>53.735700000000001</v>
      </c>
      <c r="J598">
        <v>32.380000000000003</v>
      </c>
      <c r="N598">
        <v>5.4699999999999999E-2</v>
      </c>
      <c r="Q598">
        <v>0.8</v>
      </c>
    </row>
    <row r="599" spans="1:19" x14ac:dyDescent="0.2">
      <c r="A599" t="s">
        <v>1133</v>
      </c>
      <c r="B599" t="s">
        <v>1134</v>
      </c>
      <c r="C599">
        <v>1998</v>
      </c>
      <c r="D599">
        <v>0</v>
      </c>
      <c r="E599" t="s">
        <v>21</v>
      </c>
      <c r="F599" t="s">
        <v>22</v>
      </c>
      <c r="G599" t="s">
        <v>46</v>
      </c>
      <c r="H599">
        <v>2</v>
      </c>
      <c r="I599">
        <v>7.1268200000000004</v>
      </c>
      <c r="J599">
        <v>20.07</v>
      </c>
      <c r="N599">
        <v>1.3</v>
      </c>
      <c r="Q599">
        <v>1</v>
      </c>
      <c r="R599">
        <v>1.1100000000000001</v>
      </c>
    </row>
    <row r="600" spans="1:19" x14ac:dyDescent="0.2">
      <c r="A600" t="s">
        <v>1133</v>
      </c>
      <c r="B600" t="s">
        <v>1135</v>
      </c>
      <c r="C600">
        <v>2005</v>
      </c>
      <c r="D600">
        <v>0</v>
      </c>
      <c r="E600" t="s">
        <v>21</v>
      </c>
      <c r="F600" t="s">
        <v>22</v>
      </c>
      <c r="G600" t="s">
        <v>46</v>
      </c>
      <c r="H600">
        <v>2</v>
      </c>
      <c r="I600">
        <v>4270</v>
      </c>
      <c r="J600">
        <v>20.07</v>
      </c>
      <c r="N600">
        <v>2.6</v>
      </c>
      <c r="Q600">
        <v>1</v>
      </c>
      <c r="R600">
        <v>1.1100000000000001</v>
      </c>
    </row>
    <row r="601" spans="1:19" x14ac:dyDescent="0.2">
      <c r="A601" t="s">
        <v>254</v>
      </c>
      <c r="B601" t="s">
        <v>1136</v>
      </c>
      <c r="C601">
        <v>2019</v>
      </c>
      <c r="D601">
        <v>0</v>
      </c>
      <c r="E601" t="s">
        <v>55</v>
      </c>
      <c r="F601" t="s">
        <v>128</v>
      </c>
      <c r="G601" t="s">
        <v>256</v>
      </c>
      <c r="H601">
        <v>2</v>
      </c>
      <c r="I601">
        <v>7.78993</v>
      </c>
      <c r="J601">
        <v>16.329999999999998</v>
      </c>
      <c r="K601">
        <v>3.8</v>
      </c>
      <c r="L601">
        <v>3.7</v>
      </c>
      <c r="M601">
        <v>0.89200000000000002</v>
      </c>
      <c r="N601">
        <v>1.1639999999999999E-2</v>
      </c>
      <c r="O601">
        <v>0.08</v>
      </c>
      <c r="P601">
        <v>31.93</v>
      </c>
      <c r="Q601">
        <v>0.73</v>
      </c>
      <c r="R601">
        <v>0.69</v>
      </c>
      <c r="S601">
        <v>3.03</v>
      </c>
    </row>
    <row r="602" spans="1:19" x14ac:dyDescent="0.2">
      <c r="A602" t="s">
        <v>1137</v>
      </c>
      <c r="B602" t="s">
        <v>1138</v>
      </c>
      <c r="C602">
        <v>2011</v>
      </c>
      <c r="D602">
        <v>0</v>
      </c>
      <c r="E602" t="s">
        <v>21</v>
      </c>
      <c r="F602" t="s">
        <v>22</v>
      </c>
      <c r="G602" t="s">
        <v>138</v>
      </c>
      <c r="H602">
        <v>1</v>
      </c>
      <c r="I602">
        <v>1319</v>
      </c>
      <c r="J602">
        <v>54.8</v>
      </c>
      <c r="K602">
        <v>7.6</v>
      </c>
      <c r="N602">
        <v>13</v>
      </c>
      <c r="Q602">
        <v>1.02</v>
      </c>
      <c r="R602">
        <v>1.27</v>
      </c>
    </row>
    <row r="603" spans="1:19" x14ac:dyDescent="0.2">
      <c r="A603" t="s">
        <v>1139</v>
      </c>
      <c r="B603" t="s">
        <v>1140</v>
      </c>
      <c r="C603">
        <v>2018</v>
      </c>
      <c r="D603">
        <v>0</v>
      </c>
      <c r="E603" t="s">
        <v>21</v>
      </c>
      <c r="F603" t="s">
        <v>22</v>
      </c>
      <c r="G603" t="s">
        <v>32</v>
      </c>
      <c r="H603">
        <v>1</v>
      </c>
      <c r="I603">
        <v>3501.3</v>
      </c>
      <c r="J603">
        <v>65.900000000000006</v>
      </c>
      <c r="K603">
        <v>7.59</v>
      </c>
      <c r="N603">
        <v>21.6</v>
      </c>
      <c r="Q603">
        <v>1.03</v>
      </c>
      <c r="R603">
        <v>1.21</v>
      </c>
    </row>
    <row r="604" spans="1:19" x14ac:dyDescent="0.2">
      <c r="A604" t="s">
        <v>1141</v>
      </c>
      <c r="B604" t="s">
        <v>1142</v>
      </c>
      <c r="C604">
        <v>2010</v>
      </c>
      <c r="D604">
        <v>0</v>
      </c>
      <c r="E604" t="s">
        <v>21</v>
      </c>
      <c r="F604" t="s">
        <v>22</v>
      </c>
      <c r="G604" t="s">
        <v>32</v>
      </c>
      <c r="H604">
        <v>1</v>
      </c>
      <c r="I604">
        <v>225.7</v>
      </c>
      <c r="J604">
        <v>28.85</v>
      </c>
      <c r="N604">
        <v>0.2</v>
      </c>
      <c r="Q604">
        <v>0.76</v>
      </c>
      <c r="R604">
        <v>0.85</v>
      </c>
    </row>
    <row r="605" spans="1:19" x14ac:dyDescent="0.2">
      <c r="A605" t="s">
        <v>1143</v>
      </c>
      <c r="B605" t="s">
        <v>1144</v>
      </c>
      <c r="C605">
        <v>2012</v>
      </c>
      <c r="D605">
        <v>0</v>
      </c>
      <c r="E605" t="s">
        <v>21</v>
      </c>
      <c r="F605" t="s">
        <v>22</v>
      </c>
      <c r="G605" t="s">
        <v>138</v>
      </c>
      <c r="H605">
        <v>1</v>
      </c>
      <c r="I605">
        <v>5501</v>
      </c>
      <c r="J605">
        <v>29.2</v>
      </c>
      <c r="K605">
        <v>8.9</v>
      </c>
      <c r="N605">
        <v>10.39</v>
      </c>
      <c r="Q605">
        <v>1.05</v>
      </c>
      <c r="R605">
        <v>1.91</v>
      </c>
    </row>
    <row r="606" spans="1:19" x14ac:dyDescent="0.2">
      <c r="A606" t="s">
        <v>1145</v>
      </c>
      <c r="B606" t="s">
        <v>1146</v>
      </c>
      <c r="C606">
        <v>2015</v>
      </c>
      <c r="D606">
        <v>0</v>
      </c>
      <c r="E606" t="s">
        <v>21</v>
      </c>
      <c r="F606" t="s">
        <v>22</v>
      </c>
      <c r="G606" t="s">
        <v>118</v>
      </c>
      <c r="H606">
        <v>6</v>
      </c>
      <c r="I606">
        <v>3.0929259999999998</v>
      </c>
      <c r="J606">
        <v>6.55</v>
      </c>
      <c r="K606">
        <v>11</v>
      </c>
      <c r="L606">
        <v>4.74</v>
      </c>
      <c r="M606">
        <v>1.6020000000000001</v>
      </c>
      <c r="N606">
        <v>1.491E-2</v>
      </c>
      <c r="O606">
        <v>0.14299999999999999</v>
      </c>
      <c r="P606">
        <v>6.34</v>
      </c>
      <c r="Q606">
        <v>0.81</v>
      </c>
      <c r="R606">
        <v>0.78</v>
      </c>
      <c r="S606">
        <v>2.4380000000000002</v>
      </c>
    </row>
    <row r="607" spans="1:19" x14ac:dyDescent="0.2">
      <c r="A607" t="s">
        <v>1145</v>
      </c>
      <c r="B607" t="s">
        <v>1147</v>
      </c>
      <c r="C607">
        <v>2015</v>
      </c>
      <c r="D607">
        <v>0</v>
      </c>
      <c r="E607" t="s">
        <v>21</v>
      </c>
      <c r="F607" t="s">
        <v>22</v>
      </c>
      <c r="G607" t="s">
        <v>118</v>
      </c>
      <c r="H607">
        <v>6</v>
      </c>
      <c r="I607">
        <v>6.7645799999999996</v>
      </c>
      <c r="J607">
        <v>6.55</v>
      </c>
      <c r="K607">
        <v>11</v>
      </c>
      <c r="L607">
        <v>4.3600000000000003</v>
      </c>
      <c r="M607">
        <v>1.5109999999999999</v>
      </c>
      <c r="N607">
        <v>1.372E-2</v>
      </c>
      <c r="O607">
        <v>0.13500000000000001</v>
      </c>
      <c r="P607">
        <v>6.95</v>
      </c>
      <c r="Q607">
        <v>0.81</v>
      </c>
      <c r="R607">
        <v>0.78</v>
      </c>
      <c r="S607">
        <v>2.4380000000000002</v>
      </c>
    </row>
    <row r="608" spans="1:19" x14ac:dyDescent="0.2">
      <c r="A608" t="s">
        <v>1145</v>
      </c>
      <c r="B608" t="s">
        <v>1148</v>
      </c>
      <c r="C608">
        <v>2015</v>
      </c>
      <c r="D608">
        <v>0</v>
      </c>
      <c r="E608" t="s">
        <v>21</v>
      </c>
      <c r="F608" t="s">
        <v>22</v>
      </c>
      <c r="G608" t="s">
        <v>118</v>
      </c>
      <c r="H608">
        <v>6</v>
      </c>
      <c r="I608">
        <v>46.859000000000002</v>
      </c>
      <c r="J608">
        <v>6.55</v>
      </c>
      <c r="K608">
        <v>11</v>
      </c>
      <c r="L608">
        <v>16.170000000000002</v>
      </c>
      <c r="M608">
        <v>1.61</v>
      </c>
      <c r="N608">
        <v>5.0880000000000002E-2</v>
      </c>
      <c r="O608">
        <v>0.14399999999999999</v>
      </c>
      <c r="Q608">
        <v>0.81</v>
      </c>
      <c r="R608">
        <v>0.78</v>
      </c>
      <c r="S608">
        <v>2.4380000000000002</v>
      </c>
    </row>
    <row r="609" spans="1:19" x14ac:dyDescent="0.2">
      <c r="A609" t="s">
        <v>1145</v>
      </c>
      <c r="B609" t="s">
        <v>1149</v>
      </c>
      <c r="C609">
        <v>2015</v>
      </c>
      <c r="D609">
        <v>0</v>
      </c>
      <c r="E609" t="s">
        <v>21</v>
      </c>
      <c r="F609" t="s">
        <v>22</v>
      </c>
      <c r="G609" t="s">
        <v>35</v>
      </c>
      <c r="H609">
        <v>6</v>
      </c>
      <c r="I609">
        <v>22.716999999999999</v>
      </c>
      <c r="J609">
        <v>6.55</v>
      </c>
      <c r="K609">
        <v>11</v>
      </c>
      <c r="L609">
        <v>7.3</v>
      </c>
      <c r="M609">
        <v>1.31</v>
      </c>
      <c r="N609">
        <v>2.2970000000000001E-2</v>
      </c>
      <c r="O609">
        <v>0.11700000000000001</v>
      </c>
      <c r="Q609">
        <v>0.81</v>
      </c>
      <c r="R609">
        <v>0.78</v>
      </c>
      <c r="S609">
        <v>2.4380000000000002</v>
      </c>
    </row>
    <row r="610" spans="1:19" x14ac:dyDescent="0.2">
      <c r="A610" t="s">
        <v>1145</v>
      </c>
      <c r="B610" t="s">
        <v>1150</v>
      </c>
      <c r="C610">
        <v>2015</v>
      </c>
      <c r="D610">
        <v>0</v>
      </c>
      <c r="E610" t="s">
        <v>21</v>
      </c>
      <c r="F610" t="s">
        <v>22</v>
      </c>
      <c r="G610" t="s">
        <v>35</v>
      </c>
      <c r="H610">
        <v>6</v>
      </c>
      <c r="I610">
        <v>94.2</v>
      </c>
      <c r="J610">
        <v>6.55</v>
      </c>
      <c r="K610">
        <v>11</v>
      </c>
      <c r="N610">
        <v>3.4000000000000002E-2</v>
      </c>
      <c r="Q610">
        <v>0.81</v>
      </c>
      <c r="R610">
        <v>0.78</v>
      </c>
      <c r="S610">
        <v>2.4380000000000002</v>
      </c>
    </row>
    <row r="611" spans="1:19" x14ac:dyDescent="0.2">
      <c r="A611" t="s">
        <v>1145</v>
      </c>
      <c r="B611" t="s">
        <v>1151</v>
      </c>
      <c r="C611">
        <v>2015</v>
      </c>
      <c r="D611">
        <v>0</v>
      </c>
      <c r="E611" t="s">
        <v>21</v>
      </c>
      <c r="F611" t="s">
        <v>22</v>
      </c>
      <c r="G611" t="s">
        <v>118</v>
      </c>
      <c r="H611">
        <v>6</v>
      </c>
      <c r="I611">
        <v>2247</v>
      </c>
      <c r="J611">
        <v>6.55</v>
      </c>
      <c r="K611">
        <v>11</v>
      </c>
      <c r="N611">
        <v>0.34</v>
      </c>
      <c r="Q611">
        <v>0.81</v>
      </c>
      <c r="R611">
        <v>0.78</v>
      </c>
      <c r="S611">
        <v>2.4380000000000002</v>
      </c>
    </row>
    <row r="612" spans="1:19" x14ac:dyDescent="0.2">
      <c r="A612" t="s">
        <v>1152</v>
      </c>
      <c r="B612" t="s">
        <v>1153</v>
      </c>
      <c r="C612">
        <v>2012</v>
      </c>
      <c r="D612">
        <v>0</v>
      </c>
      <c r="E612" t="s">
        <v>21</v>
      </c>
      <c r="F612" t="s">
        <v>22</v>
      </c>
      <c r="G612" t="s">
        <v>86</v>
      </c>
      <c r="H612">
        <v>1</v>
      </c>
      <c r="I612">
        <v>2093.3000000000002</v>
      </c>
      <c r="J612">
        <v>169.78</v>
      </c>
      <c r="N612">
        <v>1</v>
      </c>
      <c r="Q612">
        <v>1</v>
      </c>
      <c r="R612">
        <v>2.9</v>
      </c>
    </row>
    <row r="613" spans="1:19" x14ac:dyDescent="0.2">
      <c r="A613" t="s">
        <v>1154</v>
      </c>
      <c r="B613" t="s">
        <v>1155</v>
      </c>
      <c r="C613">
        <v>2018</v>
      </c>
      <c r="D613">
        <v>0</v>
      </c>
      <c r="E613" t="s">
        <v>55</v>
      </c>
      <c r="F613" t="s">
        <v>128</v>
      </c>
      <c r="G613" t="s">
        <v>256</v>
      </c>
      <c r="H613">
        <v>1</v>
      </c>
      <c r="I613">
        <v>6.0360699999999996</v>
      </c>
      <c r="J613">
        <v>94.43</v>
      </c>
      <c r="K613">
        <v>10</v>
      </c>
      <c r="L613">
        <v>16.600000000000001</v>
      </c>
      <c r="M613">
        <v>4.71</v>
      </c>
      <c r="N613">
        <v>5.2229999999999999E-2</v>
      </c>
      <c r="O613">
        <v>0.42</v>
      </c>
      <c r="P613">
        <v>0.87</v>
      </c>
      <c r="Q613">
        <v>0.92</v>
      </c>
      <c r="R613">
        <v>1.03</v>
      </c>
    </row>
    <row r="614" spans="1:19" x14ac:dyDescent="0.2">
      <c r="A614" t="s">
        <v>1156</v>
      </c>
      <c r="B614" t="s">
        <v>1157</v>
      </c>
      <c r="C614">
        <v>2007</v>
      </c>
      <c r="D614">
        <v>0</v>
      </c>
      <c r="E614" t="s">
        <v>21</v>
      </c>
      <c r="F614" t="s">
        <v>22</v>
      </c>
      <c r="G614" t="s">
        <v>138</v>
      </c>
      <c r="H614">
        <v>2</v>
      </c>
      <c r="I614">
        <v>3.8349199999999999</v>
      </c>
      <c r="J614">
        <v>77.900000000000006</v>
      </c>
      <c r="K614">
        <v>5.69</v>
      </c>
      <c r="N614">
        <v>6.6000000000000003E-2</v>
      </c>
      <c r="Q614">
        <v>1.18</v>
      </c>
      <c r="R614">
        <v>1.61</v>
      </c>
    </row>
    <row r="615" spans="1:19" x14ac:dyDescent="0.2">
      <c r="A615" t="s">
        <v>1156</v>
      </c>
      <c r="B615" t="s">
        <v>1158</v>
      </c>
      <c r="C615">
        <v>2016</v>
      </c>
      <c r="D615">
        <v>0</v>
      </c>
      <c r="E615" t="s">
        <v>21</v>
      </c>
      <c r="F615" t="s">
        <v>22</v>
      </c>
      <c r="G615" t="s">
        <v>1159</v>
      </c>
      <c r="H615">
        <v>2</v>
      </c>
      <c r="I615">
        <v>4682</v>
      </c>
      <c r="J615">
        <v>77.900000000000006</v>
      </c>
      <c r="K615">
        <v>5.69</v>
      </c>
      <c r="N615">
        <v>14.6</v>
      </c>
      <c r="Q615">
        <v>1.18</v>
      </c>
      <c r="R615">
        <v>1.61</v>
      </c>
    </row>
    <row r="616" spans="1:19" x14ac:dyDescent="0.2">
      <c r="A616" t="s">
        <v>1160</v>
      </c>
      <c r="B616" t="s">
        <v>1161</v>
      </c>
      <c r="C616">
        <v>2012</v>
      </c>
      <c r="D616">
        <v>0</v>
      </c>
      <c r="E616" t="s">
        <v>21</v>
      </c>
      <c r="F616" t="s">
        <v>22</v>
      </c>
      <c r="G616" t="s">
        <v>105</v>
      </c>
      <c r="H616">
        <v>1</v>
      </c>
      <c r="I616">
        <v>672.09997999999996</v>
      </c>
      <c r="J616">
        <v>327.41000000000003</v>
      </c>
      <c r="N616">
        <v>16.64</v>
      </c>
      <c r="Q616">
        <v>2.2000000000000002</v>
      </c>
      <c r="R616">
        <v>54.92</v>
      </c>
    </row>
    <row r="617" spans="1:19" x14ac:dyDescent="0.2">
      <c r="A617" t="s">
        <v>1162</v>
      </c>
      <c r="B617" t="s">
        <v>1163</v>
      </c>
      <c r="C617">
        <v>2012</v>
      </c>
      <c r="D617">
        <v>0</v>
      </c>
      <c r="E617" t="s">
        <v>21</v>
      </c>
      <c r="F617" t="s">
        <v>22</v>
      </c>
      <c r="G617" t="s">
        <v>138</v>
      </c>
      <c r="H617">
        <v>1</v>
      </c>
      <c r="I617">
        <v>2209</v>
      </c>
      <c r="J617">
        <v>46.94</v>
      </c>
      <c r="K617">
        <v>3.5</v>
      </c>
      <c r="N617">
        <v>1.06</v>
      </c>
      <c r="Q617">
        <v>1.04</v>
      </c>
      <c r="R617">
        <v>1.07</v>
      </c>
    </row>
    <row r="618" spans="1:19" x14ac:dyDescent="0.2">
      <c r="A618" t="s">
        <v>1164</v>
      </c>
      <c r="B618" t="s">
        <v>1165</v>
      </c>
      <c r="C618">
        <v>2011</v>
      </c>
      <c r="D618">
        <v>0</v>
      </c>
      <c r="E618" t="s">
        <v>21</v>
      </c>
      <c r="F618" t="s">
        <v>22</v>
      </c>
      <c r="G618" t="s">
        <v>86</v>
      </c>
      <c r="H618">
        <v>1</v>
      </c>
      <c r="I618">
        <v>3724.7</v>
      </c>
      <c r="J618">
        <v>49</v>
      </c>
      <c r="K618">
        <v>4.4000000000000004</v>
      </c>
      <c r="N618">
        <v>1.45</v>
      </c>
      <c r="Q618">
        <v>1.1599999999999999</v>
      </c>
    </row>
    <row r="619" spans="1:19" x14ac:dyDescent="0.2">
      <c r="A619" t="s">
        <v>1166</v>
      </c>
      <c r="B619" t="s">
        <v>1167</v>
      </c>
      <c r="C619">
        <v>2016</v>
      </c>
      <c r="D619">
        <v>0</v>
      </c>
      <c r="E619" t="s">
        <v>21</v>
      </c>
      <c r="F619" t="s">
        <v>22</v>
      </c>
      <c r="G619" t="s">
        <v>82</v>
      </c>
      <c r="H619">
        <v>1</v>
      </c>
      <c r="I619">
        <v>218.47</v>
      </c>
      <c r="J619">
        <v>62.5</v>
      </c>
      <c r="N619">
        <v>3.18</v>
      </c>
      <c r="Q619">
        <v>1.1299999999999999</v>
      </c>
    </row>
    <row r="620" spans="1:19" x14ac:dyDescent="0.2">
      <c r="A620" t="s">
        <v>1168</v>
      </c>
      <c r="B620" t="s">
        <v>1169</v>
      </c>
      <c r="C620">
        <v>2007</v>
      </c>
      <c r="D620">
        <v>0</v>
      </c>
      <c r="E620" t="s">
        <v>21</v>
      </c>
      <c r="F620" t="s">
        <v>22</v>
      </c>
      <c r="G620" t="s">
        <v>138</v>
      </c>
      <c r="H620">
        <v>1</v>
      </c>
      <c r="I620">
        <v>456.1</v>
      </c>
      <c r="J620">
        <v>56.01</v>
      </c>
      <c r="K620">
        <v>1.3</v>
      </c>
      <c r="N620">
        <v>3.09</v>
      </c>
      <c r="Q620">
        <v>1.25</v>
      </c>
    </row>
    <row r="621" spans="1:19" x14ac:dyDescent="0.2">
      <c r="A621" t="s">
        <v>1170</v>
      </c>
      <c r="B621" t="s">
        <v>1171</v>
      </c>
      <c r="C621">
        <v>2019</v>
      </c>
      <c r="D621">
        <v>0</v>
      </c>
      <c r="E621" t="s">
        <v>55</v>
      </c>
      <c r="F621" t="s">
        <v>128</v>
      </c>
      <c r="G621" t="s">
        <v>256</v>
      </c>
      <c r="H621">
        <v>1</v>
      </c>
      <c r="I621">
        <v>14.2767</v>
      </c>
      <c r="J621">
        <v>95.08</v>
      </c>
      <c r="K621">
        <v>4.9000000000000004</v>
      </c>
      <c r="L621">
        <v>60.5</v>
      </c>
      <c r="M621">
        <v>9.17</v>
      </c>
      <c r="N621">
        <v>0.19</v>
      </c>
      <c r="O621">
        <v>0.83599999999999997</v>
      </c>
      <c r="P621">
        <v>0.43099999999999999</v>
      </c>
      <c r="Q621">
        <v>1.21</v>
      </c>
      <c r="R621">
        <v>2.94</v>
      </c>
      <c r="S621">
        <v>6.7000000000000004E-2</v>
      </c>
    </row>
    <row r="622" spans="1:19" x14ac:dyDescent="0.2">
      <c r="A622" t="s">
        <v>1172</v>
      </c>
      <c r="B622" t="s">
        <v>1173</v>
      </c>
      <c r="C622">
        <v>2019</v>
      </c>
      <c r="D622">
        <v>0</v>
      </c>
      <c r="E622" t="s">
        <v>21</v>
      </c>
      <c r="F622" t="s">
        <v>22</v>
      </c>
      <c r="G622" t="s">
        <v>98</v>
      </c>
      <c r="H622">
        <v>1</v>
      </c>
      <c r="I622">
        <v>22482</v>
      </c>
      <c r="J622">
        <v>31.17</v>
      </c>
      <c r="N622">
        <v>9.6999999999999993</v>
      </c>
      <c r="Q622">
        <v>1.67</v>
      </c>
    </row>
    <row r="623" spans="1:19" x14ac:dyDescent="0.2">
      <c r="A623" t="s">
        <v>1174</v>
      </c>
      <c r="B623" t="s">
        <v>1175</v>
      </c>
      <c r="C623">
        <v>2016</v>
      </c>
      <c r="D623">
        <v>0</v>
      </c>
      <c r="E623" t="s">
        <v>21</v>
      </c>
      <c r="F623" t="s">
        <v>22</v>
      </c>
      <c r="G623" t="s">
        <v>82</v>
      </c>
      <c r="H623">
        <v>1</v>
      </c>
      <c r="I623">
        <v>1173</v>
      </c>
      <c r="J623">
        <v>55.94</v>
      </c>
      <c r="K623">
        <v>6.2</v>
      </c>
      <c r="N623">
        <v>1.61</v>
      </c>
      <c r="Q623">
        <v>1.19</v>
      </c>
    </row>
    <row r="624" spans="1:19" x14ac:dyDescent="0.2">
      <c r="A624" t="s">
        <v>1176</v>
      </c>
      <c r="B624" t="s">
        <v>1177</v>
      </c>
      <c r="C624">
        <v>2016</v>
      </c>
      <c r="D624">
        <v>0</v>
      </c>
      <c r="E624" t="s">
        <v>21</v>
      </c>
      <c r="F624" t="s">
        <v>22</v>
      </c>
      <c r="G624" t="s">
        <v>35</v>
      </c>
      <c r="H624">
        <v>1</v>
      </c>
      <c r="I624">
        <v>871</v>
      </c>
      <c r="J624">
        <v>83.5</v>
      </c>
      <c r="N624">
        <v>1.56</v>
      </c>
      <c r="Q624">
        <v>1.07</v>
      </c>
      <c r="R624">
        <v>4.0999999999999996</v>
      </c>
    </row>
    <row r="625" spans="1:18" x14ac:dyDescent="0.2">
      <c r="A625" t="s">
        <v>1178</v>
      </c>
      <c r="B625" t="s">
        <v>1179</v>
      </c>
      <c r="C625">
        <v>2011</v>
      </c>
      <c r="D625">
        <v>0</v>
      </c>
      <c r="E625" t="s">
        <v>21</v>
      </c>
      <c r="F625" t="s">
        <v>22</v>
      </c>
      <c r="G625" t="s">
        <v>82</v>
      </c>
      <c r="H625">
        <v>1</v>
      </c>
      <c r="I625">
        <v>3999</v>
      </c>
      <c r="J625">
        <v>50.68</v>
      </c>
      <c r="N625">
        <v>2.12</v>
      </c>
      <c r="Q625">
        <v>1.21</v>
      </c>
      <c r="R625">
        <v>1.85</v>
      </c>
    </row>
    <row r="626" spans="1:18" x14ac:dyDescent="0.2">
      <c r="A626" t="s">
        <v>1180</v>
      </c>
      <c r="B626" t="s">
        <v>1181</v>
      </c>
      <c r="C626">
        <v>1999</v>
      </c>
      <c r="D626">
        <v>0</v>
      </c>
      <c r="E626" t="s">
        <v>21</v>
      </c>
      <c r="F626" t="s">
        <v>22</v>
      </c>
      <c r="G626" t="s">
        <v>32</v>
      </c>
      <c r="H626">
        <v>1</v>
      </c>
      <c r="I626">
        <v>572.38</v>
      </c>
      <c r="J626">
        <v>42.21</v>
      </c>
      <c r="N626">
        <v>8.3699999999999992</v>
      </c>
      <c r="Q626">
        <v>1.1200000000000001</v>
      </c>
      <c r="R626">
        <v>1.1299999999999999</v>
      </c>
    </row>
    <row r="627" spans="1:18" x14ac:dyDescent="0.2">
      <c r="A627" t="s">
        <v>1182</v>
      </c>
      <c r="B627" t="s">
        <v>1183</v>
      </c>
      <c r="C627">
        <v>2016</v>
      </c>
      <c r="D627">
        <v>0</v>
      </c>
      <c r="E627" t="s">
        <v>21</v>
      </c>
      <c r="F627" t="s">
        <v>22</v>
      </c>
      <c r="G627" t="s">
        <v>35</v>
      </c>
      <c r="H627">
        <v>1</v>
      </c>
      <c r="I627">
        <v>1189.0999999999999</v>
      </c>
      <c r="J627">
        <v>77.760000000000005</v>
      </c>
      <c r="K627">
        <v>2</v>
      </c>
      <c r="N627">
        <v>5.97</v>
      </c>
      <c r="Q627">
        <v>1.34</v>
      </c>
      <c r="R627">
        <v>1.54</v>
      </c>
    </row>
    <row r="628" spans="1:18" x14ac:dyDescent="0.2">
      <c r="A628" t="s">
        <v>1184</v>
      </c>
      <c r="B628" t="s">
        <v>1185</v>
      </c>
      <c r="C628">
        <v>2006</v>
      </c>
      <c r="D628">
        <v>0</v>
      </c>
      <c r="E628" t="s">
        <v>21</v>
      </c>
      <c r="F628" t="s">
        <v>22</v>
      </c>
      <c r="G628" t="s">
        <v>32</v>
      </c>
      <c r="H628">
        <v>1</v>
      </c>
      <c r="I628">
        <v>26.6904</v>
      </c>
      <c r="J628">
        <v>93.75</v>
      </c>
      <c r="K628">
        <v>4.12</v>
      </c>
      <c r="N628">
        <v>0.7</v>
      </c>
      <c r="Q628">
        <v>1.31</v>
      </c>
      <c r="R628">
        <v>1.93</v>
      </c>
    </row>
    <row r="629" spans="1:18" x14ac:dyDescent="0.2">
      <c r="A629" t="s">
        <v>1186</v>
      </c>
      <c r="B629" t="s">
        <v>1187</v>
      </c>
      <c r="C629">
        <v>2011</v>
      </c>
      <c r="D629">
        <v>0</v>
      </c>
      <c r="E629" t="s">
        <v>21</v>
      </c>
      <c r="F629" t="s">
        <v>22</v>
      </c>
      <c r="G629" t="s">
        <v>82</v>
      </c>
      <c r="H629">
        <v>1</v>
      </c>
      <c r="I629">
        <v>528.07000000000005</v>
      </c>
      <c r="J629">
        <v>32.630000000000003</v>
      </c>
      <c r="K629">
        <v>4.8</v>
      </c>
      <c r="N629">
        <v>13.65</v>
      </c>
      <c r="Q629">
        <v>0.75</v>
      </c>
    </row>
    <row r="630" spans="1:18" x14ac:dyDescent="0.2">
      <c r="A630" t="s">
        <v>1188</v>
      </c>
      <c r="B630" t="s">
        <v>1189</v>
      </c>
      <c r="C630">
        <v>2001</v>
      </c>
      <c r="D630">
        <v>0</v>
      </c>
      <c r="E630" t="s">
        <v>21</v>
      </c>
      <c r="F630" t="s">
        <v>22</v>
      </c>
      <c r="G630" t="s">
        <v>98</v>
      </c>
      <c r="H630">
        <v>1</v>
      </c>
      <c r="I630">
        <v>730.59997999999996</v>
      </c>
      <c r="J630">
        <v>33.49</v>
      </c>
      <c r="N630">
        <v>2.61</v>
      </c>
      <c r="Q630">
        <v>1.1200000000000001</v>
      </c>
      <c r="R630">
        <v>1.07</v>
      </c>
    </row>
    <row r="631" spans="1:18" x14ac:dyDescent="0.2">
      <c r="A631" t="s">
        <v>1190</v>
      </c>
      <c r="B631" t="s">
        <v>1191</v>
      </c>
      <c r="C631">
        <v>2006</v>
      </c>
      <c r="D631">
        <v>0</v>
      </c>
      <c r="E631" t="s">
        <v>21</v>
      </c>
      <c r="F631" t="s">
        <v>22</v>
      </c>
      <c r="G631" t="s">
        <v>98</v>
      </c>
      <c r="H631">
        <v>1</v>
      </c>
      <c r="I631">
        <v>1214</v>
      </c>
      <c r="J631">
        <v>94.11</v>
      </c>
      <c r="N631">
        <v>1.64</v>
      </c>
      <c r="Q631">
        <v>1.42</v>
      </c>
      <c r="R631">
        <v>1.64</v>
      </c>
    </row>
    <row r="632" spans="1:18" x14ac:dyDescent="0.2">
      <c r="A632" t="s">
        <v>1192</v>
      </c>
      <c r="B632" t="s">
        <v>1193</v>
      </c>
      <c r="C632">
        <v>2007</v>
      </c>
      <c r="D632">
        <v>0</v>
      </c>
      <c r="E632" t="s">
        <v>21</v>
      </c>
      <c r="F632" t="s">
        <v>22</v>
      </c>
      <c r="G632" t="s">
        <v>32</v>
      </c>
      <c r="H632">
        <v>1</v>
      </c>
      <c r="I632">
        <v>141.63</v>
      </c>
      <c r="J632">
        <v>109.22</v>
      </c>
      <c r="K632">
        <v>3.43</v>
      </c>
      <c r="N632">
        <v>1.1299999999999999</v>
      </c>
      <c r="Q632">
        <v>1.21</v>
      </c>
      <c r="R632">
        <v>1.53</v>
      </c>
    </row>
    <row r="633" spans="1:18" x14ac:dyDescent="0.2">
      <c r="A633" t="s">
        <v>1194</v>
      </c>
      <c r="B633" t="s">
        <v>1195</v>
      </c>
      <c r="C633">
        <v>2013</v>
      </c>
      <c r="D633">
        <v>0</v>
      </c>
      <c r="E633" t="s">
        <v>21</v>
      </c>
      <c r="F633" t="s">
        <v>22</v>
      </c>
      <c r="G633" t="s">
        <v>86</v>
      </c>
      <c r="H633">
        <v>1</v>
      </c>
      <c r="I633">
        <v>192</v>
      </c>
      <c r="J633">
        <v>868.63</v>
      </c>
      <c r="K633">
        <v>2.4</v>
      </c>
      <c r="N633">
        <v>6.5750000000000002</v>
      </c>
      <c r="Q633">
        <v>1.5</v>
      </c>
      <c r="R633">
        <v>10.9</v>
      </c>
    </row>
    <row r="634" spans="1:18" x14ac:dyDescent="0.2">
      <c r="A634" t="s">
        <v>1196</v>
      </c>
      <c r="B634" t="s">
        <v>1197</v>
      </c>
      <c r="C634">
        <v>2019</v>
      </c>
      <c r="D634">
        <v>0</v>
      </c>
      <c r="E634" t="s">
        <v>55</v>
      </c>
      <c r="F634" t="s">
        <v>128</v>
      </c>
      <c r="G634" t="s">
        <v>256</v>
      </c>
      <c r="H634">
        <v>2</v>
      </c>
      <c r="I634">
        <v>17.667000000000002</v>
      </c>
      <c r="J634">
        <v>39.08</v>
      </c>
      <c r="L634">
        <v>17.920000000000002</v>
      </c>
      <c r="N634">
        <v>5.638E-2</v>
      </c>
      <c r="Q634">
        <v>0.75</v>
      </c>
      <c r="R634">
        <v>0.73</v>
      </c>
    </row>
    <row r="635" spans="1:18" x14ac:dyDescent="0.2">
      <c r="A635" t="s">
        <v>1196</v>
      </c>
      <c r="B635" t="s">
        <v>1198</v>
      </c>
      <c r="C635">
        <v>2019</v>
      </c>
      <c r="D635">
        <v>0</v>
      </c>
      <c r="E635" t="s">
        <v>55</v>
      </c>
      <c r="F635" t="s">
        <v>128</v>
      </c>
      <c r="G635" t="s">
        <v>256</v>
      </c>
      <c r="H635">
        <v>2</v>
      </c>
      <c r="I635">
        <v>29.625</v>
      </c>
      <c r="J635">
        <v>39.08</v>
      </c>
      <c r="L635">
        <v>17.18</v>
      </c>
      <c r="N635">
        <v>5.4050000000000001E-2</v>
      </c>
      <c r="Q635">
        <v>0.75</v>
      </c>
      <c r="R635">
        <v>0.73</v>
      </c>
    </row>
    <row r="636" spans="1:18" x14ac:dyDescent="0.2">
      <c r="A636" t="s">
        <v>1199</v>
      </c>
      <c r="B636" t="s">
        <v>1200</v>
      </c>
      <c r="C636">
        <v>2003</v>
      </c>
      <c r="D636">
        <v>0</v>
      </c>
      <c r="E636" t="s">
        <v>21</v>
      </c>
      <c r="F636" t="s">
        <v>22</v>
      </c>
      <c r="G636" t="s">
        <v>82</v>
      </c>
      <c r="H636">
        <v>1</v>
      </c>
      <c r="I636">
        <v>1561</v>
      </c>
      <c r="J636">
        <v>52</v>
      </c>
      <c r="N636">
        <v>9.0299999999999994</v>
      </c>
      <c r="Q636">
        <v>1.47</v>
      </c>
      <c r="R636">
        <v>1.53</v>
      </c>
    </row>
    <row r="637" spans="1:18" x14ac:dyDescent="0.2">
      <c r="A637" t="s">
        <v>1201</v>
      </c>
      <c r="B637" t="s">
        <v>1202</v>
      </c>
      <c r="C637">
        <v>2018</v>
      </c>
      <c r="D637">
        <v>0</v>
      </c>
      <c r="E637" t="s">
        <v>21</v>
      </c>
      <c r="F637" t="s">
        <v>22</v>
      </c>
      <c r="G637" t="s">
        <v>35</v>
      </c>
      <c r="H637">
        <v>1</v>
      </c>
      <c r="I637">
        <v>4100</v>
      </c>
      <c r="J637">
        <v>527.24</v>
      </c>
      <c r="N637">
        <v>6</v>
      </c>
      <c r="Q637">
        <v>1.47</v>
      </c>
      <c r="R637">
        <v>12.73</v>
      </c>
    </row>
    <row r="638" spans="1:18" x14ac:dyDescent="0.2">
      <c r="A638" t="s">
        <v>1203</v>
      </c>
      <c r="B638" t="s">
        <v>1204</v>
      </c>
      <c r="C638">
        <v>2009</v>
      </c>
      <c r="D638">
        <v>0</v>
      </c>
      <c r="E638" t="s">
        <v>21</v>
      </c>
      <c r="F638" t="s">
        <v>22</v>
      </c>
      <c r="G638" t="s">
        <v>86</v>
      </c>
      <c r="H638">
        <v>1</v>
      </c>
      <c r="I638">
        <v>501.75</v>
      </c>
      <c r="J638">
        <v>142.86000000000001</v>
      </c>
      <c r="N638">
        <v>5.21</v>
      </c>
      <c r="Q638">
        <v>0.82</v>
      </c>
    </row>
    <row r="639" spans="1:18" x14ac:dyDescent="0.2">
      <c r="A639" t="s">
        <v>1205</v>
      </c>
      <c r="B639" t="s">
        <v>1206</v>
      </c>
      <c r="C639">
        <v>2011</v>
      </c>
      <c r="D639">
        <v>0</v>
      </c>
      <c r="E639" t="s">
        <v>21</v>
      </c>
      <c r="F639" t="s">
        <v>22</v>
      </c>
      <c r="G639" t="s">
        <v>86</v>
      </c>
      <c r="H639">
        <v>1</v>
      </c>
      <c r="I639">
        <v>745.70001000000002</v>
      </c>
      <c r="J639">
        <v>958.16</v>
      </c>
      <c r="N639">
        <v>15.89</v>
      </c>
      <c r="Q639">
        <v>8.76</v>
      </c>
      <c r="R639">
        <v>71.23</v>
      </c>
    </row>
    <row r="640" spans="1:18" x14ac:dyDescent="0.2">
      <c r="A640" t="s">
        <v>1207</v>
      </c>
      <c r="B640" t="s">
        <v>1208</v>
      </c>
      <c r="C640">
        <v>2006</v>
      </c>
      <c r="D640">
        <v>0</v>
      </c>
      <c r="E640" t="s">
        <v>21</v>
      </c>
      <c r="F640" t="s">
        <v>22</v>
      </c>
      <c r="G640" t="s">
        <v>32</v>
      </c>
      <c r="H640">
        <v>1</v>
      </c>
      <c r="I640">
        <v>3668</v>
      </c>
      <c r="J640">
        <v>46.68</v>
      </c>
      <c r="N640">
        <v>3.86</v>
      </c>
      <c r="Q640">
        <v>1.1100000000000001</v>
      </c>
      <c r="R640">
        <v>1.3</v>
      </c>
    </row>
    <row r="641" spans="1:18" x14ac:dyDescent="0.2">
      <c r="A641" t="s">
        <v>1209</v>
      </c>
      <c r="B641" t="s">
        <v>1210</v>
      </c>
      <c r="C641">
        <v>2015</v>
      </c>
      <c r="D641">
        <v>0</v>
      </c>
      <c r="E641" t="s">
        <v>21</v>
      </c>
      <c r="F641" t="s">
        <v>22</v>
      </c>
      <c r="G641" t="s">
        <v>105</v>
      </c>
      <c r="H641">
        <v>1</v>
      </c>
      <c r="I641">
        <v>535.59997999999996</v>
      </c>
      <c r="J641">
        <v>264.39999999999998</v>
      </c>
      <c r="N641">
        <v>12.89</v>
      </c>
      <c r="Q641">
        <v>1.61</v>
      </c>
      <c r="R641">
        <v>40</v>
      </c>
    </row>
    <row r="642" spans="1:18" x14ac:dyDescent="0.2">
      <c r="A642" t="s">
        <v>1211</v>
      </c>
      <c r="B642" t="s">
        <v>1212</v>
      </c>
      <c r="C642">
        <v>2019</v>
      </c>
      <c r="D642">
        <v>0</v>
      </c>
      <c r="E642" t="s">
        <v>21</v>
      </c>
      <c r="F642" t="s">
        <v>22</v>
      </c>
      <c r="G642" t="s">
        <v>629</v>
      </c>
      <c r="H642">
        <v>1</v>
      </c>
      <c r="I642">
        <v>2.0455000000000001</v>
      </c>
      <c r="J642">
        <v>54.99</v>
      </c>
      <c r="N642">
        <v>3.7130000000000003E-2</v>
      </c>
      <c r="Q642">
        <v>1.22</v>
      </c>
    </row>
    <row r="643" spans="1:18" x14ac:dyDescent="0.2">
      <c r="A643" t="s">
        <v>1213</v>
      </c>
      <c r="B643" t="s">
        <v>1214</v>
      </c>
      <c r="C643">
        <v>2019</v>
      </c>
      <c r="D643">
        <v>0</v>
      </c>
      <c r="E643" t="s">
        <v>21</v>
      </c>
      <c r="F643" t="s">
        <v>22</v>
      </c>
      <c r="G643" t="s">
        <v>138</v>
      </c>
      <c r="H643">
        <v>1</v>
      </c>
      <c r="I643">
        <v>6019.32</v>
      </c>
      <c r="J643">
        <v>37.47</v>
      </c>
      <c r="K643">
        <v>4</v>
      </c>
      <c r="N643">
        <v>4.4800000000000004</v>
      </c>
      <c r="Q643">
        <v>0.86</v>
      </c>
      <c r="R643">
        <v>0.83</v>
      </c>
    </row>
    <row r="644" spans="1:18" x14ac:dyDescent="0.2">
      <c r="A644" t="s">
        <v>1215</v>
      </c>
      <c r="B644" t="s">
        <v>1216</v>
      </c>
      <c r="C644">
        <v>2010</v>
      </c>
      <c r="D644">
        <v>0</v>
      </c>
      <c r="E644" t="s">
        <v>21</v>
      </c>
      <c r="F644" t="s">
        <v>22</v>
      </c>
      <c r="G644" t="s">
        <v>138</v>
      </c>
      <c r="H644">
        <v>1</v>
      </c>
      <c r="I644">
        <v>1845</v>
      </c>
      <c r="J644">
        <v>55.7</v>
      </c>
      <c r="K644">
        <v>4</v>
      </c>
      <c r="N644">
        <v>0.95</v>
      </c>
      <c r="Q644">
        <v>1.0900000000000001</v>
      </c>
      <c r="R644">
        <v>1.18</v>
      </c>
    </row>
    <row r="645" spans="1:18" x14ac:dyDescent="0.2">
      <c r="A645" t="s">
        <v>1217</v>
      </c>
      <c r="B645" t="s">
        <v>1218</v>
      </c>
      <c r="C645">
        <v>2005</v>
      </c>
      <c r="D645">
        <v>0</v>
      </c>
      <c r="E645" t="s">
        <v>21</v>
      </c>
      <c r="F645" t="s">
        <v>22</v>
      </c>
      <c r="G645" t="s">
        <v>138</v>
      </c>
      <c r="H645">
        <v>1</v>
      </c>
      <c r="I645">
        <v>3.4441999999999999</v>
      </c>
      <c r="J645">
        <v>55.05</v>
      </c>
      <c r="N645">
        <v>0.42</v>
      </c>
      <c r="Q645">
        <v>0.77</v>
      </c>
      <c r="R645">
        <v>0.94</v>
      </c>
    </row>
    <row r="646" spans="1:18" x14ac:dyDescent="0.2">
      <c r="A646" t="s">
        <v>1219</v>
      </c>
      <c r="B646" t="s">
        <v>1220</v>
      </c>
      <c r="C646">
        <v>2018</v>
      </c>
      <c r="D646">
        <v>0</v>
      </c>
      <c r="E646" t="s">
        <v>21</v>
      </c>
      <c r="F646" t="s">
        <v>22</v>
      </c>
      <c r="G646" t="s">
        <v>35</v>
      </c>
      <c r="H646">
        <v>1</v>
      </c>
      <c r="I646">
        <v>42.378</v>
      </c>
      <c r="J646">
        <v>5.04</v>
      </c>
      <c r="K646">
        <v>6.9</v>
      </c>
      <c r="N646">
        <v>2.665E-2</v>
      </c>
      <c r="Q646">
        <v>0.78</v>
      </c>
      <c r="R646">
        <v>0.87</v>
      </c>
    </row>
    <row r="647" spans="1:18" x14ac:dyDescent="0.2">
      <c r="A647" t="s">
        <v>1221</v>
      </c>
      <c r="B647" t="s">
        <v>1222</v>
      </c>
      <c r="C647">
        <v>2000</v>
      </c>
      <c r="D647">
        <v>0</v>
      </c>
      <c r="E647" t="s">
        <v>21</v>
      </c>
      <c r="F647" t="s">
        <v>22</v>
      </c>
      <c r="G647" t="s">
        <v>98</v>
      </c>
      <c r="H647">
        <v>1</v>
      </c>
      <c r="I647">
        <v>428.1</v>
      </c>
      <c r="J647">
        <v>18.28</v>
      </c>
      <c r="N647">
        <v>1.56</v>
      </c>
      <c r="Q647">
        <v>1.23</v>
      </c>
    </row>
    <row r="648" spans="1:18" x14ac:dyDescent="0.2">
      <c r="A648" t="s">
        <v>1223</v>
      </c>
      <c r="B648" t="s">
        <v>1224</v>
      </c>
      <c r="C648">
        <v>2012</v>
      </c>
      <c r="D648">
        <v>0</v>
      </c>
      <c r="E648" t="s">
        <v>21</v>
      </c>
      <c r="F648" t="s">
        <v>22</v>
      </c>
      <c r="G648" t="s">
        <v>138</v>
      </c>
      <c r="H648">
        <v>1</v>
      </c>
      <c r="I648">
        <v>2208</v>
      </c>
      <c r="J648">
        <v>50.36</v>
      </c>
      <c r="K648">
        <v>4.4000000000000004</v>
      </c>
      <c r="N648">
        <v>1.45</v>
      </c>
      <c r="Q648">
        <v>0.94</v>
      </c>
      <c r="R648">
        <v>1</v>
      </c>
    </row>
    <row r="649" spans="1:18" x14ac:dyDescent="0.2">
      <c r="A649" t="s">
        <v>1225</v>
      </c>
      <c r="B649" t="s">
        <v>1226</v>
      </c>
      <c r="C649">
        <v>2005</v>
      </c>
      <c r="D649">
        <v>0</v>
      </c>
      <c r="E649" t="s">
        <v>21</v>
      </c>
      <c r="F649" t="s">
        <v>22</v>
      </c>
      <c r="G649" t="s">
        <v>138</v>
      </c>
      <c r="H649">
        <v>3</v>
      </c>
      <c r="I649">
        <v>18.02</v>
      </c>
      <c r="J649">
        <v>43.88</v>
      </c>
      <c r="N649">
        <v>0.66500000000000004</v>
      </c>
      <c r="Q649">
        <v>0.8</v>
      </c>
    </row>
    <row r="650" spans="1:18" x14ac:dyDescent="0.2">
      <c r="A650" t="s">
        <v>1225</v>
      </c>
      <c r="B650" t="s">
        <v>1227</v>
      </c>
      <c r="C650">
        <v>2017</v>
      </c>
      <c r="D650">
        <v>0</v>
      </c>
      <c r="E650" t="s">
        <v>21</v>
      </c>
      <c r="F650" t="s">
        <v>22</v>
      </c>
      <c r="G650" t="s">
        <v>138</v>
      </c>
      <c r="H650">
        <v>3</v>
      </c>
      <c r="I650">
        <v>36.07</v>
      </c>
      <c r="J650">
        <v>43.88</v>
      </c>
      <c r="N650">
        <v>0.16200000000000001</v>
      </c>
      <c r="Q650">
        <v>0.8</v>
      </c>
    </row>
    <row r="651" spans="1:18" x14ac:dyDescent="0.2">
      <c r="A651" t="s">
        <v>1225</v>
      </c>
      <c r="B651" t="s">
        <v>1228</v>
      </c>
      <c r="C651">
        <v>2017</v>
      </c>
      <c r="D651">
        <v>0</v>
      </c>
      <c r="E651" t="s">
        <v>21</v>
      </c>
      <c r="F651" t="s">
        <v>22</v>
      </c>
      <c r="G651" t="s">
        <v>138</v>
      </c>
      <c r="H651">
        <v>3</v>
      </c>
      <c r="I651">
        <v>5174</v>
      </c>
      <c r="J651">
        <v>43.88</v>
      </c>
      <c r="N651">
        <v>5.415</v>
      </c>
      <c r="Q651">
        <v>0.8</v>
      </c>
    </row>
    <row r="652" spans="1:18" x14ac:dyDescent="0.2">
      <c r="A652" t="s">
        <v>1229</v>
      </c>
      <c r="B652" t="s">
        <v>1230</v>
      </c>
      <c r="C652">
        <v>2001</v>
      </c>
      <c r="D652">
        <v>0</v>
      </c>
      <c r="E652" t="s">
        <v>21</v>
      </c>
      <c r="F652" t="s">
        <v>22</v>
      </c>
      <c r="G652" t="s">
        <v>138</v>
      </c>
      <c r="H652">
        <v>1</v>
      </c>
      <c r="I652">
        <v>379</v>
      </c>
      <c r="J652">
        <v>39.6</v>
      </c>
      <c r="N652">
        <v>5.9</v>
      </c>
      <c r="Q652">
        <v>1.02</v>
      </c>
      <c r="R652">
        <v>1.03</v>
      </c>
    </row>
    <row r="653" spans="1:18" x14ac:dyDescent="0.2">
      <c r="A653" t="s">
        <v>1231</v>
      </c>
      <c r="B653" t="s">
        <v>1232</v>
      </c>
      <c r="C653">
        <v>2010</v>
      </c>
      <c r="D653">
        <v>0</v>
      </c>
      <c r="E653" t="s">
        <v>21</v>
      </c>
      <c r="F653" t="s">
        <v>22</v>
      </c>
      <c r="G653" t="s">
        <v>138</v>
      </c>
      <c r="H653">
        <v>1</v>
      </c>
      <c r="I653">
        <v>1116</v>
      </c>
      <c r="J653">
        <v>54.7</v>
      </c>
      <c r="N653">
        <v>1.1599999999999999</v>
      </c>
      <c r="Q653">
        <v>1.06</v>
      </c>
      <c r="R653">
        <v>1.48</v>
      </c>
    </row>
    <row r="654" spans="1:18" x14ac:dyDescent="0.2">
      <c r="A654" t="s">
        <v>1233</v>
      </c>
      <c r="B654" t="s">
        <v>1234</v>
      </c>
      <c r="C654">
        <v>2013</v>
      </c>
      <c r="D654">
        <v>0</v>
      </c>
      <c r="E654" t="s">
        <v>21</v>
      </c>
      <c r="F654" t="s">
        <v>22</v>
      </c>
      <c r="G654" t="s">
        <v>1235</v>
      </c>
      <c r="H654">
        <v>1</v>
      </c>
      <c r="I654">
        <v>6.0880999999999998</v>
      </c>
      <c r="J654">
        <v>45.09</v>
      </c>
      <c r="N654">
        <v>0.98</v>
      </c>
      <c r="Q654">
        <v>0.82</v>
      </c>
      <c r="R654">
        <v>0.69</v>
      </c>
    </row>
    <row r="655" spans="1:18" x14ac:dyDescent="0.2">
      <c r="A655" t="s">
        <v>1236</v>
      </c>
      <c r="B655" t="s">
        <v>1237</v>
      </c>
      <c r="C655">
        <v>2008</v>
      </c>
      <c r="D655">
        <v>0</v>
      </c>
      <c r="E655" t="s">
        <v>21</v>
      </c>
      <c r="F655" t="s">
        <v>22</v>
      </c>
      <c r="G655" t="s">
        <v>138</v>
      </c>
      <c r="H655">
        <v>1</v>
      </c>
      <c r="I655">
        <v>8.7835999999999999</v>
      </c>
      <c r="J655">
        <v>9.4700000000000006</v>
      </c>
      <c r="N655">
        <v>2.5999999999999999E-2</v>
      </c>
      <c r="Q655">
        <v>0.45</v>
      </c>
      <c r="R655">
        <v>0.45</v>
      </c>
    </row>
    <row r="656" spans="1:18" x14ac:dyDescent="0.2">
      <c r="A656" t="s">
        <v>1238</v>
      </c>
      <c r="B656" t="s">
        <v>1239</v>
      </c>
      <c r="C656">
        <v>2011</v>
      </c>
      <c r="D656">
        <v>0</v>
      </c>
      <c r="E656" t="s">
        <v>21</v>
      </c>
      <c r="F656" t="s">
        <v>22</v>
      </c>
      <c r="G656" t="s">
        <v>32</v>
      </c>
      <c r="H656">
        <v>1</v>
      </c>
      <c r="I656">
        <v>380.2</v>
      </c>
      <c r="J656">
        <v>190.92</v>
      </c>
      <c r="N656">
        <v>1.542</v>
      </c>
      <c r="Q656">
        <v>1.53</v>
      </c>
      <c r="R656">
        <v>6.48</v>
      </c>
    </row>
    <row r="657" spans="1:18" x14ac:dyDescent="0.2">
      <c r="A657" t="s">
        <v>1240</v>
      </c>
      <c r="B657" t="s">
        <v>1241</v>
      </c>
      <c r="C657">
        <v>2017</v>
      </c>
      <c r="D657">
        <v>0</v>
      </c>
      <c r="E657" t="s">
        <v>21</v>
      </c>
      <c r="F657" t="s">
        <v>22</v>
      </c>
      <c r="G657" t="s">
        <v>82</v>
      </c>
      <c r="H657">
        <v>1</v>
      </c>
      <c r="I657">
        <v>1362.3</v>
      </c>
      <c r="J657">
        <v>31.02</v>
      </c>
      <c r="K657">
        <v>7.4</v>
      </c>
      <c r="N657">
        <v>2.4</v>
      </c>
      <c r="Q657">
        <v>0.85</v>
      </c>
      <c r="R657">
        <v>0.85</v>
      </c>
    </row>
    <row r="658" spans="1:18" x14ac:dyDescent="0.2">
      <c r="A658" t="s">
        <v>1242</v>
      </c>
      <c r="B658" t="s">
        <v>1243</v>
      </c>
      <c r="C658">
        <v>2009</v>
      </c>
      <c r="D658">
        <v>0</v>
      </c>
      <c r="E658" t="s">
        <v>21</v>
      </c>
      <c r="F658" t="s">
        <v>22</v>
      </c>
      <c r="G658" t="s">
        <v>138</v>
      </c>
      <c r="H658">
        <v>1</v>
      </c>
      <c r="I658">
        <v>2443</v>
      </c>
      <c r="J658">
        <v>56.7</v>
      </c>
      <c r="N658">
        <v>2.4300000000000002</v>
      </c>
      <c r="Q658">
        <v>0.84</v>
      </c>
      <c r="R658">
        <v>0.95</v>
      </c>
    </row>
    <row r="659" spans="1:18" x14ac:dyDescent="0.2">
      <c r="A659" t="s">
        <v>1244</v>
      </c>
      <c r="B659" t="s">
        <v>1245</v>
      </c>
      <c r="C659">
        <v>2013</v>
      </c>
      <c r="D659">
        <v>0</v>
      </c>
      <c r="E659" t="s">
        <v>21</v>
      </c>
      <c r="F659" t="s">
        <v>22</v>
      </c>
      <c r="G659" t="s">
        <v>29</v>
      </c>
      <c r="H659">
        <v>1</v>
      </c>
      <c r="I659">
        <v>311.60001</v>
      </c>
      <c r="J659">
        <v>110.45</v>
      </c>
      <c r="N659">
        <v>1.37</v>
      </c>
      <c r="Q659">
        <v>1.97</v>
      </c>
      <c r="R659">
        <v>10.76</v>
      </c>
    </row>
    <row r="660" spans="1:18" x14ac:dyDescent="0.2">
      <c r="A660" t="s">
        <v>1246</v>
      </c>
      <c r="B660" t="s">
        <v>1247</v>
      </c>
      <c r="C660">
        <v>2002</v>
      </c>
      <c r="D660">
        <v>0</v>
      </c>
      <c r="E660" t="s">
        <v>21</v>
      </c>
      <c r="F660" t="s">
        <v>22</v>
      </c>
      <c r="G660" t="s">
        <v>98</v>
      </c>
      <c r="H660">
        <v>2</v>
      </c>
      <c r="I660">
        <v>2770</v>
      </c>
      <c r="J660">
        <v>55.68</v>
      </c>
      <c r="N660">
        <v>9.4600000000000009</v>
      </c>
      <c r="Q660">
        <v>0.93</v>
      </c>
      <c r="R660">
        <v>1.1299999999999999</v>
      </c>
    </row>
    <row r="661" spans="1:18" x14ac:dyDescent="0.2">
      <c r="A661" t="s">
        <v>1246</v>
      </c>
      <c r="B661" t="s">
        <v>1248</v>
      </c>
      <c r="C661">
        <v>2016</v>
      </c>
      <c r="D661">
        <v>0</v>
      </c>
      <c r="E661" t="s">
        <v>21</v>
      </c>
      <c r="F661" t="s">
        <v>22</v>
      </c>
      <c r="G661" t="s">
        <v>35</v>
      </c>
      <c r="H661">
        <v>2</v>
      </c>
      <c r="I661">
        <v>11613</v>
      </c>
      <c r="J661">
        <v>55.68</v>
      </c>
      <c r="N661">
        <v>7.6</v>
      </c>
      <c r="Q661">
        <v>0.93</v>
      </c>
      <c r="R661">
        <v>1.1299999999999999</v>
      </c>
    </row>
    <row r="662" spans="1:18" x14ac:dyDescent="0.2">
      <c r="A662" t="s">
        <v>1249</v>
      </c>
      <c r="B662" t="s">
        <v>1250</v>
      </c>
      <c r="C662">
        <v>2009</v>
      </c>
      <c r="D662">
        <v>0</v>
      </c>
      <c r="E662" t="s">
        <v>21</v>
      </c>
      <c r="F662" t="s">
        <v>22</v>
      </c>
      <c r="G662" t="s">
        <v>46</v>
      </c>
      <c r="H662">
        <v>1</v>
      </c>
      <c r="I662">
        <v>1157</v>
      </c>
      <c r="J662">
        <v>26.18</v>
      </c>
      <c r="N662">
        <v>1.22</v>
      </c>
      <c r="Q662">
        <v>1.1200000000000001</v>
      </c>
      <c r="R662">
        <v>1.61</v>
      </c>
    </row>
    <row r="663" spans="1:18" x14ac:dyDescent="0.2">
      <c r="A663" t="s">
        <v>1251</v>
      </c>
      <c r="B663" t="s">
        <v>1252</v>
      </c>
      <c r="C663">
        <v>2014</v>
      </c>
      <c r="D663">
        <v>0</v>
      </c>
      <c r="E663" t="s">
        <v>21</v>
      </c>
      <c r="F663" t="s">
        <v>22</v>
      </c>
      <c r="G663" t="s">
        <v>138</v>
      </c>
      <c r="H663">
        <v>1</v>
      </c>
      <c r="I663">
        <v>1684</v>
      </c>
      <c r="J663">
        <v>57.1</v>
      </c>
      <c r="K663">
        <v>4.8</v>
      </c>
      <c r="N663">
        <v>0.47</v>
      </c>
      <c r="Q663">
        <v>0.92</v>
      </c>
      <c r="R663">
        <v>0.91</v>
      </c>
    </row>
    <row r="664" spans="1:18" x14ac:dyDescent="0.2">
      <c r="A664" t="s">
        <v>1253</v>
      </c>
      <c r="B664" t="s">
        <v>1254</v>
      </c>
      <c r="C664">
        <v>2011</v>
      </c>
      <c r="D664">
        <v>0</v>
      </c>
      <c r="E664" t="s">
        <v>21</v>
      </c>
      <c r="F664" t="s">
        <v>22</v>
      </c>
      <c r="G664" t="s">
        <v>32</v>
      </c>
      <c r="H664">
        <v>1</v>
      </c>
      <c r="I664">
        <v>847</v>
      </c>
      <c r="J664">
        <v>131.69999999999999</v>
      </c>
      <c r="N664">
        <v>1.5469999999999999</v>
      </c>
      <c r="Q664">
        <v>1.17</v>
      </c>
      <c r="R664">
        <v>4.4000000000000004</v>
      </c>
    </row>
    <row r="665" spans="1:18" x14ac:dyDescent="0.2">
      <c r="A665" t="s">
        <v>1255</v>
      </c>
      <c r="B665" t="s">
        <v>1256</v>
      </c>
      <c r="C665">
        <v>2010</v>
      </c>
      <c r="D665">
        <v>0</v>
      </c>
      <c r="E665" t="s">
        <v>21</v>
      </c>
      <c r="F665" t="s">
        <v>22</v>
      </c>
      <c r="G665" t="s">
        <v>32</v>
      </c>
      <c r="H665">
        <v>1</v>
      </c>
      <c r="I665">
        <v>466</v>
      </c>
      <c r="J665">
        <v>58.24</v>
      </c>
      <c r="N665">
        <v>0.62</v>
      </c>
      <c r="Q665">
        <v>1.7</v>
      </c>
      <c r="R665">
        <v>1.75</v>
      </c>
    </row>
    <row r="666" spans="1:18" x14ac:dyDescent="0.2">
      <c r="A666" t="s">
        <v>1257</v>
      </c>
      <c r="B666" t="s">
        <v>1258</v>
      </c>
      <c r="C666">
        <v>2019</v>
      </c>
      <c r="D666">
        <v>0</v>
      </c>
      <c r="E666" t="s">
        <v>21</v>
      </c>
      <c r="F666" t="s">
        <v>22</v>
      </c>
      <c r="G666" t="s">
        <v>138</v>
      </c>
      <c r="H666">
        <v>3</v>
      </c>
      <c r="I666">
        <v>16.5535</v>
      </c>
      <c r="J666">
        <v>38.57</v>
      </c>
      <c r="N666">
        <v>3.2899999999999999E-2</v>
      </c>
      <c r="Q666">
        <v>0.96</v>
      </c>
    </row>
    <row r="667" spans="1:18" x14ac:dyDescent="0.2">
      <c r="A667" t="s">
        <v>1257</v>
      </c>
      <c r="B667" t="s">
        <v>1259</v>
      </c>
      <c r="C667">
        <v>2019</v>
      </c>
      <c r="D667">
        <v>0</v>
      </c>
      <c r="E667" t="s">
        <v>21</v>
      </c>
      <c r="F667" t="s">
        <v>22</v>
      </c>
      <c r="G667" t="s">
        <v>138</v>
      </c>
      <c r="H667">
        <v>3</v>
      </c>
      <c r="I667">
        <v>51.205300000000001</v>
      </c>
      <c r="J667">
        <v>38.57</v>
      </c>
      <c r="N667">
        <v>4.4499999999999998E-2</v>
      </c>
      <c r="Q667">
        <v>0.96</v>
      </c>
    </row>
    <row r="668" spans="1:18" x14ac:dyDescent="0.2">
      <c r="A668" t="s">
        <v>1257</v>
      </c>
      <c r="B668" t="s">
        <v>1260</v>
      </c>
      <c r="C668">
        <v>2019</v>
      </c>
      <c r="D668">
        <v>0</v>
      </c>
      <c r="E668" t="s">
        <v>21</v>
      </c>
      <c r="F668" t="s">
        <v>22</v>
      </c>
      <c r="G668" t="s">
        <v>138</v>
      </c>
      <c r="H668">
        <v>3</v>
      </c>
      <c r="I668">
        <v>271.6737</v>
      </c>
      <c r="J668">
        <v>38.57</v>
      </c>
      <c r="N668">
        <v>3.7199999999999997E-2</v>
      </c>
      <c r="Q668">
        <v>0.96</v>
      </c>
    </row>
    <row r="669" spans="1:18" x14ac:dyDescent="0.2">
      <c r="A669" t="s">
        <v>1261</v>
      </c>
      <c r="B669" t="s">
        <v>1262</v>
      </c>
      <c r="C669">
        <v>2016</v>
      </c>
      <c r="D669">
        <v>0</v>
      </c>
      <c r="E669" t="s">
        <v>55</v>
      </c>
      <c r="F669" t="s">
        <v>128</v>
      </c>
      <c r="G669" t="s">
        <v>129</v>
      </c>
      <c r="H669">
        <v>3</v>
      </c>
      <c r="I669">
        <v>0.95962400000000003</v>
      </c>
      <c r="J669">
        <v>47.36</v>
      </c>
      <c r="M669">
        <v>1.7</v>
      </c>
      <c r="O669">
        <v>0.152</v>
      </c>
      <c r="Q669">
        <v>0.94</v>
      </c>
      <c r="R669">
        <v>0.87</v>
      </c>
    </row>
    <row r="670" spans="1:18" x14ac:dyDescent="0.2">
      <c r="A670" t="s">
        <v>1261</v>
      </c>
      <c r="B670" t="s">
        <v>1263</v>
      </c>
      <c r="C670">
        <v>2016</v>
      </c>
      <c r="D670">
        <v>0</v>
      </c>
      <c r="E670" t="s">
        <v>55</v>
      </c>
      <c r="F670" t="s">
        <v>128</v>
      </c>
      <c r="G670" t="s">
        <v>129</v>
      </c>
      <c r="H670">
        <v>3</v>
      </c>
      <c r="I670">
        <v>29.83832</v>
      </c>
      <c r="J670">
        <v>47.36</v>
      </c>
      <c r="M670">
        <v>2.86</v>
      </c>
      <c r="O670">
        <v>0.255</v>
      </c>
      <c r="Q670">
        <v>0.94</v>
      </c>
      <c r="R670">
        <v>0.87</v>
      </c>
    </row>
    <row r="671" spans="1:18" x14ac:dyDescent="0.2">
      <c r="A671" t="s">
        <v>1261</v>
      </c>
      <c r="B671" t="s">
        <v>1264</v>
      </c>
      <c r="C671">
        <v>2017</v>
      </c>
      <c r="D671">
        <v>0</v>
      </c>
      <c r="E671" t="s">
        <v>21</v>
      </c>
      <c r="F671" t="s">
        <v>22</v>
      </c>
      <c r="G671" t="s">
        <v>32</v>
      </c>
      <c r="H671">
        <v>3</v>
      </c>
      <c r="I671">
        <v>8.5090000000000003</v>
      </c>
      <c r="J671">
        <v>47.36</v>
      </c>
      <c r="N671">
        <v>2.171E-2</v>
      </c>
      <c r="Q671">
        <v>0.94</v>
      </c>
      <c r="R671">
        <v>0.87</v>
      </c>
    </row>
    <row r="672" spans="1:18" x14ac:dyDescent="0.2">
      <c r="A672" t="s">
        <v>1265</v>
      </c>
      <c r="B672" t="s">
        <v>1266</v>
      </c>
      <c r="C672">
        <v>2009</v>
      </c>
      <c r="D672">
        <v>0</v>
      </c>
      <c r="E672" t="s">
        <v>21</v>
      </c>
      <c r="F672" t="s">
        <v>22</v>
      </c>
      <c r="G672" t="s">
        <v>26</v>
      </c>
      <c r="H672">
        <v>1</v>
      </c>
      <c r="I672">
        <v>157.54</v>
      </c>
      <c r="J672">
        <v>122.55</v>
      </c>
      <c r="K672">
        <v>5.83</v>
      </c>
      <c r="N672">
        <v>3.04</v>
      </c>
      <c r="Q672">
        <v>1.1299999999999999</v>
      </c>
      <c r="R672">
        <v>10.220000000000001</v>
      </c>
    </row>
    <row r="673" spans="1:18" x14ac:dyDescent="0.2">
      <c r="A673" t="s">
        <v>1267</v>
      </c>
      <c r="B673" t="s">
        <v>1268</v>
      </c>
      <c r="C673">
        <v>2015</v>
      </c>
      <c r="D673">
        <v>0</v>
      </c>
      <c r="E673" t="s">
        <v>21</v>
      </c>
      <c r="F673" t="s">
        <v>22</v>
      </c>
      <c r="G673" t="s">
        <v>32</v>
      </c>
      <c r="H673">
        <v>1</v>
      </c>
      <c r="I673">
        <v>2372</v>
      </c>
      <c r="J673">
        <v>38.119999999999997</v>
      </c>
      <c r="K673">
        <v>4.99</v>
      </c>
      <c r="N673">
        <v>0.7</v>
      </c>
      <c r="Q673">
        <v>0.94</v>
      </c>
    </row>
    <row r="674" spans="1:18" x14ac:dyDescent="0.2">
      <c r="A674" t="s">
        <v>1269</v>
      </c>
      <c r="B674" t="s">
        <v>1270</v>
      </c>
      <c r="C674">
        <v>2004</v>
      </c>
      <c r="D674">
        <v>0</v>
      </c>
      <c r="E674" t="s">
        <v>21</v>
      </c>
      <c r="F674" t="s">
        <v>22</v>
      </c>
      <c r="G674" t="s">
        <v>138</v>
      </c>
      <c r="H674">
        <v>1</v>
      </c>
      <c r="I674">
        <v>3.3877299999999999</v>
      </c>
      <c r="J674">
        <v>45.36</v>
      </c>
      <c r="N674">
        <v>0.48</v>
      </c>
      <c r="Q674">
        <v>0.47</v>
      </c>
      <c r="R674">
        <v>0.84</v>
      </c>
    </row>
    <row r="675" spans="1:18" x14ac:dyDescent="0.2">
      <c r="A675" t="s">
        <v>1271</v>
      </c>
      <c r="B675" t="s">
        <v>1272</v>
      </c>
      <c r="C675">
        <v>2011</v>
      </c>
      <c r="D675">
        <v>0</v>
      </c>
      <c r="E675" t="s">
        <v>21</v>
      </c>
      <c r="F675" t="s">
        <v>22</v>
      </c>
      <c r="G675" t="s">
        <v>32</v>
      </c>
      <c r="H675">
        <v>2</v>
      </c>
      <c r="I675">
        <v>326</v>
      </c>
      <c r="J675">
        <v>121.8</v>
      </c>
      <c r="N675">
        <v>1.385</v>
      </c>
      <c r="Q675">
        <v>1.41</v>
      </c>
      <c r="R675">
        <v>4.45</v>
      </c>
    </row>
    <row r="676" spans="1:18" x14ac:dyDescent="0.2">
      <c r="A676" t="s">
        <v>1271</v>
      </c>
      <c r="B676" t="s">
        <v>1273</v>
      </c>
      <c r="C676">
        <v>2018</v>
      </c>
      <c r="D676">
        <v>0</v>
      </c>
      <c r="E676" t="s">
        <v>21</v>
      </c>
      <c r="F676" t="s">
        <v>22</v>
      </c>
      <c r="G676" t="s">
        <v>32</v>
      </c>
      <c r="H676">
        <v>2</v>
      </c>
      <c r="I676">
        <v>834</v>
      </c>
      <c r="J676">
        <v>121.8</v>
      </c>
      <c r="N676">
        <v>5.97</v>
      </c>
      <c r="Q676">
        <v>1.41</v>
      </c>
      <c r="R676">
        <v>4.45</v>
      </c>
    </row>
    <row r="677" spans="1:18" x14ac:dyDescent="0.2">
      <c r="A677" t="s">
        <v>1274</v>
      </c>
      <c r="B677" t="s">
        <v>1275</v>
      </c>
      <c r="C677">
        <v>2006</v>
      </c>
      <c r="D677">
        <v>0</v>
      </c>
      <c r="E677" t="s">
        <v>21</v>
      </c>
      <c r="F677" t="s">
        <v>22</v>
      </c>
      <c r="G677" t="s">
        <v>32</v>
      </c>
      <c r="H677">
        <v>1</v>
      </c>
      <c r="I677">
        <v>18.199100000000001</v>
      </c>
      <c r="J677">
        <v>90.1</v>
      </c>
      <c r="K677">
        <v>3.63</v>
      </c>
      <c r="N677">
        <v>0.32900000000000001</v>
      </c>
      <c r="Q677">
        <v>1.38</v>
      </c>
      <c r="R677">
        <v>1.97</v>
      </c>
    </row>
    <row r="678" spans="1:18" x14ac:dyDescent="0.2">
      <c r="A678" t="s">
        <v>1276</v>
      </c>
      <c r="B678" t="s">
        <v>1277</v>
      </c>
      <c r="C678">
        <v>2005</v>
      </c>
      <c r="D678">
        <v>0</v>
      </c>
      <c r="E678" t="s">
        <v>21</v>
      </c>
      <c r="F678" t="s">
        <v>22</v>
      </c>
      <c r="G678" t="s">
        <v>82</v>
      </c>
      <c r="H678">
        <v>1</v>
      </c>
      <c r="I678">
        <v>388</v>
      </c>
      <c r="J678">
        <v>20.97</v>
      </c>
      <c r="K678">
        <v>3</v>
      </c>
      <c r="N678">
        <v>9.1</v>
      </c>
      <c r="Q678">
        <v>1.25</v>
      </c>
    </row>
    <row r="679" spans="1:18" x14ac:dyDescent="0.2">
      <c r="A679" t="s">
        <v>1278</v>
      </c>
      <c r="B679" t="s">
        <v>1279</v>
      </c>
      <c r="C679">
        <v>2015</v>
      </c>
      <c r="D679">
        <v>0</v>
      </c>
      <c r="E679" t="s">
        <v>21</v>
      </c>
      <c r="F679" t="s">
        <v>22</v>
      </c>
      <c r="G679" t="s">
        <v>98</v>
      </c>
      <c r="H679">
        <v>2</v>
      </c>
      <c r="I679">
        <v>551.40002000000004</v>
      </c>
      <c r="J679">
        <v>100.9</v>
      </c>
      <c r="N679">
        <v>2.0099999999999998</v>
      </c>
      <c r="Q679">
        <v>1.84</v>
      </c>
      <c r="R679">
        <v>5.39</v>
      </c>
    </row>
    <row r="680" spans="1:18" x14ac:dyDescent="0.2">
      <c r="A680" t="s">
        <v>1278</v>
      </c>
      <c r="B680" t="s">
        <v>1280</v>
      </c>
      <c r="C680">
        <v>2015</v>
      </c>
      <c r="D680">
        <v>0</v>
      </c>
      <c r="E680" t="s">
        <v>21</v>
      </c>
      <c r="F680" t="s">
        <v>22</v>
      </c>
      <c r="G680" t="s">
        <v>98</v>
      </c>
      <c r="H680">
        <v>2</v>
      </c>
      <c r="I680">
        <v>916</v>
      </c>
      <c r="J680">
        <v>100.9</v>
      </c>
      <c r="N680">
        <v>1.75</v>
      </c>
      <c r="Q680">
        <v>1.84</v>
      </c>
      <c r="R680">
        <v>5.39</v>
      </c>
    </row>
    <row r="681" spans="1:18" x14ac:dyDescent="0.2">
      <c r="A681" t="s">
        <v>1281</v>
      </c>
      <c r="B681" t="s">
        <v>1282</v>
      </c>
      <c r="C681">
        <v>2009</v>
      </c>
      <c r="D681">
        <v>0</v>
      </c>
      <c r="E681" t="s">
        <v>21</v>
      </c>
      <c r="F681" t="s">
        <v>22</v>
      </c>
      <c r="G681" t="s">
        <v>32</v>
      </c>
      <c r="H681">
        <v>6</v>
      </c>
      <c r="I681">
        <v>1049</v>
      </c>
      <c r="J681">
        <v>46.15</v>
      </c>
      <c r="N681">
        <v>0.82</v>
      </c>
      <c r="Q681">
        <v>1.1399999999999999</v>
      </c>
      <c r="R681">
        <v>1.38</v>
      </c>
    </row>
    <row r="682" spans="1:18" x14ac:dyDescent="0.2">
      <c r="A682" t="s">
        <v>1281</v>
      </c>
      <c r="B682" t="s">
        <v>1283</v>
      </c>
      <c r="C682">
        <v>2017</v>
      </c>
      <c r="D682">
        <v>0</v>
      </c>
      <c r="E682" t="s">
        <v>21</v>
      </c>
      <c r="F682" t="s">
        <v>22</v>
      </c>
      <c r="G682" t="s">
        <v>35</v>
      </c>
      <c r="H682">
        <v>6</v>
      </c>
      <c r="I682">
        <v>214.67</v>
      </c>
      <c r="J682">
        <v>46.15</v>
      </c>
      <c r="N682">
        <v>0.16800000000000001</v>
      </c>
      <c r="Q682">
        <v>1.1399999999999999</v>
      </c>
      <c r="R682">
        <v>1.38</v>
      </c>
    </row>
    <row r="683" spans="1:18" x14ac:dyDescent="0.2">
      <c r="A683" t="s">
        <v>1281</v>
      </c>
      <c r="B683" t="s">
        <v>1284</v>
      </c>
      <c r="C683">
        <v>2017</v>
      </c>
      <c r="D683">
        <v>0</v>
      </c>
      <c r="E683" t="s">
        <v>21</v>
      </c>
      <c r="F683" t="s">
        <v>22</v>
      </c>
      <c r="G683" t="s">
        <v>35</v>
      </c>
      <c r="H683">
        <v>6</v>
      </c>
      <c r="I683">
        <v>117.87</v>
      </c>
      <c r="J683">
        <v>46.15</v>
      </c>
      <c r="N683">
        <v>9.7000000000000003E-2</v>
      </c>
      <c r="Q683">
        <v>1.1399999999999999</v>
      </c>
      <c r="R683">
        <v>1.38</v>
      </c>
    </row>
    <row r="684" spans="1:18" x14ac:dyDescent="0.2">
      <c r="A684" t="s">
        <v>1281</v>
      </c>
      <c r="B684" t="s">
        <v>1285</v>
      </c>
      <c r="C684">
        <v>2017</v>
      </c>
      <c r="D684">
        <v>0</v>
      </c>
      <c r="E684" t="s">
        <v>21</v>
      </c>
      <c r="F684" t="s">
        <v>22</v>
      </c>
      <c r="G684" t="s">
        <v>35</v>
      </c>
      <c r="H684">
        <v>6</v>
      </c>
      <c r="I684">
        <v>49.174999999999997</v>
      </c>
      <c r="J684">
        <v>46.15</v>
      </c>
      <c r="N684">
        <v>5.2900000000000003E-2</v>
      </c>
      <c r="Q684">
        <v>1.1399999999999999</v>
      </c>
      <c r="R684">
        <v>1.38</v>
      </c>
    </row>
    <row r="685" spans="1:18" x14ac:dyDescent="0.2">
      <c r="A685" t="s">
        <v>1281</v>
      </c>
      <c r="B685" t="s">
        <v>1286</v>
      </c>
      <c r="C685">
        <v>2017</v>
      </c>
      <c r="D685">
        <v>0</v>
      </c>
      <c r="E685" t="s">
        <v>21</v>
      </c>
      <c r="F685" t="s">
        <v>22</v>
      </c>
      <c r="G685" t="s">
        <v>35</v>
      </c>
      <c r="H685">
        <v>6</v>
      </c>
      <c r="I685">
        <v>676.8</v>
      </c>
      <c r="J685">
        <v>46.15</v>
      </c>
      <c r="N685">
        <v>0.11899999999999999</v>
      </c>
      <c r="Q685">
        <v>1.1399999999999999</v>
      </c>
      <c r="R685">
        <v>1.38</v>
      </c>
    </row>
    <row r="686" spans="1:18" x14ac:dyDescent="0.2">
      <c r="A686" t="s">
        <v>1281</v>
      </c>
      <c r="B686" t="s">
        <v>1287</v>
      </c>
      <c r="C686">
        <v>2017</v>
      </c>
      <c r="D686">
        <v>0</v>
      </c>
      <c r="E686" t="s">
        <v>21</v>
      </c>
      <c r="F686" t="s">
        <v>22</v>
      </c>
      <c r="G686" t="s">
        <v>35</v>
      </c>
      <c r="H686">
        <v>6</v>
      </c>
      <c r="I686">
        <v>5700</v>
      </c>
      <c r="J686">
        <v>46.15</v>
      </c>
      <c r="N686">
        <v>0.38</v>
      </c>
      <c r="Q686">
        <v>1.1399999999999999</v>
      </c>
      <c r="R686">
        <v>1.38</v>
      </c>
    </row>
    <row r="687" spans="1:18" x14ac:dyDescent="0.2">
      <c r="A687" t="s">
        <v>1288</v>
      </c>
      <c r="B687" t="s">
        <v>1289</v>
      </c>
      <c r="C687">
        <v>2016</v>
      </c>
      <c r="D687">
        <v>0</v>
      </c>
      <c r="E687" t="s">
        <v>21</v>
      </c>
      <c r="F687" t="s">
        <v>22</v>
      </c>
      <c r="G687" t="s">
        <v>82</v>
      </c>
      <c r="H687">
        <v>1</v>
      </c>
      <c r="I687">
        <v>82.466999999999999</v>
      </c>
      <c r="J687">
        <v>72.5</v>
      </c>
      <c r="N687">
        <v>3.76</v>
      </c>
      <c r="Q687">
        <v>1.1499999999999999</v>
      </c>
    </row>
    <row r="688" spans="1:18" x14ac:dyDescent="0.2">
      <c r="A688" t="s">
        <v>1290</v>
      </c>
      <c r="B688" t="s">
        <v>1291</v>
      </c>
      <c r="C688">
        <v>2003</v>
      </c>
      <c r="D688">
        <v>0</v>
      </c>
      <c r="E688" t="s">
        <v>21</v>
      </c>
      <c r="F688" t="s">
        <v>22</v>
      </c>
      <c r="G688" t="s">
        <v>35</v>
      </c>
      <c r="H688">
        <v>1</v>
      </c>
      <c r="I688">
        <v>62.25</v>
      </c>
      <c r="J688">
        <v>11.1</v>
      </c>
      <c r="N688">
        <v>0.22800000000000001</v>
      </c>
      <c r="Q688">
        <v>0.8</v>
      </c>
    </row>
    <row r="689" spans="1:19" x14ac:dyDescent="0.2">
      <c r="A689" t="s">
        <v>1292</v>
      </c>
      <c r="B689" t="s">
        <v>1293</v>
      </c>
      <c r="C689">
        <v>2002</v>
      </c>
      <c r="D689">
        <v>0</v>
      </c>
      <c r="E689" t="s">
        <v>21</v>
      </c>
      <c r="F689" t="s">
        <v>22</v>
      </c>
      <c r="G689" t="s">
        <v>32</v>
      </c>
      <c r="H689">
        <v>3</v>
      </c>
      <c r="I689">
        <v>154.37799999999999</v>
      </c>
      <c r="J689">
        <v>31.69</v>
      </c>
      <c r="N689">
        <v>0.67500000000000004</v>
      </c>
      <c r="Q689">
        <v>0.85</v>
      </c>
    </row>
    <row r="690" spans="1:19" x14ac:dyDescent="0.2">
      <c r="A690" t="s">
        <v>1292</v>
      </c>
      <c r="B690" t="s">
        <v>1294</v>
      </c>
      <c r="C690">
        <v>2002</v>
      </c>
      <c r="D690">
        <v>0</v>
      </c>
      <c r="E690" t="s">
        <v>21</v>
      </c>
      <c r="F690" t="s">
        <v>22</v>
      </c>
      <c r="G690" t="s">
        <v>32</v>
      </c>
      <c r="H690">
        <v>3</v>
      </c>
      <c r="I690">
        <v>885.5</v>
      </c>
      <c r="J690">
        <v>31.69</v>
      </c>
      <c r="N690">
        <v>0.65200000000000002</v>
      </c>
      <c r="Q690">
        <v>0.85</v>
      </c>
    </row>
    <row r="691" spans="1:19" x14ac:dyDescent="0.2">
      <c r="A691" t="s">
        <v>1292</v>
      </c>
      <c r="B691" t="s">
        <v>1295</v>
      </c>
      <c r="C691">
        <v>2005</v>
      </c>
      <c r="D691">
        <v>0</v>
      </c>
      <c r="E691" t="s">
        <v>21</v>
      </c>
      <c r="F691" t="s">
        <v>22</v>
      </c>
      <c r="G691" t="s">
        <v>32</v>
      </c>
      <c r="H691">
        <v>3</v>
      </c>
      <c r="I691">
        <v>1862</v>
      </c>
      <c r="J691">
        <v>31.69</v>
      </c>
      <c r="N691">
        <v>0.69599999999999995</v>
      </c>
      <c r="Q691">
        <v>0.85</v>
      </c>
    </row>
    <row r="692" spans="1:19" x14ac:dyDescent="0.2">
      <c r="A692" t="s">
        <v>1296</v>
      </c>
      <c r="B692" t="s">
        <v>1297</v>
      </c>
      <c r="C692">
        <v>2004</v>
      </c>
      <c r="D692">
        <v>0</v>
      </c>
      <c r="E692" t="s">
        <v>21</v>
      </c>
      <c r="F692" t="s">
        <v>22</v>
      </c>
      <c r="G692" t="s">
        <v>86</v>
      </c>
      <c r="H692">
        <v>2</v>
      </c>
      <c r="I692">
        <v>55.012920000000001</v>
      </c>
      <c r="J692">
        <v>46.85</v>
      </c>
      <c r="K692">
        <v>5.65</v>
      </c>
      <c r="N692">
        <v>2.69</v>
      </c>
      <c r="Q692">
        <v>0.94</v>
      </c>
      <c r="R692">
        <v>0.91</v>
      </c>
    </row>
    <row r="693" spans="1:19" x14ac:dyDescent="0.2">
      <c r="A693" t="s">
        <v>1296</v>
      </c>
      <c r="B693" t="s">
        <v>1298</v>
      </c>
      <c r="C693">
        <v>2012</v>
      </c>
      <c r="D693">
        <v>0</v>
      </c>
      <c r="E693" t="s">
        <v>21</v>
      </c>
      <c r="F693" t="s">
        <v>22</v>
      </c>
      <c r="G693" t="s">
        <v>35</v>
      </c>
      <c r="H693">
        <v>2</v>
      </c>
      <c r="I693">
        <v>2720</v>
      </c>
      <c r="J693">
        <v>46.85</v>
      </c>
      <c r="K693">
        <v>5.65</v>
      </c>
      <c r="N693">
        <v>3.19</v>
      </c>
      <c r="Q693">
        <v>0.94</v>
      </c>
      <c r="R693">
        <v>0.91</v>
      </c>
    </row>
    <row r="694" spans="1:19" x14ac:dyDescent="0.2">
      <c r="A694" t="s">
        <v>1299</v>
      </c>
      <c r="B694" t="s">
        <v>1300</v>
      </c>
      <c r="C694">
        <v>2010</v>
      </c>
      <c r="D694">
        <v>0</v>
      </c>
      <c r="E694" t="s">
        <v>21</v>
      </c>
      <c r="F694" t="s">
        <v>22</v>
      </c>
      <c r="G694" t="s">
        <v>98</v>
      </c>
      <c r="H694">
        <v>1</v>
      </c>
      <c r="I694">
        <v>363.20001000000002</v>
      </c>
      <c r="J694">
        <v>38.1</v>
      </c>
      <c r="N694">
        <v>0.4</v>
      </c>
      <c r="Q694">
        <v>1.37</v>
      </c>
      <c r="R694">
        <v>1.49</v>
      </c>
    </row>
    <row r="695" spans="1:19" x14ac:dyDescent="0.2">
      <c r="A695" t="s">
        <v>1301</v>
      </c>
      <c r="B695" t="s">
        <v>1302</v>
      </c>
      <c r="C695">
        <v>2000</v>
      </c>
      <c r="D695">
        <v>0</v>
      </c>
      <c r="E695" t="s">
        <v>21</v>
      </c>
      <c r="F695" t="s">
        <v>22</v>
      </c>
      <c r="G695" t="s">
        <v>35</v>
      </c>
      <c r="H695">
        <v>2</v>
      </c>
      <c r="I695">
        <v>14.30944</v>
      </c>
      <c r="J695">
        <v>42.4</v>
      </c>
      <c r="N695">
        <v>0.79700000000000004</v>
      </c>
      <c r="Q695">
        <v>1.41</v>
      </c>
      <c r="R695">
        <v>2.56</v>
      </c>
    </row>
    <row r="696" spans="1:19" x14ac:dyDescent="0.2">
      <c r="A696" t="s">
        <v>1301</v>
      </c>
      <c r="B696" t="s">
        <v>1303</v>
      </c>
      <c r="C696">
        <v>2000</v>
      </c>
      <c r="D696">
        <v>0</v>
      </c>
      <c r="E696" t="s">
        <v>21</v>
      </c>
      <c r="F696" t="s">
        <v>22</v>
      </c>
      <c r="G696" t="s">
        <v>35</v>
      </c>
      <c r="H696">
        <v>2</v>
      </c>
      <c r="I696">
        <v>2136.1</v>
      </c>
      <c r="J696">
        <v>42.4</v>
      </c>
      <c r="N696">
        <v>12.99</v>
      </c>
      <c r="Q696">
        <v>1.41</v>
      </c>
      <c r="R696">
        <v>2.56</v>
      </c>
    </row>
    <row r="697" spans="1:19" x14ac:dyDescent="0.2">
      <c r="A697" t="s">
        <v>1304</v>
      </c>
      <c r="B697" t="s">
        <v>1305</v>
      </c>
      <c r="C697">
        <v>2009</v>
      </c>
      <c r="D697">
        <v>0</v>
      </c>
      <c r="E697" t="s">
        <v>21</v>
      </c>
      <c r="F697" t="s">
        <v>22</v>
      </c>
      <c r="G697" t="s">
        <v>224</v>
      </c>
      <c r="H697">
        <v>1</v>
      </c>
      <c r="I697">
        <v>686.8</v>
      </c>
      <c r="J697">
        <v>91.68</v>
      </c>
      <c r="N697">
        <v>10.130000000000001</v>
      </c>
      <c r="Q697">
        <v>1.29</v>
      </c>
      <c r="R697">
        <v>2.41</v>
      </c>
    </row>
    <row r="698" spans="1:19" x14ac:dyDescent="0.2">
      <c r="A698" t="s">
        <v>1306</v>
      </c>
      <c r="B698" t="s">
        <v>1307</v>
      </c>
      <c r="C698">
        <v>2001</v>
      </c>
      <c r="D698">
        <v>0</v>
      </c>
      <c r="E698" t="s">
        <v>21</v>
      </c>
      <c r="F698" t="s">
        <v>22</v>
      </c>
      <c r="G698" t="s">
        <v>98</v>
      </c>
      <c r="H698">
        <v>2</v>
      </c>
      <c r="I698">
        <v>2093.0700000000002</v>
      </c>
      <c r="J698">
        <v>18.28</v>
      </c>
      <c r="K698">
        <v>2.98</v>
      </c>
      <c r="N698">
        <v>10.02</v>
      </c>
      <c r="Q698">
        <v>1.0900000000000001</v>
      </c>
      <c r="R698">
        <v>1.1000000000000001</v>
      </c>
      <c r="S698">
        <v>1.1479999999999999</v>
      </c>
    </row>
    <row r="699" spans="1:19" x14ac:dyDescent="0.2">
      <c r="A699" t="s">
        <v>1308</v>
      </c>
      <c r="B699" t="s">
        <v>1309</v>
      </c>
      <c r="C699">
        <v>2019</v>
      </c>
      <c r="D699">
        <v>0</v>
      </c>
      <c r="E699" t="s">
        <v>21</v>
      </c>
      <c r="F699" t="s">
        <v>22</v>
      </c>
      <c r="G699" t="s">
        <v>629</v>
      </c>
      <c r="H699">
        <v>1</v>
      </c>
      <c r="I699">
        <v>3.2498</v>
      </c>
      <c r="J699">
        <v>23.28</v>
      </c>
      <c r="N699">
        <v>2.674E-2</v>
      </c>
      <c r="Q699">
        <v>0.87</v>
      </c>
    </row>
    <row r="700" spans="1:19" x14ac:dyDescent="0.2">
      <c r="A700" t="s">
        <v>1310</v>
      </c>
      <c r="B700" t="s">
        <v>1311</v>
      </c>
      <c r="C700">
        <v>2009</v>
      </c>
      <c r="D700">
        <v>0</v>
      </c>
      <c r="E700" t="s">
        <v>21</v>
      </c>
      <c r="F700" t="s">
        <v>22</v>
      </c>
      <c r="G700" t="s">
        <v>138</v>
      </c>
      <c r="H700">
        <v>5</v>
      </c>
      <c r="I700">
        <v>4.3122999999999996</v>
      </c>
      <c r="J700">
        <v>12.94</v>
      </c>
      <c r="K700">
        <v>4.5</v>
      </c>
      <c r="N700">
        <v>1.26E-2</v>
      </c>
      <c r="Q700">
        <v>0.77</v>
      </c>
    </row>
    <row r="701" spans="1:19" x14ac:dyDescent="0.2">
      <c r="A701" t="s">
        <v>1310</v>
      </c>
      <c r="B701" t="s">
        <v>1312</v>
      </c>
      <c r="C701">
        <v>2009</v>
      </c>
      <c r="D701">
        <v>0</v>
      </c>
      <c r="E701" t="s">
        <v>21</v>
      </c>
      <c r="F701" t="s">
        <v>22</v>
      </c>
      <c r="G701" t="s">
        <v>138</v>
      </c>
      <c r="H701">
        <v>5</v>
      </c>
      <c r="I701">
        <v>9.6183999999999994</v>
      </c>
      <c r="J701">
        <v>12.94</v>
      </c>
      <c r="K701">
        <v>4.5</v>
      </c>
      <c r="N701">
        <v>2.0799999999999999E-2</v>
      </c>
      <c r="Q701">
        <v>0.77</v>
      </c>
    </row>
    <row r="702" spans="1:19" x14ac:dyDescent="0.2">
      <c r="A702" t="s">
        <v>1310</v>
      </c>
      <c r="B702" t="s">
        <v>1313</v>
      </c>
      <c r="C702">
        <v>2009</v>
      </c>
      <c r="D702">
        <v>0</v>
      </c>
      <c r="E702" t="s">
        <v>21</v>
      </c>
      <c r="F702" t="s">
        <v>22</v>
      </c>
      <c r="G702" t="s">
        <v>138</v>
      </c>
      <c r="H702">
        <v>5</v>
      </c>
      <c r="I702">
        <v>20.431999999999999</v>
      </c>
      <c r="J702">
        <v>12.94</v>
      </c>
      <c r="K702">
        <v>4.5</v>
      </c>
      <c r="N702">
        <v>2.9899999999999999E-2</v>
      </c>
      <c r="Q702">
        <v>0.77</v>
      </c>
    </row>
    <row r="703" spans="1:19" x14ac:dyDescent="0.2">
      <c r="A703" t="s">
        <v>1310</v>
      </c>
      <c r="B703" t="s">
        <v>1314</v>
      </c>
      <c r="C703">
        <v>2013</v>
      </c>
      <c r="D703">
        <v>0</v>
      </c>
      <c r="E703" t="s">
        <v>21</v>
      </c>
      <c r="F703" t="s">
        <v>22</v>
      </c>
      <c r="G703" t="s">
        <v>138</v>
      </c>
      <c r="H703">
        <v>5</v>
      </c>
      <c r="I703">
        <v>51.76</v>
      </c>
      <c r="J703">
        <v>12.94</v>
      </c>
      <c r="K703">
        <v>4.5</v>
      </c>
      <c r="N703">
        <v>1.6400000000000001E-2</v>
      </c>
      <c r="Q703">
        <v>0.77</v>
      </c>
    </row>
    <row r="704" spans="1:19" x14ac:dyDescent="0.2">
      <c r="A704" t="s">
        <v>1310</v>
      </c>
      <c r="B704" t="s">
        <v>1315</v>
      </c>
      <c r="C704">
        <v>2013</v>
      </c>
      <c r="D704">
        <v>0</v>
      </c>
      <c r="E704" t="s">
        <v>21</v>
      </c>
      <c r="F704" t="s">
        <v>22</v>
      </c>
      <c r="G704" t="s">
        <v>138</v>
      </c>
      <c r="H704">
        <v>5</v>
      </c>
      <c r="I704">
        <v>197.8</v>
      </c>
      <c r="J704">
        <v>12.94</v>
      </c>
      <c r="K704">
        <v>4.5</v>
      </c>
      <c r="N704">
        <v>2.23E-2</v>
      </c>
      <c r="Q704">
        <v>0.77</v>
      </c>
    </row>
    <row r="705" spans="1:18" x14ac:dyDescent="0.2">
      <c r="A705" t="s">
        <v>1316</v>
      </c>
      <c r="B705" t="s">
        <v>1317</v>
      </c>
      <c r="C705">
        <v>2017</v>
      </c>
      <c r="D705">
        <v>0</v>
      </c>
      <c r="E705" t="s">
        <v>21</v>
      </c>
      <c r="F705" t="s">
        <v>22</v>
      </c>
      <c r="G705" t="s">
        <v>35</v>
      </c>
      <c r="H705">
        <v>1</v>
      </c>
      <c r="I705">
        <v>578.6</v>
      </c>
      <c r="J705">
        <v>118.48</v>
      </c>
      <c r="K705">
        <v>1.35</v>
      </c>
      <c r="N705">
        <v>2.7</v>
      </c>
      <c r="Q705">
        <v>2</v>
      </c>
      <c r="R705">
        <v>8.56</v>
      </c>
    </row>
    <row r="706" spans="1:18" x14ac:dyDescent="0.2">
      <c r="A706" t="s">
        <v>1318</v>
      </c>
      <c r="B706" t="s">
        <v>1319</v>
      </c>
      <c r="C706">
        <v>2002</v>
      </c>
      <c r="D706">
        <v>0</v>
      </c>
      <c r="E706" t="s">
        <v>21</v>
      </c>
      <c r="F706" t="s">
        <v>22</v>
      </c>
      <c r="G706" t="s">
        <v>35</v>
      </c>
      <c r="H706">
        <v>1</v>
      </c>
      <c r="I706">
        <v>264.14999</v>
      </c>
      <c r="J706">
        <v>33.299999999999997</v>
      </c>
      <c r="N706">
        <v>4.67</v>
      </c>
      <c r="Q706">
        <v>1.45</v>
      </c>
      <c r="R706">
        <v>1.21</v>
      </c>
    </row>
    <row r="707" spans="1:18" x14ac:dyDescent="0.2">
      <c r="A707" t="s">
        <v>1320</v>
      </c>
      <c r="B707" t="s">
        <v>1321</v>
      </c>
      <c r="C707">
        <v>2004</v>
      </c>
      <c r="D707">
        <v>0</v>
      </c>
      <c r="E707" t="s">
        <v>21</v>
      </c>
      <c r="F707" t="s">
        <v>22</v>
      </c>
      <c r="G707" t="s">
        <v>138</v>
      </c>
      <c r="H707">
        <v>1</v>
      </c>
      <c r="I707">
        <v>963</v>
      </c>
      <c r="J707">
        <v>43.03</v>
      </c>
      <c r="K707">
        <v>1.6</v>
      </c>
      <c r="N707">
        <v>2.54</v>
      </c>
      <c r="Q707">
        <v>0.7</v>
      </c>
    </row>
    <row r="708" spans="1:18" x14ac:dyDescent="0.2">
      <c r="A708" t="s">
        <v>1322</v>
      </c>
      <c r="B708" t="s">
        <v>1323</v>
      </c>
      <c r="C708">
        <v>2003</v>
      </c>
      <c r="D708">
        <v>0</v>
      </c>
      <c r="E708" t="s">
        <v>21</v>
      </c>
      <c r="F708" t="s">
        <v>22</v>
      </c>
      <c r="G708" t="s">
        <v>138</v>
      </c>
      <c r="H708">
        <v>1</v>
      </c>
      <c r="I708">
        <v>1.3283</v>
      </c>
      <c r="J708">
        <v>43.03</v>
      </c>
      <c r="N708">
        <v>18.37</v>
      </c>
      <c r="Q708">
        <v>0.4</v>
      </c>
    </row>
    <row r="709" spans="1:18" x14ac:dyDescent="0.2">
      <c r="A709" t="s">
        <v>1324</v>
      </c>
      <c r="B709" t="s">
        <v>1325</v>
      </c>
      <c r="C709">
        <v>2007</v>
      </c>
      <c r="D709">
        <v>0</v>
      </c>
      <c r="E709" t="s">
        <v>21</v>
      </c>
      <c r="F709" t="s">
        <v>22</v>
      </c>
      <c r="G709" t="s">
        <v>138</v>
      </c>
      <c r="H709">
        <v>1</v>
      </c>
      <c r="I709">
        <v>526.62</v>
      </c>
      <c r="J709">
        <v>41.92</v>
      </c>
      <c r="K709">
        <v>6.4</v>
      </c>
      <c r="N709">
        <v>1.56</v>
      </c>
      <c r="Q709">
        <v>0.99</v>
      </c>
    </row>
    <row r="710" spans="1:18" x14ac:dyDescent="0.2">
      <c r="A710" t="s">
        <v>1326</v>
      </c>
      <c r="B710" t="s">
        <v>1327</v>
      </c>
      <c r="C710">
        <v>2017</v>
      </c>
      <c r="D710">
        <v>0</v>
      </c>
      <c r="E710" t="s">
        <v>21</v>
      </c>
      <c r="F710" t="s">
        <v>22</v>
      </c>
      <c r="G710" t="s">
        <v>82</v>
      </c>
      <c r="H710">
        <v>1</v>
      </c>
      <c r="I710">
        <v>857.5</v>
      </c>
      <c r="J710">
        <v>37.1</v>
      </c>
      <c r="K710">
        <v>4.0999999999999996</v>
      </c>
      <c r="N710">
        <v>1.6</v>
      </c>
      <c r="Q710">
        <v>0.83</v>
      </c>
      <c r="R710">
        <v>0.82</v>
      </c>
    </row>
    <row r="711" spans="1:18" x14ac:dyDescent="0.2">
      <c r="A711" t="s">
        <v>1328</v>
      </c>
      <c r="B711" t="s">
        <v>1329</v>
      </c>
      <c r="C711">
        <v>2001</v>
      </c>
      <c r="D711">
        <v>0</v>
      </c>
      <c r="E711" t="s">
        <v>21</v>
      </c>
      <c r="F711" t="s">
        <v>22</v>
      </c>
      <c r="G711" t="s">
        <v>32</v>
      </c>
      <c r="H711">
        <v>2</v>
      </c>
      <c r="I711">
        <v>431.88</v>
      </c>
      <c r="J711">
        <v>81.569999999999993</v>
      </c>
      <c r="N711">
        <v>2.23</v>
      </c>
      <c r="Q711">
        <v>1.25</v>
      </c>
      <c r="R711">
        <v>1.42</v>
      </c>
    </row>
    <row r="712" spans="1:18" x14ac:dyDescent="0.2">
      <c r="A712" t="s">
        <v>1328</v>
      </c>
      <c r="B712" t="s">
        <v>1330</v>
      </c>
      <c r="C712">
        <v>2014</v>
      </c>
      <c r="D712">
        <v>0</v>
      </c>
      <c r="E712" t="s">
        <v>21</v>
      </c>
      <c r="F712" t="s">
        <v>22</v>
      </c>
      <c r="G712" t="s">
        <v>41</v>
      </c>
      <c r="H712">
        <v>2</v>
      </c>
      <c r="I712">
        <v>6700</v>
      </c>
      <c r="J712">
        <v>81.569999999999993</v>
      </c>
      <c r="N712">
        <v>2.17</v>
      </c>
      <c r="Q712">
        <v>1.25</v>
      </c>
      <c r="R712">
        <v>1.42</v>
      </c>
    </row>
    <row r="713" spans="1:18" x14ac:dyDescent="0.2">
      <c r="A713" t="s">
        <v>1331</v>
      </c>
      <c r="B713" t="s">
        <v>1332</v>
      </c>
      <c r="C713">
        <v>2001</v>
      </c>
      <c r="D713">
        <v>0</v>
      </c>
      <c r="E713" t="s">
        <v>21</v>
      </c>
      <c r="F713" t="s">
        <v>22</v>
      </c>
      <c r="G713" t="s">
        <v>32</v>
      </c>
      <c r="H713">
        <v>1</v>
      </c>
      <c r="I713">
        <v>828</v>
      </c>
      <c r="J713">
        <v>34.229999999999997</v>
      </c>
      <c r="N713">
        <v>0.82</v>
      </c>
      <c r="Q713">
        <v>0.9</v>
      </c>
      <c r="R713">
        <v>0.92</v>
      </c>
    </row>
    <row r="714" spans="1:18" x14ac:dyDescent="0.2">
      <c r="A714" t="s">
        <v>1333</v>
      </c>
      <c r="B714" t="s">
        <v>1334</v>
      </c>
      <c r="C714">
        <v>2016</v>
      </c>
      <c r="D714">
        <v>0</v>
      </c>
      <c r="E714" t="s">
        <v>21</v>
      </c>
      <c r="F714" t="s">
        <v>22</v>
      </c>
      <c r="G714" t="s">
        <v>35</v>
      </c>
      <c r="H714">
        <v>1</v>
      </c>
      <c r="I714">
        <v>149.61000000000001</v>
      </c>
      <c r="J714">
        <v>23.5</v>
      </c>
      <c r="N714">
        <v>4.5310000000000003E-2</v>
      </c>
      <c r="Q714">
        <v>1.01</v>
      </c>
      <c r="R714">
        <v>1</v>
      </c>
    </row>
    <row r="715" spans="1:18" x14ac:dyDescent="0.2">
      <c r="A715" t="s">
        <v>1335</v>
      </c>
      <c r="B715" t="s">
        <v>1336</v>
      </c>
      <c r="C715">
        <v>2005</v>
      </c>
      <c r="D715">
        <v>0</v>
      </c>
      <c r="E715" t="s">
        <v>21</v>
      </c>
      <c r="F715" t="s">
        <v>22</v>
      </c>
      <c r="G715" t="s">
        <v>138</v>
      </c>
      <c r="H715">
        <v>1</v>
      </c>
      <c r="I715">
        <v>15.56</v>
      </c>
      <c r="J715">
        <v>22.03</v>
      </c>
      <c r="N715">
        <v>0.05</v>
      </c>
      <c r="Q715">
        <v>0.93</v>
      </c>
      <c r="R715">
        <v>1.02</v>
      </c>
    </row>
    <row r="716" spans="1:18" x14ac:dyDescent="0.2">
      <c r="A716" t="s">
        <v>1337</v>
      </c>
      <c r="B716" t="s">
        <v>1338</v>
      </c>
      <c r="C716">
        <v>2009</v>
      </c>
      <c r="D716">
        <v>0</v>
      </c>
      <c r="E716" t="s">
        <v>21</v>
      </c>
      <c r="F716" t="s">
        <v>22</v>
      </c>
      <c r="G716" t="s">
        <v>32</v>
      </c>
      <c r="H716">
        <v>1</v>
      </c>
      <c r="I716">
        <v>356.21</v>
      </c>
      <c r="J716">
        <v>136.82</v>
      </c>
      <c r="N716">
        <v>1.927</v>
      </c>
      <c r="Q716">
        <v>1.63</v>
      </c>
      <c r="R716">
        <v>5.14</v>
      </c>
    </row>
    <row r="717" spans="1:18" x14ac:dyDescent="0.2">
      <c r="A717" t="s">
        <v>1339</v>
      </c>
      <c r="B717" t="s">
        <v>1340</v>
      </c>
      <c r="C717">
        <v>2010</v>
      </c>
      <c r="D717">
        <v>0</v>
      </c>
      <c r="E717" t="s">
        <v>21</v>
      </c>
      <c r="F717" t="s">
        <v>22</v>
      </c>
      <c r="G717" t="s">
        <v>138</v>
      </c>
      <c r="H717">
        <v>1</v>
      </c>
      <c r="I717">
        <v>327.8</v>
      </c>
      <c r="J717">
        <v>56.3</v>
      </c>
      <c r="N717">
        <v>0.6</v>
      </c>
      <c r="Q717">
        <v>0.96</v>
      </c>
      <c r="R717">
        <v>1</v>
      </c>
    </row>
    <row r="718" spans="1:18" x14ac:dyDescent="0.2">
      <c r="A718" t="s">
        <v>1341</v>
      </c>
      <c r="B718" t="s">
        <v>1342</v>
      </c>
      <c r="C718">
        <v>2007</v>
      </c>
      <c r="D718">
        <v>0</v>
      </c>
      <c r="E718" t="s">
        <v>21</v>
      </c>
      <c r="F718" t="s">
        <v>22</v>
      </c>
      <c r="G718" t="s">
        <v>82</v>
      </c>
      <c r="H718">
        <v>1</v>
      </c>
      <c r="I718">
        <v>36.998699999999999</v>
      </c>
      <c r="J718">
        <v>85.81</v>
      </c>
      <c r="K718">
        <v>2.39</v>
      </c>
      <c r="N718">
        <v>2.5499999999999998</v>
      </c>
      <c r="Q718">
        <v>1.32</v>
      </c>
      <c r="R718">
        <v>1.6</v>
      </c>
    </row>
    <row r="719" spans="1:18" x14ac:dyDescent="0.2">
      <c r="A719" t="s">
        <v>1343</v>
      </c>
      <c r="B719" t="s">
        <v>1344</v>
      </c>
      <c r="C719">
        <v>2010</v>
      </c>
      <c r="D719">
        <v>0</v>
      </c>
      <c r="E719" t="s">
        <v>21</v>
      </c>
      <c r="F719" t="s">
        <v>22</v>
      </c>
      <c r="G719" t="s">
        <v>138</v>
      </c>
      <c r="H719">
        <v>1</v>
      </c>
      <c r="I719">
        <v>472.3</v>
      </c>
      <c r="J719">
        <v>50.4</v>
      </c>
      <c r="N719">
        <v>0.57999999999999996</v>
      </c>
      <c r="Q719">
        <v>1</v>
      </c>
      <c r="R719">
        <v>1.32</v>
      </c>
    </row>
    <row r="720" spans="1:18" x14ac:dyDescent="0.2">
      <c r="A720" t="s">
        <v>1345</v>
      </c>
      <c r="B720" t="s">
        <v>1346</v>
      </c>
      <c r="C720">
        <v>2019</v>
      </c>
      <c r="D720">
        <v>0</v>
      </c>
      <c r="E720" t="s">
        <v>21</v>
      </c>
      <c r="F720" t="s">
        <v>22</v>
      </c>
      <c r="G720" t="s">
        <v>138</v>
      </c>
      <c r="H720">
        <v>2</v>
      </c>
      <c r="I720">
        <v>5.8853999999999997</v>
      </c>
      <c r="J720">
        <v>21.88</v>
      </c>
      <c r="N720">
        <v>3.8399999999999997E-2</v>
      </c>
      <c r="Q720">
        <v>1.03</v>
      </c>
    </row>
    <row r="721" spans="1:18" x14ac:dyDescent="0.2">
      <c r="A721" t="s">
        <v>1345</v>
      </c>
      <c r="B721" t="s">
        <v>1347</v>
      </c>
      <c r="C721">
        <v>2019</v>
      </c>
      <c r="D721">
        <v>0</v>
      </c>
      <c r="E721" t="s">
        <v>21</v>
      </c>
      <c r="F721" t="s">
        <v>22</v>
      </c>
      <c r="G721" t="s">
        <v>138</v>
      </c>
      <c r="H721">
        <v>2</v>
      </c>
      <c r="I721">
        <v>13.135400000000001</v>
      </c>
      <c r="J721">
        <v>21.88</v>
      </c>
      <c r="N721">
        <v>2.7699999999999999E-2</v>
      </c>
      <c r="Q721">
        <v>1.03</v>
      </c>
    </row>
    <row r="722" spans="1:18" x14ac:dyDescent="0.2">
      <c r="A722" t="s">
        <v>1348</v>
      </c>
      <c r="B722" t="s">
        <v>1349</v>
      </c>
      <c r="C722">
        <v>2004</v>
      </c>
      <c r="D722">
        <v>0</v>
      </c>
      <c r="E722" t="s">
        <v>21</v>
      </c>
      <c r="F722" t="s">
        <v>22</v>
      </c>
      <c r="G722" t="s">
        <v>32</v>
      </c>
      <c r="H722">
        <v>1</v>
      </c>
      <c r="I722">
        <v>963.6</v>
      </c>
      <c r="J722">
        <v>46.94</v>
      </c>
      <c r="K722">
        <v>8</v>
      </c>
      <c r="N722">
        <v>1.79</v>
      </c>
      <c r="Q722">
        <v>1.02</v>
      </c>
    </row>
    <row r="723" spans="1:18" x14ac:dyDescent="0.2">
      <c r="A723" t="s">
        <v>1350</v>
      </c>
      <c r="B723" t="s">
        <v>1351</v>
      </c>
      <c r="C723">
        <v>2008</v>
      </c>
      <c r="D723">
        <v>0</v>
      </c>
      <c r="E723" t="s">
        <v>21</v>
      </c>
      <c r="F723" t="s">
        <v>22</v>
      </c>
      <c r="G723" t="s">
        <v>138</v>
      </c>
      <c r="H723">
        <v>2</v>
      </c>
      <c r="I723">
        <v>226.93</v>
      </c>
      <c r="J723">
        <v>34.39</v>
      </c>
      <c r="N723">
        <v>0.18720000000000001</v>
      </c>
      <c r="Q723">
        <v>0.82</v>
      </c>
    </row>
    <row r="724" spans="1:18" x14ac:dyDescent="0.2">
      <c r="A724" t="s">
        <v>1350</v>
      </c>
      <c r="B724" t="s">
        <v>1352</v>
      </c>
      <c r="C724">
        <v>2008</v>
      </c>
      <c r="D724">
        <v>0</v>
      </c>
      <c r="E724" t="s">
        <v>21</v>
      </c>
      <c r="F724" t="s">
        <v>22</v>
      </c>
      <c r="G724" t="s">
        <v>138</v>
      </c>
      <c r="H724">
        <v>2</v>
      </c>
      <c r="I724">
        <v>342.85</v>
      </c>
      <c r="J724">
        <v>34.39</v>
      </c>
      <c r="N724">
        <v>0.65790000000000004</v>
      </c>
      <c r="Q724">
        <v>0.82</v>
      </c>
    </row>
    <row r="725" spans="1:18" x14ac:dyDescent="0.2">
      <c r="A725" t="s">
        <v>1353</v>
      </c>
      <c r="B725" t="s">
        <v>1354</v>
      </c>
      <c r="C725">
        <v>2008</v>
      </c>
      <c r="D725">
        <v>0</v>
      </c>
      <c r="E725" t="s">
        <v>21</v>
      </c>
      <c r="F725" t="s">
        <v>22</v>
      </c>
      <c r="G725" t="s">
        <v>82</v>
      </c>
      <c r="H725">
        <v>1</v>
      </c>
      <c r="I725">
        <v>44.073</v>
      </c>
      <c r="J725">
        <v>34.89</v>
      </c>
      <c r="K725">
        <v>8.4</v>
      </c>
      <c r="N725">
        <v>0.433</v>
      </c>
      <c r="Q725">
        <v>0.92</v>
      </c>
      <c r="R725">
        <v>0.94</v>
      </c>
    </row>
    <row r="726" spans="1:18" x14ac:dyDescent="0.2">
      <c r="A726" t="s">
        <v>1355</v>
      </c>
      <c r="B726" t="s">
        <v>1356</v>
      </c>
      <c r="C726">
        <v>2000</v>
      </c>
      <c r="D726">
        <v>0</v>
      </c>
      <c r="E726" t="s">
        <v>21</v>
      </c>
      <c r="F726" t="s">
        <v>22</v>
      </c>
      <c r="G726" t="s">
        <v>32</v>
      </c>
      <c r="H726">
        <v>1</v>
      </c>
      <c r="I726">
        <v>3.0235729999999998</v>
      </c>
      <c r="J726">
        <v>29.58</v>
      </c>
      <c r="N726">
        <v>0.22600000000000001</v>
      </c>
      <c r="Q726">
        <v>0.92</v>
      </c>
    </row>
    <row r="727" spans="1:18" x14ac:dyDescent="0.2">
      <c r="A727" t="s">
        <v>1357</v>
      </c>
      <c r="B727" t="s">
        <v>1358</v>
      </c>
      <c r="C727">
        <v>2008</v>
      </c>
      <c r="D727">
        <v>0</v>
      </c>
      <c r="E727" t="s">
        <v>21</v>
      </c>
      <c r="F727" t="s">
        <v>22</v>
      </c>
      <c r="G727" t="s">
        <v>138</v>
      </c>
      <c r="H727">
        <v>2</v>
      </c>
      <c r="I727">
        <v>4.0845000000000002</v>
      </c>
      <c r="J727">
        <v>37.5</v>
      </c>
      <c r="N727">
        <v>7.0000000000000007E-2</v>
      </c>
      <c r="Q727">
        <v>0.96</v>
      </c>
      <c r="R727">
        <v>1.08</v>
      </c>
    </row>
    <row r="728" spans="1:18" x14ac:dyDescent="0.2">
      <c r="A728" t="s">
        <v>1357</v>
      </c>
      <c r="B728" t="s">
        <v>1359</v>
      </c>
      <c r="C728">
        <v>2008</v>
      </c>
      <c r="D728">
        <v>0</v>
      </c>
      <c r="E728" t="s">
        <v>21</v>
      </c>
      <c r="F728" t="s">
        <v>22</v>
      </c>
      <c r="G728" t="s">
        <v>138</v>
      </c>
      <c r="H728">
        <v>2</v>
      </c>
      <c r="I728">
        <v>1353.6</v>
      </c>
      <c r="J728">
        <v>37.5</v>
      </c>
      <c r="N728">
        <v>0.35060999999999998</v>
      </c>
      <c r="Q728">
        <v>0.96</v>
      </c>
      <c r="R728">
        <v>1.08</v>
      </c>
    </row>
    <row r="729" spans="1:18" x14ac:dyDescent="0.2">
      <c r="A729" t="s">
        <v>1360</v>
      </c>
      <c r="B729" t="s">
        <v>1361</v>
      </c>
      <c r="C729">
        <v>2012</v>
      </c>
      <c r="D729">
        <v>0</v>
      </c>
      <c r="E729" t="s">
        <v>21</v>
      </c>
      <c r="F729" t="s">
        <v>22</v>
      </c>
      <c r="G729" t="s">
        <v>35</v>
      </c>
      <c r="H729">
        <v>2</v>
      </c>
      <c r="I729">
        <v>360.2</v>
      </c>
      <c r="J729">
        <v>54.87</v>
      </c>
      <c r="N729">
        <v>2.37</v>
      </c>
      <c r="Q729">
        <v>1.74</v>
      </c>
      <c r="R729">
        <v>5.4</v>
      </c>
    </row>
    <row r="730" spans="1:18" x14ac:dyDescent="0.2">
      <c r="A730" t="s">
        <v>1360</v>
      </c>
      <c r="B730" t="s">
        <v>1362</v>
      </c>
      <c r="C730">
        <v>2012</v>
      </c>
      <c r="D730">
        <v>0</v>
      </c>
      <c r="E730" t="s">
        <v>21</v>
      </c>
      <c r="F730" t="s">
        <v>22</v>
      </c>
      <c r="G730" t="s">
        <v>35</v>
      </c>
      <c r="H730">
        <v>2</v>
      </c>
      <c r="I730">
        <v>2732</v>
      </c>
      <c r="J730">
        <v>54.87</v>
      </c>
      <c r="N730">
        <v>2.37</v>
      </c>
      <c r="Q730">
        <v>1.74</v>
      </c>
      <c r="R730">
        <v>5.4</v>
      </c>
    </row>
    <row r="731" spans="1:18" x14ac:dyDescent="0.2">
      <c r="A731" t="s">
        <v>1363</v>
      </c>
      <c r="B731" t="s">
        <v>1364</v>
      </c>
      <c r="C731">
        <v>2016</v>
      </c>
      <c r="D731">
        <v>0</v>
      </c>
      <c r="E731" t="s">
        <v>21</v>
      </c>
      <c r="F731" t="s">
        <v>22</v>
      </c>
      <c r="G731" t="s">
        <v>29</v>
      </c>
      <c r="H731">
        <v>2</v>
      </c>
      <c r="I731">
        <v>363.3</v>
      </c>
      <c r="J731">
        <v>80</v>
      </c>
      <c r="K731">
        <v>1.61</v>
      </c>
      <c r="N731">
        <v>1.75</v>
      </c>
      <c r="Q731">
        <v>1.81</v>
      </c>
      <c r="R731">
        <v>7.3</v>
      </c>
    </row>
    <row r="732" spans="1:18" x14ac:dyDescent="0.2">
      <c r="A732" t="s">
        <v>1363</v>
      </c>
      <c r="B732" t="s">
        <v>1365</v>
      </c>
      <c r="C732">
        <v>2016</v>
      </c>
      <c r="D732">
        <v>0</v>
      </c>
      <c r="E732" t="s">
        <v>21</v>
      </c>
      <c r="F732" t="s">
        <v>22</v>
      </c>
      <c r="G732" t="s">
        <v>29</v>
      </c>
      <c r="H732">
        <v>2</v>
      </c>
      <c r="I732">
        <v>684.7</v>
      </c>
      <c r="J732">
        <v>80</v>
      </c>
      <c r="K732">
        <v>1.61</v>
      </c>
      <c r="N732">
        <v>1.86</v>
      </c>
      <c r="Q732">
        <v>1.81</v>
      </c>
      <c r="R732">
        <v>7.3</v>
      </c>
    </row>
    <row r="733" spans="1:18" x14ac:dyDescent="0.2">
      <c r="A733" t="s">
        <v>1366</v>
      </c>
      <c r="B733" t="s">
        <v>1367</v>
      </c>
      <c r="C733">
        <v>2002</v>
      </c>
      <c r="D733">
        <v>0</v>
      </c>
      <c r="E733" t="s">
        <v>21</v>
      </c>
      <c r="F733" t="s">
        <v>22</v>
      </c>
      <c r="G733" t="s">
        <v>138</v>
      </c>
      <c r="H733">
        <v>1</v>
      </c>
      <c r="I733">
        <v>712.13</v>
      </c>
      <c r="J733">
        <v>122.95</v>
      </c>
      <c r="K733">
        <v>10.15</v>
      </c>
      <c r="N733">
        <v>7.32</v>
      </c>
      <c r="Q733">
        <v>0.91</v>
      </c>
      <c r="R733">
        <v>22.39</v>
      </c>
    </row>
    <row r="734" spans="1:18" x14ac:dyDescent="0.2">
      <c r="A734" t="s">
        <v>1368</v>
      </c>
      <c r="B734" t="s">
        <v>1369</v>
      </c>
      <c r="C734">
        <v>2008</v>
      </c>
      <c r="D734">
        <v>0</v>
      </c>
      <c r="E734" t="s">
        <v>21</v>
      </c>
      <c r="F734" t="s">
        <v>22</v>
      </c>
      <c r="G734" t="s">
        <v>629</v>
      </c>
      <c r="H734">
        <v>1</v>
      </c>
      <c r="I734">
        <v>780.3</v>
      </c>
      <c r="J734">
        <v>85.4</v>
      </c>
      <c r="K734">
        <v>5</v>
      </c>
      <c r="N734">
        <v>1.47</v>
      </c>
      <c r="Q734">
        <v>1.28</v>
      </c>
      <c r="R734">
        <v>2.0499999999999998</v>
      </c>
    </row>
    <row r="735" spans="1:18" x14ac:dyDescent="0.2">
      <c r="A735" t="s">
        <v>1370</v>
      </c>
      <c r="B735" t="s">
        <v>1371</v>
      </c>
      <c r="C735">
        <v>2018</v>
      </c>
      <c r="D735">
        <v>0</v>
      </c>
      <c r="E735" t="s">
        <v>21</v>
      </c>
      <c r="F735" t="s">
        <v>22</v>
      </c>
      <c r="G735" t="s">
        <v>32</v>
      </c>
      <c r="H735">
        <v>1</v>
      </c>
      <c r="I735">
        <v>400.5</v>
      </c>
      <c r="J735">
        <v>205.45</v>
      </c>
      <c r="N735">
        <v>1.615</v>
      </c>
      <c r="Q735">
        <v>1.32</v>
      </c>
      <c r="R735">
        <v>5.01</v>
      </c>
    </row>
    <row r="736" spans="1:18" x14ac:dyDescent="0.2">
      <c r="A736" t="s">
        <v>1372</v>
      </c>
      <c r="B736" t="s">
        <v>1373</v>
      </c>
      <c r="C736">
        <v>2002</v>
      </c>
      <c r="D736">
        <v>0</v>
      </c>
      <c r="E736" t="s">
        <v>21</v>
      </c>
      <c r="F736" t="s">
        <v>22</v>
      </c>
      <c r="G736" t="s">
        <v>32</v>
      </c>
      <c r="H736">
        <v>1</v>
      </c>
      <c r="I736">
        <v>4.9473700000000003</v>
      </c>
      <c r="J736">
        <v>43.09</v>
      </c>
      <c r="N736">
        <v>0.1</v>
      </c>
      <c r="Q736">
        <v>1.03</v>
      </c>
      <c r="R736">
        <v>1.02</v>
      </c>
    </row>
    <row r="737" spans="1:18" x14ac:dyDescent="0.2">
      <c r="A737" t="s">
        <v>1374</v>
      </c>
      <c r="B737" t="s">
        <v>1375</v>
      </c>
      <c r="C737">
        <v>2005</v>
      </c>
      <c r="D737">
        <v>0</v>
      </c>
      <c r="E737" t="s">
        <v>21</v>
      </c>
      <c r="F737" t="s">
        <v>22</v>
      </c>
      <c r="G737" t="s">
        <v>32</v>
      </c>
      <c r="H737">
        <v>2</v>
      </c>
      <c r="I737">
        <v>2483.6999999999998</v>
      </c>
      <c r="J737">
        <v>46.35</v>
      </c>
      <c r="K737">
        <v>2.4</v>
      </c>
      <c r="N737">
        <v>1.45</v>
      </c>
      <c r="Q737">
        <v>1.31</v>
      </c>
      <c r="R737">
        <v>1.42</v>
      </c>
    </row>
    <row r="738" spans="1:18" x14ac:dyDescent="0.2">
      <c r="A738" t="s">
        <v>1374</v>
      </c>
      <c r="B738" t="s">
        <v>1376</v>
      </c>
      <c r="C738">
        <v>2019</v>
      </c>
      <c r="D738">
        <v>0</v>
      </c>
      <c r="E738" t="s">
        <v>21</v>
      </c>
      <c r="F738" t="s">
        <v>22</v>
      </c>
      <c r="G738" t="s">
        <v>138</v>
      </c>
      <c r="H738">
        <v>2</v>
      </c>
      <c r="I738">
        <v>8619.9</v>
      </c>
      <c r="J738">
        <v>46.35</v>
      </c>
      <c r="K738">
        <v>2.4</v>
      </c>
      <c r="N738">
        <v>2.93</v>
      </c>
      <c r="Q738">
        <v>1.31</v>
      </c>
      <c r="R738">
        <v>1.42</v>
      </c>
    </row>
    <row r="739" spans="1:18" x14ac:dyDescent="0.2">
      <c r="A739" t="s">
        <v>1377</v>
      </c>
      <c r="B739" t="s">
        <v>1378</v>
      </c>
      <c r="C739">
        <v>2002</v>
      </c>
      <c r="D739">
        <v>0</v>
      </c>
      <c r="E739" t="s">
        <v>21</v>
      </c>
      <c r="F739" t="s">
        <v>22</v>
      </c>
      <c r="G739" t="s">
        <v>46</v>
      </c>
      <c r="H739">
        <v>1</v>
      </c>
      <c r="I739">
        <v>1293</v>
      </c>
      <c r="J739">
        <v>31.19</v>
      </c>
      <c r="K739">
        <v>2.16</v>
      </c>
      <c r="N739">
        <v>4.9539999999999997</v>
      </c>
      <c r="Q739">
        <v>1.04</v>
      </c>
      <c r="R739">
        <v>1.02</v>
      </c>
    </row>
    <row r="740" spans="1:18" x14ac:dyDescent="0.2">
      <c r="A740" t="s">
        <v>1379</v>
      </c>
      <c r="B740" t="s">
        <v>1380</v>
      </c>
      <c r="C740">
        <v>2019</v>
      </c>
      <c r="D740">
        <v>0</v>
      </c>
      <c r="E740" t="s">
        <v>21</v>
      </c>
      <c r="F740" t="s">
        <v>22</v>
      </c>
      <c r="G740" t="s">
        <v>138</v>
      </c>
      <c r="H740">
        <v>2</v>
      </c>
      <c r="I740">
        <v>14.0726</v>
      </c>
      <c r="J740">
        <v>34.83</v>
      </c>
      <c r="N740">
        <v>4.02E-2</v>
      </c>
      <c r="Q740">
        <v>0.8</v>
      </c>
    </row>
    <row r="741" spans="1:18" x14ac:dyDescent="0.2">
      <c r="A741" t="s">
        <v>1379</v>
      </c>
      <c r="B741" t="s">
        <v>1381</v>
      </c>
      <c r="C741">
        <v>2019</v>
      </c>
      <c r="D741">
        <v>0</v>
      </c>
      <c r="E741" t="s">
        <v>21</v>
      </c>
      <c r="F741" t="s">
        <v>22</v>
      </c>
      <c r="G741" t="s">
        <v>138</v>
      </c>
      <c r="H741">
        <v>2</v>
      </c>
      <c r="I741">
        <v>95.944599999999994</v>
      </c>
      <c r="J741">
        <v>34.83</v>
      </c>
      <c r="N741">
        <v>4.4999999999999998E-2</v>
      </c>
      <c r="Q741">
        <v>0.8</v>
      </c>
    </row>
    <row r="742" spans="1:18" x14ac:dyDescent="0.2">
      <c r="A742" t="s">
        <v>1382</v>
      </c>
      <c r="B742" t="s">
        <v>1383</v>
      </c>
      <c r="C742">
        <v>2000</v>
      </c>
      <c r="D742">
        <v>0</v>
      </c>
      <c r="E742" t="s">
        <v>21</v>
      </c>
      <c r="F742" t="s">
        <v>22</v>
      </c>
      <c r="G742" t="s">
        <v>32</v>
      </c>
      <c r="H742">
        <v>1</v>
      </c>
      <c r="I742">
        <v>119.27</v>
      </c>
      <c r="J742">
        <v>30.01</v>
      </c>
      <c r="N742">
        <v>1.21</v>
      </c>
      <c r="Q742">
        <v>1.2</v>
      </c>
    </row>
    <row r="743" spans="1:18" x14ac:dyDescent="0.2">
      <c r="A743" t="s">
        <v>1384</v>
      </c>
      <c r="B743" t="s">
        <v>1385</v>
      </c>
      <c r="C743">
        <v>2007</v>
      </c>
      <c r="D743">
        <v>0</v>
      </c>
      <c r="E743" t="s">
        <v>21</v>
      </c>
      <c r="F743" t="s">
        <v>22</v>
      </c>
      <c r="G743" t="s">
        <v>32</v>
      </c>
      <c r="H743">
        <v>2</v>
      </c>
      <c r="I743">
        <v>637.1</v>
      </c>
      <c r="J743">
        <v>114</v>
      </c>
      <c r="N743">
        <v>1.556</v>
      </c>
      <c r="Q743">
        <v>1.27</v>
      </c>
      <c r="R743">
        <v>4.0599999999999996</v>
      </c>
    </row>
    <row r="744" spans="1:18" x14ac:dyDescent="0.2">
      <c r="A744" t="s">
        <v>1384</v>
      </c>
      <c r="B744" t="s">
        <v>1386</v>
      </c>
      <c r="C744">
        <v>2014</v>
      </c>
      <c r="D744">
        <v>0</v>
      </c>
      <c r="E744" t="s">
        <v>21</v>
      </c>
      <c r="F744" t="s">
        <v>22</v>
      </c>
      <c r="G744" t="s">
        <v>32</v>
      </c>
      <c r="H744">
        <v>2</v>
      </c>
      <c r="I744">
        <v>872.2</v>
      </c>
      <c r="J744">
        <v>114</v>
      </c>
      <c r="N744">
        <v>1.0529999999999999</v>
      </c>
      <c r="Q744">
        <v>1.27</v>
      </c>
      <c r="R744">
        <v>4.0599999999999996</v>
      </c>
    </row>
    <row r="745" spans="1:18" x14ac:dyDescent="0.2">
      <c r="A745" t="s">
        <v>1387</v>
      </c>
      <c r="B745" t="s">
        <v>1388</v>
      </c>
      <c r="C745">
        <v>2018</v>
      </c>
      <c r="D745">
        <v>0</v>
      </c>
      <c r="E745" t="s">
        <v>21</v>
      </c>
      <c r="F745" t="s">
        <v>22</v>
      </c>
      <c r="G745" t="s">
        <v>32</v>
      </c>
      <c r="H745">
        <v>1</v>
      </c>
      <c r="I745">
        <v>1827</v>
      </c>
      <c r="J745">
        <v>78.150000000000006</v>
      </c>
      <c r="K745">
        <v>2.64</v>
      </c>
      <c r="N745">
        <v>3.87</v>
      </c>
      <c r="Q745">
        <v>1.29</v>
      </c>
      <c r="R745">
        <v>1.52</v>
      </c>
    </row>
    <row r="746" spans="1:18" x14ac:dyDescent="0.2">
      <c r="A746" t="s">
        <v>1389</v>
      </c>
      <c r="B746" t="s">
        <v>1390</v>
      </c>
      <c r="C746">
        <v>2016</v>
      </c>
      <c r="D746">
        <v>0</v>
      </c>
      <c r="E746" t="s">
        <v>21</v>
      </c>
      <c r="F746" t="s">
        <v>22</v>
      </c>
      <c r="G746" t="s">
        <v>118</v>
      </c>
      <c r="H746">
        <v>1</v>
      </c>
      <c r="I746">
        <v>139.35</v>
      </c>
      <c r="J746">
        <v>221</v>
      </c>
      <c r="K746">
        <v>7.41</v>
      </c>
      <c r="N746">
        <v>5.78</v>
      </c>
      <c r="Q746">
        <v>1.01</v>
      </c>
      <c r="R746">
        <v>9.09</v>
      </c>
    </row>
    <row r="747" spans="1:18" x14ac:dyDescent="0.2">
      <c r="A747" t="s">
        <v>1391</v>
      </c>
      <c r="B747" t="s">
        <v>1392</v>
      </c>
      <c r="C747">
        <v>2012</v>
      </c>
      <c r="D747">
        <v>0</v>
      </c>
      <c r="E747" t="s">
        <v>21</v>
      </c>
      <c r="F747" t="s">
        <v>22</v>
      </c>
      <c r="G747" t="s">
        <v>29</v>
      </c>
      <c r="H747">
        <v>1</v>
      </c>
      <c r="I747">
        <v>779.9</v>
      </c>
      <c r="J747">
        <v>58.21</v>
      </c>
      <c r="N747">
        <v>1.681</v>
      </c>
      <c r="Q747">
        <v>1.53</v>
      </c>
      <c r="R747">
        <v>5.14</v>
      </c>
    </row>
    <row r="748" spans="1:18" x14ac:dyDescent="0.2">
      <c r="A748" t="s">
        <v>1393</v>
      </c>
      <c r="B748" t="s">
        <v>1394</v>
      </c>
      <c r="C748">
        <v>2014</v>
      </c>
      <c r="D748">
        <v>0</v>
      </c>
      <c r="E748" t="s">
        <v>21</v>
      </c>
      <c r="F748" t="s">
        <v>22</v>
      </c>
      <c r="G748" t="s">
        <v>138</v>
      </c>
      <c r="H748">
        <v>1</v>
      </c>
      <c r="I748">
        <v>492.3</v>
      </c>
      <c r="J748">
        <v>53.6</v>
      </c>
      <c r="K748">
        <v>5.5</v>
      </c>
      <c r="N748">
        <v>0.33</v>
      </c>
      <c r="Q748">
        <v>0.96</v>
      </c>
      <c r="R748">
        <v>1.01</v>
      </c>
    </row>
    <row r="749" spans="1:18" x14ac:dyDescent="0.2">
      <c r="A749" t="s">
        <v>1395</v>
      </c>
      <c r="B749" t="s">
        <v>1396</v>
      </c>
      <c r="C749">
        <v>2011</v>
      </c>
      <c r="D749">
        <v>0</v>
      </c>
      <c r="E749" t="s">
        <v>21</v>
      </c>
      <c r="F749" t="s">
        <v>22</v>
      </c>
      <c r="G749" t="s">
        <v>32</v>
      </c>
      <c r="H749">
        <v>1</v>
      </c>
      <c r="I749">
        <v>177.11</v>
      </c>
      <c r="J749">
        <v>285.75</v>
      </c>
      <c r="N749">
        <v>7.63</v>
      </c>
      <c r="Q749">
        <v>1.93</v>
      </c>
      <c r="R749">
        <v>10.64</v>
      </c>
    </row>
    <row r="750" spans="1:18" x14ac:dyDescent="0.2">
      <c r="A750" t="s">
        <v>1397</v>
      </c>
      <c r="B750" t="s">
        <v>1398</v>
      </c>
      <c r="C750">
        <v>2016</v>
      </c>
      <c r="D750">
        <v>0</v>
      </c>
      <c r="E750" t="s">
        <v>21</v>
      </c>
      <c r="F750" t="s">
        <v>22</v>
      </c>
      <c r="G750" t="s">
        <v>46</v>
      </c>
      <c r="H750">
        <v>1</v>
      </c>
      <c r="I750">
        <v>299.36</v>
      </c>
      <c r="J750">
        <v>96.8</v>
      </c>
      <c r="K750">
        <v>1.73</v>
      </c>
      <c r="N750">
        <v>6.92</v>
      </c>
      <c r="Q750">
        <v>1.9</v>
      </c>
      <c r="R750">
        <v>13.2</v>
      </c>
    </row>
    <row r="751" spans="1:18" x14ac:dyDescent="0.2">
      <c r="A751" t="s">
        <v>1399</v>
      </c>
      <c r="B751" t="s">
        <v>1400</v>
      </c>
      <c r="C751">
        <v>2008</v>
      </c>
      <c r="D751">
        <v>0</v>
      </c>
      <c r="E751" t="s">
        <v>21</v>
      </c>
      <c r="F751" t="s">
        <v>22</v>
      </c>
      <c r="G751" t="s">
        <v>138</v>
      </c>
      <c r="H751">
        <v>2</v>
      </c>
      <c r="I751">
        <v>201.9</v>
      </c>
      <c r="J751">
        <v>25.3</v>
      </c>
      <c r="K751">
        <v>2.8</v>
      </c>
      <c r="N751">
        <v>1.06</v>
      </c>
      <c r="Q751">
        <v>1.5</v>
      </c>
      <c r="R751">
        <v>2.57</v>
      </c>
    </row>
    <row r="752" spans="1:18" x14ac:dyDescent="0.2">
      <c r="A752" t="s">
        <v>1399</v>
      </c>
      <c r="B752" t="s">
        <v>1401</v>
      </c>
      <c r="C752">
        <v>2008</v>
      </c>
      <c r="D752">
        <v>0</v>
      </c>
      <c r="E752" t="s">
        <v>21</v>
      </c>
      <c r="F752" t="s">
        <v>22</v>
      </c>
      <c r="G752" t="s">
        <v>138</v>
      </c>
      <c r="H752">
        <v>2</v>
      </c>
      <c r="I752">
        <v>600.1</v>
      </c>
      <c r="J752">
        <v>25.3</v>
      </c>
      <c r="K752">
        <v>2.8</v>
      </c>
      <c r="N752">
        <v>2.5099999999999998</v>
      </c>
      <c r="Q752">
        <v>1.5</v>
      </c>
      <c r="R752">
        <v>2.57</v>
      </c>
    </row>
    <row r="753" spans="1:18" x14ac:dyDescent="0.2">
      <c r="A753" t="s">
        <v>1402</v>
      </c>
      <c r="B753" t="s">
        <v>1403</v>
      </c>
      <c r="C753">
        <v>2006</v>
      </c>
      <c r="D753">
        <v>0</v>
      </c>
      <c r="E753" t="s">
        <v>21</v>
      </c>
      <c r="F753" t="s">
        <v>22</v>
      </c>
      <c r="G753" t="s">
        <v>35</v>
      </c>
      <c r="H753">
        <v>1</v>
      </c>
      <c r="I753">
        <v>589.64</v>
      </c>
      <c r="J753">
        <v>10.34</v>
      </c>
      <c r="K753">
        <v>0.98</v>
      </c>
      <c r="N753">
        <v>2.2999999999999998</v>
      </c>
      <c r="Q753">
        <v>2.1</v>
      </c>
      <c r="R753">
        <v>8.31</v>
      </c>
    </row>
    <row r="754" spans="1:18" x14ac:dyDescent="0.2">
      <c r="A754" t="s">
        <v>1404</v>
      </c>
      <c r="B754" t="s">
        <v>1405</v>
      </c>
      <c r="C754">
        <v>2005</v>
      </c>
      <c r="D754">
        <v>0</v>
      </c>
      <c r="E754" t="s">
        <v>21</v>
      </c>
      <c r="F754" t="s">
        <v>22</v>
      </c>
      <c r="G754" t="s">
        <v>138</v>
      </c>
      <c r="H754">
        <v>1</v>
      </c>
      <c r="I754">
        <v>2.8180499999999999</v>
      </c>
      <c r="J754">
        <v>37.729999999999997</v>
      </c>
      <c r="N754">
        <v>0.25</v>
      </c>
      <c r="Q754">
        <v>0.42</v>
      </c>
      <c r="R754">
        <v>0.77</v>
      </c>
    </row>
    <row r="755" spans="1:18" x14ac:dyDescent="0.2">
      <c r="A755" t="s">
        <v>1406</v>
      </c>
      <c r="B755" t="s">
        <v>1407</v>
      </c>
      <c r="C755">
        <v>2009</v>
      </c>
      <c r="D755">
        <v>0</v>
      </c>
      <c r="E755" t="s">
        <v>21</v>
      </c>
      <c r="F755" t="s">
        <v>22</v>
      </c>
      <c r="G755" t="s">
        <v>138</v>
      </c>
      <c r="H755">
        <v>1</v>
      </c>
      <c r="I755">
        <v>358</v>
      </c>
      <c r="J755">
        <v>32.57</v>
      </c>
      <c r="N755">
        <v>0.53</v>
      </c>
      <c r="Q755">
        <v>0.65</v>
      </c>
      <c r="R755">
        <v>0.83</v>
      </c>
    </row>
    <row r="756" spans="1:18" x14ac:dyDescent="0.2">
      <c r="A756" t="s">
        <v>1408</v>
      </c>
      <c r="B756" t="s">
        <v>1409</v>
      </c>
      <c r="C756">
        <v>2019</v>
      </c>
      <c r="D756">
        <v>0</v>
      </c>
      <c r="E756" t="s">
        <v>21</v>
      </c>
      <c r="F756" t="s">
        <v>22</v>
      </c>
      <c r="G756" t="s">
        <v>629</v>
      </c>
      <c r="H756">
        <v>1</v>
      </c>
      <c r="I756">
        <v>45.790999999999997</v>
      </c>
      <c r="J756">
        <v>31.55</v>
      </c>
      <c r="N756">
        <v>5.6000000000000001E-2</v>
      </c>
      <c r="Q756">
        <v>0.95</v>
      </c>
    </row>
    <row r="757" spans="1:18" x14ac:dyDescent="0.2">
      <c r="A757" t="s">
        <v>1410</v>
      </c>
      <c r="B757" t="s">
        <v>1411</v>
      </c>
      <c r="C757">
        <v>2003</v>
      </c>
      <c r="D757">
        <v>0</v>
      </c>
      <c r="E757" t="s">
        <v>21</v>
      </c>
      <c r="F757" t="s">
        <v>22</v>
      </c>
      <c r="G757" t="s">
        <v>138</v>
      </c>
      <c r="H757">
        <v>1</v>
      </c>
      <c r="I757">
        <v>21.998000000000001</v>
      </c>
      <c r="J757">
        <v>42.41</v>
      </c>
      <c r="N757">
        <v>0.49</v>
      </c>
      <c r="Q757">
        <v>1.1000000000000001</v>
      </c>
      <c r="R757">
        <v>1.1200000000000001</v>
      </c>
    </row>
    <row r="758" spans="1:18" x14ac:dyDescent="0.2">
      <c r="A758" t="s">
        <v>1412</v>
      </c>
      <c r="B758" t="s">
        <v>1413</v>
      </c>
      <c r="C758">
        <v>2003</v>
      </c>
      <c r="D758">
        <v>0</v>
      </c>
      <c r="E758" t="s">
        <v>21</v>
      </c>
      <c r="F758" t="s">
        <v>22</v>
      </c>
      <c r="G758" t="s">
        <v>138</v>
      </c>
      <c r="H758">
        <v>2</v>
      </c>
      <c r="I758">
        <v>577.6</v>
      </c>
      <c r="J758">
        <v>35.159999999999997</v>
      </c>
      <c r="N758">
        <v>1.2949999999999999</v>
      </c>
      <c r="Q758">
        <v>0.87</v>
      </c>
    </row>
    <row r="759" spans="1:18" x14ac:dyDescent="0.2">
      <c r="A759" t="s">
        <v>1412</v>
      </c>
      <c r="B759" t="s">
        <v>1414</v>
      </c>
      <c r="C759">
        <v>2013</v>
      </c>
      <c r="D759">
        <v>0</v>
      </c>
      <c r="E759" t="s">
        <v>21</v>
      </c>
      <c r="F759" t="s">
        <v>22</v>
      </c>
      <c r="G759" t="s">
        <v>138</v>
      </c>
      <c r="H759">
        <v>2</v>
      </c>
      <c r="I759">
        <v>5370</v>
      </c>
      <c r="J759">
        <v>35.159999999999997</v>
      </c>
      <c r="N759">
        <v>2.0299999999999998</v>
      </c>
      <c r="Q759">
        <v>0.87</v>
      </c>
    </row>
    <row r="760" spans="1:18" x14ac:dyDescent="0.2">
      <c r="A760" t="s">
        <v>1415</v>
      </c>
      <c r="B760" t="s">
        <v>1416</v>
      </c>
      <c r="C760">
        <v>2012</v>
      </c>
      <c r="D760">
        <v>0</v>
      </c>
      <c r="E760" t="s">
        <v>21</v>
      </c>
      <c r="F760" t="s">
        <v>22</v>
      </c>
      <c r="G760" t="s">
        <v>105</v>
      </c>
      <c r="H760">
        <v>1</v>
      </c>
      <c r="I760">
        <v>480.5</v>
      </c>
      <c r="J760">
        <v>68.16</v>
      </c>
      <c r="K760">
        <v>6.84</v>
      </c>
      <c r="N760">
        <v>6</v>
      </c>
      <c r="Q760">
        <v>1.1000000000000001</v>
      </c>
      <c r="R760">
        <v>21.4</v>
      </c>
    </row>
    <row r="761" spans="1:18" x14ac:dyDescent="0.2">
      <c r="A761" t="s">
        <v>1417</v>
      </c>
      <c r="B761" t="s">
        <v>1418</v>
      </c>
      <c r="C761">
        <v>2005</v>
      </c>
      <c r="D761">
        <v>0</v>
      </c>
      <c r="E761" t="s">
        <v>21</v>
      </c>
      <c r="F761" t="s">
        <v>22</v>
      </c>
      <c r="G761" t="s">
        <v>32</v>
      </c>
      <c r="H761">
        <v>1</v>
      </c>
      <c r="I761">
        <v>1973</v>
      </c>
      <c r="J761">
        <v>53.36</v>
      </c>
      <c r="N761">
        <v>2.64</v>
      </c>
      <c r="Q761">
        <v>1</v>
      </c>
      <c r="R761">
        <v>1.1299999999999999</v>
      </c>
    </row>
    <row r="762" spans="1:18" x14ac:dyDescent="0.2">
      <c r="A762" t="s">
        <v>1419</v>
      </c>
      <c r="B762" t="s">
        <v>1420</v>
      </c>
      <c r="C762">
        <v>2015</v>
      </c>
      <c r="D762">
        <v>0</v>
      </c>
      <c r="E762" t="s">
        <v>21</v>
      </c>
      <c r="F762" t="s">
        <v>22</v>
      </c>
      <c r="G762" t="s">
        <v>35</v>
      </c>
      <c r="H762">
        <v>2</v>
      </c>
      <c r="I762">
        <v>352.2</v>
      </c>
      <c r="J762">
        <v>76.69</v>
      </c>
      <c r="K762">
        <v>1.45</v>
      </c>
      <c r="N762">
        <v>3.06</v>
      </c>
      <c r="Q762">
        <v>1.36</v>
      </c>
      <c r="R762">
        <v>1.55</v>
      </c>
    </row>
    <row r="763" spans="1:18" x14ac:dyDescent="0.2">
      <c r="A763" t="s">
        <v>1419</v>
      </c>
      <c r="B763" t="s">
        <v>1421</v>
      </c>
      <c r="C763">
        <v>2015</v>
      </c>
      <c r="D763">
        <v>0</v>
      </c>
      <c r="E763" t="s">
        <v>21</v>
      </c>
      <c r="F763" t="s">
        <v>22</v>
      </c>
      <c r="G763" t="s">
        <v>35</v>
      </c>
      <c r="H763">
        <v>2</v>
      </c>
      <c r="I763">
        <v>2374</v>
      </c>
      <c r="J763">
        <v>76.69</v>
      </c>
      <c r="K763">
        <v>1.45</v>
      </c>
      <c r="N763">
        <v>4.8499999999999996</v>
      </c>
      <c r="Q763">
        <v>1.36</v>
      </c>
      <c r="R763">
        <v>1.55</v>
      </c>
    </row>
    <row r="764" spans="1:18" x14ac:dyDescent="0.2">
      <c r="A764" t="s">
        <v>1422</v>
      </c>
      <c r="B764" t="s">
        <v>1423</v>
      </c>
      <c r="C764">
        <v>2009</v>
      </c>
      <c r="D764">
        <v>0</v>
      </c>
      <c r="E764" t="s">
        <v>21</v>
      </c>
      <c r="F764" t="s">
        <v>22</v>
      </c>
      <c r="G764" t="s">
        <v>138</v>
      </c>
      <c r="H764">
        <v>1</v>
      </c>
      <c r="I764">
        <v>2496</v>
      </c>
      <c r="J764">
        <v>54.9</v>
      </c>
      <c r="N764">
        <v>1.68</v>
      </c>
      <c r="Q764">
        <v>1.08</v>
      </c>
      <c r="R764">
        <v>0.95</v>
      </c>
    </row>
    <row r="765" spans="1:18" x14ac:dyDescent="0.2">
      <c r="A765" t="s">
        <v>1424</v>
      </c>
      <c r="B765" t="s">
        <v>1425</v>
      </c>
      <c r="C765">
        <v>2016</v>
      </c>
      <c r="D765">
        <v>0</v>
      </c>
      <c r="E765" t="s">
        <v>21</v>
      </c>
      <c r="F765" t="s">
        <v>22</v>
      </c>
      <c r="G765" t="s">
        <v>35</v>
      </c>
      <c r="H765">
        <v>1</v>
      </c>
      <c r="I765">
        <v>1103</v>
      </c>
      <c r="J765">
        <v>78</v>
      </c>
      <c r="K765">
        <v>2</v>
      </c>
      <c r="N765">
        <v>3.07</v>
      </c>
      <c r="Q765">
        <v>1.1200000000000001</v>
      </c>
      <c r="R765">
        <v>1.02</v>
      </c>
    </row>
    <row r="766" spans="1:18" x14ac:dyDescent="0.2">
      <c r="A766" t="s">
        <v>1426</v>
      </c>
      <c r="B766" t="s">
        <v>1427</v>
      </c>
      <c r="C766">
        <v>2001</v>
      </c>
      <c r="D766">
        <v>0</v>
      </c>
      <c r="E766" t="s">
        <v>21</v>
      </c>
      <c r="F766" t="s">
        <v>22</v>
      </c>
      <c r="G766" t="s">
        <v>35</v>
      </c>
      <c r="H766">
        <v>1</v>
      </c>
      <c r="I766">
        <v>6.2771100000000004</v>
      </c>
      <c r="J766">
        <v>60.95</v>
      </c>
      <c r="N766">
        <v>1.97</v>
      </c>
      <c r="Q766">
        <v>1.28</v>
      </c>
      <c r="R766">
        <v>1.19</v>
      </c>
    </row>
    <row r="767" spans="1:18" x14ac:dyDescent="0.2">
      <c r="A767" t="s">
        <v>1428</v>
      </c>
      <c r="B767" t="s">
        <v>1429</v>
      </c>
      <c r="C767">
        <v>2006</v>
      </c>
      <c r="D767">
        <v>0</v>
      </c>
      <c r="E767" t="s">
        <v>21</v>
      </c>
      <c r="F767" t="s">
        <v>22</v>
      </c>
      <c r="G767" t="s">
        <v>138</v>
      </c>
      <c r="H767">
        <v>3</v>
      </c>
      <c r="I767">
        <v>8.6669999999999998</v>
      </c>
      <c r="J767">
        <v>12.56</v>
      </c>
      <c r="K767">
        <v>7</v>
      </c>
      <c r="N767">
        <v>3.2099999999999997E-2</v>
      </c>
      <c r="Q767">
        <v>0.86</v>
      </c>
    </row>
    <row r="768" spans="1:18" x14ac:dyDescent="0.2">
      <c r="A768" t="s">
        <v>1428</v>
      </c>
      <c r="B768" t="s">
        <v>1430</v>
      </c>
      <c r="C768">
        <v>2006</v>
      </c>
      <c r="D768">
        <v>0</v>
      </c>
      <c r="E768" t="s">
        <v>21</v>
      </c>
      <c r="F768" t="s">
        <v>22</v>
      </c>
      <c r="G768" t="s">
        <v>138</v>
      </c>
      <c r="H768">
        <v>3</v>
      </c>
      <c r="I768">
        <v>31.56</v>
      </c>
      <c r="J768">
        <v>12.56</v>
      </c>
      <c r="K768">
        <v>7</v>
      </c>
      <c r="N768">
        <v>3.7100000000000001E-2</v>
      </c>
      <c r="Q768">
        <v>0.86</v>
      </c>
    </row>
    <row r="769" spans="1:18" x14ac:dyDescent="0.2">
      <c r="A769" t="s">
        <v>1428</v>
      </c>
      <c r="B769" t="s">
        <v>1431</v>
      </c>
      <c r="C769">
        <v>2006</v>
      </c>
      <c r="D769">
        <v>0</v>
      </c>
      <c r="E769" t="s">
        <v>21</v>
      </c>
      <c r="F769" t="s">
        <v>22</v>
      </c>
      <c r="G769" t="s">
        <v>138</v>
      </c>
      <c r="H769">
        <v>3</v>
      </c>
      <c r="I769">
        <v>197</v>
      </c>
      <c r="J769">
        <v>12.56</v>
      </c>
      <c r="K769">
        <v>7</v>
      </c>
      <c r="N769">
        <v>5.7000000000000002E-2</v>
      </c>
      <c r="Q769">
        <v>0.86</v>
      </c>
    </row>
    <row r="770" spans="1:18" x14ac:dyDescent="0.2">
      <c r="A770" t="s">
        <v>1432</v>
      </c>
      <c r="B770" t="s">
        <v>1433</v>
      </c>
      <c r="C770">
        <v>2007</v>
      </c>
      <c r="D770">
        <v>0</v>
      </c>
      <c r="E770" t="s">
        <v>21</v>
      </c>
      <c r="F770" t="s">
        <v>22</v>
      </c>
      <c r="G770" t="s">
        <v>138</v>
      </c>
      <c r="H770">
        <v>1</v>
      </c>
      <c r="I770">
        <v>851.8</v>
      </c>
      <c r="J770">
        <v>45.7</v>
      </c>
      <c r="K770">
        <v>0.10199999999999999</v>
      </c>
      <c r="N770">
        <v>6.1</v>
      </c>
      <c r="Q770">
        <v>1</v>
      </c>
    </row>
    <row r="771" spans="1:18" x14ac:dyDescent="0.2">
      <c r="A771" t="s">
        <v>1434</v>
      </c>
      <c r="B771" t="s">
        <v>1435</v>
      </c>
      <c r="C771">
        <v>2003</v>
      </c>
      <c r="D771">
        <v>0</v>
      </c>
      <c r="E771" t="s">
        <v>21</v>
      </c>
      <c r="F771" t="s">
        <v>22</v>
      </c>
      <c r="G771" t="s">
        <v>98</v>
      </c>
      <c r="H771">
        <v>1</v>
      </c>
      <c r="I771">
        <v>2068</v>
      </c>
      <c r="J771">
        <v>29.3</v>
      </c>
      <c r="N771">
        <v>1.85</v>
      </c>
      <c r="Q771">
        <v>0.96</v>
      </c>
      <c r="R771">
        <v>1.02</v>
      </c>
    </row>
    <row r="772" spans="1:18" x14ac:dyDescent="0.2">
      <c r="A772" t="s">
        <v>1436</v>
      </c>
      <c r="B772" t="s">
        <v>1437</v>
      </c>
      <c r="C772">
        <v>2011</v>
      </c>
      <c r="D772">
        <v>0</v>
      </c>
      <c r="E772" t="s">
        <v>21</v>
      </c>
      <c r="F772" t="s">
        <v>22</v>
      </c>
      <c r="G772" t="s">
        <v>138</v>
      </c>
      <c r="H772">
        <v>1</v>
      </c>
      <c r="I772">
        <v>615</v>
      </c>
      <c r="J772">
        <v>36.19</v>
      </c>
      <c r="N772">
        <v>0.27</v>
      </c>
      <c r="Q772">
        <v>0.77</v>
      </c>
      <c r="R772">
        <v>0.97</v>
      </c>
    </row>
    <row r="773" spans="1:18" x14ac:dyDescent="0.2">
      <c r="A773" t="s">
        <v>1438</v>
      </c>
      <c r="B773" t="s">
        <v>1439</v>
      </c>
      <c r="C773">
        <v>2018</v>
      </c>
      <c r="D773">
        <v>0</v>
      </c>
      <c r="E773" t="s">
        <v>21</v>
      </c>
      <c r="F773" t="s">
        <v>22</v>
      </c>
      <c r="G773" t="s">
        <v>32</v>
      </c>
      <c r="H773">
        <v>1</v>
      </c>
      <c r="I773">
        <v>858</v>
      </c>
      <c r="J773">
        <v>126.79</v>
      </c>
      <c r="N773">
        <v>1.768</v>
      </c>
      <c r="Q773">
        <v>1.21</v>
      </c>
      <c r="R773">
        <v>4.96</v>
      </c>
    </row>
    <row r="774" spans="1:18" x14ac:dyDescent="0.2">
      <c r="A774" t="s">
        <v>1440</v>
      </c>
      <c r="B774" t="s">
        <v>1441</v>
      </c>
      <c r="C774">
        <v>2002</v>
      </c>
      <c r="D774">
        <v>0</v>
      </c>
      <c r="E774" t="s">
        <v>21</v>
      </c>
      <c r="F774" t="s">
        <v>22</v>
      </c>
      <c r="G774" t="s">
        <v>32</v>
      </c>
      <c r="H774">
        <v>1</v>
      </c>
      <c r="I774">
        <v>3658</v>
      </c>
      <c r="J774">
        <v>51.4</v>
      </c>
      <c r="N774">
        <v>3.85</v>
      </c>
      <c r="Q774">
        <v>1.43</v>
      </c>
      <c r="R774">
        <v>1.46</v>
      </c>
    </row>
    <row r="775" spans="1:18" x14ac:dyDescent="0.2">
      <c r="A775" t="s">
        <v>1442</v>
      </c>
      <c r="B775" t="s">
        <v>1443</v>
      </c>
      <c r="C775">
        <v>2016</v>
      </c>
      <c r="D775">
        <v>0</v>
      </c>
      <c r="E775" t="s">
        <v>21</v>
      </c>
      <c r="F775" t="s">
        <v>22</v>
      </c>
      <c r="G775" t="s">
        <v>35</v>
      </c>
      <c r="H775">
        <v>1</v>
      </c>
      <c r="I775">
        <v>39.475000000000001</v>
      </c>
      <c r="J775">
        <v>72.78</v>
      </c>
      <c r="K775">
        <v>8</v>
      </c>
      <c r="N775">
        <v>5.45</v>
      </c>
      <c r="Q775">
        <v>1.02</v>
      </c>
      <c r="R775">
        <v>1.22</v>
      </c>
    </row>
    <row r="776" spans="1:18" x14ac:dyDescent="0.2">
      <c r="A776" t="s">
        <v>1444</v>
      </c>
      <c r="B776" t="s">
        <v>1445</v>
      </c>
      <c r="C776">
        <v>2008</v>
      </c>
      <c r="D776">
        <v>0</v>
      </c>
      <c r="E776" t="s">
        <v>21</v>
      </c>
      <c r="F776" t="s">
        <v>22</v>
      </c>
      <c r="G776" t="s">
        <v>138</v>
      </c>
      <c r="H776">
        <v>1</v>
      </c>
      <c r="I776">
        <v>1260</v>
      </c>
      <c r="J776">
        <v>54.91</v>
      </c>
      <c r="K776">
        <v>7.4</v>
      </c>
      <c r="N776">
        <v>3.06</v>
      </c>
      <c r="Q776">
        <v>0.89</v>
      </c>
      <c r="R776">
        <v>1.04</v>
      </c>
    </row>
    <row r="777" spans="1:18" x14ac:dyDescent="0.2">
      <c r="A777" t="s">
        <v>1446</v>
      </c>
      <c r="B777" t="s">
        <v>1447</v>
      </c>
      <c r="C777">
        <v>2002</v>
      </c>
      <c r="D777">
        <v>0</v>
      </c>
      <c r="E777" t="s">
        <v>21</v>
      </c>
      <c r="F777" t="s">
        <v>22</v>
      </c>
      <c r="G777" t="s">
        <v>98</v>
      </c>
      <c r="H777">
        <v>2</v>
      </c>
      <c r="I777">
        <v>188.3</v>
      </c>
      <c r="J777">
        <v>97.51</v>
      </c>
      <c r="N777">
        <v>3.08</v>
      </c>
      <c r="Q777">
        <v>1.1399999999999999</v>
      </c>
      <c r="R777">
        <v>1.53</v>
      </c>
    </row>
    <row r="778" spans="1:18" x14ac:dyDescent="0.2">
      <c r="A778" t="s">
        <v>1446</v>
      </c>
      <c r="B778" t="s">
        <v>1448</v>
      </c>
      <c r="C778">
        <v>2005</v>
      </c>
      <c r="D778">
        <v>0</v>
      </c>
      <c r="E778" t="s">
        <v>21</v>
      </c>
      <c r="F778" t="s">
        <v>22</v>
      </c>
      <c r="G778" t="s">
        <v>98</v>
      </c>
      <c r="H778">
        <v>2</v>
      </c>
      <c r="I778">
        <v>379.1</v>
      </c>
      <c r="J778">
        <v>97.51</v>
      </c>
      <c r="N778">
        <v>2.25</v>
      </c>
      <c r="Q778">
        <v>1.1399999999999999</v>
      </c>
      <c r="R778">
        <v>1.53</v>
      </c>
    </row>
    <row r="779" spans="1:18" x14ac:dyDescent="0.2">
      <c r="A779" t="s">
        <v>1449</v>
      </c>
      <c r="B779" t="s">
        <v>1450</v>
      </c>
      <c r="C779">
        <v>2008</v>
      </c>
      <c r="D779">
        <v>0</v>
      </c>
      <c r="E779" t="s">
        <v>21</v>
      </c>
      <c r="F779" t="s">
        <v>22</v>
      </c>
      <c r="G779" t="s">
        <v>32</v>
      </c>
      <c r="H779">
        <v>1</v>
      </c>
      <c r="I779">
        <v>1750</v>
      </c>
      <c r="J779">
        <v>81</v>
      </c>
      <c r="N779">
        <v>1.1120000000000001</v>
      </c>
      <c r="Q779">
        <v>1.1599999999999999</v>
      </c>
      <c r="R779">
        <v>2.58</v>
      </c>
    </row>
    <row r="780" spans="1:18" x14ac:dyDescent="0.2">
      <c r="A780" t="s">
        <v>1451</v>
      </c>
      <c r="B780" t="s">
        <v>1452</v>
      </c>
      <c r="C780">
        <v>2003</v>
      </c>
      <c r="D780">
        <v>0</v>
      </c>
      <c r="E780" t="s">
        <v>21</v>
      </c>
      <c r="F780" t="s">
        <v>22</v>
      </c>
      <c r="G780" t="s">
        <v>82</v>
      </c>
      <c r="H780">
        <v>2</v>
      </c>
      <c r="I780">
        <v>51.645000000000003</v>
      </c>
      <c r="J780">
        <v>64.599999999999994</v>
      </c>
      <c r="N780">
        <v>1.8</v>
      </c>
      <c r="Q780">
        <v>1.24</v>
      </c>
    </row>
    <row r="781" spans="1:18" x14ac:dyDescent="0.2">
      <c r="A781" t="s">
        <v>1451</v>
      </c>
      <c r="B781" t="s">
        <v>1453</v>
      </c>
      <c r="C781">
        <v>2003</v>
      </c>
      <c r="D781">
        <v>0</v>
      </c>
      <c r="E781" t="s">
        <v>21</v>
      </c>
      <c r="F781" t="s">
        <v>22</v>
      </c>
      <c r="G781" t="s">
        <v>82</v>
      </c>
      <c r="H781">
        <v>2</v>
      </c>
      <c r="I781">
        <v>2473</v>
      </c>
      <c r="J781">
        <v>64.599999999999994</v>
      </c>
      <c r="N781">
        <v>8.06</v>
      </c>
      <c r="Q781">
        <v>1.24</v>
      </c>
    </row>
    <row r="782" spans="1:18" x14ac:dyDescent="0.2">
      <c r="A782" t="s">
        <v>1454</v>
      </c>
      <c r="B782" t="s">
        <v>1455</v>
      </c>
      <c r="C782">
        <v>2011</v>
      </c>
      <c r="D782">
        <v>0</v>
      </c>
      <c r="E782" t="s">
        <v>21</v>
      </c>
      <c r="F782" t="s">
        <v>22</v>
      </c>
      <c r="G782" t="s">
        <v>138</v>
      </c>
      <c r="H782">
        <v>1</v>
      </c>
      <c r="I782">
        <v>1255.5</v>
      </c>
      <c r="J782">
        <v>38.71</v>
      </c>
      <c r="N782">
        <v>0.50800000000000001</v>
      </c>
      <c r="Q782">
        <v>1.05</v>
      </c>
    </row>
    <row r="783" spans="1:18" x14ac:dyDescent="0.2">
      <c r="A783" t="s">
        <v>1456</v>
      </c>
      <c r="B783" t="s">
        <v>1457</v>
      </c>
      <c r="C783">
        <v>1999</v>
      </c>
      <c r="D783">
        <v>0</v>
      </c>
      <c r="E783" t="s">
        <v>21</v>
      </c>
      <c r="F783" t="s">
        <v>22</v>
      </c>
      <c r="G783" t="s">
        <v>138</v>
      </c>
      <c r="H783">
        <v>1</v>
      </c>
      <c r="I783">
        <v>3.5092699999999999</v>
      </c>
      <c r="J783">
        <v>29.14</v>
      </c>
      <c r="N783">
        <v>0.49</v>
      </c>
      <c r="Q783">
        <v>1.29</v>
      </c>
      <c r="R783">
        <v>1.23</v>
      </c>
    </row>
    <row r="784" spans="1:18" x14ac:dyDescent="0.2">
      <c r="A784" t="s">
        <v>1458</v>
      </c>
      <c r="B784" t="s">
        <v>1459</v>
      </c>
      <c r="C784">
        <v>2014</v>
      </c>
      <c r="D784">
        <v>0</v>
      </c>
      <c r="E784" t="s">
        <v>21</v>
      </c>
      <c r="F784" t="s">
        <v>22</v>
      </c>
      <c r="G784" t="s">
        <v>32</v>
      </c>
      <c r="H784">
        <v>2</v>
      </c>
      <c r="I784">
        <v>341.2</v>
      </c>
      <c r="J784">
        <v>68.7</v>
      </c>
      <c r="N784">
        <v>1</v>
      </c>
      <c r="Q784">
        <v>1.26</v>
      </c>
      <c r="R784">
        <v>3.4</v>
      </c>
    </row>
    <row r="785" spans="1:19" x14ac:dyDescent="0.2">
      <c r="A785" t="s">
        <v>1458</v>
      </c>
      <c r="B785" t="s">
        <v>1460</v>
      </c>
      <c r="C785">
        <v>2018</v>
      </c>
      <c r="D785">
        <v>0</v>
      </c>
      <c r="E785" t="s">
        <v>21</v>
      </c>
      <c r="F785" t="s">
        <v>22</v>
      </c>
      <c r="G785" t="s">
        <v>32</v>
      </c>
      <c r="H785">
        <v>2</v>
      </c>
      <c r="I785">
        <v>7900</v>
      </c>
      <c r="J785">
        <v>68.7</v>
      </c>
      <c r="N785">
        <v>5.64</v>
      </c>
      <c r="Q785">
        <v>1.26</v>
      </c>
      <c r="R785">
        <v>3.4</v>
      </c>
    </row>
    <row r="786" spans="1:19" x14ac:dyDescent="0.2">
      <c r="A786" t="s">
        <v>1461</v>
      </c>
      <c r="B786" t="s">
        <v>1462</v>
      </c>
      <c r="C786">
        <v>2007</v>
      </c>
      <c r="D786">
        <v>0</v>
      </c>
      <c r="E786" t="s">
        <v>21</v>
      </c>
      <c r="F786" t="s">
        <v>22</v>
      </c>
      <c r="G786" t="s">
        <v>32</v>
      </c>
      <c r="H786">
        <v>1</v>
      </c>
      <c r="I786">
        <v>422.9</v>
      </c>
      <c r="J786">
        <v>78.23</v>
      </c>
      <c r="K786">
        <v>3.56</v>
      </c>
      <c r="N786">
        <v>2.71</v>
      </c>
      <c r="Q786">
        <v>1.26</v>
      </c>
      <c r="R786">
        <v>1.58</v>
      </c>
    </row>
    <row r="787" spans="1:19" x14ac:dyDescent="0.2">
      <c r="A787" t="s">
        <v>1463</v>
      </c>
      <c r="B787" t="s">
        <v>1464</v>
      </c>
      <c r="C787">
        <v>2002</v>
      </c>
      <c r="D787">
        <v>0</v>
      </c>
      <c r="E787" t="s">
        <v>21</v>
      </c>
      <c r="F787" t="s">
        <v>22</v>
      </c>
      <c r="G787" t="s">
        <v>98</v>
      </c>
      <c r="H787">
        <v>1</v>
      </c>
      <c r="I787">
        <v>3.9709699999999999</v>
      </c>
      <c r="J787">
        <v>60.99</v>
      </c>
      <c r="N787">
        <v>0.21</v>
      </c>
      <c r="Q787">
        <v>0.99</v>
      </c>
      <c r="R787">
        <v>1.37</v>
      </c>
    </row>
    <row r="788" spans="1:19" x14ac:dyDescent="0.2">
      <c r="A788" t="s">
        <v>1465</v>
      </c>
      <c r="B788" t="s">
        <v>1466</v>
      </c>
      <c r="C788">
        <v>2017</v>
      </c>
      <c r="D788">
        <v>0</v>
      </c>
      <c r="E788" t="s">
        <v>21</v>
      </c>
      <c r="F788" t="s">
        <v>22</v>
      </c>
      <c r="G788" t="s">
        <v>35</v>
      </c>
      <c r="H788">
        <v>1</v>
      </c>
      <c r="I788">
        <v>415.4</v>
      </c>
      <c r="J788">
        <v>184.8</v>
      </c>
      <c r="K788">
        <v>7.1</v>
      </c>
      <c r="N788">
        <v>3.93</v>
      </c>
      <c r="Q788">
        <v>1.17</v>
      </c>
      <c r="R788">
        <v>7.47</v>
      </c>
    </row>
    <row r="789" spans="1:19" x14ac:dyDescent="0.2">
      <c r="A789" t="s">
        <v>1467</v>
      </c>
      <c r="B789" t="s">
        <v>1468</v>
      </c>
      <c r="C789">
        <v>2012</v>
      </c>
      <c r="D789">
        <v>0</v>
      </c>
      <c r="E789" t="s">
        <v>21</v>
      </c>
      <c r="F789" t="s">
        <v>22</v>
      </c>
      <c r="G789" t="s">
        <v>138</v>
      </c>
      <c r="H789">
        <v>1</v>
      </c>
      <c r="I789">
        <v>5.7361000000000004</v>
      </c>
      <c r="J789">
        <v>46</v>
      </c>
      <c r="N789">
        <v>0.06</v>
      </c>
      <c r="Q789">
        <v>1.37</v>
      </c>
      <c r="R789">
        <v>0.97</v>
      </c>
    </row>
    <row r="790" spans="1:19" x14ac:dyDescent="0.2">
      <c r="A790" t="s">
        <v>1469</v>
      </c>
      <c r="B790" t="s">
        <v>1470</v>
      </c>
      <c r="C790">
        <v>2008</v>
      </c>
      <c r="D790">
        <v>0</v>
      </c>
      <c r="E790" t="s">
        <v>21</v>
      </c>
      <c r="F790" t="s">
        <v>22</v>
      </c>
      <c r="G790" t="s">
        <v>32</v>
      </c>
      <c r="H790">
        <v>3</v>
      </c>
      <c r="I790">
        <v>5.3979200000000001</v>
      </c>
      <c r="J790">
        <v>16.82</v>
      </c>
      <c r="N790">
        <v>0.02</v>
      </c>
      <c r="Q790">
        <v>0.65</v>
      </c>
      <c r="R790">
        <v>0.78</v>
      </c>
    </row>
    <row r="791" spans="1:19" x14ac:dyDescent="0.2">
      <c r="A791" t="s">
        <v>1469</v>
      </c>
      <c r="B791" t="s">
        <v>1471</v>
      </c>
      <c r="C791">
        <v>2015</v>
      </c>
      <c r="D791">
        <v>0</v>
      </c>
      <c r="E791" t="s">
        <v>21</v>
      </c>
      <c r="F791" t="s">
        <v>22</v>
      </c>
      <c r="G791" t="s">
        <v>32</v>
      </c>
      <c r="H791">
        <v>3</v>
      </c>
      <c r="I791">
        <v>15.298999999999999</v>
      </c>
      <c r="J791">
        <v>16.82</v>
      </c>
      <c r="N791">
        <v>2.4729999999999999E-2</v>
      </c>
      <c r="Q791">
        <v>0.65</v>
      </c>
      <c r="R791">
        <v>0.78</v>
      </c>
    </row>
    <row r="792" spans="1:19" x14ac:dyDescent="0.2">
      <c r="A792" t="s">
        <v>1469</v>
      </c>
      <c r="B792" t="s">
        <v>1472</v>
      </c>
      <c r="C792">
        <v>2015</v>
      </c>
      <c r="D792">
        <v>0</v>
      </c>
      <c r="E792" t="s">
        <v>21</v>
      </c>
      <c r="F792" t="s">
        <v>22</v>
      </c>
      <c r="G792" t="s">
        <v>32</v>
      </c>
      <c r="H792">
        <v>3</v>
      </c>
      <c r="I792">
        <v>24.451000000000001</v>
      </c>
      <c r="J792">
        <v>16.82</v>
      </c>
      <c r="N792">
        <v>2.026E-2</v>
      </c>
      <c r="Q792">
        <v>0.65</v>
      </c>
      <c r="R792">
        <v>0.78</v>
      </c>
    </row>
    <row r="793" spans="1:19" x14ac:dyDescent="0.2">
      <c r="A793" t="s">
        <v>1473</v>
      </c>
      <c r="B793" t="s">
        <v>1474</v>
      </c>
      <c r="C793">
        <v>2011</v>
      </c>
      <c r="D793">
        <v>0</v>
      </c>
      <c r="E793" t="s">
        <v>21</v>
      </c>
      <c r="F793" t="s">
        <v>22</v>
      </c>
      <c r="G793" t="s">
        <v>86</v>
      </c>
      <c r="H793">
        <v>1</v>
      </c>
      <c r="I793">
        <v>1807</v>
      </c>
      <c r="J793">
        <v>49</v>
      </c>
      <c r="K793">
        <v>2.71</v>
      </c>
      <c r="N793">
        <v>1.34</v>
      </c>
      <c r="Q793">
        <v>1.08</v>
      </c>
      <c r="R793">
        <v>1.05</v>
      </c>
    </row>
    <row r="794" spans="1:19" x14ac:dyDescent="0.2">
      <c r="A794" t="s">
        <v>1475</v>
      </c>
      <c r="B794" t="s">
        <v>1476</v>
      </c>
      <c r="C794">
        <v>2001</v>
      </c>
      <c r="D794">
        <v>0</v>
      </c>
      <c r="E794" t="s">
        <v>21</v>
      </c>
      <c r="F794" t="s">
        <v>22</v>
      </c>
      <c r="G794" t="s">
        <v>35</v>
      </c>
      <c r="H794">
        <v>1</v>
      </c>
      <c r="I794">
        <v>111.4367</v>
      </c>
      <c r="J794">
        <v>66.599999999999994</v>
      </c>
      <c r="L794">
        <v>1392.0953999999999</v>
      </c>
      <c r="M794">
        <v>11.994</v>
      </c>
      <c r="N794">
        <v>4.38</v>
      </c>
      <c r="O794">
        <v>1.07</v>
      </c>
      <c r="Q794">
        <v>1.1499999999999999</v>
      </c>
      <c r="R794">
        <v>1.04</v>
      </c>
      <c r="S794">
        <v>1.45</v>
      </c>
    </row>
    <row r="795" spans="1:19" x14ac:dyDescent="0.2">
      <c r="A795" t="s">
        <v>1477</v>
      </c>
      <c r="B795" t="s">
        <v>1478</v>
      </c>
      <c r="C795">
        <v>2005</v>
      </c>
      <c r="D795">
        <v>0</v>
      </c>
      <c r="E795" t="s">
        <v>21</v>
      </c>
      <c r="F795" t="s">
        <v>22</v>
      </c>
      <c r="G795" t="s">
        <v>35</v>
      </c>
      <c r="H795">
        <v>1</v>
      </c>
      <c r="I795">
        <v>1001.70001</v>
      </c>
      <c r="J795">
        <v>34.47</v>
      </c>
      <c r="N795">
        <v>7.27</v>
      </c>
      <c r="Q795">
        <v>1.05</v>
      </c>
      <c r="R795">
        <v>0.91</v>
      </c>
    </row>
    <row r="796" spans="1:19" x14ac:dyDescent="0.2">
      <c r="A796" t="s">
        <v>1479</v>
      </c>
      <c r="B796" t="s">
        <v>1480</v>
      </c>
      <c r="C796">
        <v>2007</v>
      </c>
      <c r="D796">
        <v>0</v>
      </c>
      <c r="E796" t="s">
        <v>21</v>
      </c>
      <c r="F796" t="s">
        <v>22</v>
      </c>
      <c r="G796" t="s">
        <v>29</v>
      </c>
      <c r="H796">
        <v>1</v>
      </c>
      <c r="I796">
        <v>184.02</v>
      </c>
      <c r="J796">
        <v>85.92</v>
      </c>
      <c r="N796">
        <v>2.7</v>
      </c>
      <c r="Q796">
        <v>2.1</v>
      </c>
      <c r="R796">
        <v>13</v>
      </c>
    </row>
    <row r="797" spans="1:19" x14ac:dyDescent="0.2">
      <c r="A797" t="s">
        <v>1481</v>
      </c>
      <c r="B797" t="s">
        <v>1482</v>
      </c>
      <c r="C797">
        <v>2011</v>
      </c>
      <c r="D797">
        <v>0</v>
      </c>
      <c r="E797" t="s">
        <v>21</v>
      </c>
      <c r="F797" t="s">
        <v>22</v>
      </c>
      <c r="G797" t="s">
        <v>32</v>
      </c>
      <c r="H797">
        <v>1</v>
      </c>
      <c r="I797">
        <v>705</v>
      </c>
      <c r="J797">
        <v>127.52</v>
      </c>
      <c r="N797">
        <v>2.33</v>
      </c>
      <c r="Q797">
        <v>2.5299999999999998</v>
      </c>
      <c r="R797">
        <v>5.26</v>
      </c>
    </row>
    <row r="798" spans="1:19" x14ac:dyDescent="0.2">
      <c r="A798" t="s">
        <v>1483</v>
      </c>
      <c r="B798" t="s">
        <v>1484</v>
      </c>
      <c r="C798">
        <v>2003</v>
      </c>
      <c r="D798">
        <v>0</v>
      </c>
      <c r="E798" t="s">
        <v>21</v>
      </c>
      <c r="F798" t="s">
        <v>22</v>
      </c>
      <c r="G798" t="s">
        <v>138</v>
      </c>
      <c r="H798">
        <v>2</v>
      </c>
      <c r="I798">
        <v>441.47</v>
      </c>
      <c r="J798">
        <v>27.61</v>
      </c>
      <c r="L798">
        <v>534.25</v>
      </c>
      <c r="N798">
        <v>1.681</v>
      </c>
      <c r="Q798">
        <v>1.2</v>
      </c>
    </row>
    <row r="799" spans="1:19" x14ac:dyDescent="0.2">
      <c r="A799" t="s">
        <v>1483</v>
      </c>
      <c r="B799" t="s">
        <v>1485</v>
      </c>
      <c r="C799">
        <v>2003</v>
      </c>
      <c r="D799">
        <v>0</v>
      </c>
      <c r="E799" t="s">
        <v>21</v>
      </c>
      <c r="F799" t="s">
        <v>22</v>
      </c>
      <c r="G799" t="s">
        <v>138</v>
      </c>
      <c r="H799">
        <v>2</v>
      </c>
      <c r="I799">
        <v>220.078</v>
      </c>
      <c r="J799">
        <v>27.61</v>
      </c>
      <c r="L799">
        <v>622.60299999999995</v>
      </c>
      <c r="N799">
        <v>1.9590000000000001</v>
      </c>
      <c r="Q799">
        <v>1.2</v>
      </c>
    </row>
    <row r="800" spans="1:19" x14ac:dyDescent="0.2">
      <c r="A800" t="s">
        <v>1486</v>
      </c>
      <c r="B800" t="s">
        <v>1487</v>
      </c>
      <c r="C800">
        <v>2019</v>
      </c>
      <c r="D800">
        <v>0</v>
      </c>
      <c r="E800" t="s">
        <v>21</v>
      </c>
      <c r="F800" t="s">
        <v>22</v>
      </c>
      <c r="G800" t="s">
        <v>629</v>
      </c>
      <c r="H800">
        <v>1</v>
      </c>
      <c r="I800">
        <v>158.99100000000001</v>
      </c>
      <c r="J800">
        <v>30.71</v>
      </c>
      <c r="N800">
        <v>0.20954999999999999</v>
      </c>
      <c r="Q800">
        <v>0.8</v>
      </c>
    </row>
    <row r="801" spans="1:19" x14ac:dyDescent="0.2">
      <c r="A801" t="s">
        <v>1488</v>
      </c>
      <c r="B801" t="s">
        <v>1489</v>
      </c>
      <c r="C801">
        <v>2002</v>
      </c>
      <c r="D801">
        <v>0</v>
      </c>
      <c r="E801" t="s">
        <v>21</v>
      </c>
      <c r="F801" t="s">
        <v>22</v>
      </c>
      <c r="G801" t="s">
        <v>35</v>
      </c>
      <c r="H801">
        <v>1</v>
      </c>
      <c r="I801">
        <v>2.9857</v>
      </c>
      <c r="J801">
        <v>40.950000000000003</v>
      </c>
      <c r="N801">
        <v>0.34</v>
      </c>
      <c r="Q801">
        <v>0.79</v>
      </c>
      <c r="R801">
        <v>0.94</v>
      </c>
    </row>
    <row r="802" spans="1:19" x14ac:dyDescent="0.2">
      <c r="A802" t="s">
        <v>1490</v>
      </c>
      <c r="B802" t="s">
        <v>1491</v>
      </c>
      <c r="C802">
        <v>2010</v>
      </c>
      <c r="D802">
        <v>0</v>
      </c>
      <c r="E802" t="s">
        <v>21</v>
      </c>
      <c r="F802" t="s">
        <v>22</v>
      </c>
      <c r="G802" t="s">
        <v>138</v>
      </c>
      <c r="H802">
        <v>1</v>
      </c>
      <c r="I802">
        <v>1313</v>
      </c>
      <c r="J802">
        <v>52.5</v>
      </c>
      <c r="N802">
        <v>0.68</v>
      </c>
      <c r="Q802">
        <v>1.1299999999999999</v>
      </c>
      <c r="R802">
        <v>1.19</v>
      </c>
    </row>
    <row r="803" spans="1:19" x14ac:dyDescent="0.2">
      <c r="A803" t="s">
        <v>1492</v>
      </c>
      <c r="B803" t="s">
        <v>1493</v>
      </c>
      <c r="C803">
        <v>2009</v>
      </c>
      <c r="D803">
        <v>0</v>
      </c>
      <c r="E803" t="s">
        <v>21</v>
      </c>
      <c r="F803" t="s">
        <v>22</v>
      </c>
      <c r="G803" t="s">
        <v>138</v>
      </c>
      <c r="H803">
        <v>1</v>
      </c>
      <c r="I803">
        <v>799.52</v>
      </c>
      <c r="J803">
        <v>33.56</v>
      </c>
      <c r="N803">
        <v>9.9000000000000005E-2</v>
      </c>
      <c r="Q803">
        <v>0.76</v>
      </c>
    </row>
    <row r="804" spans="1:19" x14ac:dyDescent="0.2">
      <c r="A804" t="s">
        <v>1494</v>
      </c>
      <c r="B804" t="s">
        <v>1495</v>
      </c>
      <c r="C804">
        <v>2011</v>
      </c>
      <c r="D804">
        <v>0</v>
      </c>
      <c r="E804" t="s">
        <v>21</v>
      </c>
      <c r="F804" t="s">
        <v>22</v>
      </c>
      <c r="G804" t="s">
        <v>138</v>
      </c>
      <c r="H804">
        <v>1</v>
      </c>
      <c r="I804">
        <v>58.43</v>
      </c>
      <c r="J804">
        <v>11.28</v>
      </c>
      <c r="N804">
        <v>0.01</v>
      </c>
      <c r="Q804">
        <v>0.43</v>
      </c>
      <c r="R804">
        <v>0.71</v>
      </c>
    </row>
    <row r="805" spans="1:19" x14ac:dyDescent="0.2">
      <c r="A805" t="s">
        <v>1496</v>
      </c>
      <c r="B805" t="s">
        <v>1497</v>
      </c>
      <c r="C805">
        <v>2002</v>
      </c>
      <c r="D805">
        <v>0</v>
      </c>
      <c r="E805" t="s">
        <v>21</v>
      </c>
      <c r="F805" t="s">
        <v>22</v>
      </c>
      <c r="G805" t="s">
        <v>82</v>
      </c>
      <c r="H805">
        <v>1</v>
      </c>
      <c r="I805">
        <v>227</v>
      </c>
      <c r="J805">
        <v>44.2</v>
      </c>
      <c r="N805">
        <v>2.0299999999999998</v>
      </c>
      <c r="Q805">
        <v>1.34</v>
      </c>
      <c r="R805">
        <v>1.38</v>
      </c>
    </row>
    <row r="806" spans="1:19" x14ac:dyDescent="0.2">
      <c r="A806" t="s">
        <v>1498</v>
      </c>
      <c r="B806" t="s">
        <v>1499</v>
      </c>
      <c r="C806">
        <v>2006</v>
      </c>
      <c r="D806">
        <v>0</v>
      </c>
      <c r="E806" t="s">
        <v>21</v>
      </c>
      <c r="F806" t="s">
        <v>22</v>
      </c>
      <c r="G806" t="s">
        <v>32</v>
      </c>
      <c r="H806">
        <v>1</v>
      </c>
      <c r="I806">
        <v>2.1378431</v>
      </c>
      <c r="J806">
        <v>104.24</v>
      </c>
      <c r="K806">
        <v>3.61</v>
      </c>
      <c r="N806">
        <v>1.48</v>
      </c>
      <c r="Q806">
        <v>1.21</v>
      </c>
      <c r="R806">
        <v>1.46</v>
      </c>
    </row>
    <row r="807" spans="1:19" x14ac:dyDescent="0.2">
      <c r="A807" t="s">
        <v>1500</v>
      </c>
      <c r="B807" t="s">
        <v>1501</v>
      </c>
      <c r="C807">
        <v>2009</v>
      </c>
      <c r="D807">
        <v>0</v>
      </c>
      <c r="E807" t="s">
        <v>21</v>
      </c>
      <c r="F807" t="s">
        <v>22</v>
      </c>
      <c r="G807" t="s">
        <v>629</v>
      </c>
      <c r="H807">
        <v>1</v>
      </c>
      <c r="I807">
        <v>1695</v>
      </c>
      <c r="J807">
        <v>45.74</v>
      </c>
      <c r="K807">
        <v>1.5</v>
      </c>
      <c r="N807">
        <v>0.92</v>
      </c>
      <c r="Q807">
        <v>1.06</v>
      </c>
      <c r="R807">
        <v>1.02</v>
      </c>
    </row>
    <row r="808" spans="1:19" x14ac:dyDescent="0.2">
      <c r="A808" t="s">
        <v>1502</v>
      </c>
      <c r="B808" t="s">
        <v>1503</v>
      </c>
      <c r="C808">
        <v>2009</v>
      </c>
      <c r="D808">
        <v>0</v>
      </c>
      <c r="E808" t="s">
        <v>21</v>
      </c>
      <c r="F808" t="s">
        <v>22</v>
      </c>
      <c r="G808" t="s">
        <v>46</v>
      </c>
      <c r="H808">
        <v>1</v>
      </c>
      <c r="I808">
        <v>1475</v>
      </c>
      <c r="J808">
        <v>67.94</v>
      </c>
      <c r="K808">
        <v>2.2400000000000002</v>
      </c>
      <c r="N808">
        <v>7</v>
      </c>
      <c r="Q808">
        <v>1.42</v>
      </c>
      <c r="R808">
        <v>1.88</v>
      </c>
    </row>
    <row r="809" spans="1:19" x14ac:dyDescent="0.2">
      <c r="A809" t="s">
        <v>1504</v>
      </c>
      <c r="B809" t="s">
        <v>1505</v>
      </c>
      <c r="C809">
        <v>2009</v>
      </c>
      <c r="D809">
        <v>0</v>
      </c>
      <c r="E809" t="s">
        <v>21</v>
      </c>
      <c r="F809" t="s">
        <v>22</v>
      </c>
      <c r="G809" t="s">
        <v>26</v>
      </c>
      <c r="H809">
        <v>1</v>
      </c>
      <c r="I809">
        <v>1634</v>
      </c>
      <c r="J809">
        <v>37.9</v>
      </c>
      <c r="N809">
        <v>14.2</v>
      </c>
      <c r="Q809">
        <v>1.35</v>
      </c>
      <c r="R809">
        <v>1.39</v>
      </c>
    </row>
    <row r="810" spans="1:19" x14ac:dyDescent="0.2">
      <c r="A810" t="s">
        <v>1506</v>
      </c>
      <c r="B810" t="s">
        <v>1507</v>
      </c>
      <c r="C810">
        <v>2016</v>
      </c>
      <c r="D810">
        <v>0</v>
      </c>
      <c r="E810" t="s">
        <v>21</v>
      </c>
      <c r="F810" t="s">
        <v>22</v>
      </c>
      <c r="G810" t="s">
        <v>35</v>
      </c>
      <c r="H810">
        <v>1</v>
      </c>
      <c r="I810">
        <v>1270</v>
      </c>
      <c r="J810">
        <v>169</v>
      </c>
      <c r="N810">
        <v>3.6</v>
      </c>
      <c r="Q810">
        <v>1.66</v>
      </c>
      <c r="R810">
        <v>8.8000000000000007</v>
      </c>
    </row>
    <row r="811" spans="1:19" x14ac:dyDescent="0.2">
      <c r="A811" t="s">
        <v>1508</v>
      </c>
      <c r="B811" t="s">
        <v>1509</v>
      </c>
      <c r="C811">
        <v>2016</v>
      </c>
      <c r="D811">
        <v>0</v>
      </c>
      <c r="E811" t="s">
        <v>21</v>
      </c>
      <c r="F811" t="s">
        <v>22</v>
      </c>
      <c r="G811" t="s">
        <v>1510</v>
      </c>
      <c r="H811">
        <v>1</v>
      </c>
      <c r="I811">
        <v>13.481</v>
      </c>
      <c r="J811">
        <v>135.16999999999999</v>
      </c>
      <c r="N811">
        <v>12.4</v>
      </c>
      <c r="Q811">
        <v>1.1200000000000001</v>
      </c>
      <c r="R811">
        <v>1.55</v>
      </c>
    </row>
    <row r="812" spans="1:19" x14ac:dyDescent="0.2">
      <c r="A812" t="s">
        <v>1511</v>
      </c>
      <c r="B812" t="s">
        <v>1512</v>
      </c>
      <c r="C812">
        <v>2009</v>
      </c>
      <c r="D812">
        <v>0</v>
      </c>
      <c r="E812" t="s">
        <v>21</v>
      </c>
      <c r="F812" t="s">
        <v>22</v>
      </c>
      <c r="G812" t="s">
        <v>46</v>
      </c>
      <c r="H812">
        <v>1</v>
      </c>
      <c r="I812">
        <v>2754</v>
      </c>
      <c r="J812">
        <v>18.3</v>
      </c>
      <c r="N812">
        <v>1.54</v>
      </c>
      <c r="Q812">
        <v>0.66</v>
      </c>
      <c r="R812">
        <v>0.79</v>
      </c>
    </row>
    <row r="813" spans="1:19" x14ac:dyDescent="0.2">
      <c r="A813" t="s">
        <v>1513</v>
      </c>
      <c r="B813" t="s">
        <v>1514</v>
      </c>
      <c r="C813">
        <v>2004</v>
      </c>
      <c r="D813">
        <v>0</v>
      </c>
      <c r="E813" t="s">
        <v>21</v>
      </c>
      <c r="F813" t="s">
        <v>22</v>
      </c>
      <c r="G813" t="s">
        <v>32</v>
      </c>
      <c r="H813">
        <v>1</v>
      </c>
      <c r="I813">
        <v>3.4148839999999998</v>
      </c>
      <c r="J813">
        <v>73.77</v>
      </c>
      <c r="N813">
        <v>0.28449999999999998</v>
      </c>
      <c r="Q813">
        <v>1.26</v>
      </c>
      <c r="R813">
        <v>2.2000000000000002</v>
      </c>
    </row>
    <row r="814" spans="1:19" x14ac:dyDescent="0.2">
      <c r="A814" t="s">
        <v>1515</v>
      </c>
      <c r="B814" t="s">
        <v>1516</v>
      </c>
      <c r="C814">
        <v>2009</v>
      </c>
      <c r="D814">
        <v>0</v>
      </c>
      <c r="E814" t="s">
        <v>21</v>
      </c>
      <c r="F814" t="s">
        <v>22</v>
      </c>
      <c r="G814" t="s">
        <v>46</v>
      </c>
      <c r="H814">
        <v>1</v>
      </c>
      <c r="I814">
        <v>2166</v>
      </c>
      <c r="J814">
        <v>32.04</v>
      </c>
      <c r="N814">
        <v>2.11</v>
      </c>
      <c r="Q814">
        <v>1.27</v>
      </c>
      <c r="R814">
        <v>1.1000000000000001</v>
      </c>
    </row>
    <row r="815" spans="1:19" x14ac:dyDescent="0.2">
      <c r="A815" t="s">
        <v>1517</v>
      </c>
      <c r="B815" t="s">
        <v>1518</v>
      </c>
      <c r="C815">
        <v>2018</v>
      </c>
      <c r="D815">
        <v>0</v>
      </c>
      <c r="E815" t="s">
        <v>55</v>
      </c>
      <c r="F815" t="s">
        <v>128</v>
      </c>
      <c r="G815" t="s">
        <v>129</v>
      </c>
      <c r="H815">
        <v>1</v>
      </c>
      <c r="I815">
        <v>11.814299999999999</v>
      </c>
      <c r="J815">
        <v>132.80000000000001</v>
      </c>
      <c r="K815">
        <v>7.53</v>
      </c>
      <c r="L815">
        <v>34.961300000000001</v>
      </c>
      <c r="M815">
        <v>7.3979999999999997</v>
      </c>
      <c r="N815">
        <v>0.11</v>
      </c>
      <c r="O815">
        <v>0.66</v>
      </c>
      <c r="P815">
        <v>0.47099999999999997</v>
      </c>
      <c r="Q815">
        <v>1.1599999999999999</v>
      </c>
      <c r="R815">
        <v>1.75</v>
      </c>
      <c r="S815">
        <v>0.30499999999999999</v>
      </c>
    </row>
    <row r="816" spans="1:19" x14ac:dyDescent="0.2">
      <c r="A816" t="s">
        <v>1519</v>
      </c>
      <c r="B816" t="s">
        <v>1520</v>
      </c>
      <c r="C816">
        <v>1999</v>
      </c>
      <c r="D816">
        <v>0</v>
      </c>
      <c r="E816" t="s">
        <v>21</v>
      </c>
      <c r="F816" t="s">
        <v>22</v>
      </c>
      <c r="G816" t="s">
        <v>1235</v>
      </c>
      <c r="H816">
        <v>1</v>
      </c>
      <c r="I816">
        <v>256.77999999999997</v>
      </c>
      <c r="J816">
        <v>39</v>
      </c>
      <c r="N816">
        <v>8.35</v>
      </c>
      <c r="Q816">
        <v>1.86</v>
      </c>
    </row>
    <row r="817" spans="1:18" x14ac:dyDescent="0.2">
      <c r="A817" t="s">
        <v>1521</v>
      </c>
      <c r="B817" t="s">
        <v>1522</v>
      </c>
      <c r="C817">
        <v>2009</v>
      </c>
      <c r="D817">
        <v>0</v>
      </c>
      <c r="E817" t="s">
        <v>21</v>
      </c>
      <c r="F817" t="s">
        <v>22</v>
      </c>
      <c r="G817" t="s">
        <v>138</v>
      </c>
      <c r="H817">
        <v>1</v>
      </c>
      <c r="I817">
        <v>49.77</v>
      </c>
      <c r="J817">
        <v>21.96</v>
      </c>
      <c r="K817">
        <v>4.4000000000000004</v>
      </c>
      <c r="N817">
        <v>5.7000000000000002E-2</v>
      </c>
      <c r="Q817">
        <v>0.84</v>
      </c>
    </row>
    <row r="818" spans="1:18" x14ac:dyDescent="0.2">
      <c r="A818" t="s">
        <v>1523</v>
      </c>
      <c r="B818" t="s">
        <v>1524</v>
      </c>
      <c r="C818">
        <v>2016</v>
      </c>
      <c r="D818">
        <v>0</v>
      </c>
      <c r="E818" t="s">
        <v>21</v>
      </c>
      <c r="F818" t="s">
        <v>22</v>
      </c>
      <c r="G818" t="s">
        <v>35</v>
      </c>
      <c r="H818">
        <v>1</v>
      </c>
      <c r="I818">
        <v>1179</v>
      </c>
      <c r="J818">
        <v>78.930000000000007</v>
      </c>
      <c r="K818">
        <v>9</v>
      </c>
      <c r="N818">
        <v>1.1100000000000001</v>
      </c>
      <c r="Q818">
        <v>1.03</v>
      </c>
      <c r="R818">
        <v>1.67</v>
      </c>
    </row>
    <row r="819" spans="1:18" x14ac:dyDescent="0.2">
      <c r="A819" t="s">
        <v>1525</v>
      </c>
      <c r="B819" t="s">
        <v>1526</v>
      </c>
      <c r="C819">
        <v>2000</v>
      </c>
      <c r="D819">
        <v>0</v>
      </c>
      <c r="E819" t="s">
        <v>21</v>
      </c>
      <c r="F819" t="s">
        <v>22</v>
      </c>
      <c r="G819" t="s">
        <v>35</v>
      </c>
      <c r="H819">
        <v>2</v>
      </c>
      <c r="I819">
        <v>325.803</v>
      </c>
      <c r="J819">
        <v>34.69</v>
      </c>
      <c r="K819">
        <v>2.5499999999999998</v>
      </c>
      <c r="N819">
        <v>3.76</v>
      </c>
      <c r="Q819">
        <v>1.1499999999999999</v>
      </c>
      <c r="R819">
        <v>1.1399999999999999</v>
      </c>
    </row>
    <row r="820" spans="1:18" x14ac:dyDescent="0.2">
      <c r="A820" t="s">
        <v>1525</v>
      </c>
      <c r="B820" t="s">
        <v>1527</v>
      </c>
      <c r="C820">
        <v>2019</v>
      </c>
      <c r="D820">
        <v>0</v>
      </c>
      <c r="E820" t="s">
        <v>21</v>
      </c>
      <c r="F820" t="s">
        <v>22</v>
      </c>
      <c r="G820" t="s">
        <v>138</v>
      </c>
      <c r="H820">
        <v>2</v>
      </c>
      <c r="I820">
        <v>11611.297500000001</v>
      </c>
      <c r="J820">
        <v>34.69</v>
      </c>
      <c r="K820">
        <v>2.5499999999999998</v>
      </c>
      <c r="N820">
        <v>3.67</v>
      </c>
      <c r="Q820">
        <v>1.1499999999999999</v>
      </c>
      <c r="R820">
        <v>1.1399999999999999</v>
      </c>
    </row>
    <row r="821" spans="1:18" x14ac:dyDescent="0.2">
      <c r="A821" t="s">
        <v>1528</v>
      </c>
      <c r="B821" t="s">
        <v>1529</v>
      </c>
      <c r="C821">
        <v>2019</v>
      </c>
      <c r="D821">
        <v>0</v>
      </c>
      <c r="E821" t="s">
        <v>21</v>
      </c>
      <c r="F821" t="s">
        <v>22</v>
      </c>
      <c r="G821" t="s">
        <v>138</v>
      </c>
      <c r="H821">
        <v>1</v>
      </c>
      <c r="I821">
        <v>10354.8375</v>
      </c>
      <c r="J821">
        <v>43.59</v>
      </c>
      <c r="K821">
        <v>7.75</v>
      </c>
      <c r="N821">
        <v>16.88</v>
      </c>
      <c r="Q821">
        <v>1.08</v>
      </c>
      <c r="R821">
        <v>1.58</v>
      </c>
    </row>
    <row r="822" spans="1:18" x14ac:dyDescent="0.2">
      <c r="A822" t="s">
        <v>1530</v>
      </c>
      <c r="B822" t="s">
        <v>1531</v>
      </c>
      <c r="C822">
        <v>2005</v>
      </c>
      <c r="D822">
        <v>0</v>
      </c>
      <c r="E822" t="s">
        <v>21</v>
      </c>
      <c r="F822" t="s">
        <v>22</v>
      </c>
      <c r="G822" t="s">
        <v>138</v>
      </c>
      <c r="H822">
        <v>1</v>
      </c>
      <c r="I822">
        <v>143.58000000000001</v>
      </c>
      <c r="J822">
        <v>28.54</v>
      </c>
      <c r="N822">
        <v>0.37</v>
      </c>
      <c r="Q822">
        <v>0.7</v>
      </c>
    </row>
    <row r="823" spans="1:18" x14ac:dyDescent="0.2">
      <c r="A823" t="s">
        <v>1532</v>
      </c>
      <c r="B823" t="s">
        <v>1533</v>
      </c>
      <c r="C823">
        <v>2009</v>
      </c>
      <c r="D823">
        <v>0</v>
      </c>
      <c r="E823" t="s">
        <v>21</v>
      </c>
      <c r="F823" t="s">
        <v>22</v>
      </c>
      <c r="G823" t="s">
        <v>82</v>
      </c>
      <c r="H823">
        <v>2</v>
      </c>
      <c r="I823">
        <v>30.052</v>
      </c>
      <c r="J823">
        <v>50.42</v>
      </c>
      <c r="N823">
        <v>0.7</v>
      </c>
      <c r="Q823">
        <v>1</v>
      </c>
      <c r="R823">
        <v>1</v>
      </c>
    </row>
    <row r="824" spans="1:18" x14ac:dyDescent="0.2">
      <c r="A824" t="s">
        <v>1532</v>
      </c>
      <c r="B824" t="s">
        <v>1534</v>
      </c>
      <c r="C824">
        <v>2009</v>
      </c>
      <c r="D824">
        <v>0</v>
      </c>
      <c r="E824" t="s">
        <v>21</v>
      </c>
      <c r="F824" t="s">
        <v>22</v>
      </c>
      <c r="G824" t="s">
        <v>82</v>
      </c>
      <c r="H824">
        <v>2</v>
      </c>
      <c r="I824">
        <v>192.9</v>
      </c>
      <c r="J824">
        <v>50.42</v>
      </c>
      <c r="N824">
        <v>1.82</v>
      </c>
      <c r="Q824">
        <v>1</v>
      </c>
      <c r="R824">
        <v>1</v>
      </c>
    </row>
    <row r="825" spans="1:18" x14ac:dyDescent="0.2">
      <c r="A825" t="s">
        <v>1535</v>
      </c>
      <c r="B825" t="s">
        <v>1536</v>
      </c>
      <c r="C825">
        <v>2018</v>
      </c>
      <c r="D825">
        <v>0</v>
      </c>
      <c r="E825" t="s">
        <v>21</v>
      </c>
      <c r="F825" t="s">
        <v>22</v>
      </c>
      <c r="G825" t="s">
        <v>32</v>
      </c>
      <c r="H825">
        <v>1</v>
      </c>
      <c r="I825">
        <v>1576</v>
      </c>
      <c r="J825">
        <v>98.43</v>
      </c>
      <c r="N825">
        <v>1.26</v>
      </c>
      <c r="Q825">
        <v>1.1100000000000001</v>
      </c>
      <c r="R825">
        <v>4.2</v>
      </c>
    </row>
    <row r="826" spans="1:18" x14ac:dyDescent="0.2">
      <c r="A826" t="s">
        <v>1537</v>
      </c>
      <c r="B826" t="s">
        <v>1538</v>
      </c>
      <c r="C826">
        <v>2013</v>
      </c>
      <c r="D826">
        <v>0</v>
      </c>
      <c r="E826" t="s">
        <v>21</v>
      </c>
      <c r="F826" t="s">
        <v>40</v>
      </c>
      <c r="G826" t="s">
        <v>59</v>
      </c>
      <c r="H826">
        <v>1</v>
      </c>
      <c r="J826">
        <v>86.44</v>
      </c>
      <c r="K826">
        <v>1.7000000000000001E-2</v>
      </c>
      <c r="L826">
        <v>1589</v>
      </c>
      <c r="N826">
        <v>5</v>
      </c>
      <c r="Q826">
        <v>1.6</v>
      </c>
    </row>
    <row r="827" spans="1:18" x14ac:dyDescent="0.2">
      <c r="A827" t="s">
        <v>1539</v>
      </c>
      <c r="B827" t="s">
        <v>1540</v>
      </c>
      <c r="C827">
        <v>2009</v>
      </c>
      <c r="D827">
        <v>0</v>
      </c>
      <c r="E827" t="s">
        <v>21</v>
      </c>
      <c r="F827" t="s">
        <v>22</v>
      </c>
      <c r="G827" t="s">
        <v>32</v>
      </c>
      <c r="H827">
        <v>2</v>
      </c>
      <c r="I827">
        <v>1785</v>
      </c>
      <c r="J827">
        <v>137.46</v>
      </c>
      <c r="N827">
        <v>3.45</v>
      </c>
      <c r="Q827">
        <v>1.54</v>
      </c>
      <c r="R827">
        <v>5.08</v>
      </c>
    </row>
    <row r="828" spans="1:18" x14ac:dyDescent="0.2">
      <c r="A828" t="s">
        <v>1539</v>
      </c>
      <c r="B828" t="s">
        <v>1541</v>
      </c>
      <c r="C828">
        <v>2018</v>
      </c>
      <c r="D828">
        <v>0</v>
      </c>
      <c r="E828" t="s">
        <v>21</v>
      </c>
      <c r="F828" t="s">
        <v>22</v>
      </c>
      <c r="G828" t="s">
        <v>32</v>
      </c>
      <c r="H828">
        <v>2</v>
      </c>
      <c r="I828">
        <v>464.4</v>
      </c>
      <c r="J828">
        <v>137.46</v>
      </c>
      <c r="N828">
        <v>1.26</v>
      </c>
      <c r="Q828">
        <v>1.54</v>
      </c>
      <c r="R828">
        <v>5.08</v>
      </c>
    </row>
    <row r="829" spans="1:18" x14ac:dyDescent="0.2">
      <c r="A829" t="s">
        <v>1542</v>
      </c>
      <c r="B829" t="s">
        <v>1543</v>
      </c>
      <c r="C829">
        <v>2015</v>
      </c>
      <c r="D829">
        <v>0</v>
      </c>
      <c r="E829" t="s">
        <v>21</v>
      </c>
      <c r="F829" t="s">
        <v>22</v>
      </c>
      <c r="G829" t="s">
        <v>86</v>
      </c>
      <c r="H829">
        <v>1</v>
      </c>
      <c r="I829">
        <v>482</v>
      </c>
      <c r="J829">
        <v>332</v>
      </c>
      <c r="N829">
        <v>10.63</v>
      </c>
      <c r="Q829">
        <v>3.7</v>
      </c>
      <c r="R829">
        <v>41.01</v>
      </c>
    </row>
    <row r="830" spans="1:18" x14ac:dyDescent="0.2">
      <c r="A830" t="s">
        <v>1544</v>
      </c>
      <c r="B830" t="s">
        <v>1545</v>
      </c>
      <c r="C830">
        <v>2015</v>
      </c>
      <c r="D830">
        <v>0</v>
      </c>
      <c r="E830" t="s">
        <v>21</v>
      </c>
      <c r="F830" t="s">
        <v>22</v>
      </c>
      <c r="G830" t="s">
        <v>1159</v>
      </c>
      <c r="H830">
        <v>1</v>
      </c>
      <c r="I830">
        <v>4375</v>
      </c>
      <c r="J830">
        <v>7.56</v>
      </c>
      <c r="N830">
        <v>3.74</v>
      </c>
      <c r="Q830">
        <v>0.7</v>
      </c>
      <c r="R830">
        <v>0.84</v>
      </c>
    </row>
    <row r="831" spans="1:18" x14ac:dyDescent="0.2">
      <c r="A831" t="s">
        <v>1546</v>
      </c>
      <c r="B831" t="s">
        <v>1547</v>
      </c>
      <c r="C831">
        <v>2011</v>
      </c>
      <c r="D831">
        <v>0</v>
      </c>
      <c r="E831" t="s">
        <v>21</v>
      </c>
      <c r="F831" t="s">
        <v>22</v>
      </c>
      <c r="G831" t="s">
        <v>32</v>
      </c>
      <c r="H831">
        <v>1</v>
      </c>
      <c r="I831">
        <v>362.5</v>
      </c>
      <c r="J831">
        <v>140.62</v>
      </c>
      <c r="N831">
        <v>1.27</v>
      </c>
      <c r="Q831">
        <v>1.37</v>
      </c>
      <c r="R831">
        <v>4.75</v>
      </c>
    </row>
    <row r="832" spans="1:18" x14ac:dyDescent="0.2">
      <c r="A832" t="s">
        <v>1548</v>
      </c>
      <c r="B832" t="s">
        <v>1549</v>
      </c>
      <c r="C832">
        <v>2011</v>
      </c>
      <c r="D832">
        <v>0</v>
      </c>
      <c r="E832" t="s">
        <v>21</v>
      </c>
      <c r="F832" t="s">
        <v>22</v>
      </c>
      <c r="G832" t="s">
        <v>86</v>
      </c>
      <c r="H832">
        <v>1</v>
      </c>
      <c r="I832">
        <v>647.29998999999998</v>
      </c>
      <c r="J832">
        <v>597.41999999999996</v>
      </c>
      <c r="N832">
        <v>20.96</v>
      </c>
      <c r="Q832">
        <v>10.94</v>
      </c>
      <c r="R832">
        <v>51.1</v>
      </c>
    </row>
    <row r="833" spans="1:19" x14ac:dyDescent="0.2">
      <c r="A833" t="s">
        <v>1550</v>
      </c>
      <c r="B833" t="s">
        <v>1551</v>
      </c>
      <c r="C833">
        <v>2009</v>
      </c>
      <c r="D833">
        <v>0</v>
      </c>
      <c r="E833" t="s">
        <v>21</v>
      </c>
      <c r="F833" t="s">
        <v>22</v>
      </c>
      <c r="G833" t="s">
        <v>32</v>
      </c>
      <c r="H833">
        <v>1</v>
      </c>
      <c r="I833">
        <v>498.04</v>
      </c>
      <c r="J833">
        <v>85.51</v>
      </c>
      <c r="N833">
        <v>0.71699999999999997</v>
      </c>
      <c r="Q833">
        <v>1.27</v>
      </c>
      <c r="R833">
        <v>1.94</v>
      </c>
    </row>
    <row r="834" spans="1:19" x14ac:dyDescent="0.2">
      <c r="A834" t="s">
        <v>1552</v>
      </c>
      <c r="B834" t="s">
        <v>1553</v>
      </c>
      <c r="C834">
        <v>2010</v>
      </c>
      <c r="D834">
        <v>0</v>
      </c>
      <c r="E834" t="s">
        <v>21</v>
      </c>
      <c r="F834" t="s">
        <v>22</v>
      </c>
      <c r="G834" t="s">
        <v>32</v>
      </c>
      <c r="H834">
        <v>1</v>
      </c>
      <c r="I834">
        <v>9.4908999999999999</v>
      </c>
      <c r="J834">
        <v>21.58</v>
      </c>
      <c r="L834">
        <v>9.5349000000000004</v>
      </c>
      <c r="M834">
        <v>2.3540000000000001</v>
      </c>
      <c r="N834">
        <v>0.03</v>
      </c>
      <c r="O834">
        <v>0.21</v>
      </c>
      <c r="Q834">
        <v>0.89</v>
      </c>
      <c r="R834">
        <v>0.74</v>
      </c>
      <c r="S834">
        <v>3.06</v>
      </c>
    </row>
    <row r="835" spans="1:19" x14ac:dyDescent="0.2">
      <c r="A835" t="s">
        <v>1554</v>
      </c>
      <c r="B835" t="s">
        <v>1555</v>
      </c>
      <c r="C835">
        <v>2011</v>
      </c>
      <c r="D835">
        <v>0</v>
      </c>
      <c r="E835" t="s">
        <v>21</v>
      </c>
      <c r="F835" t="s">
        <v>22</v>
      </c>
      <c r="G835" t="s">
        <v>32</v>
      </c>
      <c r="H835">
        <v>1</v>
      </c>
      <c r="I835">
        <v>433.8</v>
      </c>
      <c r="J835">
        <v>114.07</v>
      </c>
      <c r="N835">
        <v>1.964</v>
      </c>
      <c r="Q835">
        <v>1.41</v>
      </c>
      <c r="R835">
        <v>4.5999999999999996</v>
      </c>
    </row>
    <row r="836" spans="1:19" x14ac:dyDescent="0.2">
      <c r="A836" t="s">
        <v>1556</v>
      </c>
      <c r="B836" t="s">
        <v>1557</v>
      </c>
      <c r="C836">
        <v>2012</v>
      </c>
      <c r="D836">
        <v>0</v>
      </c>
      <c r="E836" t="s">
        <v>21</v>
      </c>
      <c r="F836" t="s">
        <v>22</v>
      </c>
      <c r="G836" t="s">
        <v>138</v>
      </c>
      <c r="H836">
        <v>1</v>
      </c>
      <c r="I836">
        <v>6022.9724999999999</v>
      </c>
      <c r="J836">
        <v>42.22</v>
      </c>
      <c r="K836">
        <v>2.42</v>
      </c>
      <c r="N836">
        <v>6.79</v>
      </c>
      <c r="Q836">
        <v>1.03</v>
      </c>
      <c r="R836">
        <v>1.01</v>
      </c>
    </row>
    <row r="837" spans="1:19" x14ac:dyDescent="0.2">
      <c r="A837" t="s">
        <v>1558</v>
      </c>
      <c r="B837" t="s">
        <v>1559</v>
      </c>
      <c r="C837">
        <v>2018</v>
      </c>
      <c r="D837">
        <v>0</v>
      </c>
      <c r="E837" t="s">
        <v>21</v>
      </c>
      <c r="F837" t="s">
        <v>22</v>
      </c>
      <c r="G837" t="s">
        <v>32</v>
      </c>
      <c r="H837">
        <v>1</v>
      </c>
      <c r="I837">
        <v>968.8</v>
      </c>
      <c r="J837">
        <v>32.479999999999997</v>
      </c>
      <c r="K837">
        <v>7.39</v>
      </c>
      <c r="N837">
        <v>2.33</v>
      </c>
      <c r="Q837">
        <v>0.92</v>
      </c>
      <c r="R837">
        <v>0.93</v>
      </c>
    </row>
    <row r="838" spans="1:19" x14ac:dyDescent="0.2">
      <c r="A838" t="s">
        <v>1560</v>
      </c>
      <c r="B838" t="s">
        <v>1561</v>
      </c>
      <c r="C838">
        <v>2005</v>
      </c>
      <c r="D838">
        <v>0</v>
      </c>
      <c r="E838" t="s">
        <v>21</v>
      </c>
      <c r="F838" t="s">
        <v>22</v>
      </c>
      <c r="G838" t="s">
        <v>32</v>
      </c>
      <c r="H838">
        <v>1</v>
      </c>
      <c r="I838">
        <v>439.29998999999998</v>
      </c>
      <c r="J838">
        <v>54.88</v>
      </c>
      <c r="N838">
        <v>0.44</v>
      </c>
      <c r="Q838">
        <v>0.76</v>
      </c>
      <c r="R838">
        <v>0.98</v>
      </c>
    </row>
    <row r="839" spans="1:19" x14ac:dyDescent="0.2">
      <c r="A839" t="s">
        <v>1562</v>
      </c>
      <c r="B839" t="s">
        <v>1563</v>
      </c>
      <c r="C839">
        <v>2004</v>
      </c>
      <c r="D839">
        <v>0</v>
      </c>
      <c r="E839" t="s">
        <v>21</v>
      </c>
      <c r="F839" t="s">
        <v>22</v>
      </c>
      <c r="G839" t="s">
        <v>32</v>
      </c>
      <c r="H839">
        <v>1</v>
      </c>
      <c r="I839">
        <v>17.043099999999999</v>
      </c>
      <c r="J839">
        <v>55.7</v>
      </c>
      <c r="N839">
        <v>7.0000000000000007E-2</v>
      </c>
      <c r="Q839">
        <v>0.48</v>
      </c>
      <c r="R839">
        <v>0.83</v>
      </c>
    </row>
    <row r="840" spans="1:19" x14ac:dyDescent="0.2">
      <c r="A840" t="s">
        <v>1564</v>
      </c>
      <c r="B840" t="s">
        <v>1565</v>
      </c>
      <c r="C840">
        <v>2011</v>
      </c>
      <c r="D840">
        <v>0</v>
      </c>
      <c r="E840" t="s">
        <v>21</v>
      </c>
      <c r="F840" t="s">
        <v>22</v>
      </c>
      <c r="G840" t="s">
        <v>32</v>
      </c>
      <c r="H840">
        <v>2</v>
      </c>
      <c r="I840">
        <v>841</v>
      </c>
      <c r="J840">
        <v>147.21</v>
      </c>
      <c r="N840">
        <v>1.23</v>
      </c>
      <c r="Q840">
        <v>1.46</v>
      </c>
      <c r="R840">
        <v>5.52</v>
      </c>
    </row>
    <row r="841" spans="1:19" x14ac:dyDescent="0.2">
      <c r="A841" t="s">
        <v>1564</v>
      </c>
      <c r="B841" t="s">
        <v>1566</v>
      </c>
      <c r="C841">
        <v>2018</v>
      </c>
      <c r="D841">
        <v>0</v>
      </c>
      <c r="E841" t="s">
        <v>21</v>
      </c>
      <c r="F841" t="s">
        <v>22</v>
      </c>
      <c r="G841" t="s">
        <v>32</v>
      </c>
      <c r="H841">
        <v>2</v>
      </c>
      <c r="I841">
        <v>1278</v>
      </c>
      <c r="J841">
        <v>147.21</v>
      </c>
      <c r="N841">
        <v>5.69</v>
      </c>
      <c r="Q841">
        <v>1.46</v>
      </c>
      <c r="R841">
        <v>5.52</v>
      </c>
    </row>
    <row r="842" spans="1:19" x14ac:dyDescent="0.2">
      <c r="A842" t="s">
        <v>1567</v>
      </c>
      <c r="B842" t="s">
        <v>1568</v>
      </c>
      <c r="C842">
        <v>2014</v>
      </c>
      <c r="D842">
        <v>0</v>
      </c>
      <c r="E842" t="s">
        <v>21</v>
      </c>
      <c r="F842" t="s">
        <v>22</v>
      </c>
      <c r="G842" t="s">
        <v>35</v>
      </c>
      <c r="H842">
        <v>1</v>
      </c>
      <c r="I842">
        <v>184.2</v>
      </c>
      <c r="J842">
        <v>78.8</v>
      </c>
      <c r="N842">
        <v>8.1999999999999993</v>
      </c>
      <c r="Q842">
        <v>2.1</v>
      </c>
    </row>
    <row r="843" spans="1:19" x14ac:dyDescent="0.2">
      <c r="A843" t="s">
        <v>1569</v>
      </c>
      <c r="B843" t="s">
        <v>1570</v>
      </c>
      <c r="C843">
        <v>2015</v>
      </c>
      <c r="D843">
        <v>0</v>
      </c>
      <c r="E843" t="s">
        <v>21</v>
      </c>
      <c r="F843" t="s">
        <v>22</v>
      </c>
      <c r="G843" t="s">
        <v>35</v>
      </c>
      <c r="H843">
        <v>1</v>
      </c>
      <c r="I843">
        <v>144.30000000000001</v>
      </c>
      <c r="J843">
        <v>103.63</v>
      </c>
      <c r="N843">
        <v>1.98</v>
      </c>
      <c r="Q843">
        <v>2.42</v>
      </c>
      <c r="R843">
        <v>11.6</v>
      </c>
    </row>
    <row r="844" spans="1:19" x14ac:dyDescent="0.2">
      <c r="A844" t="s">
        <v>1571</v>
      </c>
      <c r="B844" t="s">
        <v>1572</v>
      </c>
      <c r="C844">
        <v>2016</v>
      </c>
      <c r="D844">
        <v>0</v>
      </c>
      <c r="E844" t="s">
        <v>21</v>
      </c>
      <c r="F844" t="s">
        <v>22</v>
      </c>
      <c r="G844" t="s">
        <v>82</v>
      </c>
      <c r="H844">
        <v>1</v>
      </c>
      <c r="I844">
        <v>499.48</v>
      </c>
      <c r="J844">
        <v>56.2</v>
      </c>
      <c r="N844">
        <v>1.56</v>
      </c>
      <c r="Q844">
        <v>0.78</v>
      </c>
    </row>
    <row r="845" spans="1:19" x14ac:dyDescent="0.2">
      <c r="A845" t="s">
        <v>1573</v>
      </c>
      <c r="B845" t="s">
        <v>1574</v>
      </c>
      <c r="C845">
        <v>2016</v>
      </c>
      <c r="D845">
        <v>0</v>
      </c>
      <c r="E845" t="s">
        <v>21</v>
      </c>
      <c r="F845" t="s">
        <v>22</v>
      </c>
      <c r="G845" t="s">
        <v>82</v>
      </c>
      <c r="H845">
        <v>1</v>
      </c>
      <c r="I845">
        <v>232.08</v>
      </c>
      <c r="J845">
        <v>58.6</v>
      </c>
      <c r="N845">
        <v>2.68</v>
      </c>
      <c r="Q845">
        <v>0.87</v>
      </c>
    </row>
    <row r="846" spans="1:19" x14ac:dyDescent="0.2">
      <c r="A846" t="s">
        <v>1575</v>
      </c>
      <c r="B846" t="s">
        <v>1576</v>
      </c>
      <c r="C846">
        <v>2014</v>
      </c>
      <c r="D846">
        <v>0</v>
      </c>
      <c r="E846" t="s">
        <v>55</v>
      </c>
      <c r="F846" t="s">
        <v>128</v>
      </c>
      <c r="G846" t="s">
        <v>129</v>
      </c>
      <c r="H846">
        <v>1</v>
      </c>
      <c r="I846">
        <v>9.1204999999999998</v>
      </c>
      <c r="J846">
        <v>55.2</v>
      </c>
      <c r="L846">
        <v>12.713200000000001</v>
      </c>
      <c r="M846">
        <v>2.4660000000000002</v>
      </c>
      <c r="N846">
        <v>0.04</v>
      </c>
      <c r="O846">
        <v>0.22</v>
      </c>
      <c r="Q846">
        <v>0.81</v>
      </c>
      <c r="R846">
        <v>0.72</v>
      </c>
      <c r="S846">
        <v>3</v>
      </c>
    </row>
    <row r="847" spans="1:19" x14ac:dyDescent="0.2">
      <c r="A847" t="s">
        <v>1577</v>
      </c>
      <c r="B847" t="s">
        <v>1578</v>
      </c>
      <c r="C847">
        <v>2010</v>
      </c>
      <c r="D847">
        <v>0</v>
      </c>
      <c r="E847" t="s">
        <v>21</v>
      </c>
      <c r="F847" t="s">
        <v>22</v>
      </c>
      <c r="G847" t="s">
        <v>138</v>
      </c>
      <c r="H847">
        <v>1</v>
      </c>
      <c r="I847">
        <v>57.435000000000002</v>
      </c>
      <c r="J847">
        <v>23.39</v>
      </c>
      <c r="N847">
        <v>0.36</v>
      </c>
      <c r="Q847">
        <v>0.69</v>
      </c>
      <c r="R847">
        <v>0.65</v>
      </c>
    </row>
    <row r="848" spans="1:19" x14ac:dyDescent="0.2">
      <c r="A848" t="s">
        <v>1579</v>
      </c>
      <c r="B848" t="s">
        <v>1580</v>
      </c>
      <c r="C848">
        <v>2005</v>
      </c>
      <c r="D848">
        <v>0</v>
      </c>
      <c r="E848" t="s">
        <v>21</v>
      </c>
      <c r="F848" t="s">
        <v>22</v>
      </c>
      <c r="G848" t="s">
        <v>32</v>
      </c>
      <c r="H848">
        <v>3</v>
      </c>
      <c r="I848">
        <v>6.6738920000000004</v>
      </c>
      <c r="J848">
        <v>50.55</v>
      </c>
      <c r="K848">
        <v>5.84</v>
      </c>
      <c r="N848">
        <v>3.9</v>
      </c>
      <c r="Q848">
        <v>1.01</v>
      </c>
      <c r="R848">
        <v>1.07</v>
      </c>
    </row>
    <row r="849" spans="1:18" x14ac:dyDescent="0.2">
      <c r="A849" t="s">
        <v>1579</v>
      </c>
      <c r="B849" t="s">
        <v>1581</v>
      </c>
      <c r="C849">
        <v>2006</v>
      </c>
      <c r="D849">
        <v>0</v>
      </c>
      <c r="E849" t="s">
        <v>21</v>
      </c>
      <c r="F849" t="s">
        <v>22</v>
      </c>
      <c r="G849" t="s">
        <v>32</v>
      </c>
      <c r="H849">
        <v>3</v>
      </c>
      <c r="I849">
        <v>147.74700000000001</v>
      </c>
      <c r="J849">
        <v>50.55</v>
      </c>
      <c r="K849">
        <v>5.84</v>
      </c>
      <c r="N849">
        <v>1.31</v>
      </c>
      <c r="Q849">
        <v>1.01</v>
      </c>
      <c r="R849">
        <v>1.07</v>
      </c>
    </row>
    <row r="850" spans="1:18" x14ac:dyDescent="0.2">
      <c r="A850" t="s">
        <v>1579</v>
      </c>
      <c r="B850" t="s">
        <v>1582</v>
      </c>
      <c r="C850">
        <v>2009</v>
      </c>
      <c r="D850">
        <v>0</v>
      </c>
      <c r="E850" t="s">
        <v>21</v>
      </c>
      <c r="F850" t="s">
        <v>22</v>
      </c>
      <c r="G850" t="s">
        <v>32</v>
      </c>
      <c r="H850">
        <v>3</v>
      </c>
      <c r="I850">
        <v>981.8</v>
      </c>
      <c r="J850">
        <v>50.55</v>
      </c>
      <c r="K850">
        <v>5.84</v>
      </c>
      <c r="N850">
        <v>0.59</v>
      </c>
      <c r="Q850">
        <v>1.01</v>
      </c>
      <c r="R850">
        <v>1.07</v>
      </c>
    </row>
    <row r="851" spans="1:18" x14ac:dyDescent="0.2">
      <c r="A851" t="s">
        <v>1583</v>
      </c>
      <c r="B851" t="s">
        <v>1584</v>
      </c>
      <c r="C851">
        <v>2019</v>
      </c>
      <c r="D851">
        <v>0</v>
      </c>
      <c r="E851" t="s">
        <v>21</v>
      </c>
      <c r="F851" t="s">
        <v>22</v>
      </c>
      <c r="G851" t="s">
        <v>629</v>
      </c>
      <c r="H851">
        <v>1</v>
      </c>
      <c r="I851">
        <v>41.515999999999998</v>
      </c>
      <c r="J851">
        <v>33.19</v>
      </c>
      <c r="N851">
        <v>3.9960000000000002E-2</v>
      </c>
      <c r="Q851">
        <v>0.79</v>
      </c>
    </row>
    <row r="852" spans="1:18" x14ac:dyDescent="0.2">
      <c r="A852" t="s">
        <v>1585</v>
      </c>
      <c r="B852" t="s">
        <v>1586</v>
      </c>
      <c r="C852">
        <v>2016</v>
      </c>
      <c r="D852">
        <v>0</v>
      </c>
      <c r="E852" t="s">
        <v>55</v>
      </c>
      <c r="F852" t="s">
        <v>128</v>
      </c>
      <c r="G852" t="s">
        <v>129</v>
      </c>
      <c r="H852">
        <v>5</v>
      </c>
      <c r="I852">
        <v>15.571199999999999</v>
      </c>
      <c r="J852">
        <v>106.61</v>
      </c>
      <c r="M852">
        <v>2.9</v>
      </c>
      <c r="O852">
        <v>0.25900000000000001</v>
      </c>
      <c r="Q852">
        <v>1.1499999999999999</v>
      </c>
      <c r="R852">
        <v>1.4</v>
      </c>
    </row>
    <row r="853" spans="1:18" x14ac:dyDescent="0.2">
      <c r="A853" t="s">
        <v>1585</v>
      </c>
      <c r="B853" t="s">
        <v>1587</v>
      </c>
      <c r="C853">
        <v>2016</v>
      </c>
      <c r="D853">
        <v>0</v>
      </c>
      <c r="E853" t="s">
        <v>55</v>
      </c>
      <c r="F853" t="s">
        <v>128</v>
      </c>
      <c r="G853" t="s">
        <v>129</v>
      </c>
      <c r="H853">
        <v>5</v>
      </c>
      <c r="I853">
        <v>31.697800000000001</v>
      </c>
      <c r="J853">
        <v>106.61</v>
      </c>
      <c r="M853">
        <v>2.56</v>
      </c>
      <c r="O853">
        <v>0.22800000000000001</v>
      </c>
      <c r="Q853">
        <v>1.1499999999999999</v>
      </c>
      <c r="R853">
        <v>1.4</v>
      </c>
    </row>
    <row r="854" spans="1:18" x14ac:dyDescent="0.2">
      <c r="A854" t="s">
        <v>1585</v>
      </c>
      <c r="B854" t="s">
        <v>1588</v>
      </c>
      <c r="C854">
        <v>2016</v>
      </c>
      <c r="D854">
        <v>0</v>
      </c>
      <c r="E854" t="s">
        <v>55</v>
      </c>
      <c r="F854" t="s">
        <v>128</v>
      </c>
      <c r="G854" t="s">
        <v>129</v>
      </c>
      <c r="H854">
        <v>5</v>
      </c>
      <c r="I854">
        <v>156</v>
      </c>
      <c r="J854">
        <v>106.61</v>
      </c>
      <c r="M854">
        <v>3.96</v>
      </c>
      <c r="O854">
        <v>0.35299999999999998</v>
      </c>
      <c r="Q854">
        <v>1.1499999999999999</v>
      </c>
      <c r="R854">
        <v>1.4</v>
      </c>
    </row>
    <row r="855" spans="1:18" x14ac:dyDescent="0.2">
      <c r="A855" t="s">
        <v>1585</v>
      </c>
      <c r="B855" t="s">
        <v>1589</v>
      </c>
      <c r="C855">
        <v>2016</v>
      </c>
      <c r="D855">
        <v>0</v>
      </c>
      <c r="E855" t="s">
        <v>55</v>
      </c>
      <c r="F855" t="s">
        <v>128</v>
      </c>
      <c r="G855" t="s">
        <v>129</v>
      </c>
      <c r="H855">
        <v>5</v>
      </c>
      <c r="I855">
        <v>131</v>
      </c>
      <c r="J855">
        <v>106.61</v>
      </c>
      <c r="M855">
        <v>5.51</v>
      </c>
      <c r="O855">
        <v>0.49199999999999999</v>
      </c>
      <c r="Q855">
        <v>1.1499999999999999</v>
      </c>
      <c r="R855">
        <v>1.4</v>
      </c>
    </row>
    <row r="856" spans="1:18" x14ac:dyDescent="0.2">
      <c r="A856" t="s">
        <v>1585</v>
      </c>
      <c r="B856" t="s">
        <v>1590</v>
      </c>
      <c r="C856">
        <v>2016</v>
      </c>
      <c r="D856">
        <v>0</v>
      </c>
      <c r="E856" t="s">
        <v>55</v>
      </c>
      <c r="F856" t="s">
        <v>128</v>
      </c>
      <c r="G856" t="s">
        <v>129</v>
      </c>
      <c r="H856">
        <v>5</v>
      </c>
      <c r="I856">
        <v>324</v>
      </c>
      <c r="J856">
        <v>106.61</v>
      </c>
      <c r="M856">
        <v>10.199999999999999</v>
      </c>
      <c r="O856">
        <v>0.91</v>
      </c>
      <c r="Q856">
        <v>1.1499999999999999</v>
      </c>
      <c r="R856">
        <v>1.4</v>
      </c>
    </row>
    <row r="857" spans="1:18" x14ac:dyDescent="0.2">
      <c r="A857" t="s">
        <v>1591</v>
      </c>
      <c r="B857" t="s">
        <v>1592</v>
      </c>
      <c r="C857">
        <v>2009</v>
      </c>
      <c r="D857">
        <v>0</v>
      </c>
      <c r="E857" t="s">
        <v>21</v>
      </c>
      <c r="F857" t="s">
        <v>22</v>
      </c>
      <c r="G857" t="s">
        <v>138</v>
      </c>
      <c r="H857">
        <v>2</v>
      </c>
      <c r="I857">
        <v>345.72</v>
      </c>
      <c r="J857">
        <v>51.68</v>
      </c>
      <c r="N857">
        <v>0.96</v>
      </c>
      <c r="Q857">
        <v>0.43</v>
      </c>
      <c r="R857">
        <v>0.75</v>
      </c>
    </row>
    <row r="858" spans="1:18" x14ac:dyDescent="0.2">
      <c r="A858" t="s">
        <v>1591</v>
      </c>
      <c r="B858" t="s">
        <v>1593</v>
      </c>
      <c r="C858">
        <v>2011</v>
      </c>
      <c r="D858">
        <v>0</v>
      </c>
      <c r="E858" t="s">
        <v>21</v>
      </c>
      <c r="F858" t="s">
        <v>22</v>
      </c>
      <c r="G858" t="s">
        <v>138</v>
      </c>
      <c r="H858">
        <v>2</v>
      </c>
      <c r="I858">
        <v>9017.76</v>
      </c>
      <c r="J858">
        <v>51.68</v>
      </c>
      <c r="N858">
        <v>15.04</v>
      </c>
      <c r="Q858">
        <v>0.43</v>
      </c>
      <c r="R858">
        <v>0.75</v>
      </c>
    </row>
    <row r="859" spans="1:18" x14ac:dyDescent="0.2">
      <c r="A859" t="s">
        <v>1594</v>
      </c>
      <c r="B859" t="s">
        <v>1595</v>
      </c>
      <c r="C859">
        <v>2019</v>
      </c>
      <c r="D859">
        <v>0</v>
      </c>
      <c r="E859" t="s">
        <v>21</v>
      </c>
      <c r="F859" t="s">
        <v>22</v>
      </c>
      <c r="G859" t="s">
        <v>629</v>
      </c>
      <c r="H859">
        <v>2</v>
      </c>
      <c r="I859">
        <v>7.76</v>
      </c>
      <c r="J859">
        <v>18.73</v>
      </c>
      <c r="N859">
        <v>2.7119999999999998E-2</v>
      </c>
      <c r="Q859">
        <v>0.56999999999999995</v>
      </c>
    </row>
    <row r="860" spans="1:18" x14ac:dyDescent="0.2">
      <c r="A860" t="s">
        <v>1594</v>
      </c>
      <c r="B860" t="s">
        <v>1596</v>
      </c>
      <c r="C860">
        <v>2019</v>
      </c>
      <c r="D860">
        <v>0</v>
      </c>
      <c r="E860" t="s">
        <v>21</v>
      </c>
      <c r="F860" t="s">
        <v>22</v>
      </c>
      <c r="G860" t="s">
        <v>629</v>
      </c>
      <c r="H860">
        <v>2</v>
      </c>
      <c r="I860">
        <v>15.144</v>
      </c>
      <c r="J860">
        <v>18.73</v>
      </c>
      <c r="N860">
        <v>3.9140000000000001E-2</v>
      </c>
      <c r="Q860">
        <v>0.56999999999999995</v>
      </c>
    </row>
    <row r="861" spans="1:18" x14ac:dyDescent="0.2">
      <c r="A861" t="s">
        <v>1597</v>
      </c>
      <c r="B861" t="s">
        <v>1598</v>
      </c>
      <c r="C861">
        <v>2011</v>
      </c>
      <c r="D861">
        <v>0</v>
      </c>
      <c r="E861" t="s">
        <v>21</v>
      </c>
      <c r="F861" t="s">
        <v>22</v>
      </c>
      <c r="G861" t="s">
        <v>32</v>
      </c>
      <c r="H861">
        <v>3</v>
      </c>
      <c r="I861">
        <v>8.1351999999999993</v>
      </c>
      <c r="J861">
        <v>25.88</v>
      </c>
      <c r="N861">
        <v>0.02</v>
      </c>
      <c r="Q861">
        <v>0.28999999999999998</v>
      </c>
      <c r="R861">
        <v>0.78</v>
      </c>
    </row>
    <row r="862" spans="1:18" x14ac:dyDescent="0.2">
      <c r="A862" t="s">
        <v>1597</v>
      </c>
      <c r="B862" t="s">
        <v>1599</v>
      </c>
      <c r="C862">
        <v>2011</v>
      </c>
      <c r="D862">
        <v>0</v>
      </c>
      <c r="E862" t="s">
        <v>21</v>
      </c>
      <c r="F862" t="s">
        <v>22</v>
      </c>
      <c r="G862" t="s">
        <v>32</v>
      </c>
      <c r="H862">
        <v>3</v>
      </c>
      <c r="I862">
        <v>32.03</v>
      </c>
      <c r="J862">
        <v>25.88</v>
      </c>
      <c r="N862">
        <v>0.40901999999999999</v>
      </c>
      <c r="Q862">
        <v>0.28999999999999998</v>
      </c>
      <c r="R862">
        <v>0.78</v>
      </c>
    </row>
    <row r="863" spans="1:18" x14ac:dyDescent="0.2">
      <c r="A863" t="s">
        <v>1597</v>
      </c>
      <c r="B863" t="s">
        <v>1600</v>
      </c>
      <c r="C863">
        <v>2011</v>
      </c>
      <c r="D863">
        <v>0</v>
      </c>
      <c r="E863" t="s">
        <v>21</v>
      </c>
      <c r="F863" t="s">
        <v>22</v>
      </c>
      <c r="G863" t="s">
        <v>32</v>
      </c>
      <c r="H863">
        <v>3</v>
      </c>
      <c r="I863">
        <v>431.7</v>
      </c>
      <c r="J863">
        <v>25.88</v>
      </c>
      <c r="N863">
        <v>0.52669999999999995</v>
      </c>
      <c r="Q863">
        <v>0.28999999999999998</v>
      </c>
      <c r="R863">
        <v>0.78</v>
      </c>
    </row>
    <row r="864" spans="1:18" x14ac:dyDescent="0.2">
      <c r="A864" t="s">
        <v>1601</v>
      </c>
      <c r="B864" t="s">
        <v>1602</v>
      </c>
      <c r="C864">
        <v>2013</v>
      </c>
      <c r="D864">
        <v>0</v>
      </c>
      <c r="E864" t="s">
        <v>21</v>
      </c>
      <c r="F864" t="s">
        <v>22</v>
      </c>
      <c r="G864" t="s">
        <v>35</v>
      </c>
      <c r="H864">
        <v>1</v>
      </c>
      <c r="I864">
        <v>124.6</v>
      </c>
      <c r="J864">
        <v>157.16</v>
      </c>
      <c r="N864">
        <v>9.18</v>
      </c>
      <c r="Q864">
        <v>1.54</v>
      </c>
    </row>
    <row r="865" spans="1:18" x14ac:dyDescent="0.2">
      <c r="A865" t="s">
        <v>1603</v>
      </c>
      <c r="B865" t="s">
        <v>1604</v>
      </c>
      <c r="C865">
        <v>2016</v>
      </c>
      <c r="D865">
        <v>0</v>
      </c>
      <c r="E865" t="s">
        <v>21</v>
      </c>
      <c r="F865" t="s">
        <v>22</v>
      </c>
      <c r="G865" t="s">
        <v>82</v>
      </c>
      <c r="H865">
        <v>2</v>
      </c>
      <c r="I865">
        <v>28.125</v>
      </c>
      <c r="J865">
        <v>55.5</v>
      </c>
      <c r="N865">
        <v>0.42799999999999999</v>
      </c>
      <c r="Q865">
        <v>0.93</v>
      </c>
    </row>
    <row r="866" spans="1:18" x14ac:dyDescent="0.2">
      <c r="A866" t="s">
        <v>1603</v>
      </c>
      <c r="B866" t="s">
        <v>1605</v>
      </c>
      <c r="C866">
        <v>2016</v>
      </c>
      <c r="D866">
        <v>0</v>
      </c>
      <c r="E866" t="s">
        <v>21</v>
      </c>
      <c r="F866" t="s">
        <v>22</v>
      </c>
      <c r="G866" t="s">
        <v>82</v>
      </c>
      <c r="H866">
        <v>2</v>
      </c>
      <c r="I866">
        <v>67.3</v>
      </c>
      <c r="J866">
        <v>55.5</v>
      </c>
      <c r="N866">
        <v>0.78400000000000003</v>
      </c>
      <c r="Q866">
        <v>0.93</v>
      </c>
    </row>
    <row r="867" spans="1:18" x14ac:dyDescent="0.2">
      <c r="A867" t="s">
        <v>1606</v>
      </c>
      <c r="B867" t="s">
        <v>1607</v>
      </c>
      <c r="C867">
        <v>2017</v>
      </c>
      <c r="D867">
        <v>0</v>
      </c>
      <c r="E867" t="s">
        <v>21</v>
      </c>
      <c r="F867" t="s">
        <v>40</v>
      </c>
      <c r="G867" t="s">
        <v>59</v>
      </c>
      <c r="H867">
        <v>1</v>
      </c>
      <c r="J867">
        <v>111.4</v>
      </c>
      <c r="K867">
        <v>1.4E-2</v>
      </c>
      <c r="L867">
        <v>2860.47</v>
      </c>
      <c r="M867">
        <v>16.814</v>
      </c>
      <c r="N867">
        <v>9</v>
      </c>
      <c r="O867">
        <v>1.5</v>
      </c>
      <c r="Q867">
        <v>1.96</v>
      </c>
      <c r="R867">
        <v>1.77</v>
      </c>
    </row>
    <row r="868" spans="1:18" x14ac:dyDescent="0.2">
      <c r="A868" t="s">
        <v>1608</v>
      </c>
      <c r="B868" t="s">
        <v>1609</v>
      </c>
      <c r="C868">
        <v>2015</v>
      </c>
      <c r="D868">
        <v>0</v>
      </c>
      <c r="E868" t="s">
        <v>21</v>
      </c>
      <c r="F868" t="s">
        <v>22</v>
      </c>
      <c r="G868" t="s">
        <v>35</v>
      </c>
      <c r="H868">
        <v>1</v>
      </c>
      <c r="I868">
        <v>1084.5</v>
      </c>
      <c r="J868">
        <v>136.05000000000001</v>
      </c>
      <c r="N868">
        <v>6</v>
      </c>
      <c r="Q868">
        <v>2.5</v>
      </c>
      <c r="R868">
        <v>8.93</v>
      </c>
    </row>
    <row r="869" spans="1:18" x14ac:dyDescent="0.2">
      <c r="A869" t="s">
        <v>1610</v>
      </c>
      <c r="B869" t="s">
        <v>1611</v>
      </c>
      <c r="C869">
        <v>2017</v>
      </c>
      <c r="D869">
        <v>0</v>
      </c>
      <c r="E869" t="s">
        <v>21</v>
      </c>
      <c r="F869" t="s">
        <v>22</v>
      </c>
      <c r="G869" t="s">
        <v>35</v>
      </c>
      <c r="H869">
        <v>1</v>
      </c>
      <c r="I869">
        <v>2556.5</v>
      </c>
      <c r="J869">
        <v>112.6</v>
      </c>
      <c r="N869">
        <v>11.1</v>
      </c>
      <c r="Q869">
        <v>2.41</v>
      </c>
      <c r="R869">
        <v>8.69</v>
      </c>
    </row>
    <row r="870" spans="1:18" x14ac:dyDescent="0.2">
      <c r="A870" t="s">
        <v>1612</v>
      </c>
      <c r="B870" t="s">
        <v>1613</v>
      </c>
      <c r="C870">
        <v>2015</v>
      </c>
      <c r="D870">
        <v>0</v>
      </c>
      <c r="E870" t="s">
        <v>21</v>
      </c>
      <c r="F870" t="s">
        <v>22</v>
      </c>
      <c r="G870" t="s">
        <v>35</v>
      </c>
      <c r="H870">
        <v>2</v>
      </c>
      <c r="I870">
        <v>88.9</v>
      </c>
      <c r="J870">
        <v>65.959999999999994</v>
      </c>
      <c r="N870">
        <v>1.38</v>
      </c>
      <c r="Q870">
        <v>1.63</v>
      </c>
      <c r="R870">
        <v>5.92</v>
      </c>
    </row>
    <row r="871" spans="1:18" x14ac:dyDescent="0.2">
      <c r="A871" t="s">
        <v>1612</v>
      </c>
      <c r="B871" t="s">
        <v>1614</v>
      </c>
      <c r="C871">
        <v>2015</v>
      </c>
      <c r="D871">
        <v>0</v>
      </c>
      <c r="E871" t="s">
        <v>21</v>
      </c>
      <c r="F871" t="s">
        <v>22</v>
      </c>
      <c r="G871" t="s">
        <v>35</v>
      </c>
      <c r="H871">
        <v>2</v>
      </c>
      <c r="I871">
        <v>2131.8000000000002</v>
      </c>
      <c r="J871">
        <v>65.959999999999994</v>
      </c>
      <c r="N871">
        <v>5.98</v>
      </c>
      <c r="Q871">
        <v>1.63</v>
      </c>
      <c r="R871">
        <v>5.92</v>
      </c>
    </row>
    <row r="872" spans="1:18" x14ac:dyDescent="0.2">
      <c r="A872" t="s">
        <v>1615</v>
      </c>
      <c r="B872" t="s">
        <v>1616</v>
      </c>
      <c r="C872">
        <v>2009</v>
      </c>
      <c r="D872">
        <v>0</v>
      </c>
      <c r="E872" t="s">
        <v>21</v>
      </c>
      <c r="F872" t="s">
        <v>22</v>
      </c>
      <c r="G872" t="s">
        <v>138</v>
      </c>
      <c r="H872">
        <v>1</v>
      </c>
      <c r="I872">
        <v>17337.5</v>
      </c>
      <c r="J872">
        <v>24.07</v>
      </c>
      <c r="K872">
        <v>3</v>
      </c>
      <c r="N872">
        <v>9</v>
      </c>
      <c r="Q872">
        <v>0.63</v>
      </c>
    </row>
    <row r="873" spans="1:18" x14ac:dyDescent="0.2">
      <c r="A873" t="s">
        <v>1617</v>
      </c>
      <c r="B873" t="s">
        <v>1618</v>
      </c>
      <c r="C873">
        <v>2019</v>
      </c>
      <c r="D873">
        <v>0</v>
      </c>
      <c r="E873" t="s">
        <v>21</v>
      </c>
      <c r="F873" t="s">
        <v>22</v>
      </c>
      <c r="G873" t="s">
        <v>629</v>
      </c>
      <c r="H873">
        <v>1</v>
      </c>
      <c r="I873">
        <v>87.19</v>
      </c>
      <c r="J873">
        <v>32.36</v>
      </c>
      <c r="N873">
        <v>5.9150000000000001E-2</v>
      </c>
      <c r="Q873">
        <v>0.66</v>
      </c>
    </row>
    <row r="874" spans="1:18" x14ac:dyDescent="0.2">
      <c r="A874" t="s">
        <v>1619</v>
      </c>
      <c r="B874" t="s">
        <v>1620</v>
      </c>
      <c r="C874">
        <v>2016</v>
      </c>
      <c r="D874">
        <v>0</v>
      </c>
      <c r="E874" t="s">
        <v>21</v>
      </c>
      <c r="F874" t="s">
        <v>22</v>
      </c>
      <c r="G874" t="s">
        <v>35</v>
      </c>
      <c r="H874">
        <v>1</v>
      </c>
      <c r="I874">
        <v>822.3</v>
      </c>
      <c r="J874">
        <v>91.49</v>
      </c>
      <c r="N874">
        <v>2.4</v>
      </c>
      <c r="Q874">
        <v>1.74</v>
      </c>
      <c r="R874">
        <v>5.77</v>
      </c>
    </row>
    <row r="875" spans="1:18" x14ac:dyDescent="0.2">
      <c r="A875" t="s">
        <v>1621</v>
      </c>
      <c r="B875" t="s">
        <v>1622</v>
      </c>
      <c r="C875">
        <v>2010</v>
      </c>
      <c r="D875">
        <v>0</v>
      </c>
      <c r="E875" t="s">
        <v>21</v>
      </c>
      <c r="F875" t="s">
        <v>40</v>
      </c>
      <c r="G875" t="s">
        <v>41</v>
      </c>
      <c r="H875">
        <v>1</v>
      </c>
      <c r="J875">
        <v>156.69999999999999</v>
      </c>
      <c r="K875">
        <v>5.0000000000000001E-3</v>
      </c>
      <c r="L875">
        <v>7300</v>
      </c>
      <c r="N875">
        <v>23</v>
      </c>
      <c r="Q875">
        <v>2.5</v>
      </c>
    </row>
    <row r="876" spans="1:18" x14ac:dyDescent="0.2">
      <c r="A876" t="s">
        <v>1623</v>
      </c>
      <c r="B876" t="s">
        <v>1624</v>
      </c>
      <c r="C876">
        <v>2009</v>
      </c>
      <c r="D876">
        <v>0</v>
      </c>
      <c r="E876" t="s">
        <v>21</v>
      </c>
      <c r="F876" t="s">
        <v>22</v>
      </c>
      <c r="G876" t="s">
        <v>32</v>
      </c>
      <c r="H876">
        <v>1</v>
      </c>
      <c r="I876">
        <v>111.7</v>
      </c>
      <c r="J876">
        <v>14.54</v>
      </c>
      <c r="N876">
        <v>2.1</v>
      </c>
      <c r="Q876">
        <v>0.42</v>
      </c>
      <c r="R876">
        <v>0.54</v>
      </c>
    </row>
    <row r="877" spans="1:18" x14ac:dyDescent="0.2">
      <c r="A877" t="s">
        <v>1625</v>
      </c>
      <c r="B877" t="s">
        <v>1626</v>
      </c>
      <c r="C877">
        <v>2016</v>
      </c>
      <c r="D877">
        <v>0</v>
      </c>
      <c r="E877" t="s">
        <v>21</v>
      </c>
      <c r="F877" t="s">
        <v>22</v>
      </c>
      <c r="G877" t="s">
        <v>35</v>
      </c>
      <c r="H877">
        <v>1</v>
      </c>
      <c r="I877">
        <v>1560.2</v>
      </c>
      <c r="J877">
        <v>168.63</v>
      </c>
      <c r="N877">
        <v>5.5</v>
      </c>
      <c r="Q877">
        <v>1.17</v>
      </c>
      <c r="R877">
        <v>7.83</v>
      </c>
    </row>
    <row r="878" spans="1:18" x14ac:dyDescent="0.2">
      <c r="A878" t="s">
        <v>1627</v>
      </c>
      <c r="B878" t="s">
        <v>1628</v>
      </c>
      <c r="C878">
        <v>2013</v>
      </c>
      <c r="D878">
        <v>0</v>
      </c>
      <c r="E878" t="s">
        <v>21</v>
      </c>
      <c r="F878" t="s">
        <v>22</v>
      </c>
      <c r="G878" t="s">
        <v>82</v>
      </c>
      <c r="H878">
        <v>1</v>
      </c>
      <c r="I878">
        <v>5.0505000000000004</v>
      </c>
      <c r="J878">
        <v>45.95</v>
      </c>
      <c r="N878">
        <v>1.0900000000000001</v>
      </c>
      <c r="Q878">
        <v>0.97</v>
      </c>
      <c r="R878">
        <v>0.89</v>
      </c>
    </row>
    <row r="879" spans="1:18" x14ac:dyDescent="0.2">
      <c r="A879" t="s">
        <v>1629</v>
      </c>
      <c r="B879" t="s">
        <v>1630</v>
      </c>
      <c r="C879">
        <v>2014</v>
      </c>
      <c r="D879">
        <v>0</v>
      </c>
      <c r="E879" t="s">
        <v>21</v>
      </c>
      <c r="F879" t="s">
        <v>22</v>
      </c>
      <c r="G879" t="s">
        <v>35</v>
      </c>
      <c r="H879">
        <v>1</v>
      </c>
      <c r="I879">
        <v>1058.8</v>
      </c>
      <c r="J879">
        <v>106.5</v>
      </c>
      <c r="N879">
        <v>20</v>
      </c>
      <c r="Q879">
        <v>1.93</v>
      </c>
      <c r="R879">
        <v>5.34</v>
      </c>
    </row>
    <row r="880" spans="1:18" x14ac:dyDescent="0.2">
      <c r="A880" t="s">
        <v>1631</v>
      </c>
      <c r="B880" t="s">
        <v>1632</v>
      </c>
      <c r="C880">
        <v>2006</v>
      </c>
      <c r="D880">
        <v>0</v>
      </c>
      <c r="E880" t="s">
        <v>55</v>
      </c>
      <c r="F880" t="s">
        <v>40</v>
      </c>
      <c r="G880" t="s">
        <v>239</v>
      </c>
      <c r="H880">
        <v>1</v>
      </c>
      <c r="J880">
        <v>18.13</v>
      </c>
      <c r="K880">
        <v>3.1</v>
      </c>
      <c r="L880">
        <v>6991.57</v>
      </c>
      <c r="M880">
        <v>11.776999999999999</v>
      </c>
      <c r="N880">
        <v>21.998699999999999</v>
      </c>
      <c r="O880">
        <v>1.0509999999999999</v>
      </c>
      <c r="Q880">
        <v>1.1000000000000001</v>
      </c>
      <c r="R880">
        <v>1.04</v>
      </c>
    </row>
    <row r="881" spans="1:19" x14ac:dyDescent="0.2">
      <c r="A881" t="s">
        <v>1633</v>
      </c>
      <c r="B881" t="s">
        <v>1634</v>
      </c>
      <c r="C881">
        <v>2016</v>
      </c>
      <c r="D881">
        <v>0</v>
      </c>
      <c r="E881" t="s">
        <v>21</v>
      </c>
      <c r="F881" t="s">
        <v>40</v>
      </c>
      <c r="G881" t="s">
        <v>41</v>
      </c>
      <c r="H881">
        <v>1</v>
      </c>
      <c r="J881">
        <v>33.630000000000003</v>
      </c>
      <c r="K881">
        <v>0.6</v>
      </c>
      <c r="L881">
        <v>9534.9</v>
      </c>
      <c r="M881">
        <v>12.442</v>
      </c>
      <c r="N881">
        <v>30</v>
      </c>
      <c r="O881">
        <v>1.1100000000000001</v>
      </c>
      <c r="Q881">
        <v>1.3</v>
      </c>
    </row>
    <row r="882" spans="1:19" x14ac:dyDescent="0.2">
      <c r="A882" t="s">
        <v>1635</v>
      </c>
      <c r="B882" t="s">
        <v>1636</v>
      </c>
      <c r="C882">
        <v>1999</v>
      </c>
      <c r="D882">
        <v>0</v>
      </c>
      <c r="E882" t="s">
        <v>21</v>
      </c>
      <c r="F882" t="s">
        <v>22</v>
      </c>
      <c r="G882" t="s">
        <v>138</v>
      </c>
      <c r="H882">
        <v>1</v>
      </c>
      <c r="I882">
        <v>302.79998999999998</v>
      </c>
      <c r="J882">
        <v>17.329999999999998</v>
      </c>
      <c r="N882">
        <v>2.27</v>
      </c>
      <c r="Q882">
        <v>1.34</v>
      </c>
      <c r="R882">
        <v>1.1299999999999999</v>
      </c>
    </row>
    <row r="883" spans="1:19" x14ac:dyDescent="0.2">
      <c r="A883" t="s">
        <v>1637</v>
      </c>
      <c r="B883" t="s">
        <v>1638</v>
      </c>
      <c r="C883">
        <v>2008</v>
      </c>
      <c r="D883">
        <v>0</v>
      </c>
      <c r="E883" t="s">
        <v>21</v>
      </c>
      <c r="F883" t="s">
        <v>40</v>
      </c>
      <c r="G883" t="s">
        <v>41</v>
      </c>
      <c r="H883">
        <v>4</v>
      </c>
      <c r="I883">
        <v>170000</v>
      </c>
      <c r="J883">
        <v>39.4</v>
      </c>
      <c r="L883">
        <v>2000</v>
      </c>
      <c r="M883">
        <v>13</v>
      </c>
      <c r="N883">
        <v>7</v>
      </c>
      <c r="O883">
        <v>1.2</v>
      </c>
      <c r="Q883">
        <v>1.51</v>
      </c>
    </row>
    <row r="884" spans="1:19" x14ac:dyDescent="0.2">
      <c r="A884" t="s">
        <v>1637</v>
      </c>
      <c r="B884" t="s">
        <v>1639</v>
      </c>
      <c r="C884">
        <v>2008</v>
      </c>
      <c r="D884">
        <v>0</v>
      </c>
      <c r="E884" t="s">
        <v>21</v>
      </c>
      <c r="F884" t="s">
        <v>40</v>
      </c>
      <c r="G884" t="s">
        <v>41</v>
      </c>
      <c r="H884">
        <v>4</v>
      </c>
      <c r="I884">
        <v>69000</v>
      </c>
      <c r="J884">
        <v>39.4</v>
      </c>
      <c r="L884">
        <v>3000</v>
      </c>
      <c r="M884">
        <v>13</v>
      </c>
      <c r="N884">
        <v>10</v>
      </c>
      <c r="O884">
        <v>1.2</v>
      </c>
      <c r="Q884">
        <v>1.51</v>
      </c>
    </row>
    <row r="885" spans="1:19" x14ac:dyDescent="0.2">
      <c r="A885" t="s">
        <v>1637</v>
      </c>
      <c r="B885" t="s">
        <v>1640</v>
      </c>
      <c r="C885">
        <v>2008</v>
      </c>
      <c r="D885">
        <v>0</v>
      </c>
      <c r="E885" t="s">
        <v>21</v>
      </c>
      <c r="F885" t="s">
        <v>40</v>
      </c>
      <c r="G885" t="s">
        <v>32</v>
      </c>
      <c r="H885">
        <v>4</v>
      </c>
      <c r="I885">
        <v>37000</v>
      </c>
      <c r="J885">
        <v>39.4</v>
      </c>
      <c r="L885">
        <v>3000</v>
      </c>
      <c r="M885">
        <v>13</v>
      </c>
      <c r="N885">
        <v>10</v>
      </c>
      <c r="O885">
        <v>1.2</v>
      </c>
      <c r="Q885">
        <v>1.51</v>
      </c>
    </row>
    <row r="886" spans="1:19" x14ac:dyDescent="0.2">
      <c r="A886" t="s">
        <v>1637</v>
      </c>
      <c r="B886" t="s">
        <v>1641</v>
      </c>
      <c r="C886">
        <v>2010</v>
      </c>
      <c r="D886">
        <v>0</v>
      </c>
      <c r="E886" t="s">
        <v>21</v>
      </c>
      <c r="F886" t="s">
        <v>40</v>
      </c>
      <c r="G886" t="s">
        <v>32</v>
      </c>
      <c r="H886">
        <v>4</v>
      </c>
      <c r="I886">
        <v>18000</v>
      </c>
      <c r="J886">
        <v>39.4</v>
      </c>
      <c r="Q886">
        <v>1.51</v>
      </c>
    </row>
    <row r="887" spans="1:19" x14ac:dyDescent="0.2">
      <c r="A887" t="s">
        <v>1642</v>
      </c>
      <c r="B887" t="s">
        <v>1643</v>
      </c>
      <c r="C887">
        <v>2018</v>
      </c>
      <c r="D887">
        <v>0</v>
      </c>
      <c r="E887" t="s">
        <v>21</v>
      </c>
      <c r="F887" t="s">
        <v>22</v>
      </c>
      <c r="G887" t="s">
        <v>138</v>
      </c>
      <c r="H887">
        <v>1</v>
      </c>
      <c r="I887">
        <v>734</v>
      </c>
      <c r="J887">
        <v>879.38</v>
      </c>
      <c r="K887">
        <v>1.1399999999999999</v>
      </c>
      <c r="N887">
        <v>6.3</v>
      </c>
      <c r="Q887">
        <v>2.1</v>
      </c>
    </row>
    <row r="888" spans="1:19" x14ac:dyDescent="0.2">
      <c r="A888" t="s">
        <v>1644</v>
      </c>
      <c r="B888" t="s">
        <v>1645</v>
      </c>
      <c r="C888">
        <v>2015</v>
      </c>
      <c r="D888">
        <v>0</v>
      </c>
      <c r="E888" t="s">
        <v>55</v>
      </c>
      <c r="F888" t="s">
        <v>128</v>
      </c>
      <c r="G888" t="s">
        <v>129</v>
      </c>
      <c r="H888">
        <v>1</v>
      </c>
      <c r="I888">
        <v>19.304400000000001</v>
      </c>
      <c r="J888">
        <v>274.48</v>
      </c>
      <c r="L888">
        <v>27</v>
      </c>
      <c r="M888">
        <v>3.84</v>
      </c>
      <c r="N888">
        <v>8.4949999999999998E-2</v>
      </c>
      <c r="O888">
        <v>0.34300000000000003</v>
      </c>
      <c r="P888">
        <v>2.6</v>
      </c>
      <c r="Q888">
        <v>0.92</v>
      </c>
      <c r="R888">
        <v>0.98</v>
      </c>
      <c r="S888">
        <v>1.38</v>
      </c>
    </row>
    <row r="889" spans="1:19" x14ac:dyDescent="0.2">
      <c r="A889" t="s">
        <v>1646</v>
      </c>
      <c r="B889" t="s">
        <v>1647</v>
      </c>
      <c r="C889">
        <v>2016</v>
      </c>
      <c r="D889">
        <v>0</v>
      </c>
      <c r="E889" t="s">
        <v>55</v>
      </c>
      <c r="F889" t="s">
        <v>128</v>
      </c>
      <c r="G889" t="s">
        <v>129</v>
      </c>
      <c r="H889">
        <v>1</v>
      </c>
      <c r="I889">
        <v>1.6738329999999999</v>
      </c>
      <c r="J889">
        <v>190.04</v>
      </c>
      <c r="M889">
        <v>3.59</v>
      </c>
      <c r="O889">
        <v>0.32</v>
      </c>
      <c r="Q889">
        <v>1.23</v>
      </c>
      <c r="R889">
        <v>1.22</v>
      </c>
      <c r="S889">
        <v>3.2170000000000001</v>
      </c>
    </row>
    <row r="890" spans="1:19" x14ac:dyDescent="0.2">
      <c r="A890" t="s">
        <v>1648</v>
      </c>
      <c r="B890" t="s">
        <v>1649</v>
      </c>
      <c r="C890">
        <v>2016</v>
      </c>
      <c r="D890">
        <v>0</v>
      </c>
      <c r="E890" t="s">
        <v>55</v>
      </c>
      <c r="F890" t="s">
        <v>128</v>
      </c>
      <c r="G890" t="s">
        <v>129</v>
      </c>
      <c r="H890">
        <v>1</v>
      </c>
      <c r="I890">
        <v>14.677286</v>
      </c>
      <c r="J890">
        <v>189.33</v>
      </c>
      <c r="K890">
        <v>0.79</v>
      </c>
      <c r="M890">
        <v>2</v>
      </c>
      <c r="O890">
        <v>0.17799999999999999</v>
      </c>
      <c r="Q890">
        <v>0.8</v>
      </c>
      <c r="R890">
        <v>0.73</v>
      </c>
      <c r="S890">
        <v>2.92</v>
      </c>
    </row>
    <row r="891" spans="1:19" x14ac:dyDescent="0.2">
      <c r="A891" t="s">
        <v>1650</v>
      </c>
      <c r="B891" t="s">
        <v>1651</v>
      </c>
      <c r="C891">
        <v>2016</v>
      </c>
      <c r="D891">
        <v>0</v>
      </c>
      <c r="E891" t="s">
        <v>55</v>
      </c>
      <c r="F891" t="s">
        <v>128</v>
      </c>
      <c r="G891" t="s">
        <v>129</v>
      </c>
      <c r="H891">
        <v>1</v>
      </c>
      <c r="I891">
        <v>9.9156150000000007</v>
      </c>
      <c r="J891">
        <v>189.17</v>
      </c>
      <c r="K891">
        <v>0.79</v>
      </c>
      <c r="M891">
        <v>1.3</v>
      </c>
      <c r="O891">
        <v>0.11600000000000001</v>
      </c>
      <c r="Q891">
        <v>0.77</v>
      </c>
      <c r="R891">
        <v>0.71</v>
      </c>
      <c r="S891">
        <v>3.03</v>
      </c>
    </row>
    <row r="892" spans="1:19" x14ac:dyDescent="0.2">
      <c r="A892" t="s">
        <v>1652</v>
      </c>
      <c r="B892" t="s">
        <v>1653</v>
      </c>
      <c r="C892">
        <v>2016</v>
      </c>
      <c r="D892">
        <v>0</v>
      </c>
      <c r="E892" t="s">
        <v>55</v>
      </c>
      <c r="F892" t="s">
        <v>128</v>
      </c>
      <c r="G892" t="s">
        <v>129</v>
      </c>
      <c r="H892">
        <v>1</v>
      </c>
      <c r="I892">
        <v>1.9742379999999999</v>
      </c>
      <c r="J892">
        <v>190.21</v>
      </c>
      <c r="M892">
        <v>1.96</v>
      </c>
      <c r="O892">
        <v>0.17499999999999999</v>
      </c>
      <c r="Q892">
        <v>0.43</v>
      </c>
      <c r="R892">
        <v>0.49</v>
      </c>
    </row>
    <row r="893" spans="1:19" x14ac:dyDescent="0.2">
      <c r="A893" t="s">
        <v>1654</v>
      </c>
      <c r="B893" t="s">
        <v>1655</v>
      </c>
      <c r="C893">
        <v>2017</v>
      </c>
      <c r="D893">
        <v>0</v>
      </c>
      <c r="E893" t="s">
        <v>55</v>
      </c>
      <c r="F893" t="s">
        <v>128</v>
      </c>
      <c r="G893" t="s">
        <v>129</v>
      </c>
      <c r="H893">
        <v>1</v>
      </c>
      <c r="I893">
        <v>8.2677040000000002</v>
      </c>
      <c r="J893">
        <v>199.28</v>
      </c>
      <c r="M893">
        <v>3.37</v>
      </c>
      <c r="O893">
        <v>0.30099999999999999</v>
      </c>
      <c r="Q893">
        <v>0.99</v>
      </c>
      <c r="R893">
        <v>0.91</v>
      </c>
      <c r="S893">
        <v>1.5409999999999999</v>
      </c>
    </row>
    <row r="894" spans="1:19" x14ac:dyDescent="0.2">
      <c r="A894" t="s">
        <v>1656</v>
      </c>
      <c r="B894" t="s">
        <v>1657</v>
      </c>
      <c r="C894">
        <v>2017</v>
      </c>
      <c r="D894">
        <v>0</v>
      </c>
      <c r="E894" t="s">
        <v>55</v>
      </c>
      <c r="F894" t="s">
        <v>128</v>
      </c>
      <c r="G894" t="s">
        <v>129</v>
      </c>
      <c r="H894">
        <v>1</v>
      </c>
      <c r="I894">
        <v>3.3139590000000001</v>
      </c>
      <c r="J894">
        <v>696.95</v>
      </c>
      <c r="M894">
        <v>15.98</v>
      </c>
      <c r="O894">
        <v>1.4259999999999999</v>
      </c>
      <c r="Q894">
        <v>1.3</v>
      </c>
      <c r="R894">
        <v>1.81</v>
      </c>
      <c r="S894">
        <v>0.45700000000000002</v>
      </c>
    </row>
    <row r="895" spans="1:19" x14ac:dyDescent="0.2">
      <c r="A895" t="s">
        <v>1658</v>
      </c>
      <c r="B895" t="s">
        <v>1659</v>
      </c>
      <c r="C895">
        <v>2017</v>
      </c>
      <c r="D895">
        <v>0</v>
      </c>
      <c r="E895" t="s">
        <v>55</v>
      </c>
      <c r="F895" t="s">
        <v>128</v>
      </c>
      <c r="G895" t="s">
        <v>129</v>
      </c>
      <c r="H895">
        <v>1</v>
      </c>
      <c r="I895">
        <v>4.7339989999999998</v>
      </c>
      <c r="J895">
        <v>484.99</v>
      </c>
      <c r="M895">
        <v>5.33</v>
      </c>
      <c r="O895">
        <v>0.47599999999999998</v>
      </c>
      <c r="Q895">
        <v>1.17</v>
      </c>
      <c r="R895">
        <v>1.76</v>
      </c>
      <c r="S895">
        <v>0.80600000000000005</v>
      </c>
    </row>
    <row r="896" spans="1:19" x14ac:dyDescent="0.2">
      <c r="A896" t="s">
        <v>1660</v>
      </c>
      <c r="B896" t="s">
        <v>1661</v>
      </c>
      <c r="C896">
        <v>2015</v>
      </c>
      <c r="D896">
        <v>0</v>
      </c>
      <c r="E896" t="s">
        <v>55</v>
      </c>
      <c r="F896" t="s">
        <v>128</v>
      </c>
      <c r="G896" t="s">
        <v>129</v>
      </c>
      <c r="H896">
        <v>1</v>
      </c>
      <c r="I896">
        <v>39.937669999999997</v>
      </c>
      <c r="J896">
        <v>332.46</v>
      </c>
      <c r="M896">
        <v>7.55</v>
      </c>
      <c r="O896">
        <v>0.67400000000000004</v>
      </c>
      <c r="Q896">
        <v>1.35</v>
      </c>
      <c r="R896">
        <v>5.15</v>
      </c>
    </row>
    <row r="897" spans="1:19" x14ac:dyDescent="0.2">
      <c r="A897" t="s">
        <v>1662</v>
      </c>
      <c r="B897" t="s">
        <v>1663</v>
      </c>
      <c r="C897">
        <v>2017</v>
      </c>
      <c r="D897">
        <v>0</v>
      </c>
      <c r="E897" t="s">
        <v>55</v>
      </c>
      <c r="F897" t="s">
        <v>128</v>
      </c>
      <c r="G897" t="s">
        <v>129</v>
      </c>
      <c r="H897">
        <v>1</v>
      </c>
      <c r="I897">
        <v>13.86387</v>
      </c>
      <c r="J897">
        <v>116.84</v>
      </c>
      <c r="M897">
        <v>2.56</v>
      </c>
      <c r="O897">
        <v>0.22800000000000001</v>
      </c>
      <c r="Q897">
        <v>0.75</v>
      </c>
      <c r="R897">
        <v>0.71</v>
      </c>
      <c r="S897">
        <v>3.5150000000000001</v>
      </c>
    </row>
    <row r="898" spans="1:19" x14ac:dyDescent="0.2">
      <c r="A898" t="s">
        <v>1664</v>
      </c>
      <c r="B898" t="s">
        <v>1665</v>
      </c>
      <c r="C898">
        <v>2017</v>
      </c>
      <c r="D898">
        <v>0</v>
      </c>
      <c r="E898" t="s">
        <v>55</v>
      </c>
      <c r="F898" t="s">
        <v>128</v>
      </c>
      <c r="G898" t="s">
        <v>129</v>
      </c>
      <c r="H898">
        <v>1</v>
      </c>
      <c r="I898">
        <v>5.3511699999999998</v>
      </c>
      <c r="J898">
        <v>201.51</v>
      </c>
      <c r="K898">
        <v>10.77</v>
      </c>
      <c r="L898">
        <v>8.6</v>
      </c>
      <c r="M898">
        <v>1.9</v>
      </c>
      <c r="N898">
        <v>2.7060000000000001E-2</v>
      </c>
      <c r="O898">
        <v>0.17</v>
      </c>
      <c r="P898">
        <v>6.6</v>
      </c>
      <c r="Q898">
        <v>0.88</v>
      </c>
      <c r="R898">
        <v>1.23</v>
      </c>
      <c r="S898">
        <v>0.51</v>
      </c>
    </row>
    <row r="899" spans="1:19" x14ac:dyDescent="0.2">
      <c r="A899" t="s">
        <v>1666</v>
      </c>
      <c r="B899" t="s">
        <v>1667</v>
      </c>
      <c r="C899">
        <v>2017</v>
      </c>
      <c r="D899">
        <v>0</v>
      </c>
      <c r="E899" t="s">
        <v>55</v>
      </c>
      <c r="F899" t="s">
        <v>128</v>
      </c>
      <c r="G899" t="s">
        <v>129</v>
      </c>
      <c r="H899">
        <v>1</v>
      </c>
      <c r="I899">
        <v>5.817685</v>
      </c>
      <c r="J899">
        <v>649.75</v>
      </c>
      <c r="M899">
        <v>12.14</v>
      </c>
      <c r="O899">
        <v>1.083</v>
      </c>
      <c r="Q899">
        <v>1.04</v>
      </c>
      <c r="R899">
        <v>1.24</v>
      </c>
      <c r="S899">
        <v>0.98699999999999999</v>
      </c>
    </row>
    <row r="900" spans="1:19" x14ac:dyDescent="0.2">
      <c r="A900" t="s">
        <v>1668</v>
      </c>
      <c r="B900" t="s">
        <v>1669</v>
      </c>
      <c r="C900">
        <v>2017</v>
      </c>
      <c r="D900">
        <v>0</v>
      </c>
      <c r="E900" t="s">
        <v>55</v>
      </c>
      <c r="F900" t="s">
        <v>128</v>
      </c>
      <c r="G900" t="s">
        <v>129</v>
      </c>
      <c r="H900">
        <v>1</v>
      </c>
      <c r="I900">
        <v>11.391012999999999</v>
      </c>
      <c r="J900">
        <v>484.8</v>
      </c>
      <c r="M900">
        <v>10.67</v>
      </c>
      <c r="O900">
        <v>0.95199999999999996</v>
      </c>
      <c r="Q900">
        <v>0.89</v>
      </c>
      <c r="R900">
        <v>0.84</v>
      </c>
      <c r="S900">
        <v>1.655</v>
      </c>
    </row>
    <row r="901" spans="1:19" x14ac:dyDescent="0.2">
      <c r="A901" t="s">
        <v>1670</v>
      </c>
      <c r="B901" t="s">
        <v>1671</v>
      </c>
      <c r="C901">
        <v>2017</v>
      </c>
      <c r="D901">
        <v>0</v>
      </c>
      <c r="E901" t="s">
        <v>55</v>
      </c>
      <c r="F901" t="s">
        <v>128</v>
      </c>
      <c r="G901" t="s">
        <v>129</v>
      </c>
      <c r="H901">
        <v>1</v>
      </c>
      <c r="I901">
        <v>20.272614999999998</v>
      </c>
      <c r="J901">
        <v>418.58</v>
      </c>
      <c r="M901">
        <v>12.06</v>
      </c>
      <c r="O901">
        <v>1.0760000000000001</v>
      </c>
      <c r="Q901">
        <v>0.95</v>
      </c>
      <c r="R901">
        <v>0.88</v>
      </c>
      <c r="S901">
        <v>2.6629999999999998</v>
      </c>
    </row>
    <row r="902" spans="1:19" x14ac:dyDescent="0.2">
      <c r="A902" t="s">
        <v>1672</v>
      </c>
      <c r="B902" t="s">
        <v>1673</v>
      </c>
      <c r="C902">
        <v>2017</v>
      </c>
      <c r="D902">
        <v>0</v>
      </c>
      <c r="E902" t="s">
        <v>55</v>
      </c>
      <c r="F902" t="s">
        <v>128</v>
      </c>
      <c r="G902" t="s">
        <v>129</v>
      </c>
      <c r="H902">
        <v>1</v>
      </c>
      <c r="I902">
        <v>4.655411</v>
      </c>
      <c r="J902">
        <v>49.46</v>
      </c>
      <c r="M902">
        <v>0.69</v>
      </c>
      <c r="O902">
        <v>6.2E-2</v>
      </c>
      <c r="Q902">
        <v>0.69</v>
      </c>
      <c r="R902">
        <v>0.67</v>
      </c>
    </row>
    <row r="903" spans="1:19" x14ac:dyDescent="0.2">
      <c r="A903" t="s">
        <v>1674</v>
      </c>
      <c r="B903" t="s">
        <v>1675</v>
      </c>
      <c r="C903">
        <v>2017</v>
      </c>
      <c r="D903">
        <v>0</v>
      </c>
      <c r="E903" t="s">
        <v>55</v>
      </c>
      <c r="F903" t="s">
        <v>128</v>
      </c>
      <c r="G903" t="s">
        <v>129</v>
      </c>
      <c r="H903">
        <v>2</v>
      </c>
      <c r="I903">
        <v>1.2916000000000001</v>
      </c>
      <c r="J903">
        <v>101.95</v>
      </c>
      <c r="M903">
        <v>2.0299999999999998</v>
      </c>
      <c r="O903">
        <v>0.18099999999999999</v>
      </c>
      <c r="Q903">
        <v>0.54</v>
      </c>
      <c r="R903">
        <v>0.51</v>
      </c>
    </row>
    <row r="904" spans="1:19" x14ac:dyDescent="0.2">
      <c r="A904" t="s">
        <v>1674</v>
      </c>
      <c r="B904" t="s">
        <v>1676</v>
      </c>
      <c r="C904">
        <v>2017</v>
      </c>
      <c r="D904">
        <v>0</v>
      </c>
      <c r="E904" t="s">
        <v>55</v>
      </c>
      <c r="F904" t="s">
        <v>128</v>
      </c>
      <c r="G904" t="s">
        <v>129</v>
      </c>
      <c r="H904">
        <v>2</v>
      </c>
      <c r="I904">
        <v>5.4440169999999997</v>
      </c>
      <c r="J904">
        <v>101.95</v>
      </c>
      <c r="M904">
        <v>2.06</v>
      </c>
      <c r="O904">
        <v>0.184</v>
      </c>
      <c r="Q904">
        <v>0.54</v>
      </c>
      <c r="R904">
        <v>0.51</v>
      </c>
    </row>
    <row r="905" spans="1:19" x14ac:dyDescent="0.2">
      <c r="A905" t="s">
        <v>1677</v>
      </c>
      <c r="B905" t="s">
        <v>1678</v>
      </c>
      <c r="C905">
        <v>2017</v>
      </c>
      <c r="D905">
        <v>0</v>
      </c>
      <c r="E905" t="s">
        <v>55</v>
      </c>
      <c r="F905" t="s">
        <v>128</v>
      </c>
      <c r="G905" t="s">
        <v>129</v>
      </c>
      <c r="H905">
        <v>1</v>
      </c>
      <c r="I905">
        <v>50.920920000000002</v>
      </c>
      <c r="J905">
        <v>324.7</v>
      </c>
      <c r="M905">
        <v>2.54</v>
      </c>
      <c r="O905">
        <v>0.22700000000000001</v>
      </c>
      <c r="Q905">
        <v>0.76</v>
      </c>
      <c r="R905">
        <v>0.73</v>
      </c>
    </row>
    <row r="906" spans="1:19" x14ac:dyDescent="0.2">
      <c r="A906" t="s">
        <v>1679</v>
      </c>
      <c r="B906" t="s">
        <v>1680</v>
      </c>
      <c r="C906">
        <v>2017</v>
      </c>
      <c r="D906">
        <v>0</v>
      </c>
      <c r="E906" t="s">
        <v>55</v>
      </c>
      <c r="F906" t="s">
        <v>128</v>
      </c>
      <c r="G906" t="s">
        <v>129</v>
      </c>
      <c r="H906">
        <v>1</v>
      </c>
      <c r="I906">
        <v>7.7272829999999999</v>
      </c>
      <c r="J906">
        <v>369.66</v>
      </c>
      <c r="M906">
        <v>2.5299999999999998</v>
      </c>
      <c r="O906">
        <v>0.22600000000000001</v>
      </c>
      <c r="Q906">
        <v>0.76</v>
      </c>
      <c r="R906">
        <v>0.71</v>
      </c>
      <c r="S906">
        <v>2.2509999999999999</v>
      </c>
    </row>
    <row r="907" spans="1:19" x14ac:dyDescent="0.2">
      <c r="A907" t="s">
        <v>1681</v>
      </c>
      <c r="B907" t="s">
        <v>1682</v>
      </c>
      <c r="C907">
        <v>2015</v>
      </c>
      <c r="D907">
        <v>0</v>
      </c>
      <c r="E907" t="s">
        <v>55</v>
      </c>
      <c r="F907" t="s">
        <v>128</v>
      </c>
      <c r="G907" t="s">
        <v>129</v>
      </c>
      <c r="H907">
        <v>1</v>
      </c>
      <c r="I907">
        <v>8.2821200000000008</v>
      </c>
      <c r="J907">
        <v>329.36</v>
      </c>
      <c r="M907">
        <v>2.33</v>
      </c>
      <c r="O907">
        <v>0.20799999999999999</v>
      </c>
      <c r="Q907">
        <v>1.01</v>
      </c>
      <c r="R907">
        <v>1.01</v>
      </c>
    </row>
    <row r="908" spans="1:19" x14ac:dyDescent="0.2">
      <c r="A908" t="s">
        <v>1683</v>
      </c>
      <c r="B908" t="s">
        <v>1684</v>
      </c>
      <c r="C908">
        <v>2017</v>
      </c>
      <c r="D908">
        <v>0</v>
      </c>
      <c r="E908" t="s">
        <v>55</v>
      </c>
      <c r="F908" t="s">
        <v>128</v>
      </c>
      <c r="G908" t="s">
        <v>129</v>
      </c>
      <c r="H908">
        <v>1</v>
      </c>
      <c r="I908">
        <v>9.5627420000000001</v>
      </c>
      <c r="J908">
        <v>289.54000000000002</v>
      </c>
      <c r="M908">
        <v>2.0099999999999998</v>
      </c>
      <c r="O908">
        <v>0.17899999999999999</v>
      </c>
      <c r="Q908">
        <v>0.69</v>
      </c>
      <c r="R908">
        <v>0.67</v>
      </c>
    </row>
    <row r="909" spans="1:19" x14ac:dyDescent="0.2">
      <c r="A909" t="s">
        <v>1685</v>
      </c>
      <c r="B909" t="s">
        <v>1686</v>
      </c>
      <c r="C909">
        <v>2017</v>
      </c>
      <c r="D909">
        <v>0</v>
      </c>
      <c r="E909" t="s">
        <v>55</v>
      </c>
      <c r="F909" t="s">
        <v>128</v>
      </c>
      <c r="G909" t="s">
        <v>129</v>
      </c>
      <c r="H909">
        <v>1</v>
      </c>
      <c r="I909">
        <v>5.1857610000000003</v>
      </c>
      <c r="J909">
        <v>170.37</v>
      </c>
      <c r="M909">
        <v>7.5</v>
      </c>
      <c r="O909">
        <v>0.66900000000000004</v>
      </c>
      <c r="Q909">
        <v>0.72</v>
      </c>
      <c r="R909">
        <v>0.68</v>
      </c>
      <c r="S909">
        <v>6.532</v>
      </c>
    </row>
    <row r="910" spans="1:19" x14ac:dyDescent="0.2">
      <c r="A910" t="s">
        <v>1687</v>
      </c>
      <c r="B910" t="s">
        <v>1688</v>
      </c>
      <c r="C910">
        <v>2017</v>
      </c>
      <c r="D910">
        <v>0</v>
      </c>
      <c r="E910" t="s">
        <v>55</v>
      </c>
      <c r="F910" t="s">
        <v>128</v>
      </c>
      <c r="G910" t="s">
        <v>129</v>
      </c>
      <c r="H910">
        <v>1</v>
      </c>
      <c r="I910">
        <v>2.2192820000000002</v>
      </c>
      <c r="J910">
        <v>72.19</v>
      </c>
      <c r="M910">
        <v>1.21</v>
      </c>
      <c r="O910">
        <v>0.108</v>
      </c>
      <c r="Q910">
        <v>0.62</v>
      </c>
      <c r="R910">
        <v>0.6</v>
      </c>
      <c r="S910">
        <v>6.9390000000000001</v>
      </c>
    </row>
    <row r="911" spans="1:19" x14ac:dyDescent="0.2">
      <c r="A911" t="s">
        <v>1689</v>
      </c>
      <c r="B911" t="s">
        <v>1690</v>
      </c>
      <c r="C911">
        <v>2017</v>
      </c>
      <c r="D911">
        <v>0</v>
      </c>
      <c r="E911" t="s">
        <v>55</v>
      </c>
      <c r="F911" t="s">
        <v>128</v>
      </c>
      <c r="G911" t="s">
        <v>129</v>
      </c>
      <c r="H911">
        <v>1</v>
      </c>
      <c r="I911">
        <v>30.951523999999999</v>
      </c>
      <c r="J911">
        <v>162.36000000000001</v>
      </c>
      <c r="M911">
        <v>2.76</v>
      </c>
      <c r="O911">
        <v>0.246</v>
      </c>
      <c r="Q911">
        <v>0.62</v>
      </c>
      <c r="R911">
        <v>0.59</v>
      </c>
      <c r="S911">
        <v>4.5110000000000001</v>
      </c>
    </row>
    <row r="912" spans="1:19" x14ac:dyDescent="0.2">
      <c r="A912" t="s">
        <v>1691</v>
      </c>
      <c r="B912" t="s">
        <v>1692</v>
      </c>
      <c r="C912">
        <v>2017</v>
      </c>
      <c r="D912">
        <v>0</v>
      </c>
      <c r="E912" t="s">
        <v>55</v>
      </c>
      <c r="F912" t="s">
        <v>128</v>
      </c>
      <c r="G912" t="s">
        <v>129</v>
      </c>
      <c r="H912">
        <v>1</v>
      </c>
      <c r="I912">
        <v>6.4136509999999998</v>
      </c>
      <c r="J912">
        <v>140.4</v>
      </c>
      <c r="M912">
        <v>2.9</v>
      </c>
      <c r="O912">
        <v>0.25900000000000001</v>
      </c>
      <c r="Q912">
        <v>0.39</v>
      </c>
      <c r="R912">
        <v>0.39</v>
      </c>
      <c r="S912">
        <v>9.58</v>
      </c>
    </row>
    <row r="913" spans="1:19" x14ac:dyDescent="0.2">
      <c r="A913" t="s">
        <v>1693</v>
      </c>
      <c r="B913" t="s">
        <v>1694</v>
      </c>
      <c r="C913">
        <v>2017</v>
      </c>
      <c r="D913">
        <v>0</v>
      </c>
      <c r="E913" t="s">
        <v>55</v>
      </c>
      <c r="F913" t="s">
        <v>128</v>
      </c>
      <c r="G913" t="s">
        <v>129</v>
      </c>
      <c r="H913">
        <v>1</v>
      </c>
      <c r="I913">
        <v>21.750264000000001</v>
      </c>
      <c r="J913">
        <v>124.6</v>
      </c>
      <c r="M913">
        <v>2.1800000000000002</v>
      </c>
      <c r="O913">
        <v>0.19400000000000001</v>
      </c>
      <c r="Q913">
        <v>0.49</v>
      </c>
      <c r="R913">
        <v>0.4</v>
      </c>
    </row>
    <row r="914" spans="1:19" x14ac:dyDescent="0.2">
      <c r="A914" t="s">
        <v>1695</v>
      </c>
      <c r="B914" t="s">
        <v>1696</v>
      </c>
      <c r="C914">
        <v>2017</v>
      </c>
      <c r="D914">
        <v>0</v>
      </c>
      <c r="E914" t="s">
        <v>55</v>
      </c>
      <c r="F914" t="s">
        <v>128</v>
      </c>
      <c r="G914" t="s">
        <v>129</v>
      </c>
      <c r="H914">
        <v>1</v>
      </c>
      <c r="I914">
        <v>7.3856549999999999</v>
      </c>
      <c r="J914">
        <v>103.29</v>
      </c>
      <c r="M914">
        <v>1.97</v>
      </c>
      <c r="O914">
        <v>0.17599999999999999</v>
      </c>
      <c r="Q914">
        <v>0.69</v>
      </c>
      <c r="R914">
        <v>0.65</v>
      </c>
      <c r="S914">
        <v>2.903</v>
      </c>
    </row>
    <row r="915" spans="1:19" x14ac:dyDescent="0.2">
      <c r="A915" t="s">
        <v>1697</v>
      </c>
      <c r="B915" t="s">
        <v>1698</v>
      </c>
      <c r="C915">
        <v>2017</v>
      </c>
      <c r="D915">
        <v>0</v>
      </c>
      <c r="E915" t="s">
        <v>55</v>
      </c>
      <c r="F915" t="s">
        <v>128</v>
      </c>
      <c r="G915" t="s">
        <v>129</v>
      </c>
      <c r="H915">
        <v>1</v>
      </c>
      <c r="I915">
        <v>3.5881630000000002</v>
      </c>
      <c r="J915">
        <v>723.97</v>
      </c>
      <c r="M915">
        <v>8.3699999999999992</v>
      </c>
      <c r="O915">
        <v>0.747</v>
      </c>
      <c r="Q915">
        <v>0.72</v>
      </c>
      <c r="R915">
        <v>0.66</v>
      </c>
      <c r="S915">
        <v>2.2109999999999999</v>
      </c>
    </row>
    <row r="916" spans="1:19" x14ac:dyDescent="0.2">
      <c r="A916" t="s">
        <v>1699</v>
      </c>
      <c r="B916" t="s">
        <v>1700</v>
      </c>
      <c r="C916">
        <v>2017</v>
      </c>
      <c r="D916">
        <v>0</v>
      </c>
      <c r="E916" t="s">
        <v>55</v>
      </c>
      <c r="F916" t="s">
        <v>128</v>
      </c>
      <c r="G916" t="s">
        <v>129</v>
      </c>
      <c r="H916">
        <v>1</v>
      </c>
      <c r="I916">
        <v>5.6758189999999997</v>
      </c>
      <c r="J916">
        <v>115.01</v>
      </c>
      <c r="M916">
        <v>1.42</v>
      </c>
      <c r="O916">
        <v>0.127</v>
      </c>
      <c r="Q916">
        <v>0.71</v>
      </c>
      <c r="R916">
        <v>0.78</v>
      </c>
    </row>
    <row r="917" spans="1:19" x14ac:dyDescent="0.2">
      <c r="A917" t="s">
        <v>1701</v>
      </c>
      <c r="B917" t="s">
        <v>1702</v>
      </c>
      <c r="C917">
        <v>2017</v>
      </c>
      <c r="D917">
        <v>0</v>
      </c>
      <c r="E917" t="s">
        <v>55</v>
      </c>
      <c r="F917" t="s">
        <v>128</v>
      </c>
      <c r="G917" t="s">
        <v>129</v>
      </c>
      <c r="H917">
        <v>1</v>
      </c>
      <c r="I917">
        <v>8.2394929999999995</v>
      </c>
      <c r="J917">
        <v>27.82</v>
      </c>
      <c r="M917">
        <v>1.04</v>
      </c>
      <c r="O917">
        <v>9.2999999999999999E-2</v>
      </c>
      <c r="Q917">
        <v>0.36</v>
      </c>
      <c r="R917">
        <v>0.36</v>
      </c>
    </row>
    <row r="918" spans="1:19" x14ac:dyDescent="0.2">
      <c r="A918" t="s">
        <v>1703</v>
      </c>
      <c r="B918" t="s">
        <v>1704</v>
      </c>
      <c r="C918">
        <v>2015</v>
      </c>
      <c r="D918">
        <v>0</v>
      </c>
      <c r="E918" t="s">
        <v>55</v>
      </c>
      <c r="F918" t="s">
        <v>128</v>
      </c>
      <c r="G918" t="s">
        <v>129</v>
      </c>
      <c r="H918">
        <v>1</v>
      </c>
      <c r="I918">
        <v>39.914879999999997</v>
      </c>
      <c r="J918">
        <v>345.76</v>
      </c>
      <c r="M918">
        <v>1.89</v>
      </c>
      <c r="O918">
        <v>0.16900000000000001</v>
      </c>
      <c r="Q918">
        <v>0.8</v>
      </c>
      <c r="R918">
        <v>0.78</v>
      </c>
    </row>
    <row r="919" spans="1:19" x14ac:dyDescent="0.2">
      <c r="A919" t="s">
        <v>1705</v>
      </c>
      <c r="B919" t="s">
        <v>1706</v>
      </c>
      <c r="C919">
        <v>2017</v>
      </c>
      <c r="D919">
        <v>0</v>
      </c>
      <c r="E919" t="s">
        <v>55</v>
      </c>
      <c r="F919" t="s">
        <v>128</v>
      </c>
      <c r="G919" t="s">
        <v>129</v>
      </c>
      <c r="H919">
        <v>1</v>
      </c>
      <c r="I919">
        <v>2.4941200000000001</v>
      </c>
      <c r="J919">
        <v>118.41</v>
      </c>
      <c r="M919">
        <v>1.25</v>
      </c>
      <c r="O919">
        <v>0.112</v>
      </c>
      <c r="Q919">
        <v>0.7</v>
      </c>
      <c r="R919">
        <v>0.74</v>
      </c>
    </row>
    <row r="920" spans="1:19" x14ac:dyDescent="0.2">
      <c r="A920" t="s">
        <v>1707</v>
      </c>
      <c r="B920" t="s">
        <v>1708</v>
      </c>
      <c r="C920">
        <v>2017</v>
      </c>
      <c r="D920">
        <v>0</v>
      </c>
      <c r="E920" t="s">
        <v>55</v>
      </c>
      <c r="F920" t="s">
        <v>128</v>
      </c>
      <c r="G920" t="s">
        <v>129</v>
      </c>
      <c r="H920">
        <v>1</v>
      </c>
      <c r="I920">
        <v>0.36931000000000003</v>
      </c>
      <c r="J920">
        <v>153.69999999999999</v>
      </c>
      <c r="M920">
        <v>1.7</v>
      </c>
      <c r="O920">
        <v>0.152</v>
      </c>
      <c r="Q920">
        <v>0.84</v>
      </c>
      <c r="R920">
        <v>0.75</v>
      </c>
    </row>
    <row r="921" spans="1:19" x14ac:dyDescent="0.2">
      <c r="A921" t="s">
        <v>1709</v>
      </c>
      <c r="B921" t="s">
        <v>1710</v>
      </c>
      <c r="C921">
        <v>2017</v>
      </c>
      <c r="D921">
        <v>0</v>
      </c>
      <c r="E921" t="s">
        <v>55</v>
      </c>
      <c r="F921" t="s">
        <v>128</v>
      </c>
      <c r="G921" t="s">
        <v>129</v>
      </c>
      <c r="H921">
        <v>1</v>
      </c>
      <c r="I921">
        <v>9.1751000000000005</v>
      </c>
      <c r="J921">
        <v>620.41</v>
      </c>
      <c r="K921">
        <v>8.5</v>
      </c>
      <c r="L921">
        <v>155.73670000000001</v>
      </c>
      <c r="M921">
        <v>14.571999999999999</v>
      </c>
      <c r="N921">
        <v>0.49</v>
      </c>
      <c r="O921">
        <v>1.3</v>
      </c>
      <c r="Q921">
        <v>1.08</v>
      </c>
      <c r="R921">
        <v>3.85</v>
      </c>
      <c r="S921">
        <v>2.64E-2</v>
      </c>
    </row>
    <row r="922" spans="1:19" x14ac:dyDescent="0.2">
      <c r="A922" t="s">
        <v>1711</v>
      </c>
      <c r="B922" t="s">
        <v>1712</v>
      </c>
      <c r="C922">
        <v>2017</v>
      </c>
      <c r="D922">
        <v>0</v>
      </c>
      <c r="E922" t="s">
        <v>55</v>
      </c>
      <c r="F922" t="s">
        <v>128</v>
      </c>
      <c r="G922" t="s">
        <v>129</v>
      </c>
      <c r="H922">
        <v>4</v>
      </c>
      <c r="I922">
        <v>3.0713300000000001</v>
      </c>
      <c r="J922">
        <v>75.2</v>
      </c>
      <c r="M922">
        <v>1.34</v>
      </c>
      <c r="O922">
        <v>0.12</v>
      </c>
      <c r="Q922">
        <v>0.46</v>
      </c>
      <c r="R922">
        <v>0.46</v>
      </c>
    </row>
    <row r="923" spans="1:19" x14ac:dyDescent="0.2">
      <c r="A923" t="s">
        <v>1711</v>
      </c>
      <c r="B923" t="s">
        <v>1713</v>
      </c>
      <c r="C923">
        <v>2017</v>
      </c>
      <c r="D923">
        <v>0</v>
      </c>
      <c r="E923" t="s">
        <v>55</v>
      </c>
      <c r="F923" t="s">
        <v>128</v>
      </c>
      <c r="G923" t="s">
        <v>129</v>
      </c>
      <c r="H923">
        <v>4</v>
      </c>
      <c r="I923">
        <v>4.8678400000000002</v>
      </c>
      <c r="J923">
        <v>75.2</v>
      </c>
      <c r="M923">
        <v>1.603</v>
      </c>
      <c r="O923">
        <v>0.14299999999999999</v>
      </c>
      <c r="Q923">
        <v>0.46</v>
      </c>
      <c r="R923">
        <v>0.46</v>
      </c>
    </row>
    <row r="924" spans="1:19" x14ac:dyDescent="0.2">
      <c r="A924" t="s">
        <v>1711</v>
      </c>
      <c r="B924" t="s">
        <v>1714</v>
      </c>
      <c r="C924">
        <v>2017</v>
      </c>
      <c r="D924">
        <v>0</v>
      </c>
      <c r="E924" t="s">
        <v>55</v>
      </c>
      <c r="F924" t="s">
        <v>128</v>
      </c>
      <c r="G924" t="s">
        <v>129</v>
      </c>
      <c r="H924">
        <v>4</v>
      </c>
      <c r="I924">
        <v>11.02454</v>
      </c>
      <c r="J924">
        <v>75.2</v>
      </c>
      <c r="M924">
        <v>2.0030000000000001</v>
      </c>
      <c r="O924">
        <v>0.17899999999999999</v>
      </c>
      <c r="Q924">
        <v>0.46</v>
      </c>
      <c r="R924">
        <v>0.46</v>
      </c>
    </row>
    <row r="925" spans="1:19" x14ac:dyDescent="0.2">
      <c r="A925" t="s">
        <v>1711</v>
      </c>
      <c r="B925" t="s">
        <v>1715</v>
      </c>
      <c r="C925">
        <v>2019</v>
      </c>
      <c r="D925">
        <v>0</v>
      </c>
      <c r="E925" t="s">
        <v>55</v>
      </c>
      <c r="F925" t="s">
        <v>128</v>
      </c>
      <c r="G925" t="s">
        <v>129</v>
      </c>
      <c r="H925">
        <v>4</v>
      </c>
      <c r="I925">
        <v>26.584099999999999</v>
      </c>
      <c r="J925">
        <v>75.2</v>
      </c>
      <c r="M925">
        <v>1.73</v>
      </c>
      <c r="O925">
        <v>0.154</v>
      </c>
      <c r="Q925">
        <v>0.46</v>
      </c>
      <c r="R925">
        <v>0.46</v>
      </c>
    </row>
    <row r="926" spans="1:19" x14ac:dyDescent="0.2">
      <c r="A926" t="s">
        <v>1716</v>
      </c>
      <c r="B926" t="s">
        <v>1717</v>
      </c>
      <c r="C926">
        <v>2017</v>
      </c>
      <c r="D926">
        <v>0</v>
      </c>
      <c r="E926" t="s">
        <v>55</v>
      </c>
      <c r="F926" t="s">
        <v>128</v>
      </c>
      <c r="G926" t="s">
        <v>129</v>
      </c>
      <c r="H926">
        <v>3</v>
      </c>
      <c r="I926">
        <v>7.9752919999999996</v>
      </c>
      <c r="J926">
        <v>59.35</v>
      </c>
      <c r="M926">
        <v>0.99</v>
      </c>
      <c r="O926">
        <v>8.7999999999999995E-2</v>
      </c>
      <c r="Q926">
        <v>0.74</v>
      </c>
      <c r="R926">
        <v>0.66</v>
      </c>
      <c r="S926">
        <v>3.52</v>
      </c>
    </row>
    <row r="927" spans="1:19" x14ac:dyDescent="0.2">
      <c r="A927" t="s">
        <v>1716</v>
      </c>
      <c r="B927" t="s">
        <v>1718</v>
      </c>
      <c r="C927">
        <v>2017</v>
      </c>
      <c r="D927">
        <v>0</v>
      </c>
      <c r="E927" t="s">
        <v>55</v>
      </c>
      <c r="F927" t="s">
        <v>128</v>
      </c>
      <c r="G927" t="s">
        <v>129</v>
      </c>
      <c r="H927">
        <v>3</v>
      </c>
      <c r="I927">
        <v>17.307137000000001</v>
      </c>
      <c r="J927">
        <v>59.35</v>
      </c>
      <c r="M927">
        <v>2.91</v>
      </c>
      <c r="O927">
        <v>0.26</v>
      </c>
      <c r="Q927">
        <v>0.74</v>
      </c>
      <c r="R927">
        <v>0.66</v>
      </c>
      <c r="S927">
        <v>3.52</v>
      </c>
    </row>
    <row r="928" spans="1:19" x14ac:dyDescent="0.2">
      <c r="A928" t="s">
        <v>1716</v>
      </c>
      <c r="B928" t="s">
        <v>1719</v>
      </c>
      <c r="C928">
        <v>2017</v>
      </c>
      <c r="D928">
        <v>0</v>
      </c>
      <c r="E928" t="s">
        <v>55</v>
      </c>
      <c r="F928" t="s">
        <v>128</v>
      </c>
      <c r="G928" t="s">
        <v>129</v>
      </c>
      <c r="H928">
        <v>3</v>
      </c>
      <c r="I928">
        <v>25.575064999999999</v>
      </c>
      <c r="J928">
        <v>59.35</v>
      </c>
      <c r="M928">
        <v>1.45</v>
      </c>
      <c r="O928">
        <v>0.129</v>
      </c>
      <c r="Q928">
        <v>0.74</v>
      </c>
      <c r="R928">
        <v>0.66</v>
      </c>
      <c r="S928">
        <v>3.52</v>
      </c>
    </row>
    <row r="929" spans="1:19" x14ac:dyDescent="0.2">
      <c r="A929" t="s">
        <v>1720</v>
      </c>
      <c r="B929" t="s">
        <v>1721</v>
      </c>
      <c r="C929">
        <v>2017</v>
      </c>
      <c r="D929">
        <v>0</v>
      </c>
      <c r="E929" t="s">
        <v>55</v>
      </c>
      <c r="F929" t="s">
        <v>128</v>
      </c>
      <c r="G929" t="s">
        <v>129</v>
      </c>
      <c r="H929">
        <v>1</v>
      </c>
      <c r="I929">
        <v>0.17971500000000001</v>
      </c>
      <c r="J929">
        <v>99.15</v>
      </c>
      <c r="L929">
        <v>158.91499999999999</v>
      </c>
      <c r="M929">
        <v>0.89</v>
      </c>
      <c r="N929">
        <v>0.5</v>
      </c>
      <c r="O929">
        <v>7.9000000000000001E-2</v>
      </c>
      <c r="Q929">
        <v>0.46</v>
      </c>
      <c r="R929">
        <v>0.44</v>
      </c>
      <c r="S929">
        <v>13</v>
      </c>
    </row>
    <row r="930" spans="1:19" x14ac:dyDescent="0.2">
      <c r="A930" t="s">
        <v>1722</v>
      </c>
      <c r="B930" t="s">
        <v>1723</v>
      </c>
      <c r="C930">
        <v>2017</v>
      </c>
      <c r="D930">
        <v>0</v>
      </c>
      <c r="E930" t="s">
        <v>55</v>
      </c>
      <c r="F930" t="s">
        <v>128</v>
      </c>
      <c r="G930" t="s">
        <v>129</v>
      </c>
      <c r="H930">
        <v>5</v>
      </c>
      <c r="I930">
        <v>2.3532199999999999</v>
      </c>
      <c r="J930">
        <v>183</v>
      </c>
      <c r="M930">
        <v>1.57</v>
      </c>
      <c r="O930">
        <v>0.14000000000000001</v>
      </c>
      <c r="Q930">
        <v>0.93</v>
      </c>
      <c r="R930">
        <v>0.86</v>
      </c>
    </row>
    <row r="931" spans="1:19" x14ac:dyDescent="0.2">
      <c r="A931" t="s">
        <v>1722</v>
      </c>
      <c r="B931" t="s">
        <v>1724</v>
      </c>
      <c r="C931">
        <v>2017</v>
      </c>
      <c r="D931">
        <v>0</v>
      </c>
      <c r="E931" t="s">
        <v>55</v>
      </c>
      <c r="F931" t="s">
        <v>128</v>
      </c>
      <c r="G931" t="s">
        <v>129</v>
      </c>
      <c r="H931">
        <v>5</v>
      </c>
      <c r="I931">
        <v>3.5598700000000001</v>
      </c>
      <c r="J931">
        <v>183</v>
      </c>
      <c r="M931">
        <v>2.52</v>
      </c>
      <c r="O931">
        <v>0.22500000000000001</v>
      </c>
      <c r="Q931">
        <v>0.93</v>
      </c>
      <c r="R931">
        <v>0.86</v>
      </c>
    </row>
    <row r="932" spans="1:19" x14ac:dyDescent="0.2">
      <c r="A932" t="s">
        <v>1722</v>
      </c>
      <c r="B932" t="s">
        <v>1725</v>
      </c>
      <c r="C932">
        <v>2017</v>
      </c>
      <c r="D932">
        <v>0</v>
      </c>
      <c r="E932" t="s">
        <v>55</v>
      </c>
      <c r="F932" t="s">
        <v>128</v>
      </c>
      <c r="G932" t="s">
        <v>129</v>
      </c>
      <c r="H932">
        <v>5</v>
      </c>
      <c r="I932">
        <v>5.4047799999999997</v>
      </c>
      <c r="J932">
        <v>183</v>
      </c>
      <c r="M932">
        <v>2.66</v>
      </c>
      <c r="O932">
        <v>0.23699999999999999</v>
      </c>
      <c r="Q932">
        <v>0.93</v>
      </c>
      <c r="R932">
        <v>0.86</v>
      </c>
    </row>
    <row r="933" spans="1:19" x14ac:dyDescent="0.2">
      <c r="A933" t="s">
        <v>1722</v>
      </c>
      <c r="B933" t="s">
        <v>1726</v>
      </c>
      <c r="C933">
        <v>2017</v>
      </c>
      <c r="D933">
        <v>0</v>
      </c>
      <c r="E933" t="s">
        <v>55</v>
      </c>
      <c r="F933" t="s">
        <v>128</v>
      </c>
      <c r="G933" t="s">
        <v>129</v>
      </c>
      <c r="H933">
        <v>5</v>
      </c>
      <c r="I933">
        <v>8.2614400000000003</v>
      </c>
      <c r="J933">
        <v>183</v>
      </c>
      <c r="M933">
        <v>3.29</v>
      </c>
      <c r="O933">
        <v>0.29399999999999998</v>
      </c>
      <c r="Q933">
        <v>0.93</v>
      </c>
      <c r="R933">
        <v>0.86</v>
      </c>
    </row>
    <row r="934" spans="1:19" x14ac:dyDescent="0.2">
      <c r="A934" t="s">
        <v>1722</v>
      </c>
      <c r="B934" t="s">
        <v>1727</v>
      </c>
      <c r="C934">
        <v>2017</v>
      </c>
      <c r="D934">
        <v>0</v>
      </c>
      <c r="E934" t="s">
        <v>55</v>
      </c>
      <c r="F934" t="s">
        <v>128</v>
      </c>
      <c r="G934" t="s">
        <v>129</v>
      </c>
      <c r="H934">
        <v>5</v>
      </c>
      <c r="I934">
        <v>12.75759</v>
      </c>
      <c r="J934">
        <v>183</v>
      </c>
      <c r="M934">
        <v>2.81</v>
      </c>
      <c r="O934">
        <v>0.251</v>
      </c>
      <c r="Q934">
        <v>0.93</v>
      </c>
      <c r="R934">
        <v>0.86</v>
      </c>
    </row>
    <row r="935" spans="1:19" x14ac:dyDescent="0.2">
      <c r="A935" t="s">
        <v>1728</v>
      </c>
      <c r="B935" t="s">
        <v>1729</v>
      </c>
      <c r="C935">
        <v>2017</v>
      </c>
      <c r="D935">
        <v>0</v>
      </c>
      <c r="E935" t="s">
        <v>55</v>
      </c>
      <c r="F935" t="s">
        <v>128</v>
      </c>
      <c r="G935" t="s">
        <v>129</v>
      </c>
      <c r="H935">
        <v>1</v>
      </c>
      <c r="I935">
        <v>28.380618999999999</v>
      </c>
      <c r="J935">
        <v>154.6</v>
      </c>
      <c r="M935">
        <v>9.11</v>
      </c>
      <c r="O935">
        <v>0.81299999999999994</v>
      </c>
      <c r="Q935">
        <v>0.96</v>
      </c>
      <c r="R935">
        <v>0.88</v>
      </c>
      <c r="S935">
        <v>2.4769999999999999</v>
      </c>
    </row>
    <row r="936" spans="1:19" x14ac:dyDescent="0.2">
      <c r="A936" t="s">
        <v>1730</v>
      </c>
      <c r="B936" t="s">
        <v>1731</v>
      </c>
      <c r="C936">
        <v>2015</v>
      </c>
      <c r="D936">
        <v>0</v>
      </c>
      <c r="E936" t="s">
        <v>55</v>
      </c>
      <c r="F936" t="s">
        <v>128</v>
      </c>
      <c r="G936" t="s">
        <v>129</v>
      </c>
      <c r="H936">
        <v>1</v>
      </c>
      <c r="I936">
        <v>8.3680199999999996</v>
      </c>
      <c r="J936">
        <v>367.72</v>
      </c>
      <c r="M936">
        <v>4.8099999999999996</v>
      </c>
      <c r="O936">
        <v>0.42899999999999999</v>
      </c>
      <c r="Q936">
        <v>0.47</v>
      </c>
      <c r="R936">
        <v>0.45</v>
      </c>
    </row>
    <row r="937" spans="1:19" x14ac:dyDescent="0.2">
      <c r="A937" t="s">
        <v>1732</v>
      </c>
      <c r="B937" t="s">
        <v>1733</v>
      </c>
      <c r="C937">
        <v>2017</v>
      </c>
      <c r="D937">
        <v>0</v>
      </c>
      <c r="E937" t="s">
        <v>55</v>
      </c>
      <c r="F937" t="s">
        <v>128</v>
      </c>
      <c r="G937" t="s">
        <v>129</v>
      </c>
      <c r="H937">
        <v>1</v>
      </c>
      <c r="I937">
        <v>6.5691800000000002</v>
      </c>
      <c r="J937">
        <v>341.6</v>
      </c>
      <c r="M937">
        <v>12.25</v>
      </c>
      <c r="O937">
        <v>1.093</v>
      </c>
      <c r="Q937">
        <v>1</v>
      </c>
      <c r="R937">
        <v>0.99</v>
      </c>
    </row>
    <row r="938" spans="1:19" x14ac:dyDescent="0.2">
      <c r="A938" t="s">
        <v>1734</v>
      </c>
      <c r="B938" t="s">
        <v>1735</v>
      </c>
      <c r="C938">
        <v>2018</v>
      </c>
      <c r="D938">
        <v>0</v>
      </c>
      <c r="E938" t="s">
        <v>55</v>
      </c>
      <c r="F938" t="s">
        <v>128</v>
      </c>
      <c r="G938" t="s">
        <v>129</v>
      </c>
      <c r="H938">
        <v>2</v>
      </c>
      <c r="I938">
        <v>0.28032439999999997</v>
      </c>
      <c r="J938">
        <v>61.98</v>
      </c>
      <c r="K938">
        <v>6.3</v>
      </c>
      <c r="L938">
        <v>5.08</v>
      </c>
      <c r="M938">
        <v>1.51</v>
      </c>
      <c r="N938">
        <v>1.5980000000000001E-2</v>
      </c>
      <c r="O938">
        <v>0.13500000000000001</v>
      </c>
      <c r="P938">
        <v>8.1999999999999993</v>
      </c>
      <c r="Q938">
        <v>0.71</v>
      </c>
      <c r="R938">
        <v>0.68</v>
      </c>
      <c r="S938">
        <v>3.1640000000000001</v>
      </c>
    </row>
    <row r="939" spans="1:19" x14ac:dyDescent="0.2">
      <c r="A939" t="s">
        <v>1734</v>
      </c>
      <c r="B939" t="s">
        <v>1736</v>
      </c>
      <c r="C939">
        <v>2018</v>
      </c>
      <c r="D939">
        <v>0</v>
      </c>
      <c r="E939" t="s">
        <v>55</v>
      </c>
      <c r="F939" t="s">
        <v>128</v>
      </c>
      <c r="G939" t="s">
        <v>129</v>
      </c>
      <c r="H939">
        <v>2</v>
      </c>
      <c r="I939">
        <v>7.7484999999999999</v>
      </c>
      <c r="J939">
        <v>61.98</v>
      </c>
      <c r="K939">
        <v>6.3</v>
      </c>
      <c r="L939">
        <v>7.4</v>
      </c>
      <c r="M939">
        <v>7</v>
      </c>
      <c r="N939">
        <v>2.3279999999999999E-2</v>
      </c>
      <c r="O939">
        <v>0.624</v>
      </c>
      <c r="Q939">
        <v>0.71</v>
      </c>
      <c r="R939">
        <v>0.68</v>
      </c>
      <c r="S939">
        <v>3.1640000000000001</v>
      </c>
    </row>
    <row r="940" spans="1:19" x14ac:dyDescent="0.2">
      <c r="A940" t="s">
        <v>1737</v>
      </c>
      <c r="B940" t="s">
        <v>1738</v>
      </c>
      <c r="C940">
        <v>2018</v>
      </c>
      <c r="D940">
        <v>0</v>
      </c>
      <c r="E940" t="s">
        <v>55</v>
      </c>
      <c r="F940" t="s">
        <v>128</v>
      </c>
      <c r="G940" t="s">
        <v>129</v>
      </c>
      <c r="H940">
        <v>1</v>
      </c>
      <c r="I940">
        <v>2.6446610000000002</v>
      </c>
      <c r="J940">
        <v>79.5</v>
      </c>
      <c r="M940">
        <v>2.15</v>
      </c>
      <c r="O940">
        <v>0.192</v>
      </c>
      <c r="Q940">
        <v>0.33</v>
      </c>
      <c r="R940">
        <v>0.33</v>
      </c>
      <c r="S940">
        <v>2.3519999999999999</v>
      </c>
    </row>
    <row r="941" spans="1:19" x14ac:dyDescent="0.2">
      <c r="A941" t="s">
        <v>1739</v>
      </c>
      <c r="B941" t="s">
        <v>1740</v>
      </c>
      <c r="C941">
        <v>2018</v>
      </c>
      <c r="D941">
        <v>0</v>
      </c>
      <c r="E941" t="s">
        <v>55</v>
      </c>
      <c r="F941" t="s">
        <v>128</v>
      </c>
      <c r="G941" t="s">
        <v>129</v>
      </c>
      <c r="H941">
        <v>1</v>
      </c>
      <c r="I941">
        <v>0.96191700000000002</v>
      </c>
      <c r="J941">
        <v>88</v>
      </c>
      <c r="M941">
        <v>1.38</v>
      </c>
      <c r="O941">
        <v>0.123</v>
      </c>
      <c r="Q941">
        <v>0.57999999999999996</v>
      </c>
      <c r="R941">
        <v>0.55000000000000004</v>
      </c>
    </row>
    <row r="942" spans="1:19" x14ac:dyDescent="0.2">
      <c r="A942" t="s">
        <v>1741</v>
      </c>
      <c r="B942" t="s">
        <v>1742</v>
      </c>
      <c r="C942">
        <v>2018</v>
      </c>
      <c r="D942">
        <v>0</v>
      </c>
      <c r="E942" t="s">
        <v>55</v>
      </c>
      <c r="F942" t="s">
        <v>128</v>
      </c>
      <c r="G942" t="s">
        <v>129</v>
      </c>
      <c r="H942">
        <v>3</v>
      </c>
      <c r="I942">
        <v>4.3839499999999996</v>
      </c>
      <c r="J942">
        <v>121</v>
      </c>
      <c r="M942">
        <v>1.33</v>
      </c>
      <c r="O942">
        <v>0.11899999999999999</v>
      </c>
      <c r="Q942">
        <v>0.65</v>
      </c>
      <c r="R942">
        <v>0.63</v>
      </c>
    </row>
    <row r="943" spans="1:19" x14ac:dyDescent="0.2">
      <c r="A943" t="s">
        <v>1741</v>
      </c>
      <c r="B943" t="s">
        <v>1743</v>
      </c>
      <c r="C943">
        <v>2018</v>
      </c>
      <c r="D943">
        <v>0</v>
      </c>
      <c r="E943" t="s">
        <v>55</v>
      </c>
      <c r="F943" t="s">
        <v>128</v>
      </c>
      <c r="G943" t="s">
        <v>129</v>
      </c>
      <c r="H943">
        <v>3</v>
      </c>
      <c r="I943">
        <v>6.9226000000000001</v>
      </c>
      <c r="J943">
        <v>121</v>
      </c>
      <c r="M943">
        <v>1.73</v>
      </c>
      <c r="O943">
        <v>0.154</v>
      </c>
      <c r="Q943">
        <v>0.65</v>
      </c>
      <c r="R943">
        <v>0.63</v>
      </c>
    </row>
    <row r="944" spans="1:19" x14ac:dyDescent="0.2">
      <c r="A944" t="s">
        <v>1741</v>
      </c>
      <c r="B944" t="s">
        <v>1744</v>
      </c>
      <c r="C944">
        <v>2018</v>
      </c>
      <c r="D944">
        <v>0</v>
      </c>
      <c r="E944" t="s">
        <v>55</v>
      </c>
      <c r="F944" t="s">
        <v>128</v>
      </c>
      <c r="G944" t="s">
        <v>129</v>
      </c>
      <c r="H944">
        <v>3</v>
      </c>
      <c r="I944">
        <v>9.7578999999999994</v>
      </c>
      <c r="J944">
        <v>121</v>
      </c>
      <c r="M944">
        <v>1.64</v>
      </c>
      <c r="O944">
        <v>0.14599999999999999</v>
      </c>
      <c r="Q944">
        <v>0.65</v>
      </c>
      <c r="R944">
        <v>0.63</v>
      </c>
    </row>
    <row r="945" spans="1:19" x14ac:dyDescent="0.2">
      <c r="A945" t="s">
        <v>1745</v>
      </c>
      <c r="B945" t="s">
        <v>1746</v>
      </c>
      <c r="C945">
        <v>2018</v>
      </c>
      <c r="D945">
        <v>0</v>
      </c>
      <c r="E945" t="s">
        <v>55</v>
      </c>
      <c r="F945" t="s">
        <v>128</v>
      </c>
      <c r="G945" t="s">
        <v>129</v>
      </c>
      <c r="H945">
        <v>1</v>
      </c>
      <c r="I945">
        <v>11.332000000000001</v>
      </c>
      <c r="J945">
        <v>118</v>
      </c>
      <c r="M945">
        <v>1.64</v>
      </c>
      <c r="O945">
        <v>0.14599999999999999</v>
      </c>
      <c r="Q945">
        <v>0.59</v>
      </c>
      <c r="R945">
        <v>0.56999999999999995</v>
      </c>
    </row>
    <row r="946" spans="1:19" x14ac:dyDescent="0.2">
      <c r="A946" t="s">
        <v>1747</v>
      </c>
      <c r="B946" t="s">
        <v>1748</v>
      </c>
      <c r="C946">
        <v>2015</v>
      </c>
      <c r="D946">
        <v>0</v>
      </c>
      <c r="E946" t="s">
        <v>55</v>
      </c>
      <c r="F946" t="s">
        <v>128</v>
      </c>
      <c r="G946" t="s">
        <v>129</v>
      </c>
      <c r="H946">
        <v>1</v>
      </c>
      <c r="I946">
        <v>11.8104</v>
      </c>
      <c r="J946">
        <v>501.03</v>
      </c>
      <c r="M946">
        <v>2.48</v>
      </c>
      <c r="O946">
        <v>0.221</v>
      </c>
      <c r="Q946">
        <v>0.72</v>
      </c>
      <c r="R946">
        <v>0.68</v>
      </c>
    </row>
    <row r="947" spans="1:19" x14ac:dyDescent="0.2">
      <c r="A947" t="s">
        <v>1749</v>
      </c>
      <c r="B947" t="s">
        <v>1750</v>
      </c>
      <c r="C947">
        <v>2018</v>
      </c>
      <c r="D947">
        <v>0</v>
      </c>
      <c r="E947" t="s">
        <v>55</v>
      </c>
      <c r="F947" t="s">
        <v>128</v>
      </c>
      <c r="G947" t="s">
        <v>129</v>
      </c>
      <c r="H947">
        <v>1</v>
      </c>
      <c r="I947">
        <v>10.59357</v>
      </c>
      <c r="J947">
        <v>110</v>
      </c>
      <c r="M947">
        <v>2</v>
      </c>
      <c r="O947">
        <v>0.17799999999999999</v>
      </c>
      <c r="Q947">
        <v>0.46</v>
      </c>
      <c r="R947">
        <v>0.44</v>
      </c>
    </row>
    <row r="948" spans="1:19" x14ac:dyDescent="0.2">
      <c r="A948" t="s">
        <v>1751</v>
      </c>
      <c r="B948" t="s">
        <v>1752</v>
      </c>
      <c r="C948">
        <v>2018</v>
      </c>
      <c r="D948">
        <v>0</v>
      </c>
      <c r="E948" t="s">
        <v>55</v>
      </c>
      <c r="F948" t="s">
        <v>128</v>
      </c>
      <c r="G948" t="s">
        <v>129</v>
      </c>
      <c r="H948">
        <v>1</v>
      </c>
      <c r="I948">
        <v>3.8354759999999999</v>
      </c>
      <c r="J948">
        <v>69.61</v>
      </c>
      <c r="M948">
        <v>1.49</v>
      </c>
      <c r="O948">
        <v>0.13300000000000001</v>
      </c>
      <c r="Q948">
        <v>0.47</v>
      </c>
      <c r="R948">
        <v>0.45</v>
      </c>
      <c r="S948">
        <v>6.7359999999999998</v>
      </c>
    </row>
    <row r="949" spans="1:19" x14ac:dyDescent="0.2">
      <c r="A949" t="s">
        <v>1753</v>
      </c>
      <c r="B949" t="s">
        <v>1754</v>
      </c>
      <c r="C949">
        <v>2018</v>
      </c>
      <c r="D949">
        <v>0</v>
      </c>
      <c r="E949" t="s">
        <v>55</v>
      </c>
      <c r="F949" t="s">
        <v>128</v>
      </c>
      <c r="G949" t="s">
        <v>129</v>
      </c>
      <c r="H949">
        <v>1</v>
      </c>
      <c r="I949">
        <v>32.6479</v>
      </c>
      <c r="J949">
        <v>108.7</v>
      </c>
      <c r="M949">
        <v>2.29</v>
      </c>
      <c r="O949">
        <v>0.20399999999999999</v>
      </c>
      <c r="Q949">
        <v>0.63</v>
      </c>
      <c r="R949">
        <v>0.61</v>
      </c>
    </row>
    <row r="950" spans="1:19" x14ac:dyDescent="0.2">
      <c r="A950" t="s">
        <v>1755</v>
      </c>
      <c r="B950" t="s">
        <v>1756</v>
      </c>
      <c r="C950">
        <v>2018</v>
      </c>
      <c r="D950">
        <v>0</v>
      </c>
      <c r="E950" t="s">
        <v>55</v>
      </c>
      <c r="F950" t="s">
        <v>128</v>
      </c>
      <c r="G950" t="s">
        <v>129</v>
      </c>
      <c r="H950">
        <v>1</v>
      </c>
      <c r="I950">
        <v>7.5157400000000001</v>
      </c>
      <c r="J950">
        <v>143.6</v>
      </c>
      <c r="M950">
        <v>2</v>
      </c>
      <c r="O950">
        <v>0.17799999999999999</v>
      </c>
      <c r="Q950">
        <v>0.55000000000000004</v>
      </c>
      <c r="R950">
        <v>0.53</v>
      </c>
    </row>
    <row r="951" spans="1:19" x14ac:dyDescent="0.2">
      <c r="A951" t="s">
        <v>1757</v>
      </c>
      <c r="B951" t="s">
        <v>1758</v>
      </c>
      <c r="C951">
        <v>2018</v>
      </c>
      <c r="D951">
        <v>0</v>
      </c>
      <c r="E951" t="s">
        <v>55</v>
      </c>
      <c r="F951" t="s">
        <v>128</v>
      </c>
      <c r="G951" t="s">
        <v>129</v>
      </c>
      <c r="H951">
        <v>2</v>
      </c>
      <c r="I951">
        <v>3.6762600000000001</v>
      </c>
      <c r="J951">
        <v>129.80000000000001</v>
      </c>
      <c r="M951">
        <v>1.99</v>
      </c>
      <c r="O951">
        <v>0.17799999999999999</v>
      </c>
      <c r="Q951">
        <v>0.65</v>
      </c>
      <c r="R951">
        <v>0.63</v>
      </c>
    </row>
    <row r="952" spans="1:19" x14ac:dyDescent="0.2">
      <c r="A952" t="s">
        <v>1757</v>
      </c>
      <c r="B952" t="s">
        <v>1759</v>
      </c>
      <c r="C952">
        <v>2018</v>
      </c>
      <c r="D952">
        <v>0</v>
      </c>
      <c r="E952" t="s">
        <v>55</v>
      </c>
      <c r="F952" t="s">
        <v>128</v>
      </c>
      <c r="G952" t="s">
        <v>129</v>
      </c>
      <c r="H952">
        <v>2</v>
      </c>
      <c r="I952">
        <v>7.95486</v>
      </c>
      <c r="J952">
        <v>129.80000000000001</v>
      </c>
      <c r="M952">
        <v>2.0699999999999998</v>
      </c>
      <c r="O952">
        <v>0.185</v>
      </c>
      <c r="Q952">
        <v>0.65</v>
      </c>
      <c r="R952">
        <v>0.63</v>
      </c>
    </row>
    <row r="953" spans="1:19" x14ac:dyDescent="0.2">
      <c r="A953" t="s">
        <v>1760</v>
      </c>
      <c r="B953" t="s">
        <v>1761</v>
      </c>
      <c r="C953">
        <v>2018</v>
      </c>
      <c r="D953">
        <v>0</v>
      </c>
      <c r="E953" t="s">
        <v>55</v>
      </c>
      <c r="F953" t="s">
        <v>128</v>
      </c>
      <c r="G953" t="s">
        <v>129</v>
      </c>
      <c r="H953">
        <v>3</v>
      </c>
      <c r="I953">
        <v>6.3419999999999996</v>
      </c>
      <c r="J953">
        <v>82</v>
      </c>
      <c r="M953">
        <v>1.8</v>
      </c>
      <c r="O953">
        <v>0.161</v>
      </c>
      <c r="Q953">
        <v>0.65</v>
      </c>
      <c r="R953">
        <v>0.57999999999999996</v>
      </c>
    </row>
    <row r="954" spans="1:19" x14ac:dyDescent="0.2">
      <c r="A954" t="s">
        <v>1760</v>
      </c>
      <c r="B954" t="s">
        <v>1762</v>
      </c>
      <c r="C954">
        <v>2018</v>
      </c>
      <c r="D954">
        <v>0</v>
      </c>
      <c r="E954" t="s">
        <v>55</v>
      </c>
      <c r="F954" t="s">
        <v>128</v>
      </c>
      <c r="G954" t="s">
        <v>129</v>
      </c>
      <c r="H954">
        <v>3</v>
      </c>
      <c r="I954">
        <v>13.85</v>
      </c>
      <c r="J954">
        <v>82</v>
      </c>
      <c r="M954">
        <v>2.6</v>
      </c>
      <c r="O954">
        <v>0.23200000000000001</v>
      </c>
      <c r="Q954">
        <v>0.65</v>
      </c>
      <c r="R954">
        <v>0.57999999999999996</v>
      </c>
    </row>
    <row r="955" spans="1:19" x14ac:dyDescent="0.2">
      <c r="A955" t="s">
        <v>1760</v>
      </c>
      <c r="B955" t="s">
        <v>1763</v>
      </c>
      <c r="C955">
        <v>2018</v>
      </c>
      <c r="D955">
        <v>0</v>
      </c>
      <c r="E955" t="s">
        <v>55</v>
      </c>
      <c r="F955" t="s">
        <v>128</v>
      </c>
      <c r="G955" t="s">
        <v>129</v>
      </c>
      <c r="H955">
        <v>3</v>
      </c>
      <c r="I955">
        <v>40.718000000000004</v>
      </c>
      <c r="J955">
        <v>82</v>
      </c>
      <c r="M955">
        <v>1.9</v>
      </c>
      <c r="O955">
        <v>0.17</v>
      </c>
      <c r="Q955">
        <v>0.65</v>
      </c>
      <c r="R955">
        <v>0.57999999999999996</v>
      </c>
    </row>
    <row r="956" spans="1:19" x14ac:dyDescent="0.2">
      <c r="A956" t="s">
        <v>1764</v>
      </c>
      <c r="B956" t="s">
        <v>1765</v>
      </c>
      <c r="C956">
        <v>2018</v>
      </c>
      <c r="D956">
        <v>0</v>
      </c>
      <c r="E956" t="s">
        <v>55</v>
      </c>
      <c r="F956" t="s">
        <v>128</v>
      </c>
      <c r="G956" t="s">
        <v>129</v>
      </c>
      <c r="H956">
        <v>1</v>
      </c>
      <c r="I956">
        <v>0.81313999999999997</v>
      </c>
      <c r="J956">
        <v>150.4</v>
      </c>
      <c r="M956">
        <v>1.1499999999999999</v>
      </c>
      <c r="O956">
        <v>0.10299999999999999</v>
      </c>
      <c r="Q956">
        <v>0.66</v>
      </c>
      <c r="R956">
        <v>0.66</v>
      </c>
    </row>
    <row r="957" spans="1:19" x14ac:dyDescent="0.2">
      <c r="A957" t="s">
        <v>1766</v>
      </c>
      <c r="B957" t="s">
        <v>1767</v>
      </c>
      <c r="C957">
        <v>2018</v>
      </c>
      <c r="D957">
        <v>0</v>
      </c>
      <c r="E957" t="s">
        <v>55</v>
      </c>
      <c r="F957" t="s">
        <v>128</v>
      </c>
      <c r="G957" t="s">
        <v>129</v>
      </c>
      <c r="H957">
        <v>1</v>
      </c>
      <c r="I957">
        <v>0.365257</v>
      </c>
      <c r="J957">
        <v>300.88</v>
      </c>
      <c r="M957">
        <v>1.0549999999999999</v>
      </c>
      <c r="O957">
        <v>9.4E-2</v>
      </c>
      <c r="Q957">
        <v>0.94</v>
      </c>
      <c r="R957">
        <v>0.88</v>
      </c>
    </row>
    <row r="958" spans="1:19" x14ac:dyDescent="0.2">
      <c r="A958" t="s">
        <v>1768</v>
      </c>
      <c r="B958" t="s">
        <v>1769</v>
      </c>
      <c r="C958">
        <v>2018</v>
      </c>
      <c r="D958">
        <v>0</v>
      </c>
      <c r="E958" t="s">
        <v>55</v>
      </c>
      <c r="F958" t="s">
        <v>128</v>
      </c>
      <c r="G958" t="s">
        <v>129</v>
      </c>
      <c r="H958">
        <v>2</v>
      </c>
      <c r="I958">
        <v>10.06049</v>
      </c>
      <c r="J958">
        <v>198.2</v>
      </c>
      <c r="M958">
        <v>2.64</v>
      </c>
      <c r="O958">
        <v>0.23599999999999999</v>
      </c>
      <c r="Q958">
        <v>0.92</v>
      </c>
      <c r="R958">
        <v>0.95</v>
      </c>
    </row>
    <row r="959" spans="1:19" x14ac:dyDescent="0.2">
      <c r="A959" t="s">
        <v>1768</v>
      </c>
      <c r="B959" t="s">
        <v>1770</v>
      </c>
      <c r="C959">
        <v>2018</v>
      </c>
      <c r="D959">
        <v>0</v>
      </c>
      <c r="E959" t="s">
        <v>55</v>
      </c>
      <c r="F959" t="s">
        <v>128</v>
      </c>
      <c r="G959" t="s">
        <v>129</v>
      </c>
      <c r="H959">
        <v>2</v>
      </c>
      <c r="I959">
        <v>5.9027900000000004</v>
      </c>
      <c r="J959">
        <v>198.2</v>
      </c>
      <c r="M959">
        <v>1.28</v>
      </c>
      <c r="O959">
        <v>0.114</v>
      </c>
      <c r="Q959">
        <v>0.92</v>
      </c>
      <c r="R959">
        <v>0.95</v>
      </c>
    </row>
    <row r="960" spans="1:19" x14ac:dyDescent="0.2">
      <c r="A960" t="s">
        <v>1771</v>
      </c>
      <c r="B960" t="s">
        <v>1772</v>
      </c>
      <c r="C960">
        <v>2018</v>
      </c>
      <c r="D960">
        <v>0</v>
      </c>
      <c r="E960" t="s">
        <v>55</v>
      </c>
      <c r="F960" t="s">
        <v>128</v>
      </c>
      <c r="G960" t="s">
        <v>129</v>
      </c>
      <c r="H960">
        <v>1</v>
      </c>
      <c r="I960">
        <v>12.42205</v>
      </c>
      <c r="J960">
        <v>171.9</v>
      </c>
      <c r="M960">
        <v>2.2599999999999998</v>
      </c>
      <c r="O960">
        <v>0.20200000000000001</v>
      </c>
      <c r="Q960">
        <v>0.9</v>
      </c>
      <c r="R960">
        <v>0.83</v>
      </c>
    </row>
    <row r="961" spans="1:18" x14ac:dyDescent="0.2">
      <c r="A961" t="s">
        <v>1773</v>
      </c>
      <c r="B961" t="s">
        <v>1774</v>
      </c>
      <c r="C961">
        <v>2015</v>
      </c>
      <c r="D961">
        <v>0</v>
      </c>
      <c r="E961" t="s">
        <v>55</v>
      </c>
      <c r="F961" t="s">
        <v>128</v>
      </c>
      <c r="G961" t="s">
        <v>129</v>
      </c>
      <c r="H961">
        <v>2</v>
      </c>
      <c r="I961">
        <v>7.6188000000000002</v>
      </c>
      <c r="J961">
        <v>338.19</v>
      </c>
      <c r="M961">
        <v>2.02</v>
      </c>
      <c r="O961">
        <v>0.18</v>
      </c>
      <c r="Q961">
        <v>0.68</v>
      </c>
      <c r="R961">
        <v>0.66</v>
      </c>
    </row>
    <row r="962" spans="1:18" x14ac:dyDescent="0.2">
      <c r="A962" t="s">
        <v>1773</v>
      </c>
      <c r="B962" t="s">
        <v>1775</v>
      </c>
      <c r="C962">
        <v>2015</v>
      </c>
      <c r="D962">
        <v>0</v>
      </c>
      <c r="E962" t="s">
        <v>55</v>
      </c>
      <c r="F962" t="s">
        <v>128</v>
      </c>
      <c r="G962" t="s">
        <v>129</v>
      </c>
      <c r="H962">
        <v>2</v>
      </c>
      <c r="I962">
        <v>19.07863</v>
      </c>
      <c r="J962">
        <v>338.19</v>
      </c>
      <c r="M962">
        <v>2.54</v>
      </c>
      <c r="O962">
        <v>0.22700000000000001</v>
      </c>
      <c r="Q962">
        <v>0.68</v>
      </c>
      <c r="R962">
        <v>0.66</v>
      </c>
    </row>
    <row r="963" spans="1:18" x14ac:dyDescent="0.2">
      <c r="A963" t="s">
        <v>1776</v>
      </c>
      <c r="B963" t="s">
        <v>1777</v>
      </c>
      <c r="C963">
        <v>2018</v>
      </c>
      <c r="D963">
        <v>0</v>
      </c>
      <c r="E963" t="s">
        <v>55</v>
      </c>
      <c r="F963" t="s">
        <v>128</v>
      </c>
      <c r="G963" t="s">
        <v>129</v>
      </c>
      <c r="H963">
        <v>1</v>
      </c>
      <c r="I963">
        <v>3.7058710000000001</v>
      </c>
      <c r="J963">
        <v>318.19</v>
      </c>
      <c r="M963">
        <v>3.1779999999999999</v>
      </c>
      <c r="O963">
        <v>0.28399999999999997</v>
      </c>
      <c r="Q963">
        <v>0.98</v>
      </c>
      <c r="R963">
        <v>0.91</v>
      </c>
    </row>
    <row r="964" spans="1:18" x14ac:dyDescent="0.2">
      <c r="A964" t="s">
        <v>1778</v>
      </c>
      <c r="B964" t="s">
        <v>1779</v>
      </c>
      <c r="C964">
        <v>2018</v>
      </c>
      <c r="D964">
        <v>0</v>
      </c>
      <c r="E964" t="s">
        <v>55</v>
      </c>
      <c r="F964" t="s">
        <v>128</v>
      </c>
      <c r="G964" t="s">
        <v>129</v>
      </c>
      <c r="H964">
        <v>1</v>
      </c>
      <c r="I964">
        <v>9.2831880000000009</v>
      </c>
      <c r="J964">
        <v>941.09</v>
      </c>
      <c r="M964">
        <v>6.117</v>
      </c>
      <c r="O964">
        <v>0.54600000000000004</v>
      </c>
      <c r="Q964">
        <v>0.99</v>
      </c>
      <c r="R964">
        <v>2.57</v>
      </c>
    </row>
    <row r="965" spans="1:18" x14ac:dyDescent="0.2">
      <c r="A965" t="s">
        <v>1780</v>
      </c>
      <c r="B965" t="s">
        <v>1781</v>
      </c>
      <c r="C965">
        <v>2018</v>
      </c>
      <c r="D965">
        <v>0</v>
      </c>
      <c r="E965" t="s">
        <v>55</v>
      </c>
      <c r="F965" t="s">
        <v>128</v>
      </c>
      <c r="G965" t="s">
        <v>129</v>
      </c>
      <c r="H965">
        <v>1</v>
      </c>
      <c r="I965">
        <v>9.4588900000000002</v>
      </c>
      <c r="J965">
        <v>125.1</v>
      </c>
      <c r="M965">
        <v>1.44</v>
      </c>
      <c r="O965">
        <v>0.128</v>
      </c>
      <c r="Q965">
        <v>0.75</v>
      </c>
      <c r="R965">
        <v>0.69</v>
      </c>
    </row>
    <row r="966" spans="1:18" x14ac:dyDescent="0.2">
      <c r="A966" t="s">
        <v>1782</v>
      </c>
      <c r="B966" t="s">
        <v>1783</v>
      </c>
      <c r="C966">
        <v>2018</v>
      </c>
      <c r="D966">
        <v>0</v>
      </c>
      <c r="E966" t="s">
        <v>55</v>
      </c>
      <c r="F966" t="s">
        <v>128</v>
      </c>
      <c r="G966" t="s">
        <v>129</v>
      </c>
      <c r="H966">
        <v>1</v>
      </c>
      <c r="I966">
        <v>6.6731170000000004</v>
      </c>
      <c r="J966">
        <v>209.67</v>
      </c>
      <c r="M966">
        <v>2.4660000000000002</v>
      </c>
      <c r="O966">
        <v>0.22</v>
      </c>
      <c r="Q966">
        <v>0.83</v>
      </c>
      <c r="R966">
        <v>0.76</v>
      </c>
    </row>
    <row r="967" spans="1:18" x14ac:dyDescent="0.2">
      <c r="A967" t="s">
        <v>1784</v>
      </c>
      <c r="B967" t="s">
        <v>1785</v>
      </c>
      <c r="C967">
        <v>2018</v>
      </c>
      <c r="D967">
        <v>0</v>
      </c>
      <c r="E967" t="s">
        <v>55</v>
      </c>
      <c r="F967" t="s">
        <v>128</v>
      </c>
      <c r="G967" t="s">
        <v>129</v>
      </c>
      <c r="H967">
        <v>1</v>
      </c>
      <c r="I967">
        <v>17.355066000000001</v>
      </c>
      <c r="J967">
        <v>379.64</v>
      </c>
      <c r="M967">
        <v>3.2490000000000001</v>
      </c>
      <c r="O967">
        <v>0.28999999999999998</v>
      </c>
      <c r="Q967">
        <v>1.18</v>
      </c>
      <c r="R967">
        <v>2.2000000000000002</v>
      </c>
    </row>
    <row r="968" spans="1:18" x14ac:dyDescent="0.2">
      <c r="A968" t="s">
        <v>1786</v>
      </c>
      <c r="B968" t="s">
        <v>1787</v>
      </c>
      <c r="C968">
        <v>2018</v>
      </c>
      <c r="D968">
        <v>0</v>
      </c>
      <c r="E968" t="s">
        <v>55</v>
      </c>
      <c r="F968" t="s">
        <v>128</v>
      </c>
      <c r="G968" t="s">
        <v>129</v>
      </c>
      <c r="H968">
        <v>3</v>
      </c>
      <c r="I968">
        <v>2.3549920000000002</v>
      </c>
      <c r="J968">
        <v>135.1</v>
      </c>
      <c r="M968">
        <v>1.274</v>
      </c>
      <c r="O968">
        <v>0.114</v>
      </c>
      <c r="Q968">
        <v>0.83</v>
      </c>
      <c r="R968">
        <v>0.8</v>
      </c>
    </row>
    <row r="969" spans="1:18" x14ac:dyDescent="0.2">
      <c r="A969" t="s">
        <v>1786</v>
      </c>
      <c r="B969" t="s">
        <v>1788</v>
      </c>
      <c r="C969">
        <v>2018</v>
      </c>
      <c r="D969">
        <v>0</v>
      </c>
      <c r="E969" t="s">
        <v>55</v>
      </c>
      <c r="F969" t="s">
        <v>128</v>
      </c>
      <c r="G969" t="s">
        <v>129</v>
      </c>
      <c r="H969">
        <v>3</v>
      </c>
      <c r="I969">
        <v>4.3827449999999999</v>
      </c>
      <c r="J969">
        <v>135.1</v>
      </c>
      <c r="M969">
        <v>1.554</v>
      </c>
      <c r="O969">
        <v>0.13900000000000001</v>
      </c>
      <c r="Q969">
        <v>0.83</v>
      </c>
      <c r="R969">
        <v>0.8</v>
      </c>
    </row>
    <row r="970" spans="1:18" x14ac:dyDescent="0.2">
      <c r="A970" t="s">
        <v>1786</v>
      </c>
      <c r="B970" t="s">
        <v>1789</v>
      </c>
      <c r="C970">
        <v>2018</v>
      </c>
      <c r="D970">
        <v>0</v>
      </c>
      <c r="E970" t="s">
        <v>55</v>
      </c>
      <c r="F970" t="s">
        <v>128</v>
      </c>
      <c r="G970" t="s">
        <v>129</v>
      </c>
      <c r="H970">
        <v>3</v>
      </c>
      <c r="I970">
        <v>14.101361000000001</v>
      </c>
      <c r="J970">
        <v>135.1</v>
      </c>
      <c r="M970">
        <v>2.6480000000000001</v>
      </c>
      <c r="O970">
        <v>0.23599999999999999</v>
      </c>
      <c r="Q970">
        <v>0.83</v>
      </c>
      <c r="R970">
        <v>0.8</v>
      </c>
    </row>
    <row r="971" spans="1:18" x14ac:dyDescent="0.2">
      <c r="A971" t="s">
        <v>1790</v>
      </c>
      <c r="B971" t="s">
        <v>1791</v>
      </c>
      <c r="C971">
        <v>2018</v>
      </c>
      <c r="D971">
        <v>0</v>
      </c>
      <c r="E971" t="s">
        <v>55</v>
      </c>
      <c r="F971" t="s">
        <v>128</v>
      </c>
      <c r="G971" t="s">
        <v>129</v>
      </c>
      <c r="H971">
        <v>1</v>
      </c>
      <c r="I971">
        <v>8.5269499999999994</v>
      </c>
      <c r="J971">
        <v>481</v>
      </c>
      <c r="M971">
        <v>2.19</v>
      </c>
      <c r="O971">
        <v>0.19500000000000001</v>
      </c>
      <c r="Q971">
        <v>1.1599999999999999</v>
      </c>
      <c r="R971">
        <v>1.61</v>
      </c>
    </row>
    <row r="972" spans="1:18" x14ac:dyDescent="0.2">
      <c r="A972" t="s">
        <v>1792</v>
      </c>
      <c r="B972" t="s">
        <v>1793</v>
      </c>
      <c r="C972">
        <v>2018</v>
      </c>
      <c r="D972">
        <v>0</v>
      </c>
      <c r="E972" t="s">
        <v>55</v>
      </c>
      <c r="F972" t="s">
        <v>128</v>
      </c>
      <c r="G972" t="s">
        <v>129</v>
      </c>
      <c r="H972">
        <v>1</v>
      </c>
      <c r="I972">
        <v>9.9774809999999992</v>
      </c>
      <c r="J972">
        <v>81.08</v>
      </c>
      <c r="M972">
        <v>2.819</v>
      </c>
      <c r="O972">
        <v>0.252</v>
      </c>
      <c r="Q972">
        <v>1.02</v>
      </c>
      <c r="R972">
        <v>1.83</v>
      </c>
    </row>
    <row r="973" spans="1:18" x14ac:dyDescent="0.2">
      <c r="A973" t="s">
        <v>1794</v>
      </c>
      <c r="B973" t="s">
        <v>1795</v>
      </c>
      <c r="C973">
        <v>2018</v>
      </c>
      <c r="D973">
        <v>0</v>
      </c>
      <c r="E973" t="s">
        <v>55</v>
      </c>
      <c r="F973" t="s">
        <v>128</v>
      </c>
      <c r="G973" t="s">
        <v>129</v>
      </c>
      <c r="H973">
        <v>1</v>
      </c>
      <c r="I973">
        <v>15.853989</v>
      </c>
      <c r="J973">
        <v>245.56</v>
      </c>
      <c r="M973">
        <v>2.1440000000000001</v>
      </c>
      <c r="O973">
        <v>0.191</v>
      </c>
      <c r="Q973">
        <v>0.91</v>
      </c>
      <c r="R973">
        <v>0.87</v>
      </c>
    </row>
    <row r="974" spans="1:18" x14ac:dyDescent="0.2">
      <c r="A974" t="s">
        <v>1796</v>
      </c>
      <c r="B974" t="s">
        <v>1797</v>
      </c>
      <c r="C974">
        <v>2018</v>
      </c>
      <c r="D974">
        <v>0</v>
      </c>
      <c r="E974" t="s">
        <v>55</v>
      </c>
      <c r="F974" t="s">
        <v>128</v>
      </c>
      <c r="G974" t="s">
        <v>129</v>
      </c>
      <c r="H974">
        <v>1</v>
      </c>
      <c r="I974">
        <v>6.3808030000000002</v>
      </c>
      <c r="J974">
        <v>237.35</v>
      </c>
      <c r="M974">
        <v>1.2729999999999999</v>
      </c>
      <c r="O974">
        <v>0.114</v>
      </c>
      <c r="Q974">
        <v>0.99</v>
      </c>
      <c r="R974">
        <v>0.92</v>
      </c>
    </row>
    <row r="975" spans="1:18" x14ac:dyDescent="0.2">
      <c r="A975" t="s">
        <v>1798</v>
      </c>
      <c r="B975" t="s">
        <v>1799</v>
      </c>
      <c r="C975">
        <v>2015</v>
      </c>
      <c r="D975">
        <v>0</v>
      </c>
      <c r="E975" t="s">
        <v>55</v>
      </c>
      <c r="F975" t="s">
        <v>128</v>
      </c>
      <c r="G975" t="s">
        <v>129</v>
      </c>
      <c r="H975">
        <v>1</v>
      </c>
      <c r="I975">
        <v>17.96753</v>
      </c>
      <c r="J975">
        <v>125.56</v>
      </c>
      <c r="M975">
        <v>2.23</v>
      </c>
      <c r="O975">
        <v>0.19900000000000001</v>
      </c>
      <c r="Q975">
        <v>0.71</v>
      </c>
      <c r="R975">
        <v>0.66</v>
      </c>
    </row>
    <row r="976" spans="1:18" x14ac:dyDescent="0.2">
      <c r="A976" t="s">
        <v>1800</v>
      </c>
      <c r="B976" t="s">
        <v>1801</v>
      </c>
      <c r="C976">
        <v>2018</v>
      </c>
      <c r="D976">
        <v>0</v>
      </c>
      <c r="E976" t="s">
        <v>55</v>
      </c>
      <c r="F976" t="s">
        <v>128</v>
      </c>
      <c r="G976" t="s">
        <v>129</v>
      </c>
      <c r="H976">
        <v>2</v>
      </c>
      <c r="I976">
        <v>7.5765440000000002</v>
      </c>
      <c r="J976">
        <v>397.26</v>
      </c>
      <c r="M976">
        <v>1.4179999999999999</v>
      </c>
      <c r="O976">
        <v>0.127</v>
      </c>
      <c r="Q976">
        <v>0.96</v>
      </c>
      <c r="R976">
        <v>0.98</v>
      </c>
    </row>
    <row r="977" spans="1:19" x14ac:dyDescent="0.2">
      <c r="A977" t="s">
        <v>1800</v>
      </c>
      <c r="B977" t="s">
        <v>1802</v>
      </c>
      <c r="C977">
        <v>2018</v>
      </c>
      <c r="D977">
        <v>0</v>
      </c>
      <c r="E977" t="s">
        <v>55</v>
      </c>
      <c r="F977" t="s">
        <v>128</v>
      </c>
      <c r="G977" t="s">
        <v>129</v>
      </c>
      <c r="H977">
        <v>2</v>
      </c>
      <c r="I977">
        <v>12.400047000000001</v>
      </c>
      <c r="J977">
        <v>397.26</v>
      </c>
      <c r="M977">
        <v>1.802</v>
      </c>
      <c r="O977">
        <v>0.161</v>
      </c>
      <c r="Q977">
        <v>0.96</v>
      </c>
      <c r="R977">
        <v>0.98</v>
      </c>
    </row>
    <row r="978" spans="1:19" x14ac:dyDescent="0.2">
      <c r="A978" t="s">
        <v>1803</v>
      </c>
      <c r="B978" t="s">
        <v>1804</v>
      </c>
      <c r="C978">
        <v>2018</v>
      </c>
      <c r="D978">
        <v>0</v>
      </c>
      <c r="E978" t="s">
        <v>55</v>
      </c>
      <c r="F978" t="s">
        <v>128</v>
      </c>
      <c r="G978" t="s">
        <v>129</v>
      </c>
      <c r="H978">
        <v>1</v>
      </c>
      <c r="I978">
        <v>5.6284660000000004</v>
      </c>
      <c r="J978">
        <v>616.41</v>
      </c>
      <c r="M978">
        <v>2.6869999999999998</v>
      </c>
      <c r="O978">
        <v>0.24</v>
      </c>
      <c r="Q978">
        <v>0.89</v>
      </c>
      <c r="R978">
        <v>1.72</v>
      </c>
    </row>
    <row r="979" spans="1:19" x14ac:dyDescent="0.2">
      <c r="A979" t="s">
        <v>1805</v>
      </c>
      <c r="B979" t="s">
        <v>1806</v>
      </c>
      <c r="C979">
        <v>2018</v>
      </c>
      <c r="D979">
        <v>0</v>
      </c>
      <c r="E979" t="s">
        <v>55</v>
      </c>
      <c r="F979" t="s">
        <v>128</v>
      </c>
      <c r="G979" t="s">
        <v>129</v>
      </c>
      <c r="H979">
        <v>2</v>
      </c>
      <c r="I979">
        <v>14.316941</v>
      </c>
      <c r="J979">
        <v>251.51</v>
      </c>
      <c r="M979">
        <v>1.6659999999999999</v>
      </c>
      <c r="O979">
        <v>0.14899999999999999</v>
      </c>
      <c r="Q979">
        <v>0.93</v>
      </c>
      <c r="R979">
        <v>0.87</v>
      </c>
    </row>
    <row r="980" spans="1:19" x14ac:dyDescent="0.2">
      <c r="A980" t="s">
        <v>1805</v>
      </c>
      <c r="B980" t="s">
        <v>1807</v>
      </c>
      <c r="C980">
        <v>2018</v>
      </c>
      <c r="D980">
        <v>0</v>
      </c>
      <c r="E980" t="s">
        <v>55</v>
      </c>
      <c r="F980" t="s">
        <v>128</v>
      </c>
      <c r="G980" t="s">
        <v>129</v>
      </c>
      <c r="H980">
        <v>2</v>
      </c>
      <c r="I980">
        <v>29.626819999999999</v>
      </c>
      <c r="J980">
        <v>251.51</v>
      </c>
      <c r="M980">
        <v>3.206</v>
      </c>
      <c r="O980">
        <v>0.28599999999999998</v>
      </c>
      <c r="Q980">
        <v>0.93</v>
      </c>
      <c r="R980">
        <v>0.87</v>
      </c>
    </row>
    <row r="981" spans="1:19" x14ac:dyDescent="0.2">
      <c r="A981" t="s">
        <v>1808</v>
      </c>
      <c r="B981" t="s">
        <v>1809</v>
      </c>
      <c r="C981">
        <v>2018</v>
      </c>
      <c r="D981">
        <v>0</v>
      </c>
      <c r="E981" t="s">
        <v>55</v>
      </c>
      <c r="F981" t="s">
        <v>128</v>
      </c>
      <c r="G981" t="s">
        <v>129</v>
      </c>
      <c r="H981">
        <v>1</v>
      </c>
      <c r="I981">
        <v>5.8686990000000003</v>
      </c>
      <c r="J981">
        <v>230.14</v>
      </c>
      <c r="M981">
        <v>1.6080000000000001</v>
      </c>
      <c r="O981">
        <v>0.14299999999999999</v>
      </c>
      <c r="Q981">
        <v>0.88</v>
      </c>
      <c r="R981">
        <v>0.84</v>
      </c>
    </row>
    <row r="982" spans="1:19" x14ac:dyDescent="0.2">
      <c r="A982" t="s">
        <v>1810</v>
      </c>
      <c r="B982" t="s">
        <v>1811</v>
      </c>
      <c r="C982">
        <v>2018</v>
      </c>
      <c r="D982">
        <v>0</v>
      </c>
      <c r="E982" t="s">
        <v>55</v>
      </c>
      <c r="F982" t="s">
        <v>128</v>
      </c>
      <c r="G982" t="s">
        <v>129</v>
      </c>
      <c r="H982">
        <v>1</v>
      </c>
      <c r="I982">
        <v>19.562307000000001</v>
      </c>
      <c r="J982">
        <v>100.1</v>
      </c>
      <c r="M982">
        <v>2.6</v>
      </c>
      <c r="O982">
        <v>0.23200000000000001</v>
      </c>
      <c r="Q982">
        <v>0.7</v>
      </c>
      <c r="R982">
        <v>0.68</v>
      </c>
      <c r="S982">
        <v>3.21</v>
      </c>
    </row>
    <row r="983" spans="1:19" x14ac:dyDescent="0.2">
      <c r="A983" t="s">
        <v>1812</v>
      </c>
      <c r="B983" t="s">
        <v>1813</v>
      </c>
      <c r="C983">
        <v>2018</v>
      </c>
      <c r="D983">
        <v>0</v>
      </c>
      <c r="E983" t="s">
        <v>55</v>
      </c>
      <c r="F983" t="s">
        <v>128</v>
      </c>
      <c r="G983" t="s">
        <v>129</v>
      </c>
      <c r="H983">
        <v>1</v>
      </c>
      <c r="I983">
        <v>9.5259879999999999</v>
      </c>
      <c r="J983">
        <v>249.01</v>
      </c>
      <c r="M983">
        <v>2.0379999999999998</v>
      </c>
      <c r="O983">
        <v>0.182</v>
      </c>
      <c r="Q983">
        <v>1.0900000000000001</v>
      </c>
      <c r="R983">
        <v>1.42</v>
      </c>
    </row>
    <row r="984" spans="1:19" x14ac:dyDescent="0.2">
      <c r="A984" t="s">
        <v>1814</v>
      </c>
      <c r="B984" t="s">
        <v>1815</v>
      </c>
      <c r="C984">
        <v>2018</v>
      </c>
      <c r="D984">
        <v>0</v>
      </c>
      <c r="E984" t="s">
        <v>55</v>
      </c>
      <c r="F984" t="s">
        <v>128</v>
      </c>
      <c r="G984" t="s">
        <v>129</v>
      </c>
      <c r="H984">
        <v>1</v>
      </c>
      <c r="I984">
        <v>5.3294389999999998</v>
      </c>
      <c r="J984">
        <v>249.01</v>
      </c>
      <c r="M984">
        <v>1.4910000000000001</v>
      </c>
      <c r="O984">
        <v>0.13300000000000001</v>
      </c>
      <c r="Q984">
        <v>0.94</v>
      </c>
      <c r="R984">
        <v>0.86</v>
      </c>
    </row>
    <row r="985" spans="1:19" x14ac:dyDescent="0.2">
      <c r="A985" t="s">
        <v>1816</v>
      </c>
      <c r="B985" t="s">
        <v>1817</v>
      </c>
      <c r="C985">
        <v>2018</v>
      </c>
      <c r="D985">
        <v>0</v>
      </c>
      <c r="E985" t="s">
        <v>55</v>
      </c>
      <c r="F985" t="s">
        <v>128</v>
      </c>
      <c r="G985" t="s">
        <v>129</v>
      </c>
      <c r="H985">
        <v>1</v>
      </c>
      <c r="I985">
        <v>14.155184999999999</v>
      </c>
      <c r="J985">
        <v>499.02</v>
      </c>
      <c r="M985">
        <v>2.1160000000000001</v>
      </c>
      <c r="O985">
        <v>0.189</v>
      </c>
      <c r="Q985">
        <v>1.21</v>
      </c>
      <c r="R985">
        <v>1.21</v>
      </c>
    </row>
    <row r="986" spans="1:19" x14ac:dyDescent="0.2">
      <c r="A986" t="s">
        <v>1818</v>
      </c>
      <c r="B986" t="s">
        <v>1819</v>
      </c>
      <c r="C986">
        <v>2018</v>
      </c>
      <c r="D986">
        <v>0</v>
      </c>
      <c r="E986" t="s">
        <v>55</v>
      </c>
      <c r="F986" t="s">
        <v>128</v>
      </c>
      <c r="G986" t="s">
        <v>129</v>
      </c>
      <c r="H986">
        <v>1</v>
      </c>
      <c r="I986">
        <v>8.7478180000000005</v>
      </c>
      <c r="J986">
        <v>216.08</v>
      </c>
      <c r="M986">
        <v>3.5579999999999998</v>
      </c>
      <c r="O986">
        <v>0.317</v>
      </c>
      <c r="Q986">
        <v>0.95</v>
      </c>
      <c r="R986">
        <v>0.89</v>
      </c>
    </row>
    <row r="987" spans="1:19" x14ac:dyDescent="0.2">
      <c r="A987" t="s">
        <v>1820</v>
      </c>
      <c r="B987" t="s">
        <v>1821</v>
      </c>
      <c r="C987">
        <v>2018</v>
      </c>
      <c r="D987">
        <v>0</v>
      </c>
      <c r="E987" t="s">
        <v>55</v>
      </c>
      <c r="F987" t="s">
        <v>128</v>
      </c>
      <c r="G987" t="s">
        <v>129</v>
      </c>
      <c r="H987">
        <v>1</v>
      </c>
      <c r="I987">
        <v>5.1721909999999998</v>
      </c>
      <c r="J987">
        <v>191.84</v>
      </c>
      <c r="M987">
        <v>2.5129999999999999</v>
      </c>
      <c r="O987">
        <v>0.224</v>
      </c>
      <c r="Q987">
        <v>0.82</v>
      </c>
      <c r="R987">
        <v>0.77</v>
      </c>
    </row>
    <row r="988" spans="1:19" x14ac:dyDescent="0.2">
      <c r="A988" t="s">
        <v>1822</v>
      </c>
      <c r="B988" t="s">
        <v>1823</v>
      </c>
      <c r="C988">
        <v>2015</v>
      </c>
      <c r="D988">
        <v>0</v>
      </c>
      <c r="E988" t="s">
        <v>55</v>
      </c>
      <c r="F988" t="s">
        <v>128</v>
      </c>
      <c r="G988" t="s">
        <v>129</v>
      </c>
      <c r="H988">
        <v>2</v>
      </c>
      <c r="I988">
        <v>32.939622999999997</v>
      </c>
      <c r="J988">
        <v>34</v>
      </c>
      <c r="L988">
        <v>8.92</v>
      </c>
      <c r="M988">
        <v>2.37</v>
      </c>
      <c r="N988">
        <v>2.8070000000000001E-2</v>
      </c>
      <c r="O988">
        <v>0.21099999999999999</v>
      </c>
      <c r="P988">
        <v>4.1100000000000003</v>
      </c>
      <c r="Q988">
        <v>0.36</v>
      </c>
      <c r="R988">
        <v>0.41</v>
      </c>
    </row>
    <row r="989" spans="1:19" x14ac:dyDescent="0.2">
      <c r="A989" t="s">
        <v>1822</v>
      </c>
      <c r="B989" t="s">
        <v>1824</v>
      </c>
      <c r="C989">
        <v>2017</v>
      </c>
      <c r="D989">
        <v>0</v>
      </c>
      <c r="E989" t="s">
        <v>21</v>
      </c>
      <c r="F989" t="s">
        <v>22</v>
      </c>
      <c r="G989" t="s">
        <v>138</v>
      </c>
      <c r="H989">
        <v>2</v>
      </c>
      <c r="I989">
        <v>8.9619999999999997</v>
      </c>
      <c r="J989">
        <v>34</v>
      </c>
      <c r="N989">
        <v>2.3630000000000002E-2</v>
      </c>
      <c r="Q989">
        <v>0.36</v>
      </c>
      <c r="R989">
        <v>0.41</v>
      </c>
    </row>
    <row r="990" spans="1:19" x14ac:dyDescent="0.2">
      <c r="A990" t="s">
        <v>1825</v>
      </c>
      <c r="B990" t="s">
        <v>1826</v>
      </c>
      <c r="C990">
        <v>2018</v>
      </c>
      <c r="D990">
        <v>0</v>
      </c>
      <c r="E990" t="s">
        <v>55</v>
      </c>
      <c r="F990" t="s">
        <v>128</v>
      </c>
      <c r="G990" t="s">
        <v>129</v>
      </c>
      <c r="H990">
        <v>1</v>
      </c>
      <c r="I990">
        <v>8.8672090000000008</v>
      </c>
      <c r="J990">
        <v>204.51</v>
      </c>
      <c r="M990">
        <v>2.31</v>
      </c>
      <c r="O990">
        <v>0.20599999999999999</v>
      </c>
      <c r="Q990">
        <v>0.72</v>
      </c>
      <c r="R990">
        <v>0.72</v>
      </c>
      <c r="S990">
        <v>3.375</v>
      </c>
    </row>
    <row r="991" spans="1:19" x14ac:dyDescent="0.2">
      <c r="A991" t="s">
        <v>1827</v>
      </c>
      <c r="B991" t="s">
        <v>1828</v>
      </c>
      <c r="C991">
        <v>2018</v>
      </c>
      <c r="D991">
        <v>0</v>
      </c>
      <c r="E991" t="s">
        <v>55</v>
      </c>
      <c r="F991" t="s">
        <v>128</v>
      </c>
      <c r="G991" t="s">
        <v>129</v>
      </c>
      <c r="H991">
        <v>1</v>
      </c>
      <c r="I991">
        <v>6.8942560000000004</v>
      </c>
      <c r="J991">
        <v>364.82</v>
      </c>
      <c r="M991">
        <v>2.84</v>
      </c>
      <c r="O991">
        <v>0.253</v>
      </c>
      <c r="Q991">
        <v>0.99</v>
      </c>
      <c r="R991">
        <v>1.07</v>
      </c>
      <c r="S991">
        <v>2.6389999999999998</v>
      </c>
    </row>
    <row r="992" spans="1:19" x14ac:dyDescent="0.2">
      <c r="A992" t="s">
        <v>1829</v>
      </c>
      <c r="B992" t="s">
        <v>1830</v>
      </c>
      <c r="C992">
        <v>2018</v>
      </c>
      <c r="D992">
        <v>0</v>
      </c>
      <c r="E992" t="s">
        <v>55</v>
      </c>
      <c r="F992" t="s">
        <v>128</v>
      </c>
      <c r="G992" t="s">
        <v>129</v>
      </c>
      <c r="H992">
        <v>1</v>
      </c>
      <c r="I992">
        <v>4.7368370000000004</v>
      </c>
      <c r="J992">
        <v>155.9</v>
      </c>
      <c r="M992">
        <v>2.76</v>
      </c>
      <c r="O992">
        <v>0.246</v>
      </c>
      <c r="Q992">
        <v>0.88</v>
      </c>
      <c r="R992">
        <v>0.8</v>
      </c>
      <c r="S992">
        <v>2.2559999999999998</v>
      </c>
    </row>
    <row r="993" spans="1:19" x14ac:dyDescent="0.2">
      <c r="A993" t="s">
        <v>1831</v>
      </c>
      <c r="B993" t="s">
        <v>1832</v>
      </c>
      <c r="C993">
        <v>2018</v>
      </c>
      <c r="D993">
        <v>0</v>
      </c>
      <c r="E993" t="s">
        <v>55</v>
      </c>
      <c r="F993" t="s">
        <v>128</v>
      </c>
      <c r="G993" t="s">
        <v>129</v>
      </c>
      <c r="H993">
        <v>3</v>
      </c>
      <c r="I993">
        <v>0.46926899999999999</v>
      </c>
      <c r="J993">
        <v>331.77</v>
      </c>
      <c r="M993">
        <v>2.5990000000000002</v>
      </c>
      <c r="O993">
        <v>0.23200000000000001</v>
      </c>
      <c r="Q993">
        <v>0.93</v>
      </c>
      <c r="R993">
        <v>0.97</v>
      </c>
    </row>
    <row r="994" spans="1:19" x14ac:dyDescent="0.2">
      <c r="A994" t="s">
        <v>1831</v>
      </c>
      <c r="B994" t="s">
        <v>1833</v>
      </c>
      <c r="C994">
        <v>2018</v>
      </c>
      <c r="D994">
        <v>0</v>
      </c>
      <c r="E994" t="s">
        <v>55</v>
      </c>
      <c r="F994" t="s">
        <v>128</v>
      </c>
      <c r="G994" t="s">
        <v>129</v>
      </c>
      <c r="H994">
        <v>3</v>
      </c>
      <c r="I994">
        <v>10.792635000000001</v>
      </c>
      <c r="J994">
        <v>331.77</v>
      </c>
      <c r="M994">
        <v>2.87</v>
      </c>
      <c r="O994">
        <v>0.25600000000000001</v>
      </c>
      <c r="Q994">
        <v>0.93</v>
      </c>
      <c r="R994">
        <v>0.97</v>
      </c>
    </row>
    <row r="995" spans="1:19" x14ac:dyDescent="0.2">
      <c r="A995" t="s">
        <v>1831</v>
      </c>
      <c r="B995" t="s">
        <v>1834</v>
      </c>
      <c r="C995">
        <v>2018</v>
      </c>
      <c r="D995">
        <v>0</v>
      </c>
      <c r="E995" t="s">
        <v>55</v>
      </c>
      <c r="F995" t="s">
        <v>128</v>
      </c>
      <c r="G995" t="s">
        <v>129</v>
      </c>
      <c r="H995">
        <v>3</v>
      </c>
      <c r="I995">
        <v>22.631964</v>
      </c>
      <c r="J995">
        <v>331.77</v>
      </c>
      <c r="M995">
        <v>2.86</v>
      </c>
      <c r="O995">
        <v>0.255</v>
      </c>
      <c r="Q995">
        <v>0.93</v>
      </c>
      <c r="R995">
        <v>0.97</v>
      </c>
    </row>
    <row r="996" spans="1:19" x14ac:dyDescent="0.2">
      <c r="A996" t="s">
        <v>1835</v>
      </c>
      <c r="B996" t="s">
        <v>1836</v>
      </c>
      <c r="C996">
        <v>2018</v>
      </c>
      <c r="D996">
        <v>0</v>
      </c>
      <c r="E996" t="s">
        <v>55</v>
      </c>
      <c r="F996" t="s">
        <v>128</v>
      </c>
      <c r="G996" t="s">
        <v>129</v>
      </c>
      <c r="H996">
        <v>1</v>
      </c>
      <c r="I996">
        <v>16.995730999999999</v>
      </c>
      <c r="J996">
        <v>75.790000000000006</v>
      </c>
      <c r="M996">
        <v>1.55</v>
      </c>
      <c r="O996">
        <v>0.13800000000000001</v>
      </c>
      <c r="Q996">
        <v>0.86</v>
      </c>
      <c r="R996">
        <v>0.78</v>
      </c>
      <c r="S996">
        <v>6.9660000000000002</v>
      </c>
    </row>
    <row r="997" spans="1:19" x14ac:dyDescent="0.2">
      <c r="A997" t="s">
        <v>1837</v>
      </c>
      <c r="B997" t="s">
        <v>1838</v>
      </c>
      <c r="C997">
        <v>2018</v>
      </c>
      <c r="D997">
        <v>0</v>
      </c>
      <c r="E997" t="s">
        <v>55</v>
      </c>
      <c r="F997" t="s">
        <v>128</v>
      </c>
      <c r="G997" t="s">
        <v>129</v>
      </c>
      <c r="H997">
        <v>1</v>
      </c>
      <c r="I997">
        <v>10.616645999999999</v>
      </c>
      <c r="J997">
        <v>270.41000000000003</v>
      </c>
      <c r="M997">
        <v>1.3129999999999999</v>
      </c>
      <c r="O997">
        <v>0.11700000000000001</v>
      </c>
      <c r="Q997">
        <v>0.98</v>
      </c>
      <c r="R997">
        <v>0.91</v>
      </c>
    </row>
    <row r="998" spans="1:19" x14ac:dyDescent="0.2">
      <c r="A998" t="s">
        <v>1839</v>
      </c>
      <c r="B998" t="s">
        <v>1840</v>
      </c>
      <c r="C998">
        <v>2018</v>
      </c>
      <c r="D998">
        <v>0</v>
      </c>
      <c r="E998" t="s">
        <v>55</v>
      </c>
      <c r="F998" t="s">
        <v>128</v>
      </c>
      <c r="G998" t="s">
        <v>129</v>
      </c>
      <c r="H998">
        <v>1</v>
      </c>
      <c r="I998">
        <v>41.474218999999998</v>
      </c>
      <c r="J998">
        <v>333.84</v>
      </c>
      <c r="M998">
        <v>3.1720000000000002</v>
      </c>
      <c r="O998">
        <v>0.28299999999999997</v>
      </c>
      <c r="Q998">
        <v>1.02</v>
      </c>
      <c r="R998">
        <v>0.98</v>
      </c>
    </row>
    <row r="999" spans="1:19" x14ac:dyDescent="0.2">
      <c r="A999" t="s">
        <v>1841</v>
      </c>
      <c r="B999" t="s">
        <v>1842</v>
      </c>
      <c r="C999">
        <v>2018</v>
      </c>
      <c r="D999">
        <v>0</v>
      </c>
      <c r="E999" t="s">
        <v>55</v>
      </c>
      <c r="F999" t="s">
        <v>128</v>
      </c>
      <c r="G999" t="s">
        <v>129</v>
      </c>
      <c r="H999">
        <v>4</v>
      </c>
      <c r="I999">
        <v>0.77392000000000005</v>
      </c>
      <c r="J999">
        <v>333.51</v>
      </c>
      <c r="M999">
        <v>1.3</v>
      </c>
      <c r="O999">
        <v>0.11600000000000001</v>
      </c>
      <c r="Q999">
        <v>0.98</v>
      </c>
      <c r="R999">
        <v>0.92</v>
      </c>
    </row>
    <row r="1000" spans="1:19" x14ac:dyDescent="0.2">
      <c r="A1000" t="s">
        <v>1841</v>
      </c>
      <c r="B1000" t="s">
        <v>1843</v>
      </c>
      <c r="C1000">
        <v>2018</v>
      </c>
      <c r="D1000">
        <v>0</v>
      </c>
      <c r="E1000" t="s">
        <v>55</v>
      </c>
      <c r="F1000" t="s">
        <v>128</v>
      </c>
      <c r="G1000" t="s">
        <v>129</v>
      </c>
      <c r="H1000">
        <v>4</v>
      </c>
      <c r="I1000">
        <v>2.872042</v>
      </c>
      <c r="J1000">
        <v>333.51</v>
      </c>
      <c r="M1000">
        <v>1.8</v>
      </c>
      <c r="O1000">
        <v>0.161</v>
      </c>
      <c r="Q1000">
        <v>0.98</v>
      </c>
      <c r="R1000">
        <v>0.92</v>
      </c>
    </row>
    <row r="1001" spans="1:19" x14ac:dyDescent="0.2">
      <c r="A1001" t="s">
        <v>1841</v>
      </c>
      <c r="B1001" t="s">
        <v>1844</v>
      </c>
      <c r="C1001">
        <v>2018</v>
      </c>
      <c r="D1001">
        <v>0</v>
      </c>
      <c r="E1001" t="s">
        <v>55</v>
      </c>
      <c r="F1001" t="s">
        <v>128</v>
      </c>
      <c r="G1001" t="s">
        <v>129</v>
      </c>
      <c r="H1001">
        <v>4</v>
      </c>
      <c r="I1001">
        <v>7.1492100000000001</v>
      </c>
      <c r="J1001">
        <v>333.51</v>
      </c>
      <c r="M1001">
        <v>3.17</v>
      </c>
      <c r="O1001">
        <v>0.28299999999999997</v>
      </c>
      <c r="Q1001">
        <v>0.98</v>
      </c>
      <c r="R1001">
        <v>0.92</v>
      </c>
    </row>
    <row r="1002" spans="1:19" x14ac:dyDescent="0.2">
      <c r="A1002" t="s">
        <v>1841</v>
      </c>
      <c r="B1002" t="s">
        <v>1845</v>
      </c>
      <c r="C1002">
        <v>2018</v>
      </c>
      <c r="D1002">
        <v>0</v>
      </c>
      <c r="E1002" t="s">
        <v>55</v>
      </c>
      <c r="F1002" t="s">
        <v>128</v>
      </c>
      <c r="G1002" t="s">
        <v>129</v>
      </c>
      <c r="H1002">
        <v>4</v>
      </c>
      <c r="I1002">
        <v>13.609878</v>
      </c>
      <c r="J1002">
        <v>333.51</v>
      </c>
      <c r="M1002">
        <v>2.38</v>
      </c>
      <c r="O1002">
        <v>0.21199999999999999</v>
      </c>
      <c r="Q1002">
        <v>0.98</v>
      </c>
      <c r="R1002">
        <v>0.92</v>
      </c>
    </row>
    <row r="1003" spans="1:19" x14ac:dyDescent="0.2">
      <c r="A1003" t="s">
        <v>1846</v>
      </c>
      <c r="B1003" t="s">
        <v>1847</v>
      </c>
      <c r="C1003">
        <v>2018</v>
      </c>
      <c r="D1003">
        <v>0</v>
      </c>
      <c r="E1003" t="s">
        <v>55</v>
      </c>
      <c r="F1003" t="s">
        <v>128</v>
      </c>
      <c r="G1003" t="s">
        <v>129</v>
      </c>
      <c r="H1003">
        <v>2</v>
      </c>
      <c r="I1003">
        <v>1.7421690000000001</v>
      </c>
      <c r="J1003">
        <v>452.9</v>
      </c>
      <c r="M1003">
        <v>1.35</v>
      </c>
      <c r="O1003">
        <v>0.12</v>
      </c>
      <c r="Q1003">
        <v>1.06</v>
      </c>
      <c r="R1003">
        <v>1.19</v>
      </c>
    </row>
    <row r="1004" spans="1:19" x14ac:dyDescent="0.2">
      <c r="A1004" t="s">
        <v>1846</v>
      </c>
      <c r="B1004" t="s">
        <v>1848</v>
      </c>
      <c r="C1004">
        <v>2018</v>
      </c>
      <c r="D1004">
        <v>0</v>
      </c>
      <c r="E1004" t="s">
        <v>55</v>
      </c>
      <c r="F1004" t="s">
        <v>128</v>
      </c>
      <c r="G1004" t="s">
        <v>129</v>
      </c>
      <c r="H1004">
        <v>2</v>
      </c>
      <c r="I1004">
        <v>7.8102530000000003</v>
      </c>
      <c r="J1004">
        <v>452.9</v>
      </c>
      <c r="M1004">
        <v>2.83</v>
      </c>
      <c r="O1004">
        <v>0.252</v>
      </c>
      <c r="Q1004">
        <v>1.06</v>
      </c>
      <c r="R1004">
        <v>1.19</v>
      </c>
    </row>
    <row r="1005" spans="1:19" x14ac:dyDescent="0.2">
      <c r="A1005" t="s">
        <v>1849</v>
      </c>
      <c r="B1005" t="s">
        <v>1850</v>
      </c>
      <c r="C1005">
        <v>2018</v>
      </c>
      <c r="D1005">
        <v>0</v>
      </c>
      <c r="E1005" t="s">
        <v>55</v>
      </c>
      <c r="F1005" t="s">
        <v>128</v>
      </c>
      <c r="G1005" t="s">
        <v>129</v>
      </c>
      <c r="H1005">
        <v>2</v>
      </c>
      <c r="I1005">
        <v>2.5883090000000002</v>
      </c>
      <c r="J1005">
        <v>243.93</v>
      </c>
      <c r="M1005">
        <v>1.52</v>
      </c>
      <c r="O1005">
        <v>0.13600000000000001</v>
      </c>
      <c r="Q1005">
        <v>0.94</v>
      </c>
      <c r="R1005">
        <v>0.87</v>
      </c>
    </row>
    <row r="1006" spans="1:19" x14ac:dyDescent="0.2">
      <c r="A1006" t="s">
        <v>1849</v>
      </c>
      <c r="B1006" t="s">
        <v>1851</v>
      </c>
      <c r="C1006">
        <v>2018</v>
      </c>
      <c r="D1006">
        <v>0</v>
      </c>
      <c r="E1006" t="s">
        <v>55</v>
      </c>
      <c r="F1006" t="s">
        <v>128</v>
      </c>
      <c r="G1006" t="s">
        <v>129</v>
      </c>
      <c r="H1006">
        <v>2</v>
      </c>
      <c r="I1006">
        <v>6.679195</v>
      </c>
      <c r="J1006">
        <v>243.93</v>
      </c>
      <c r="M1006">
        <v>2.5</v>
      </c>
      <c r="O1006">
        <v>0.223</v>
      </c>
      <c r="Q1006">
        <v>0.94</v>
      </c>
      <c r="R1006">
        <v>0.87</v>
      </c>
    </row>
    <row r="1007" spans="1:19" x14ac:dyDescent="0.2">
      <c r="A1007" t="s">
        <v>1852</v>
      </c>
      <c r="B1007" t="s">
        <v>1853</v>
      </c>
      <c r="C1007">
        <v>2015</v>
      </c>
      <c r="D1007">
        <v>0</v>
      </c>
      <c r="E1007" t="s">
        <v>55</v>
      </c>
      <c r="F1007" t="s">
        <v>128</v>
      </c>
      <c r="G1007" t="s">
        <v>129</v>
      </c>
      <c r="H1007">
        <v>3</v>
      </c>
      <c r="I1007">
        <v>7.9194000000000004</v>
      </c>
      <c r="J1007">
        <v>292.14</v>
      </c>
      <c r="M1007">
        <v>7.74</v>
      </c>
      <c r="O1007">
        <v>0.69099999999999995</v>
      </c>
      <c r="Q1007">
        <v>0.93</v>
      </c>
      <c r="R1007">
        <v>0.86</v>
      </c>
    </row>
    <row r="1008" spans="1:19" x14ac:dyDescent="0.2">
      <c r="A1008" t="s">
        <v>1852</v>
      </c>
      <c r="B1008" t="s">
        <v>1854</v>
      </c>
      <c r="C1008">
        <v>2015</v>
      </c>
      <c r="D1008">
        <v>0</v>
      </c>
      <c r="E1008" t="s">
        <v>55</v>
      </c>
      <c r="F1008" t="s">
        <v>128</v>
      </c>
      <c r="G1008" t="s">
        <v>129</v>
      </c>
      <c r="H1008">
        <v>3</v>
      </c>
      <c r="I1008">
        <v>11.90715</v>
      </c>
      <c r="J1008">
        <v>292.14</v>
      </c>
      <c r="M1008">
        <v>4.8600000000000003</v>
      </c>
      <c r="O1008">
        <v>0.434</v>
      </c>
      <c r="Q1008">
        <v>0.93</v>
      </c>
      <c r="R1008">
        <v>0.86</v>
      </c>
    </row>
    <row r="1009" spans="1:19" x14ac:dyDescent="0.2">
      <c r="A1009" t="s">
        <v>1852</v>
      </c>
      <c r="B1009" t="s">
        <v>1855</v>
      </c>
      <c r="C1009">
        <v>2016</v>
      </c>
      <c r="D1009">
        <v>0</v>
      </c>
      <c r="E1009" t="s">
        <v>55</v>
      </c>
      <c r="F1009" t="s">
        <v>128</v>
      </c>
      <c r="G1009" t="s">
        <v>129</v>
      </c>
      <c r="H1009">
        <v>3</v>
      </c>
      <c r="I1009">
        <v>2.5085600000000001</v>
      </c>
      <c r="J1009">
        <v>292.14</v>
      </c>
      <c r="M1009">
        <v>1.1399999999999999</v>
      </c>
      <c r="O1009">
        <v>0.10199999999999999</v>
      </c>
      <c r="Q1009">
        <v>0.93</v>
      </c>
      <c r="R1009">
        <v>0.86</v>
      </c>
    </row>
    <row r="1010" spans="1:19" x14ac:dyDescent="0.2">
      <c r="A1010" t="s">
        <v>1856</v>
      </c>
      <c r="B1010" t="s">
        <v>1857</v>
      </c>
      <c r="C1010">
        <v>2018</v>
      </c>
      <c r="D1010">
        <v>0</v>
      </c>
      <c r="E1010" t="s">
        <v>55</v>
      </c>
      <c r="F1010" t="s">
        <v>128</v>
      </c>
      <c r="G1010" t="s">
        <v>129</v>
      </c>
      <c r="H1010">
        <v>2</v>
      </c>
      <c r="I1010">
        <v>10.098858</v>
      </c>
      <c r="J1010">
        <v>161.41999999999999</v>
      </c>
      <c r="M1010">
        <v>1.357</v>
      </c>
      <c r="O1010">
        <v>0.121</v>
      </c>
      <c r="Q1010">
        <v>0.9</v>
      </c>
      <c r="R1010">
        <v>0.91</v>
      </c>
    </row>
    <row r="1011" spans="1:19" x14ac:dyDescent="0.2">
      <c r="A1011" t="s">
        <v>1856</v>
      </c>
      <c r="B1011" t="s">
        <v>1858</v>
      </c>
      <c r="C1011">
        <v>2018</v>
      </c>
      <c r="D1011">
        <v>0</v>
      </c>
      <c r="E1011" t="s">
        <v>55</v>
      </c>
      <c r="F1011" t="s">
        <v>128</v>
      </c>
      <c r="G1011" t="s">
        <v>129</v>
      </c>
      <c r="H1011">
        <v>2</v>
      </c>
      <c r="I1011">
        <v>21.574023</v>
      </c>
      <c r="J1011">
        <v>161.41999999999999</v>
      </c>
      <c r="M1011">
        <v>1.093</v>
      </c>
      <c r="O1011">
        <v>9.8000000000000004E-2</v>
      </c>
      <c r="Q1011">
        <v>0.9</v>
      </c>
      <c r="R1011">
        <v>0.91</v>
      </c>
    </row>
    <row r="1012" spans="1:19" x14ac:dyDescent="0.2">
      <c r="A1012" t="s">
        <v>1859</v>
      </c>
      <c r="B1012" t="s">
        <v>1860</v>
      </c>
      <c r="C1012">
        <v>2018</v>
      </c>
      <c r="D1012">
        <v>0</v>
      </c>
      <c r="E1012" t="s">
        <v>55</v>
      </c>
      <c r="F1012" t="s">
        <v>128</v>
      </c>
      <c r="G1012" t="s">
        <v>129</v>
      </c>
      <c r="H1012">
        <v>1</v>
      </c>
      <c r="I1012">
        <v>2.8586459999999998</v>
      </c>
      <c r="J1012">
        <v>289.57</v>
      </c>
      <c r="M1012">
        <v>1.579</v>
      </c>
      <c r="O1012">
        <v>0.14099999999999999</v>
      </c>
      <c r="Q1012">
        <v>0.9</v>
      </c>
      <c r="R1012">
        <v>0.84</v>
      </c>
    </row>
    <row r="1013" spans="1:19" x14ac:dyDescent="0.2">
      <c r="A1013" t="s">
        <v>1861</v>
      </c>
      <c r="B1013" t="s">
        <v>1862</v>
      </c>
      <c r="C1013">
        <v>2018</v>
      </c>
      <c r="D1013">
        <v>0</v>
      </c>
      <c r="E1013" t="s">
        <v>55</v>
      </c>
      <c r="F1013" t="s">
        <v>128</v>
      </c>
      <c r="G1013" t="s">
        <v>129</v>
      </c>
      <c r="H1013">
        <v>1</v>
      </c>
      <c r="I1013">
        <v>4.1628170000000004</v>
      </c>
      <c r="J1013">
        <v>223.99</v>
      </c>
      <c r="M1013">
        <v>1.52</v>
      </c>
      <c r="O1013">
        <v>0.13600000000000001</v>
      </c>
      <c r="Q1013">
        <v>0.9</v>
      </c>
      <c r="R1013">
        <v>0.81</v>
      </c>
      <c r="S1013">
        <v>5.9749999999999996</v>
      </c>
    </row>
    <row r="1014" spans="1:19" x14ac:dyDescent="0.2">
      <c r="A1014" t="s">
        <v>1863</v>
      </c>
      <c r="B1014" t="s">
        <v>1864</v>
      </c>
      <c r="C1014">
        <v>2018</v>
      </c>
      <c r="D1014">
        <v>0</v>
      </c>
      <c r="E1014" t="s">
        <v>55</v>
      </c>
      <c r="F1014" t="s">
        <v>128</v>
      </c>
      <c r="G1014" t="s">
        <v>129</v>
      </c>
      <c r="H1014">
        <v>1</v>
      </c>
      <c r="I1014">
        <v>14.786889</v>
      </c>
      <c r="J1014">
        <v>416.91</v>
      </c>
      <c r="M1014">
        <v>3.95</v>
      </c>
      <c r="O1014">
        <v>0.35199999999999998</v>
      </c>
      <c r="Q1014">
        <v>1.01</v>
      </c>
      <c r="R1014">
        <v>0.98</v>
      </c>
      <c r="S1014">
        <v>1.532</v>
      </c>
    </row>
    <row r="1015" spans="1:19" x14ac:dyDescent="0.2">
      <c r="A1015" t="s">
        <v>1865</v>
      </c>
      <c r="B1015" t="s">
        <v>1866</v>
      </c>
      <c r="C1015">
        <v>2018</v>
      </c>
      <c r="D1015">
        <v>0</v>
      </c>
      <c r="E1015" t="s">
        <v>55</v>
      </c>
      <c r="F1015" t="s">
        <v>128</v>
      </c>
      <c r="G1015" t="s">
        <v>129</v>
      </c>
      <c r="H1015">
        <v>1</v>
      </c>
      <c r="I1015">
        <v>39.721386000000003</v>
      </c>
      <c r="J1015">
        <v>640.65</v>
      </c>
      <c r="M1015">
        <v>3.6419999999999999</v>
      </c>
      <c r="O1015">
        <v>0.32500000000000001</v>
      </c>
      <c r="Q1015">
        <v>1.1100000000000001</v>
      </c>
      <c r="R1015">
        <v>1.28</v>
      </c>
    </row>
    <row r="1016" spans="1:19" x14ac:dyDescent="0.2">
      <c r="A1016" t="s">
        <v>1867</v>
      </c>
      <c r="B1016" t="s">
        <v>1868</v>
      </c>
      <c r="C1016">
        <v>2018</v>
      </c>
      <c r="D1016">
        <v>0</v>
      </c>
      <c r="E1016" t="s">
        <v>55</v>
      </c>
      <c r="F1016" t="s">
        <v>128</v>
      </c>
      <c r="G1016" t="s">
        <v>129</v>
      </c>
      <c r="H1016">
        <v>2</v>
      </c>
      <c r="I1016">
        <v>15.852975000000001</v>
      </c>
      <c r="J1016">
        <v>317.83</v>
      </c>
      <c r="M1016">
        <v>3.13</v>
      </c>
      <c r="O1016">
        <v>0.27900000000000003</v>
      </c>
      <c r="Q1016">
        <v>0.94</v>
      </c>
      <c r="R1016">
        <v>0.99</v>
      </c>
      <c r="S1016">
        <v>1.0900000000000001</v>
      </c>
    </row>
    <row r="1017" spans="1:19" x14ac:dyDescent="0.2">
      <c r="A1017" t="s">
        <v>1867</v>
      </c>
      <c r="B1017" t="s">
        <v>1869</v>
      </c>
      <c r="C1017">
        <v>2018</v>
      </c>
      <c r="D1017">
        <v>0</v>
      </c>
      <c r="E1017" t="s">
        <v>55</v>
      </c>
      <c r="F1017" t="s">
        <v>128</v>
      </c>
      <c r="G1017" t="s">
        <v>129</v>
      </c>
      <c r="H1017">
        <v>2</v>
      </c>
      <c r="I1017">
        <v>28.482786000000001</v>
      </c>
      <c r="J1017">
        <v>317.83</v>
      </c>
      <c r="M1017">
        <v>2.5760000000000001</v>
      </c>
      <c r="O1017">
        <v>0.23</v>
      </c>
      <c r="Q1017">
        <v>0.94</v>
      </c>
      <c r="R1017">
        <v>0.99</v>
      </c>
      <c r="S1017">
        <v>1.0900000000000001</v>
      </c>
    </row>
    <row r="1018" spans="1:19" x14ac:dyDescent="0.2">
      <c r="A1018" t="s">
        <v>1870</v>
      </c>
      <c r="B1018" t="s">
        <v>1871</v>
      </c>
      <c r="C1018">
        <v>2018</v>
      </c>
      <c r="D1018">
        <v>0</v>
      </c>
      <c r="E1018" t="s">
        <v>55</v>
      </c>
      <c r="F1018" t="s">
        <v>128</v>
      </c>
      <c r="G1018" t="s">
        <v>129</v>
      </c>
      <c r="H1018">
        <v>1</v>
      </c>
      <c r="I1018">
        <v>48.324221999999999</v>
      </c>
      <c r="J1018">
        <v>594.09</v>
      </c>
      <c r="M1018">
        <v>3.6</v>
      </c>
      <c r="O1018">
        <v>0.32100000000000001</v>
      </c>
      <c r="Q1018">
        <v>1.1599999999999999</v>
      </c>
      <c r="R1018">
        <v>1.54</v>
      </c>
    </row>
    <row r="1019" spans="1:19" x14ac:dyDescent="0.2">
      <c r="A1019" t="s">
        <v>1872</v>
      </c>
      <c r="B1019" t="s">
        <v>1873</v>
      </c>
      <c r="C1019">
        <v>2018</v>
      </c>
      <c r="D1019">
        <v>0</v>
      </c>
      <c r="E1019" t="s">
        <v>55</v>
      </c>
      <c r="F1019" t="s">
        <v>128</v>
      </c>
      <c r="G1019" t="s">
        <v>129</v>
      </c>
      <c r="H1019">
        <v>1</v>
      </c>
      <c r="I1019">
        <v>8.3578810000000008</v>
      </c>
      <c r="J1019">
        <v>249.59</v>
      </c>
      <c r="M1019">
        <v>2.56</v>
      </c>
      <c r="O1019">
        <v>0.22800000000000001</v>
      </c>
      <c r="Q1019">
        <v>1</v>
      </c>
      <c r="R1019">
        <v>0.93</v>
      </c>
      <c r="S1019">
        <v>1.1599999999999999</v>
      </c>
    </row>
    <row r="1020" spans="1:19" x14ac:dyDescent="0.2">
      <c r="A1020" t="s">
        <v>1874</v>
      </c>
      <c r="B1020" t="s">
        <v>1875</v>
      </c>
      <c r="C1020">
        <v>2018</v>
      </c>
      <c r="D1020">
        <v>0</v>
      </c>
      <c r="E1020" t="s">
        <v>55</v>
      </c>
      <c r="F1020" t="s">
        <v>128</v>
      </c>
      <c r="G1020" t="s">
        <v>129</v>
      </c>
      <c r="H1020">
        <v>1</v>
      </c>
      <c r="I1020">
        <v>17.043178999999999</v>
      </c>
      <c r="J1020">
        <v>110.91</v>
      </c>
      <c r="M1020">
        <v>4.1189999999999998</v>
      </c>
      <c r="O1020">
        <v>0.36699999999999999</v>
      </c>
      <c r="Q1020">
        <v>0.84</v>
      </c>
      <c r="R1020">
        <v>0.78</v>
      </c>
    </row>
    <row r="1021" spans="1:19" x14ac:dyDescent="0.2">
      <c r="A1021" t="s">
        <v>1876</v>
      </c>
      <c r="B1021" t="s">
        <v>1877</v>
      </c>
      <c r="C1021">
        <v>2018</v>
      </c>
      <c r="D1021">
        <v>0</v>
      </c>
      <c r="E1021" t="s">
        <v>55</v>
      </c>
      <c r="F1021" t="s">
        <v>128</v>
      </c>
      <c r="G1021" t="s">
        <v>129</v>
      </c>
      <c r="H1021">
        <v>2</v>
      </c>
      <c r="I1021">
        <v>3.2253379999999998</v>
      </c>
      <c r="J1021">
        <v>107.97</v>
      </c>
      <c r="M1021">
        <v>1.87</v>
      </c>
      <c r="O1021">
        <v>0.16700000000000001</v>
      </c>
      <c r="Q1021">
        <v>0.73</v>
      </c>
      <c r="R1021">
        <v>0.68</v>
      </c>
    </row>
    <row r="1022" spans="1:19" x14ac:dyDescent="0.2">
      <c r="A1022" t="s">
        <v>1876</v>
      </c>
      <c r="B1022" t="s">
        <v>1878</v>
      </c>
      <c r="C1022">
        <v>2018</v>
      </c>
      <c r="D1022">
        <v>0</v>
      </c>
      <c r="E1022" t="s">
        <v>55</v>
      </c>
      <c r="F1022" t="s">
        <v>128</v>
      </c>
      <c r="G1022" t="s">
        <v>129</v>
      </c>
      <c r="H1022">
        <v>2</v>
      </c>
      <c r="I1022">
        <v>7.3746939999999999</v>
      </c>
      <c r="J1022">
        <v>107.97</v>
      </c>
      <c r="M1022">
        <v>2.78</v>
      </c>
      <c r="O1022">
        <v>0.248</v>
      </c>
      <c r="Q1022">
        <v>0.73</v>
      </c>
      <c r="R1022">
        <v>0.68</v>
      </c>
    </row>
    <row r="1023" spans="1:19" x14ac:dyDescent="0.2">
      <c r="A1023" t="s">
        <v>1879</v>
      </c>
      <c r="B1023" t="s">
        <v>1880</v>
      </c>
      <c r="C1023">
        <v>2018</v>
      </c>
      <c r="D1023">
        <v>0</v>
      </c>
      <c r="E1023" t="s">
        <v>55</v>
      </c>
      <c r="F1023" t="s">
        <v>128</v>
      </c>
      <c r="G1023" t="s">
        <v>129</v>
      </c>
      <c r="H1023">
        <v>1</v>
      </c>
      <c r="I1023">
        <v>2.8498830000000002</v>
      </c>
      <c r="J1023">
        <v>185.09</v>
      </c>
      <c r="M1023">
        <v>1.3640000000000001</v>
      </c>
      <c r="O1023">
        <v>0.122</v>
      </c>
      <c r="Q1023">
        <v>0.86</v>
      </c>
      <c r="R1023">
        <v>0.79</v>
      </c>
    </row>
    <row r="1024" spans="1:19" x14ac:dyDescent="0.2">
      <c r="A1024" t="s">
        <v>1881</v>
      </c>
      <c r="B1024" t="s">
        <v>1882</v>
      </c>
      <c r="C1024">
        <v>2018</v>
      </c>
      <c r="D1024">
        <v>0</v>
      </c>
      <c r="E1024" t="s">
        <v>55</v>
      </c>
      <c r="F1024" t="s">
        <v>128</v>
      </c>
      <c r="G1024" t="s">
        <v>129</v>
      </c>
      <c r="H1024">
        <v>2</v>
      </c>
      <c r="I1024">
        <v>1.05979</v>
      </c>
      <c r="J1024">
        <v>199.05</v>
      </c>
      <c r="M1024">
        <v>1.4</v>
      </c>
      <c r="O1024">
        <v>0.125</v>
      </c>
      <c r="Q1024">
        <v>0.96</v>
      </c>
      <c r="R1024">
        <v>0.88</v>
      </c>
    </row>
    <row r="1025" spans="1:19" x14ac:dyDescent="0.2">
      <c r="A1025" t="s">
        <v>1881</v>
      </c>
      <c r="B1025" t="s">
        <v>1883</v>
      </c>
      <c r="C1025">
        <v>2018</v>
      </c>
      <c r="D1025">
        <v>0</v>
      </c>
      <c r="E1025" t="s">
        <v>55</v>
      </c>
      <c r="F1025" t="s">
        <v>128</v>
      </c>
      <c r="G1025" t="s">
        <v>129</v>
      </c>
      <c r="H1025">
        <v>2</v>
      </c>
      <c r="I1025">
        <v>22.779878</v>
      </c>
      <c r="J1025">
        <v>199.05</v>
      </c>
      <c r="M1025">
        <v>3.286</v>
      </c>
      <c r="O1025">
        <v>0.29299999999999998</v>
      </c>
      <c r="Q1025">
        <v>0.96</v>
      </c>
      <c r="R1025">
        <v>0.88</v>
      </c>
    </row>
    <row r="1026" spans="1:19" x14ac:dyDescent="0.2">
      <c r="A1026" t="s">
        <v>1884</v>
      </c>
      <c r="B1026" t="s">
        <v>1885</v>
      </c>
      <c r="C1026">
        <v>2018</v>
      </c>
      <c r="D1026">
        <v>0</v>
      </c>
      <c r="E1026" t="s">
        <v>55</v>
      </c>
      <c r="F1026" t="s">
        <v>128</v>
      </c>
      <c r="G1026" t="s">
        <v>129</v>
      </c>
      <c r="H1026">
        <v>1</v>
      </c>
      <c r="I1026">
        <v>3.4051640000000001</v>
      </c>
      <c r="J1026">
        <v>302.99</v>
      </c>
      <c r="M1026">
        <v>2.302</v>
      </c>
      <c r="O1026">
        <v>0.20499999999999999</v>
      </c>
      <c r="Q1026">
        <v>0.97</v>
      </c>
      <c r="R1026">
        <v>0.91</v>
      </c>
    </row>
    <row r="1027" spans="1:19" x14ac:dyDescent="0.2">
      <c r="A1027" t="s">
        <v>1886</v>
      </c>
      <c r="B1027" t="s">
        <v>1887</v>
      </c>
      <c r="C1027">
        <v>2018</v>
      </c>
      <c r="D1027">
        <v>0</v>
      </c>
      <c r="E1027" t="s">
        <v>55</v>
      </c>
      <c r="F1027" t="s">
        <v>128</v>
      </c>
      <c r="G1027" t="s">
        <v>129</v>
      </c>
      <c r="H1027">
        <v>1</v>
      </c>
      <c r="I1027">
        <v>9.6951009999999993</v>
      </c>
      <c r="J1027">
        <v>166.93</v>
      </c>
      <c r="M1027">
        <v>1.371</v>
      </c>
      <c r="O1027">
        <v>0.122</v>
      </c>
      <c r="Q1027">
        <v>0.79</v>
      </c>
      <c r="R1027">
        <v>0.76</v>
      </c>
    </row>
    <row r="1028" spans="1:19" x14ac:dyDescent="0.2">
      <c r="A1028" t="s">
        <v>1888</v>
      </c>
      <c r="B1028" t="s">
        <v>1889</v>
      </c>
      <c r="C1028">
        <v>2018</v>
      </c>
      <c r="D1028">
        <v>0</v>
      </c>
      <c r="E1028" t="s">
        <v>55</v>
      </c>
      <c r="F1028" t="s">
        <v>128</v>
      </c>
      <c r="G1028" t="s">
        <v>129</v>
      </c>
      <c r="H1028">
        <v>1</v>
      </c>
      <c r="I1028">
        <v>7.0557840000000001</v>
      </c>
      <c r="J1028">
        <v>586.87</v>
      </c>
      <c r="M1028">
        <v>3.0459999999999998</v>
      </c>
      <c r="O1028">
        <v>0.27200000000000002</v>
      </c>
      <c r="Q1028">
        <v>1.01</v>
      </c>
      <c r="R1028">
        <v>1.18</v>
      </c>
    </row>
    <row r="1029" spans="1:19" x14ac:dyDescent="0.2">
      <c r="A1029" t="s">
        <v>1890</v>
      </c>
      <c r="B1029" t="s">
        <v>1891</v>
      </c>
      <c r="C1029">
        <v>2018</v>
      </c>
      <c r="D1029">
        <v>0</v>
      </c>
      <c r="E1029" t="s">
        <v>55</v>
      </c>
      <c r="F1029" t="s">
        <v>128</v>
      </c>
      <c r="G1029" t="s">
        <v>129</v>
      </c>
      <c r="H1029">
        <v>1</v>
      </c>
      <c r="I1029">
        <v>26.672263000000001</v>
      </c>
      <c r="J1029">
        <v>409.95</v>
      </c>
      <c r="M1029">
        <v>1.996</v>
      </c>
      <c r="O1029">
        <v>0.17799999999999999</v>
      </c>
      <c r="Q1029">
        <v>0.95</v>
      </c>
      <c r="R1029">
        <v>1.08</v>
      </c>
    </row>
    <row r="1030" spans="1:19" x14ac:dyDescent="0.2">
      <c r="A1030" t="s">
        <v>1892</v>
      </c>
      <c r="B1030" t="s">
        <v>1893</v>
      </c>
      <c r="C1030">
        <v>2018</v>
      </c>
      <c r="D1030">
        <v>0</v>
      </c>
      <c r="E1030" t="s">
        <v>55</v>
      </c>
      <c r="F1030" t="s">
        <v>128</v>
      </c>
      <c r="G1030" t="s">
        <v>129</v>
      </c>
      <c r="H1030">
        <v>1</v>
      </c>
      <c r="I1030">
        <v>18.294549</v>
      </c>
      <c r="J1030">
        <v>246.14</v>
      </c>
      <c r="M1030">
        <v>2.7949999999999999</v>
      </c>
      <c r="O1030">
        <v>0.249</v>
      </c>
      <c r="Q1030">
        <v>0.79</v>
      </c>
      <c r="R1030">
        <v>0.76</v>
      </c>
    </row>
    <row r="1031" spans="1:19" x14ac:dyDescent="0.2">
      <c r="A1031" t="s">
        <v>1894</v>
      </c>
      <c r="B1031" t="s">
        <v>1895</v>
      </c>
      <c r="C1031">
        <v>2018</v>
      </c>
      <c r="D1031">
        <v>0</v>
      </c>
      <c r="E1031" t="s">
        <v>55</v>
      </c>
      <c r="F1031" t="s">
        <v>128</v>
      </c>
      <c r="G1031" t="s">
        <v>129</v>
      </c>
      <c r="H1031">
        <v>1</v>
      </c>
      <c r="I1031">
        <v>12.487489999999999</v>
      </c>
      <c r="J1031">
        <v>366.84</v>
      </c>
      <c r="M1031">
        <v>2.6059999999999999</v>
      </c>
      <c r="O1031">
        <v>0.23200000000000001</v>
      </c>
      <c r="Q1031">
        <v>0.94</v>
      </c>
      <c r="R1031">
        <v>0.93</v>
      </c>
    </row>
    <row r="1032" spans="1:19" x14ac:dyDescent="0.2">
      <c r="A1032" t="s">
        <v>1896</v>
      </c>
      <c r="B1032" t="s">
        <v>1897</v>
      </c>
      <c r="C1032">
        <v>2018</v>
      </c>
      <c r="D1032">
        <v>0</v>
      </c>
      <c r="E1032" t="s">
        <v>55</v>
      </c>
      <c r="F1032" t="s">
        <v>128</v>
      </c>
      <c r="G1032" t="s">
        <v>129</v>
      </c>
      <c r="H1032">
        <v>1</v>
      </c>
      <c r="I1032">
        <v>4.1909479999999997</v>
      </c>
      <c r="J1032">
        <v>258.76</v>
      </c>
      <c r="M1032">
        <v>1.679</v>
      </c>
      <c r="O1032">
        <v>0.15</v>
      </c>
      <c r="Q1032">
        <v>0.93</v>
      </c>
      <c r="R1032">
        <v>0.86</v>
      </c>
    </row>
    <row r="1033" spans="1:19" x14ac:dyDescent="0.2">
      <c r="A1033" t="s">
        <v>1898</v>
      </c>
      <c r="B1033" t="s">
        <v>1899</v>
      </c>
      <c r="C1033">
        <v>2018</v>
      </c>
      <c r="D1033">
        <v>0</v>
      </c>
      <c r="E1033" t="s">
        <v>55</v>
      </c>
      <c r="F1033" t="s">
        <v>128</v>
      </c>
      <c r="G1033" t="s">
        <v>129</v>
      </c>
      <c r="H1033">
        <v>1</v>
      </c>
      <c r="I1033">
        <v>2.0806149999999999</v>
      </c>
      <c r="J1033">
        <v>76.67</v>
      </c>
      <c r="M1033">
        <v>0.86899999999999999</v>
      </c>
      <c r="O1033">
        <v>7.6999999999999999E-2</v>
      </c>
      <c r="Q1033">
        <v>0.74</v>
      </c>
      <c r="R1033">
        <v>0.71</v>
      </c>
    </row>
    <row r="1034" spans="1:19" x14ac:dyDescent="0.2">
      <c r="A1034" t="s">
        <v>1900</v>
      </c>
      <c r="B1034" t="s">
        <v>1901</v>
      </c>
      <c r="C1034">
        <v>2015</v>
      </c>
      <c r="D1034">
        <v>0</v>
      </c>
      <c r="E1034" t="s">
        <v>55</v>
      </c>
      <c r="F1034" t="s">
        <v>128</v>
      </c>
      <c r="G1034" t="s">
        <v>129</v>
      </c>
      <c r="H1034">
        <v>2</v>
      </c>
      <c r="I1034">
        <v>9.3250379999999993</v>
      </c>
      <c r="J1034">
        <v>83.85</v>
      </c>
      <c r="M1034">
        <v>1.84</v>
      </c>
      <c r="O1034">
        <v>0.16400000000000001</v>
      </c>
      <c r="Q1034">
        <v>0.68</v>
      </c>
      <c r="R1034">
        <v>0.65</v>
      </c>
    </row>
    <row r="1035" spans="1:19" x14ac:dyDescent="0.2">
      <c r="A1035" t="s">
        <v>1900</v>
      </c>
      <c r="B1035" t="s">
        <v>1902</v>
      </c>
      <c r="C1035">
        <v>2015</v>
      </c>
      <c r="D1035">
        <v>0</v>
      </c>
      <c r="E1035" t="s">
        <v>55</v>
      </c>
      <c r="F1035" t="s">
        <v>128</v>
      </c>
      <c r="G1035" t="s">
        <v>129</v>
      </c>
      <c r="H1035">
        <v>2</v>
      </c>
      <c r="I1035">
        <v>15.50192</v>
      </c>
      <c r="J1035">
        <v>83.85</v>
      </c>
      <c r="M1035">
        <v>2.4900000000000002</v>
      </c>
      <c r="O1035">
        <v>0.222</v>
      </c>
      <c r="Q1035">
        <v>0.68</v>
      </c>
      <c r="R1035">
        <v>0.65</v>
      </c>
    </row>
    <row r="1036" spans="1:19" x14ac:dyDescent="0.2">
      <c r="A1036" t="s">
        <v>1903</v>
      </c>
      <c r="B1036" t="s">
        <v>1904</v>
      </c>
      <c r="C1036">
        <v>2018</v>
      </c>
      <c r="D1036">
        <v>0</v>
      </c>
      <c r="E1036" t="s">
        <v>55</v>
      </c>
      <c r="F1036" t="s">
        <v>128</v>
      </c>
      <c r="G1036" t="s">
        <v>129</v>
      </c>
      <c r="H1036">
        <v>1</v>
      </c>
      <c r="I1036">
        <v>0.57023299999999999</v>
      </c>
      <c r="J1036">
        <v>177.39</v>
      </c>
      <c r="M1036">
        <v>0.81899999999999995</v>
      </c>
      <c r="O1036">
        <v>7.2999999999999995E-2</v>
      </c>
      <c r="Q1036">
        <v>0.91</v>
      </c>
      <c r="R1036">
        <v>0.85</v>
      </c>
    </row>
    <row r="1037" spans="1:19" x14ac:dyDescent="0.2">
      <c r="A1037" t="s">
        <v>1905</v>
      </c>
      <c r="B1037" t="s">
        <v>1906</v>
      </c>
      <c r="C1037">
        <v>2018</v>
      </c>
      <c r="D1037">
        <v>0</v>
      </c>
      <c r="E1037" t="s">
        <v>55</v>
      </c>
      <c r="F1037" t="s">
        <v>128</v>
      </c>
      <c r="G1037" t="s">
        <v>129</v>
      </c>
      <c r="H1037">
        <v>1</v>
      </c>
      <c r="I1037">
        <v>0.66955799999999999</v>
      </c>
      <c r="J1037">
        <v>274.39</v>
      </c>
      <c r="M1037">
        <v>1.375</v>
      </c>
      <c r="O1037">
        <v>0.123</v>
      </c>
      <c r="Q1037">
        <v>0.88</v>
      </c>
      <c r="R1037">
        <v>0.82</v>
      </c>
    </row>
    <row r="1038" spans="1:19" x14ac:dyDescent="0.2">
      <c r="A1038" t="s">
        <v>1907</v>
      </c>
      <c r="B1038" t="s">
        <v>1908</v>
      </c>
      <c r="C1038">
        <v>2018</v>
      </c>
      <c r="D1038">
        <v>0</v>
      </c>
      <c r="E1038" t="s">
        <v>55</v>
      </c>
      <c r="F1038" t="s">
        <v>128</v>
      </c>
      <c r="G1038" t="s">
        <v>129</v>
      </c>
      <c r="H1038">
        <v>1</v>
      </c>
      <c r="I1038">
        <v>9.7955100000000002</v>
      </c>
      <c r="J1038">
        <v>109.32</v>
      </c>
      <c r="M1038">
        <v>2.52</v>
      </c>
      <c r="O1038">
        <v>0.22500000000000001</v>
      </c>
      <c r="Q1038">
        <v>0.67</v>
      </c>
      <c r="R1038">
        <v>0.65</v>
      </c>
      <c r="S1038">
        <v>4.4450000000000003</v>
      </c>
    </row>
    <row r="1039" spans="1:19" x14ac:dyDescent="0.2">
      <c r="A1039" t="s">
        <v>1909</v>
      </c>
      <c r="B1039" t="s">
        <v>1910</v>
      </c>
      <c r="C1039">
        <v>2018</v>
      </c>
      <c r="D1039">
        <v>0</v>
      </c>
      <c r="E1039" t="s">
        <v>55</v>
      </c>
      <c r="F1039" t="s">
        <v>128</v>
      </c>
      <c r="G1039" t="s">
        <v>129</v>
      </c>
      <c r="H1039">
        <v>1</v>
      </c>
      <c r="I1039">
        <v>8.1308699999999998</v>
      </c>
      <c r="J1039">
        <v>394.05</v>
      </c>
      <c r="M1039">
        <v>1.514</v>
      </c>
      <c r="O1039">
        <v>0.13500000000000001</v>
      </c>
      <c r="Q1039">
        <v>1.07</v>
      </c>
      <c r="R1039">
        <v>1.2</v>
      </c>
    </row>
    <row r="1040" spans="1:19" x14ac:dyDescent="0.2">
      <c r="A1040" t="s">
        <v>1911</v>
      </c>
      <c r="B1040" t="s">
        <v>1912</v>
      </c>
      <c r="C1040">
        <v>2018</v>
      </c>
      <c r="D1040">
        <v>0</v>
      </c>
      <c r="E1040" t="s">
        <v>55</v>
      </c>
      <c r="F1040" t="s">
        <v>128</v>
      </c>
      <c r="G1040" t="s">
        <v>129</v>
      </c>
      <c r="H1040">
        <v>1</v>
      </c>
      <c r="I1040">
        <v>8.5968020000000003</v>
      </c>
      <c r="J1040">
        <v>303.27999999999997</v>
      </c>
      <c r="M1040">
        <v>2.4300000000000002</v>
      </c>
      <c r="O1040">
        <v>0.217</v>
      </c>
      <c r="Q1040">
        <v>1.05</v>
      </c>
      <c r="R1040">
        <v>1.27</v>
      </c>
      <c r="S1040">
        <v>1.08</v>
      </c>
    </row>
    <row r="1041" spans="1:19" x14ac:dyDescent="0.2">
      <c r="A1041" t="s">
        <v>1913</v>
      </c>
      <c r="B1041" t="s">
        <v>1914</v>
      </c>
      <c r="C1041">
        <v>2018</v>
      </c>
      <c r="D1041">
        <v>0</v>
      </c>
      <c r="E1041" t="s">
        <v>55</v>
      </c>
      <c r="F1041" t="s">
        <v>128</v>
      </c>
      <c r="G1041" t="s">
        <v>129</v>
      </c>
      <c r="H1041">
        <v>1</v>
      </c>
      <c r="I1041">
        <v>8.2696480000000001</v>
      </c>
      <c r="J1041">
        <v>408.67</v>
      </c>
      <c r="M1041">
        <v>2.1240000000000001</v>
      </c>
      <c r="O1041">
        <v>0.189</v>
      </c>
      <c r="Q1041">
        <v>1</v>
      </c>
      <c r="R1041">
        <v>0.97</v>
      </c>
    </row>
    <row r="1042" spans="1:19" x14ac:dyDescent="0.2">
      <c r="A1042" t="s">
        <v>1915</v>
      </c>
      <c r="B1042" t="s">
        <v>1916</v>
      </c>
      <c r="C1042">
        <v>2018</v>
      </c>
      <c r="D1042">
        <v>0</v>
      </c>
      <c r="E1042" t="s">
        <v>55</v>
      </c>
      <c r="F1042" t="s">
        <v>128</v>
      </c>
      <c r="G1042" t="s">
        <v>129</v>
      </c>
      <c r="H1042">
        <v>1</v>
      </c>
      <c r="I1042">
        <v>2.1747999999999998</v>
      </c>
      <c r="J1042">
        <v>115.94</v>
      </c>
      <c r="L1042">
        <v>8</v>
      </c>
      <c r="M1042">
        <v>1.75</v>
      </c>
      <c r="N1042">
        <v>2.5170000000000001E-2</v>
      </c>
      <c r="O1042">
        <v>0.156</v>
      </c>
      <c r="P1042">
        <v>8.1999999999999993</v>
      </c>
      <c r="Q1042">
        <v>0.7</v>
      </c>
      <c r="R1042">
        <v>0.72</v>
      </c>
      <c r="S1042">
        <v>2.2999999999999998</v>
      </c>
    </row>
    <row r="1043" spans="1:19" x14ac:dyDescent="0.2">
      <c r="A1043" t="s">
        <v>1917</v>
      </c>
      <c r="B1043" t="s">
        <v>1918</v>
      </c>
      <c r="C1043">
        <v>2018</v>
      </c>
      <c r="D1043">
        <v>0</v>
      </c>
      <c r="E1043" t="s">
        <v>55</v>
      </c>
      <c r="F1043" t="s">
        <v>128</v>
      </c>
      <c r="G1043" t="s">
        <v>129</v>
      </c>
      <c r="H1043">
        <v>1</v>
      </c>
      <c r="I1043">
        <v>14.074524</v>
      </c>
      <c r="J1043">
        <v>386.01</v>
      </c>
      <c r="M1043">
        <v>3.5790000000000002</v>
      </c>
      <c r="O1043">
        <v>0.31900000000000001</v>
      </c>
      <c r="Q1043">
        <v>1.1000000000000001</v>
      </c>
      <c r="R1043">
        <v>1.33</v>
      </c>
    </row>
    <row r="1044" spans="1:19" x14ac:dyDescent="0.2">
      <c r="A1044" t="s">
        <v>1919</v>
      </c>
      <c r="B1044" t="s">
        <v>1920</v>
      </c>
      <c r="C1044">
        <v>2018</v>
      </c>
      <c r="D1044">
        <v>0</v>
      </c>
      <c r="E1044" t="s">
        <v>55</v>
      </c>
      <c r="F1044" t="s">
        <v>128</v>
      </c>
      <c r="G1044" t="s">
        <v>129</v>
      </c>
      <c r="H1044">
        <v>1</v>
      </c>
      <c r="I1044">
        <v>8.6798850000000005</v>
      </c>
      <c r="J1044">
        <v>398.41</v>
      </c>
      <c r="M1044">
        <v>2.569</v>
      </c>
      <c r="O1044">
        <v>0.22900000000000001</v>
      </c>
      <c r="Q1044">
        <v>1.05</v>
      </c>
      <c r="R1044">
        <v>1.01</v>
      </c>
    </row>
    <row r="1045" spans="1:19" x14ac:dyDescent="0.2">
      <c r="A1045" t="s">
        <v>1921</v>
      </c>
      <c r="B1045" t="s">
        <v>1922</v>
      </c>
      <c r="C1045">
        <v>2018</v>
      </c>
      <c r="D1045">
        <v>0</v>
      </c>
      <c r="E1045" t="s">
        <v>55</v>
      </c>
      <c r="F1045" t="s">
        <v>128</v>
      </c>
      <c r="G1045" t="s">
        <v>129</v>
      </c>
      <c r="H1045">
        <v>3</v>
      </c>
      <c r="I1045">
        <v>3.9012869999999999</v>
      </c>
      <c r="J1045">
        <v>328.42</v>
      </c>
      <c r="M1045">
        <v>1.3480000000000001</v>
      </c>
      <c r="O1045">
        <v>0.12</v>
      </c>
      <c r="Q1045">
        <v>1.02</v>
      </c>
      <c r="R1045">
        <v>1.19</v>
      </c>
    </row>
    <row r="1046" spans="1:19" x14ac:dyDescent="0.2">
      <c r="A1046" t="s">
        <v>1921</v>
      </c>
      <c r="B1046" t="s">
        <v>1923</v>
      </c>
      <c r="C1046">
        <v>2018</v>
      </c>
      <c r="D1046">
        <v>0</v>
      </c>
      <c r="E1046" t="s">
        <v>55</v>
      </c>
      <c r="F1046" t="s">
        <v>128</v>
      </c>
      <c r="G1046" t="s">
        <v>129</v>
      </c>
      <c r="H1046">
        <v>3</v>
      </c>
      <c r="I1046">
        <v>6.6676700000000002</v>
      </c>
      <c r="J1046">
        <v>328.42</v>
      </c>
      <c r="M1046">
        <v>1.4379999999999999</v>
      </c>
      <c r="O1046">
        <v>0.128</v>
      </c>
      <c r="Q1046">
        <v>1.02</v>
      </c>
      <c r="R1046">
        <v>1.19</v>
      </c>
    </row>
    <row r="1047" spans="1:19" x14ac:dyDescent="0.2">
      <c r="A1047" t="s">
        <v>1921</v>
      </c>
      <c r="B1047" t="s">
        <v>1924</v>
      </c>
      <c r="C1047">
        <v>2018</v>
      </c>
      <c r="D1047">
        <v>0</v>
      </c>
      <c r="E1047" t="s">
        <v>55</v>
      </c>
      <c r="F1047" t="s">
        <v>128</v>
      </c>
      <c r="G1047" t="s">
        <v>129</v>
      </c>
      <c r="H1047">
        <v>3</v>
      </c>
      <c r="I1047">
        <v>11.137278</v>
      </c>
      <c r="J1047">
        <v>328.42</v>
      </c>
      <c r="M1047">
        <v>2.5760000000000001</v>
      </c>
      <c r="O1047">
        <v>0.23</v>
      </c>
      <c r="Q1047">
        <v>1.02</v>
      </c>
      <c r="R1047">
        <v>1.19</v>
      </c>
    </row>
    <row r="1048" spans="1:19" x14ac:dyDescent="0.2">
      <c r="A1048" t="s">
        <v>1925</v>
      </c>
      <c r="B1048" t="s">
        <v>1926</v>
      </c>
      <c r="C1048">
        <v>2015</v>
      </c>
      <c r="D1048">
        <v>0</v>
      </c>
      <c r="E1048" t="s">
        <v>55</v>
      </c>
      <c r="F1048" t="s">
        <v>128</v>
      </c>
      <c r="G1048" t="s">
        <v>129</v>
      </c>
      <c r="H1048">
        <v>1</v>
      </c>
      <c r="I1048">
        <v>0.38107799999999997</v>
      </c>
      <c r="J1048">
        <v>245.53</v>
      </c>
      <c r="L1048">
        <v>444.96199999999999</v>
      </c>
      <c r="M1048">
        <v>2.5</v>
      </c>
      <c r="N1048">
        <v>1.4</v>
      </c>
      <c r="O1048">
        <v>0.223</v>
      </c>
      <c r="Q1048">
        <v>0.6</v>
      </c>
      <c r="R1048">
        <v>0.56999999999999995</v>
      </c>
    </row>
    <row r="1049" spans="1:19" x14ac:dyDescent="0.2">
      <c r="A1049" t="s">
        <v>1927</v>
      </c>
      <c r="B1049" t="s">
        <v>1928</v>
      </c>
      <c r="C1049">
        <v>2018</v>
      </c>
      <c r="D1049">
        <v>0</v>
      </c>
      <c r="E1049" t="s">
        <v>55</v>
      </c>
      <c r="F1049" t="s">
        <v>128</v>
      </c>
      <c r="G1049" t="s">
        <v>129</v>
      </c>
      <c r="H1049">
        <v>1</v>
      </c>
      <c r="I1049">
        <v>13.683256</v>
      </c>
      <c r="J1049">
        <v>234.92</v>
      </c>
      <c r="M1049">
        <v>2.39</v>
      </c>
      <c r="O1049">
        <v>0.21299999999999999</v>
      </c>
      <c r="Q1049">
        <v>0.96</v>
      </c>
      <c r="R1049">
        <v>1.02</v>
      </c>
      <c r="S1049">
        <v>3.0609999999999999</v>
      </c>
    </row>
    <row r="1050" spans="1:19" x14ac:dyDescent="0.2">
      <c r="A1050" t="s">
        <v>1929</v>
      </c>
      <c r="B1050" t="s">
        <v>1930</v>
      </c>
      <c r="C1050">
        <v>2018</v>
      </c>
      <c r="D1050">
        <v>0</v>
      </c>
      <c r="E1050" t="s">
        <v>55</v>
      </c>
      <c r="F1050" t="s">
        <v>128</v>
      </c>
      <c r="G1050" t="s">
        <v>129</v>
      </c>
      <c r="H1050">
        <v>1</v>
      </c>
      <c r="I1050">
        <v>2.3990939999999998</v>
      </c>
      <c r="J1050">
        <v>321.63</v>
      </c>
      <c r="M1050">
        <v>1.679</v>
      </c>
      <c r="O1050">
        <v>0.15</v>
      </c>
      <c r="Q1050">
        <v>1.01</v>
      </c>
      <c r="R1050">
        <v>0.95</v>
      </c>
    </row>
    <row r="1051" spans="1:19" x14ac:dyDescent="0.2">
      <c r="A1051" t="s">
        <v>1931</v>
      </c>
      <c r="B1051" t="s">
        <v>1932</v>
      </c>
      <c r="C1051">
        <v>2018</v>
      </c>
      <c r="D1051">
        <v>0</v>
      </c>
      <c r="E1051" t="s">
        <v>55</v>
      </c>
      <c r="F1051" t="s">
        <v>128</v>
      </c>
      <c r="G1051" t="s">
        <v>129</v>
      </c>
      <c r="H1051">
        <v>1</v>
      </c>
      <c r="I1051">
        <v>15.387062999999999</v>
      </c>
      <c r="J1051">
        <v>101.59</v>
      </c>
      <c r="M1051">
        <v>2.39</v>
      </c>
      <c r="O1051">
        <v>0.21299999999999999</v>
      </c>
      <c r="Q1051">
        <v>1</v>
      </c>
      <c r="R1051">
        <v>1.0900000000000001</v>
      </c>
      <c r="S1051">
        <v>1.25</v>
      </c>
    </row>
    <row r="1052" spans="1:19" x14ac:dyDescent="0.2">
      <c r="A1052" t="s">
        <v>1933</v>
      </c>
      <c r="B1052" t="s">
        <v>1934</v>
      </c>
      <c r="C1052">
        <v>2018</v>
      </c>
      <c r="D1052">
        <v>0</v>
      </c>
      <c r="E1052" t="s">
        <v>55</v>
      </c>
      <c r="F1052" t="s">
        <v>128</v>
      </c>
      <c r="G1052" t="s">
        <v>129</v>
      </c>
      <c r="H1052">
        <v>2</v>
      </c>
      <c r="I1052">
        <v>0.50565000000000004</v>
      </c>
      <c r="J1052">
        <v>201.1</v>
      </c>
      <c r="M1052">
        <v>0.89</v>
      </c>
      <c r="O1052">
        <v>7.9000000000000001E-2</v>
      </c>
      <c r="Q1052">
        <v>1.06</v>
      </c>
      <c r="R1052">
        <v>0.99</v>
      </c>
    </row>
    <row r="1053" spans="1:19" x14ac:dyDescent="0.2">
      <c r="A1053" t="s">
        <v>1933</v>
      </c>
      <c r="B1053" t="s">
        <v>1935</v>
      </c>
      <c r="C1053">
        <v>2018</v>
      </c>
      <c r="D1053">
        <v>0</v>
      </c>
      <c r="E1053" t="s">
        <v>55</v>
      </c>
      <c r="F1053" t="s">
        <v>128</v>
      </c>
      <c r="G1053" t="s">
        <v>129</v>
      </c>
      <c r="H1053">
        <v>2</v>
      </c>
      <c r="I1053">
        <v>4.5632700000000002</v>
      </c>
      <c r="J1053">
        <v>201.1</v>
      </c>
      <c r="M1053">
        <v>1.57</v>
      </c>
      <c r="O1053">
        <v>0.14000000000000001</v>
      </c>
      <c r="Q1053">
        <v>1.06</v>
      </c>
      <c r="R1053">
        <v>0.99</v>
      </c>
    </row>
    <row r="1054" spans="1:19" x14ac:dyDescent="0.2">
      <c r="A1054" t="s">
        <v>1936</v>
      </c>
      <c r="B1054" t="s">
        <v>1937</v>
      </c>
      <c r="C1054">
        <v>2018</v>
      </c>
      <c r="D1054">
        <v>0</v>
      </c>
      <c r="E1054" t="s">
        <v>55</v>
      </c>
      <c r="F1054" t="s">
        <v>128</v>
      </c>
      <c r="G1054" t="s">
        <v>129</v>
      </c>
      <c r="H1054">
        <v>2</v>
      </c>
      <c r="I1054">
        <v>4.4790400000000004</v>
      </c>
      <c r="J1054">
        <v>277.7</v>
      </c>
      <c r="M1054">
        <v>1.56</v>
      </c>
      <c r="O1054">
        <v>0.13900000000000001</v>
      </c>
      <c r="Q1054">
        <v>0.91</v>
      </c>
      <c r="R1054">
        <v>0.84</v>
      </c>
    </row>
    <row r="1055" spans="1:19" x14ac:dyDescent="0.2">
      <c r="A1055" t="s">
        <v>1936</v>
      </c>
      <c r="B1055" t="s">
        <v>1938</v>
      </c>
      <c r="C1055">
        <v>2018</v>
      </c>
      <c r="D1055">
        <v>0</v>
      </c>
      <c r="E1055" t="s">
        <v>55</v>
      </c>
      <c r="F1055" t="s">
        <v>128</v>
      </c>
      <c r="G1055" t="s">
        <v>129</v>
      </c>
      <c r="H1055">
        <v>2</v>
      </c>
      <c r="I1055">
        <v>10.094889999999999</v>
      </c>
      <c r="J1055">
        <v>277.7</v>
      </c>
      <c r="M1055">
        <v>2.41</v>
      </c>
      <c r="O1055">
        <v>0.215</v>
      </c>
      <c r="Q1055">
        <v>0.91</v>
      </c>
      <c r="R1055">
        <v>0.84</v>
      </c>
    </row>
    <row r="1056" spans="1:19" x14ac:dyDescent="0.2">
      <c r="A1056" t="s">
        <v>1939</v>
      </c>
      <c r="B1056" t="s">
        <v>1940</v>
      </c>
      <c r="C1056">
        <v>2018</v>
      </c>
      <c r="D1056">
        <v>0</v>
      </c>
      <c r="E1056" t="s">
        <v>55</v>
      </c>
      <c r="F1056" t="s">
        <v>128</v>
      </c>
      <c r="G1056" t="s">
        <v>129</v>
      </c>
      <c r="H1056">
        <v>1</v>
      </c>
      <c r="I1056">
        <v>15.87209</v>
      </c>
      <c r="J1056">
        <v>360.3</v>
      </c>
      <c r="M1056">
        <v>3.49</v>
      </c>
      <c r="O1056">
        <v>0.311</v>
      </c>
      <c r="Q1056">
        <v>1.27</v>
      </c>
      <c r="R1056">
        <v>1.7</v>
      </c>
    </row>
    <row r="1057" spans="1:19" x14ac:dyDescent="0.2">
      <c r="A1057" t="s">
        <v>1941</v>
      </c>
      <c r="B1057" t="s">
        <v>1942</v>
      </c>
      <c r="C1057">
        <v>2018</v>
      </c>
      <c r="D1057">
        <v>0</v>
      </c>
      <c r="E1057" t="s">
        <v>55</v>
      </c>
      <c r="F1057" t="s">
        <v>128</v>
      </c>
      <c r="G1057" t="s">
        <v>129</v>
      </c>
      <c r="H1057">
        <v>1</v>
      </c>
      <c r="I1057">
        <v>3.27108</v>
      </c>
      <c r="J1057">
        <v>211.2</v>
      </c>
      <c r="M1057">
        <v>1.54</v>
      </c>
      <c r="O1057">
        <v>0.13700000000000001</v>
      </c>
      <c r="Q1057">
        <v>0.88</v>
      </c>
      <c r="R1057">
        <v>0.91</v>
      </c>
    </row>
    <row r="1058" spans="1:19" x14ac:dyDescent="0.2">
      <c r="A1058" t="s">
        <v>1943</v>
      </c>
      <c r="B1058" t="s">
        <v>1944</v>
      </c>
      <c r="C1058">
        <v>2018</v>
      </c>
      <c r="D1058">
        <v>0</v>
      </c>
      <c r="E1058" t="s">
        <v>55</v>
      </c>
      <c r="F1058" t="s">
        <v>128</v>
      </c>
      <c r="G1058" t="s">
        <v>129</v>
      </c>
      <c r="H1058">
        <v>1</v>
      </c>
      <c r="I1058">
        <v>13.621831999999999</v>
      </c>
      <c r="J1058">
        <v>188.22</v>
      </c>
      <c r="M1058">
        <v>1.6659999999999999</v>
      </c>
      <c r="O1058">
        <v>0.14899999999999999</v>
      </c>
      <c r="Q1058">
        <v>0.95</v>
      </c>
      <c r="R1058">
        <v>0.89</v>
      </c>
    </row>
    <row r="1059" spans="1:19" x14ac:dyDescent="0.2">
      <c r="A1059" t="s">
        <v>1945</v>
      </c>
      <c r="B1059" t="s">
        <v>1946</v>
      </c>
      <c r="C1059">
        <v>2018</v>
      </c>
      <c r="D1059">
        <v>0</v>
      </c>
      <c r="E1059" t="s">
        <v>55</v>
      </c>
      <c r="F1059" t="s">
        <v>128</v>
      </c>
      <c r="G1059" t="s">
        <v>129</v>
      </c>
      <c r="H1059">
        <v>1</v>
      </c>
      <c r="I1059">
        <v>2.69828</v>
      </c>
      <c r="J1059">
        <v>142.4</v>
      </c>
      <c r="M1059">
        <v>1.21</v>
      </c>
      <c r="O1059">
        <v>0.108</v>
      </c>
      <c r="Q1059">
        <v>0.71</v>
      </c>
      <c r="R1059">
        <v>0.65</v>
      </c>
    </row>
    <row r="1060" spans="1:19" x14ac:dyDescent="0.2">
      <c r="A1060" t="s">
        <v>1947</v>
      </c>
      <c r="B1060" t="s">
        <v>1948</v>
      </c>
      <c r="C1060">
        <v>2018</v>
      </c>
      <c r="D1060">
        <v>0</v>
      </c>
      <c r="E1060" t="s">
        <v>55</v>
      </c>
      <c r="F1060" t="s">
        <v>128</v>
      </c>
      <c r="G1060" t="s">
        <v>129</v>
      </c>
      <c r="H1060">
        <v>2</v>
      </c>
      <c r="I1060">
        <v>0.58426</v>
      </c>
      <c r="J1060">
        <v>103.8</v>
      </c>
      <c r="M1060">
        <v>1.1399999999999999</v>
      </c>
      <c r="O1060">
        <v>0.10199999999999999</v>
      </c>
      <c r="Q1060">
        <v>0.87</v>
      </c>
      <c r="R1060">
        <v>0.79</v>
      </c>
    </row>
    <row r="1061" spans="1:19" x14ac:dyDescent="0.2">
      <c r="A1061" t="s">
        <v>1947</v>
      </c>
      <c r="B1061" t="s">
        <v>1949</v>
      </c>
      <c r="C1061">
        <v>2018</v>
      </c>
      <c r="D1061">
        <v>0</v>
      </c>
      <c r="E1061" t="s">
        <v>55</v>
      </c>
      <c r="F1061" t="s">
        <v>128</v>
      </c>
      <c r="G1061" t="s">
        <v>129</v>
      </c>
      <c r="H1061">
        <v>2</v>
      </c>
      <c r="I1061">
        <v>8.3272700000000004</v>
      </c>
      <c r="J1061">
        <v>103.8</v>
      </c>
      <c r="M1061">
        <v>2.0299999999999998</v>
      </c>
      <c r="O1061">
        <v>0.18099999999999999</v>
      </c>
      <c r="Q1061">
        <v>0.87</v>
      </c>
      <c r="R1061">
        <v>0.79</v>
      </c>
    </row>
    <row r="1062" spans="1:19" x14ac:dyDescent="0.2">
      <c r="A1062" t="s">
        <v>1950</v>
      </c>
      <c r="B1062" t="s">
        <v>1951</v>
      </c>
      <c r="C1062">
        <v>2018</v>
      </c>
      <c r="D1062">
        <v>0</v>
      </c>
      <c r="E1062" t="s">
        <v>55</v>
      </c>
      <c r="F1062" t="s">
        <v>128</v>
      </c>
      <c r="G1062" t="s">
        <v>129</v>
      </c>
      <c r="H1062">
        <v>1</v>
      </c>
      <c r="I1062">
        <v>2.8604099999999999</v>
      </c>
      <c r="J1062">
        <v>548.9</v>
      </c>
      <c r="M1062">
        <v>1.96</v>
      </c>
      <c r="O1062">
        <v>0.17499999999999999</v>
      </c>
      <c r="Q1062">
        <v>1.1100000000000001</v>
      </c>
      <c r="R1062">
        <v>1.39</v>
      </c>
    </row>
    <row r="1063" spans="1:19" x14ac:dyDescent="0.2">
      <c r="A1063" t="s">
        <v>1952</v>
      </c>
      <c r="B1063" t="s">
        <v>1953</v>
      </c>
      <c r="C1063">
        <v>2018</v>
      </c>
      <c r="D1063">
        <v>0</v>
      </c>
      <c r="E1063" t="s">
        <v>55</v>
      </c>
      <c r="F1063" t="s">
        <v>128</v>
      </c>
      <c r="G1063" t="s">
        <v>129</v>
      </c>
      <c r="H1063">
        <v>1</v>
      </c>
      <c r="I1063">
        <v>13.841901</v>
      </c>
      <c r="J1063">
        <v>295</v>
      </c>
      <c r="K1063">
        <v>3</v>
      </c>
      <c r="M1063">
        <v>2.5</v>
      </c>
      <c r="O1063">
        <v>0.223</v>
      </c>
      <c r="Q1063">
        <v>1.01</v>
      </c>
      <c r="R1063">
        <v>0.95</v>
      </c>
    </row>
    <row r="1064" spans="1:19" x14ac:dyDescent="0.2">
      <c r="A1064" t="s">
        <v>1954</v>
      </c>
      <c r="B1064" t="s">
        <v>1955</v>
      </c>
      <c r="C1064">
        <v>2018</v>
      </c>
      <c r="D1064">
        <v>0</v>
      </c>
      <c r="E1064" t="s">
        <v>55</v>
      </c>
      <c r="F1064" t="s">
        <v>128</v>
      </c>
      <c r="G1064" t="s">
        <v>129</v>
      </c>
      <c r="H1064">
        <v>1</v>
      </c>
      <c r="I1064">
        <v>11.168454000000001</v>
      </c>
      <c r="J1064">
        <v>131.21</v>
      </c>
      <c r="K1064">
        <v>1.43</v>
      </c>
      <c r="L1064">
        <v>126.49634</v>
      </c>
      <c r="M1064">
        <v>11.209</v>
      </c>
      <c r="N1064">
        <v>0.39800000000000002</v>
      </c>
      <c r="O1064">
        <v>1</v>
      </c>
      <c r="Q1064">
        <v>1.19</v>
      </c>
      <c r="R1064">
        <v>1.1599999999999999</v>
      </c>
    </row>
    <row r="1065" spans="1:19" x14ac:dyDescent="0.2">
      <c r="A1065" t="s">
        <v>1956</v>
      </c>
      <c r="B1065" t="s">
        <v>1957</v>
      </c>
      <c r="C1065">
        <v>2018</v>
      </c>
      <c r="D1065">
        <v>0</v>
      </c>
      <c r="E1065" t="s">
        <v>55</v>
      </c>
      <c r="F1065" t="s">
        <v>128</v>
      </c>
      <c r="G1065" t="s">
        <v>129</v>
      </c>
      <c r="H1065">
        <v>3</v>
      </c>
      <c r="I1065">
        <v>2.46746</v>
      </c>
      <c r="J1065">
        <v>67.64</v>
      </c>
      <c r="K1065">
        <v>0.36</v>
      </c>
      <c r="M1065">
        <v>1.3979999999999999</v>
      </c>
      <c r="O1065">
        <v>0.125</v>
      </c>
      <c r="Q1065">
        <v>0.8</v>
      </c>
      <c r="R1065">
        <v>0.74</v>
      </c>
    </row>
    <row r="1066" spans="1:19" x14ac:dyDescent="0.2">
      <c r="A1066" t="s">
        <v>1956</v>
      </c>
      <c r="B1066" t="s">
        <v>1958</v>
      </c>
      <c r="C1066">
        <v>2018</v>
      </c>
      <c r="D1066">
        <v>0</v>
      </c>
      <c r="E1066" t="s">
        <v>55</v>
      </c>
      <c r="F1066" t="s">
        <v>128</v>
      </c>
      <c r="G1066" t="s">
        <v>129</v>
      </c>
      <c r="H1066">
        <v>3</v>
      </c>
      <c r="I1066">
        <v>7.06142</v>
      </c>
      <c r="J1066">
        <v>67.64</v>
      </c>
      <c r="K1066">
        <v>0.36</v>
      </c>
      <c r="M1066">
        <v>1.335</v>
      </c>
      <c r="O1066">
        <v>0.11899999999999999</v>
      </c>
      <c r="Q1066">
        <v>0.8</v>
      </c>
      <c r="R1066">
        <v>0.74</v>
      </c>
    </row>
    <row r="1067" spans="1:19" x14ac:dyDescent="0.2">
      <c r="A1067" t="s">
        <v>1956</v>
      </c>
      <c r="B1067" t="s">
        <v>1959</v>
      </c>
      <c r="C1067">
        <v>2018</v>
      </c>
      <c r="D1067">
        <v>0</v>
      </c>
      <c r="E1067" t="s">
        <v>55</v>
      </c>
      <c r="F1067" t="s">
        <v>128</v>
      </c>
      <c r="G1067" t="s">
        <v>129</v>
      </c>
      <c r="H1067">
        <v>3</v>
      </c>
      <c r="I1067">
        <v>24.366199999999999</v>
      </c>
      <c r="J1067">
        <v>67.64</v>
      </c>
      <c r="K1067">
        <v>0.36</v>
      </c>
      <c r="M1067">
        <v>2.64</v>
      </c>
      <c r="O1067">
        <v>0.23599999999999999</v>
      </c>
      <c r="Q1067">
        <v>0.8</v>
      </c>
      <c r="R1067">
        <v>0.74</v>
      </c>
    </row>
    <row r="1068" spans="1:19" x14ac:dyDescent="0.2">
      <c r="A1068" t="s">
        <v>1960</v>
      </c>
      <c r="B1068" t="s">
        <v>1961</v>
      </c>
      <c r="C1068">
        <v>2018</v>
      </c>
      <c r="D1068">
        <v>0</v>
      </c>
      <c r="E1068" t="s">
        <v>21</v>
      </c>
      <c r="F1068" t="s">
        <v>128</v>
      </c>
      <c r="G1068" t="s">
        <v>59</v>
      </c>
      <c r="H1068">
        <v>1</v>
      </c>
      <c r="I1068">
        <v>2.1805577</v>
      </c>
      <c r="J1068">
        <v>309.5</v>
      </c>
      <c r="L1068">
        <v>392.83787999999998</v>
      </c>
      <c r="M1068">
        <v>18.405000000000001</v>
      </c>
      <c r="N1068">
        <v>1.236</v>
      </c>
      <c r="O1068">
        <v>1.6419999999999999</v>
      </c>
      <c r="P1068">
        <v>0.37</v>
      </c>
      <c r="Q1068">
        <v>1.23</v>
      </c>
      <c r="R1068">
        <v>1.38</v>
      </c>
      <c r="S1068">
        <v>0.66300000000000003</v>
      </c>
    </row>
    <row r="1069" spans="1:19" x14ac:dyDescent="0.2">
      <c r="A1069" t="s">
        <v>1962</v>
      </c>
      <c r="B1069" t="s">
        <v>1963</v>
      </c>
      <c r="C1069">
        <v>2018</v>
      </c>
      <c r="D1069">
        <v>0</v>
      </c>
      <c r="E1069" t="s">
        <v>21</v>
      </c>
      <c r="F1069" t="s">
        <v>128</v>
      </c>
      <c r="G1069" t="s">
        <v>59</v>
      </c>
      <c r="H1069">
        <v>1</v>
      </c>
      <c r="I1069">
        <v>3.2046600000000001</v>
      </c>
      <c r="J1069">
        <v>453</v>
      </c>
      <c r="K1069">
        <v>5.63</v>
      </c>
      <c r="L1069">
        <v>273.3338</v>
      </c>
      <c r="M1069">
        <v>14.571999999999999</v>
      </c>
      <c r="N1069">
        <v>0.86</v>
      </c>
      <c r="O1069">
        <v>1.3</v>
      </c>
      <c r="P1069">
        <v>0.56000000000000005</v>
      </c>
      <c r="Q1069">
        <v>1.19</v>
      </c>
      <c r="R1069">
        <v>1.59</v>
      </c>
      <c r="S1069">
        <v>7.7499999999999999E-2</v>
      </c>
    </row>
    <row r="1070" spans="1:19" x14ac:dyDescent="0.2">
      <c r="A1070" t="s">
        <v>1964</v>
      </c>
      <c r="B1070" t="s">
        <v>1965</v>
      </c>
      <c r="C1070">
        <v>2018</v>
      </c>
      <c r="D1070">
        <v>0</v>
      </c>
      <c r="E1070" t="s">
        <v>55</v>
      </c>
      <c r="F1070" t="s">
        <v>128</v>
      </c>
      <c r="G1070" t="s">
        <v>129</v>
      </c>
      <c r="H1070">
        <v>3</v>
      </c>
      <c r="I1070">
        <v>5.24</v>
      </c>
      <c r="J1070">
        <v>49</v>
      </c>
      <c r="M1070">
        <v>1.1000000000000001</v>
      </c>
      <c r="O1070">
        <v>9.8000000000000004E-2</v>
      </c>
      <c r="Q1070">
        <v>0.4</v>
      </c>
      <c r="R1070">
        <v>0.36</v>
      </c>
    </row>
    <row r="1071" spans="1:19" x14ac:dyDescent="0.2">
      <c r="A1071" t="s">
        <v>1964</v>
      </c>
      <c r="B1071" t="s">
        <v>1966</v>
      </c>
      <c r="C1071">
        <v>2018</v>
      </c>
      <c r="D1071">
        <v>0</v>
      </c>
      <c r="E1071" t="s">
        <v>55</v>
      </c>
      <c r="F1071" t="s">
        <v>128</v>
      </c>
      <c r="G1071" t="s">
        <v>129</v>
      </c>
      <c r="H1071">
        <v>3</v>
      </c>
      <c r="I1071">
        <v>7.7750000000000004</v>
      </c>
      <c r="J1071">
        <v>49</v>
      </c>
      <c r="M1071">
        <v>1</v>
      </c>
      <c r="O1071">
        <v>8.8999999999999996E-2</v>
      </c>
      <c r="Q1071">
        <v>0.4</v>
      </c>
      <c r="R1071">
        <v>0.36</v>
      </c>
    </row>
    <row r="1072" spans="1:19" x14ac:dyDescent="0.2">
      <c r="A1072" t="s">
        <v>1964</v>
      </c>
      <c r="B1072" t="s">
        <v>1967</v>
      </c>
      <c r="C1072">
        <v>2018</v>
      </c>
      <c r="D1072">
        <v>0</v>
      </c>
      <c r="E1072" t="s">
        <v>55</v>
      </c>
      <c r="F1072" t="s">
        <v>128</v>
      </c>
      <c r="G1072" t="s">
        <v>129</v>
      </c>
      <c r="H1072">
        <v>3</v>
      </c>
      <c r="I1072">
        <v>10.115</v>
      </c>
      <c r="J1072">
        <v>49</v>
      </c>
      <c r="M1072">
        <v>1.1000000000000001</v>
      </c>
      <c r="O1072">
        <v>9.8000000000000004E-2</v>
      </c>
      <c r="Q1072">
        <v>0.4</v>
      </c>
      <c r="R1072">
        <v>0.36</v>
      </c>
    </row>
    <row r="1073" spans="1:19" x14ac:dyDescent="0.2">
      <c r="A1073" t="s">
        <v>1968</v>
      </c>
      <c r="B1073" t="s">
        <v>1969</v>
      </c>
      <c r="C1073">
        <v>2016</v>
      </c>
      <c r="D1073">
        <v>0</v>
      </c>
      <c r="E1073" t="s">
        <v>55</v>
      </c>
      <c r="F1073" t="s">
        <v>128</v>
      </c>
      <c r="G1073" t="s">
        <v>129</v>
      </c>
      <c r="H1073">
        <v>2</v>
      </c>
      <c r="I1073">
        <v>20.889769999999999</v>
      </c>
      <c r="J1073">
        <v>171.39</v>
      </c>
      <c r="L1073">
        <v>19</v>
      </c>
      <c r="M1073">
        <v>5.4</v>
      </c>
      <c r="N1073">
        <v>5.978E-2</v>
      </c>
      <c r="O1073">
        <v>0.48199999999999998</v>
      </c>
      <c r="P1073">
        <v>0.64</v>
      </c>
      <c r="Q1073">
        <v>1.07</v>
      </c>
      <c r="R1073">
        <v>1.1599999999999999</v>
      </c>
    </row>
    <row r="1074" spans="1:19" x14ac:dyDescent="0.2">
      <c r="A1074" t="s">
        <v>1968</v>
      </c>
      <c r="B1074" t="s">
        <v>1970</v>
      </c>
      <c r="C1074">
        <v>2016</v>
      </c>
      <c r="D1074">
        <v>0</v>
      </c>
      <c r="E1074" t="s">
        <v>55</v>
      </c>
      <c r="F1074" t="s">
        <v>128</v>
      </c>
      <c r="G1074" t="s">
        <v>129</v>
      </c>
      <c r="H1074">
        <v>2</v>
      </c>
      <c r="I1074">
        <v>42.339100000000002</v>
      </c>
      <c r="J1074">
        <v>171.39</v>
      </c>
      <c r="L1074">
        <v>15.4</v>
      </c>
      <c r="M1074">
        <v>7.5</v>
      </c>
      <c r="N1074">
        <v>4.845E-2</v>
      </c>
      <c r="O1074">
        <v>0.66900000000000004</v>
      </c>
      <c r="P1074">
        <v>0.2</v>
      </c>
      <c r="Q1074">
        <v>1.07</v>
      </c>
      <c r="R1074">
        <v>1.1599999999999999</v>
      </c>
    </row>
    <row r="1075" spans="1:19" x14ac:dyDescent="0.2">
      <c r="A1075" t="s">
        <v>1971</v>
      </c>
      <c r="B1075" t="s">
        <v>1972</v>
      </c>
      <c r="C1075">
        <v>2018</v>
      </c>
      <c r="D1075">
        <v>0</v>
      </c>
      <c r="E1075" t="s">
        <v>55</v>
      </c>
      <c r="F1075" t="s">
        <v>128</v>
      </c>
      <c r="G1075" t="s">
        <v>129</v>
      </c>
      <c r="H1075">
        <v>2</v>
      </c>
      <c r="I1075">
        <v>6.0339999999999998</v>
      </c>
      <c r="J1075">
        <v>70</v>
      </c>
      <c r="M1075">
        <v>2</v>
      </c>
      <c r="O1075">
        <v>0.17799999999999999</v>
      </c>
      <c r="Q1075">
        <v>0.57999999999999996</v>
      </c>
      <c r="R1075">
        <v>0.54</v>
      </c>
    </row>
    <row r="1076" spans="1:19" x14ac:dyDescent="0.2">
      <c r="A1076" t="s">
        <v>1971</v>
      </c>
      <c r="B1076" t="s">
        <v>1973</v>
      </c>
      <c r="C1076">
        <v>2018</v>
      </c>
      <c r="D1076">
        <v>0</v>
      </c>
      <c r="E1076" t="s">
        <v>55</v>
      </c>
      <c r="F1076" t="s">
        <v>128</v>
      </c>
      <c r="G1076" t="s">
        <v>129</v>
      </c>
      <c r="H1076">
        <v>2</v>
      </c>
      <c r="I1076">
        <v>20.523</v>
      </c>
      <c r="J1076">
        <v>70</v>
      </c>
      <c r="M1076">
        <v>1.8</v>
      </c>
      <c r="O1076">
        <v>0.161</v>
      </c>
      <c r="Q1076">
        <v>0.57999999999999996</v>
      </c>
      <c r="R1076">
        <v>0.54</v>
      </c>
    </row>
    <row r="1077" spans="1:19" x14ac:dyDescent="0.2">
      <c r="A1077" t="s">
        <v>1974</v>
      </c>
      <c r="B1077" t="s">
        <v>1975</v>
      </c>
      <c r="C1077">
        <v>2018</v>
      </c>
      <c r="D1077">
        <v>0</v>
      </c>
      <c r="E1077" t="s">
        <v>55</v>
      </c>
      <c r="F1077" t="s">
        <v>128</v>
      </c>
      <c r="G1077" t="s">
        <v>129</v>
      </c>
      <c r="H1077">
        <v>1</v>
      </c>
      <c r="I1077">
        <v>26.819900000000001</v>
      </c>
      <c r="J1077">
        <v>149.6</v>
      </c>
      <c r="M1077">
        <v>2.5499999999999998</v>
      </c>
      <c r="O1077">
        <v>0.22700000000000001</v>
      </c>
      <c r="Q1077">
        <v>0.71</v>
      </c>
      <c r="R1077">
        <v>0.75</v>
      </c>
    </row>
    <row r="1078" spans="1:19" x14ac:dyDescent="0.2">
      <c r="A1078" t="s">
        <v>1976</v>
      </c>
      <c r="B1078" t="s">
        <v>1977</v>
      </c>
      <c r="C1078">
        <v>2018</v>
      </c>
      <c r="D1078">
        <v>0</v>
      </c>
      <c r="E1078" t="s">
        <v>55</v>
      </c>
      <c r="F1078" t="s">
        <v>128</v>
      </c>
      <c r="G1078" t="s">
        <v>129</v>
      </c>
      <c r="H1078">
        <v>1</v>
      </c>
      <c r="I1078">
        <v>6.51389</v>
      </c>
      <c r="J1078">
        <v>109.6</v>
      </c>
      <c r="M1078">
        <v>2.54</v>
      </c>
      <c r="O1078">
        <v>0.22700000000000001</v>
      </c>
      <c r="Q1078">
        <v>0.38</v>
      </c>
      <c r="R1078">
        <v>0.37</v>
      </c>
    </row>
    <row r="1079" spans="1:19" x14ac:dyDescent="0.2">
      <c r="A1079" t="s">
        <v>1978</v>
      </c>
      <c r="B1079" t="s">
        <v>1979</v>
      </c>
      <c r="C1079">
        <v>2018</v>
      </c>
      <c r="D1079">
        <v>0</v>
      </c>
      <c r="E1079" t="s">
        <v>55</v>
      </c>
      <c r="F1079" t="s">
        <v>128</v>
      </c>
      <c r="G1079" t="s">
        <v>129</v>
      </c>
      <c r="H1079">
        <v>2</v>
      </c>
      <c r="I1079">
        <v>11.54182</v>
      </c>
      <c r="J1079">
        <v>269.2</v>
      </c>
      <c r="M1079">
        <v>2.17</v>
      </c>
      <c r="O1079">
        <v>0.19400000000000001</v>
      </c>
      <c r="Q1079">
        <v>1.29</v>
      </c>
      <c r="R1079">
        <v>1.39</v>
      </c>
    </row>
    <row r="1080" spans="1:19" x14ac:dyDescent="0.2">
      <c r="A1080" t="s">
        <v>1978</v>
      </c>
      <c r="B1080" t="s">
        <v>1980</v>
      </c>
      <c r="C1080">
        <v>2018</v>
      </c>
      <c r="D1080">
        <v>0</v>
      </c>
      <c r="E1080" t="s">
        <v>55</v>
      </c>
      <c r="F1080" t="s">
        <v>128</v>
      </c>
      <c r="G1080" t="s">
        <v>129</v>
      </c>
      <c r="H1080">
        <v>2</v>
      </c>
      <c r="I1080">
        <v>24.945979999999999</v>
      </c>
      <c r="J1080">
        <v>269.2</v>
      </c>
      <c r="M1080">
        <v>2.0099999999999998</v>
      </c>
      <c r="O1080">
        <v>0.17899999999999999</v>
      </c>
      <c r="Q1080">
        <v>1.29</v>
      </c>
      <c r="R1080">
        <v>1.39</v>
      </c>
    </row>
    <row r="1081" spans="1:19" x14ac:dyDescent="0.2">
      <c r="A1081" t="s">
        <v>1981</v>
      </c>
      <c r="B1081" t="s">
        <v>1982</v>
      </c>
      <c r="C1081">
        <v>2018</v>
      </c>
      <c r="D1081">
        <v>0</v>
      </c>
      <c r="E1081" t="s">
        <v>55</v>
      </c>
      <c r="F1081" t="s">
        <v>128</v>
      </c>
      <c r="G1081" t="s">
        <v>129</v>
      </c>
      <c r="H1081">
        <v>1</v>
      </c>
      <c r="I1081">
        <v>21.068840000000002</v>
      </c>
      <c r="J1081">
        <v>214</v>
      </c>
      <c r="M1081">
        <v>1.75</v>
      </c>
      <c r="O1081">
        <v>0.156</v>
      </c>
      <c r="Q1081">
        <v>0.86</v>
      </c>
      <c r="R1081">
        <v>0.92</v>
      </c>
    </row>
    <row r="1082" spans="1:19" x14ac:dyDescent="0.2">
      <c r="A1082" t="s">
        <v>1983</v>
      </c>
      <c r="B1082" t="s">
        <v>1984</v>
      </c>
      <c r="C1082">
        <v>2018</v>
      </c>
      <c r="D1082">
        <v>0</v>
      </c>
      <c r="E1082" t="s">
        <v>55</v>
      </c>
      <c r="F1082" t="s">
        <v>128</v>
      </c>
      <c r="G1082" t="s">
        <v>129</v>
      </c>
      <c r="H1082">
        <v>1</v>
      </c>
      <c r="I1082">
        <v>11.89307</v>
      </c>
      <c r="J1082">
        <v>463.4</v>
      </c>
      <c r="M1082">
        <v>4.34</v>
      </c>
      <c r="O1082">
        <v>0.38700000000000001</v>
      </c>
      <c r="Q1082">
        <v>0.83</v>
      </c>
      <c r="R1082">
        <v>1.25</v>
      </c>
    </row>
    <row r="1083" spans="1:19" x14ac:dyDescent="0.2">
      <c r="A1083" t="s">
        <v>1985</v>
      </c>
      <c r="B1083" t="s">
        <v>1986</v>
      </c>
      <c r="C1083">
        <v>2018</v>
      </c>
      <c r="D1083">
        <v>0</v>
      </c>
      <c r="E1083" t="s">
        <v>55</v>
      </c>
      <c r="F1083" t="s">
        <v>128</v>
      </c>
      <c r="G1083" t="s">
        <v>129</v>
      </c>
      <c r="H1083">
        <v>1</v>
      </c>
      <c r="I1083">
        <v>5.7691800000000004</v>
      </c>
      <c r="J1083">
        <v>723.1</v>
      </c>
      <c r="M1083">
        <v>3.49</v>
      </c>
      <c r="O1083">
        <v>0.311</v>
      </c>
      <c r="Q1083">
        <v>0.87</v>
      </c>
      <c r="R1083">
        <v>0.94</v>
      </c>
    </row>
    <row r="1084" spans="1:19" x14ac:dyDescent="0.2">
      <c r="A1084" t="s">
        <v>1987</v>
      </c>
      <c r="B1084" t="s">
        <v>1988</v>
      </c>
      <c r="C1084">
        <v>2018</v>
      </c>
      <c r="D1084">
        <v>0</v>
      </c>
      <c r="E1084" t="s">
        <v>55</v>
      </c>
      <c r="F1084" t="s">
        <v>128</v>
      </c>
      <c r="G1084" t="s">
        <v>129</v>
      </c>
      <c r="H1084">
        <v>2</v>
      </c>
      <c r="I1084">
        <v>2.25021</v>
      </c>
      <c r="J1084">
        <v>260.2</v>
      </c>
      <c r="M1084">
        <v>2.12</v>
      </c>
      <c r="O1084">
        <v>0.189</v>
      </c>
      <c r="Q1084">
        <v>0.74</v>
      </c>
      <c r="R1084">
        <v>0.69</v>
      </c>
    </row>
    <row r="1085" spans="1:19" x14ac:dyDescent="0.2">
      <c r="A1085" t="s">
        <v>1987</v>
      </c>
      <c r="B1085" t="s">
        <v>1989</v>
      </c>
      <c r="C1085">
        <v>2018</v>
      </c>
      <c r="D1085">
        <v>0</v>
      </c>
      <c r="E1085" t="s">
        <v>55</v>
      </c>
      <c r="F1085" t="s">
        <v>128</v>
      </c>
      <c r="G1085" t="s">
        <v>129</v>
      </c>
      <c r="H1085">
        <v>2</v>
      </c>
      <c r="I1085">
        <v>6.4942399999999996</v>
      </c>
      <c r="J1085">
        <v>260.2</v>
      </c>
      <c r="M1085">
        <v>2.19</v>
      </c>
      <c r="O1085">
        <v>0.19500000000000001</v>
      </c>
      <c r="Q1085">
        <v>0.74</v>
      </c>
      <c r="R1085">
        <v>0.69</v>
      </c>
    </row>
    <row r="1086" spans="1:19" x14ac:dyDescent="0.2">
      <c r="A1086" t="s">
        <v>1990</v>
      </c>
      <c r="B1086" t="s">
        <v>1991</v>
      </c>
      <c r="C1086">
        <v>2018</v>
      </c>
      <c r="D1086">
        <v>0</v>
      </c>
      <c r="E1086" t="s">
        <v>55</v>
      </c>
      <c r="F1086" t="s">
        <v>128</v>
      </c>
      <c r="G1086" t="s">
        <v>129</v>
      </c>
      <c r="H1086">
        <v>1</v>
      </c>
      <c r="I1086">
        <v>7.1725599999999998</v>
      </c>
      <c r="J1086">
        <v>410.5</v>
      </c>
      <c r="M1086">
        <v>2.57</v>
      </c>
      <c r="O1086">
        <v>0.22900000000000001</v>
      </c>
      <c r="Q1086">
        <v>0.88</v>
      </c>
      <c r="R1086">
        <v>0.92</v>
      </c>
    </row>
    <row r="1087" spans="1:19" x14ac:dyDescent="0.2">
      <c r="A1087" t="s">
        <v>1992</v>
      </c>
      <c r="B1087" t="s">
        <v>1993</v>
      </c>
      <c r="C1087">
        <v>2018</v>
      </c>
      <c r="D1087">
        <v>0</v>
      </c>
      <c r="E1087" t="s">
        <v>55</v>
      </c>
      <c r="F1087" t="s">
        <v>128</v>
      </c>
      <c r="G1087" t="s">
        <v>129</v>
      </c>
      <c r="H1087">
        <v>1</v>
      </c>
      <c r="I1087">
        <v>12.409000000000001</v>
      </c>
      <c r="J1087">
        <v>528.29999999999995</v>
      </c>
      <c r="M1087">
        <v>2.79</v>
      </c>
      <c r="O1087">
        <v>0.249</v>
      </c>
      <c r="Q1087">
        <v>1.32</v>
      </c>
      <c r="R1087">
        <v>1.57</v>
      </c>
    </row>
    <row r="1088" spans="1:19" x14ac:dyDescent="0.2">
      <c r="A1088" t="s">
        <v>1994</v>
      </c>
      <c r="B1088" t="s">
        <v>1995</v>
      </c>
      <c r="C1088">
        <v>2015</v>
      </c>
      <c r="D1088">
        <v>0</v>
      </c>
      <c r="E1088" t="s">
        <v>55</v>
      </c>
      <c r="F1088" t="s">
        <v>128</v>
      </c>
      <c r="G1088" t="s">
        <v>129</v>
      </c>
      <c r="H1088">
        <v>1</v>
      </c>
      <c r="I1088">
        <v>3.4845519999999999</v>
      </c>
      <c r="J1088">
        <v>45.01</v>
      </c>
      <c r="M1088">
        <v>3.43</v>
      </c>
      <c r="O1088">
        <v>0.30599999999999999</v>
      </c>
      <c r="Q1088">
        <v>0.28999999999999998</v>
      </c>
      <c r="R1088">
        <v>0.28999999999999998</v>
      </c>
      <c r="S1088">
        <v>15.9</v>
      </c>
    </row>
    <row r="1089" spans="1:19" x14ac:dyDescent="0.2">
      <c r="A1089" t="s">
        <v>1996</v>
      </c>
      <c r="B1089" t="s">
        <v>1997</v>
      </c>
      <c r="C1089">
        <v>2018</v>
      </c>
      <c r="D1089">
        <v>0</v>
      </c>
      <c r="E1089" t="s">
        <v>55</v>
      </c>
      <c r="F1089" t="s">
        <v>128</v>
      </c>
      <c r="G1089" t="s">
        <v>129</v>
      </c>
      <c r="H1089">
        <v>1</v>
      </c>
      <c r="I1089">
        <v>4.01457</v>
      </c>
      <c r="J1089">
        <v>417.6</v>
      </c>
      <c r="M1089">
        <v>2.44</v>
      </c>
      <c r="O1089">
        <v>0.218</v>
      </c>
      <c r="Q1089">
        <v>0.8</v>
      </c>
      <c r="R1089">
        <v>0.81</v>
      </c>
    </row>
    <row r="1090" spans="1:19" x14ac:dyDescent="0.2">
      <c r="A1090" t="s">
        <v>1998</v>
      </c>
      <c r="B1090" t="s">
        <v>1999</v>
      </c>
      <c r="C1090">
        <v>2018</v>
      </c>
      <c r="D1090">
        <v>0</v>
      </c>
      <c r="E1090" t="s">
        <v>55</v>
      </c>
      <c r="F1090" t="s">
        <v>128</v>
      </c>
      <c r="G1090" t="s">
        <v>129</v>
      </c>
      <c r="H1090">
        <v>1</v>
      </c>
      <c r="I1090">
        <v>9.3007500000000007</v>
      </c>
      <c r="J1090">
        <v>147.69999999999999</v>
      </c>
      <c r="M1090">
        <v>2.35</v>
      </c>
      <c r="O1090">
        <v>0.21</v>
      </c>
      <c r="Q1090">
        <v>0.52</v>
      </c>
      <c r="R1090">
        <v>0.49</v>
      </c>
    </row>
    <row r="1091" spans="1:19" x14ac:dyDescent="0.2">
      <c r="A1091" t="s">
        <v>2000</v>
      </c>
      <c r="B1091" t="s">
        <v>2001</v>
      </c>
      <c r="C1091">
        <v>2018</v>
      </c>
      <c r="D1091">
        <v>0</v>
      </c>
      <c r="E1091" t="s">
        <v>55</v>
      </c>
      <c r="F1091" t="s">
        <v>128</v>
      </c>
      <c r="G1091" t="s">
        <v>129</v>
      </c>
      <c r="H1091">
        <v>1</v>
      </c>
      <c r="I1091">
        <v>13.81513</v>
      </c>
      <c r="J1091">
        <v>229.9</v>
      </c>
      <c r="M1091">
        <v>1.74</v>
      </c>
      <c r="O1091">
        <v>0.155</v>
      </c>
      <c r="Q1091">
        <v>0.79</v>
      </c>
      <c r="R1091">
        <v>0.82</v>
      </c>
    </row>
    <row r="1092" spans="1:19" x14ac:dyDescent="0.2">
      <c r="A1092" t="s">
        <v>2002</v>
      </c>
      <c r="B1092" t="s">
        <v>2003</v>
      </c>
      <c r="C1092">
        <v>2018</v>
      </c>
      <c r="D1092">
        <v>0</v>
      </c>
      <c r="E1092" t="s">
        <v>55</v>
      </c>
      <c r="F1092" t="s">
        <v>128</v>
      </c>
      <c r="G1092" t="s">
        <v>129</v>
      </c>
      <c r="H1092">
        <v>1</v>
      </c>
      <c r="I1092">
        <v>4.0016699999999998</v>
      </c>
      <c r="J1092">
        <v>901.8</v>
      </c>
      <c r="M1092">
        <v>12.67</v>
      </c>
      <c r="O1092">
        <v>1.1299999999999999</v>
      </c>
      <c r="Q1092">
        <v>1.08</v>
      </c>
      <c r="R1092">
        <v>1.1000000000000001</v>
      </c>
    </row>
    <row r="1093" spans="1:19" x14ac:dyDescent="0.2">
      <c r="A1093" t="s">
        <v>2004</v>
      </c>
      <c r="B1093" t="s">
        <v>2005</v>
      </c>
      <c r="C1093">
        <v>2018</v>
      </c>
      <c r="D1093">
        <v>0</v>
      </c>
      <c r="E1093" t="s">
        <v>55</v>
      </c>
      <c r="F1093" t="s">
        <v>128</v>
      </c>
      <c r="G1093" t="s">
        <v>129</v>
      </c>
      <c r="H1093">
        <v>2</v>
      </c>
      <c r="I1093">
        <v>4.0963900000000004</v>
      </c>
      <c r="J1093">
        <v>229.4</v>
      </c>
      <c r="M1093">
        <v>1.63</v>
      </c>
      <c r="O1093">
        <v>0.14499999999999999</v>
      </c>
      <c r="Q1093">
        <v>0.71</v>
      </c>
      <c r="R1093">
        <v>0.67</v>
      </c>
    </row>
    <row r="1094" spans="1:19" x14ac:dyDescent="0.2">
      <c r="A1094" t="s">
        <v>2004</v>
      </c>
      <c r="B1094" t="s">
        <v>2006</v>
      </c>
      <c r="C1094">
        <v>2018</v>
      </c>
      <c r="D1094">
        <v>0</v>
      </c>
      <c r="E1094" t="s">
        <v>55</v>
      </c>
      <c r="F1094" t="s">
        <v>128</v>
      </c>
      <c r="G1094" t="s">
        <v>129</v>
      </c>
      <c r="H1094">
        <v>2</v>
      </c>
      <c r="I1094">
        <v>12.11839</v>
      </c>
      <c r="J1094">
        <v>229.4</v>
      </c>
      <c r="M1094">
        <v>2.19</v>
      </c>
      <c r="O1094">
        <v>0.19500000000000001</v>
      </c>
      <c r="Q1094">
        <v>0.71</v>
      </c>
      <c r="R1094">
        <v>0.67</v>
      </c>
    </row>
    <row r="1095" spans="1:19" x14ac:dyDescent="0.2">
      <c r="A1095" t="s">
        <v>2007</v>
      </c>
      <c r="B1095" t="s">
        <v>2008</v>
      </c>
      <c r="C1095">
        <v>2018</v>
      </c>
      <c r="D1095">
        <v>0</v>
      </c>
      <c r="E1095" t="s">
        <v>55</v>
      </c>
      <c r="F1095" t="s">
        <v>128</v>
      </c>
      <c r="G1095" t="s">
        <v>129</v>
      </c>
      <c r="H1095">
        <v>1</v>
      </c>
      <c r="I1095">
        <v>1.96417</v>
      </c>
      <c r="J1095">
        <v>192.4</v>
      </c>
      <c r="M1095">
        <v>2.9</v>
      </c>
      <c r="O1095">
        <v>0.25900000000000001</v>
      </c>
      <c r="Q1095">
        <v>0.71</v>
      </c>
      <c r="R1095">
        <v>0.69</v>
      </c>
    </row>
    <row r="1096" spans="1:19" x14ac:dyDescent="0.2">
      <c r="A1096" t="s">
        <v>2009</v>
      </c>
      <c r="B1096" t="s">
        <v>2010</v>
      </c>
      <c r="C1096">
        <v>2018</v>
      </c>
      <c r="D1096">
        <v>0</v>
      </c>
      <c r="E1096" t="s">
        <v>55</v>
      </c>
      <c r="F1096" t="s">
        <v>128</v>
      </c>
      <c r="G1096" t="s">
        <v>129</v>
      </c>
      <c r="H1096">
        <v>1</v>
      </c>
      <c r="I1096">
        <v>5.5201099999999999</v>
      </c>
      <c r="J1096">
        <v>580.5</v>
      </c>
      <c r="M1096">
        <v>2.63</v>
      </c>
      <c r="O1096">
        <v>0.23499999999999999</v>
      </c>
      <c r="Q1096">
        <v>0.84</v>
      </c>
      <c r="R1096">
        <v>0.78</v>
      </c>
    </row>
    <row r="1097" spans="1:19" x14ac:dyDescent="0.2">
      <c r="A1097" t="s">
        <v>2011</v>
      </c>
      <c r="B1097" t="s">
        <v>2012</v>
      </c>
      <c r="C1097">
        <v>2018</v>
      </c>
      <c r="D1097">
        <v>0</v>
      </c>
      <c r="E1097" t="s">
        <v>55</v>
      </c>
      <c r="F1097" t="s">
        <v>128</v>
      </c>
      <c r="G1097" t="s">
        <v>129</v>
      </c>
      <c r="H1097">
        <v>1</v>
      </c>
      <c r="I1097">
        <v>1.60588</v>
      </c>
      <c r="J1097">
        <v>64.099999999999994</v>
      </c>
      <c r="M1097">
        <v>0.83</v>
      </c>
      <c r="O1097">
        <v>7.3999999999999996E-2</v>
      </c>
      <c r="Q1097">
        <v>0.52</v>
      </c>
      <c r="R1097">
        <v>0.5</v>
      </c>
    </row>
    <row r="1098" spans="1:19" x14ac:dyDescent="0.2">
      <c r="A1098" t="s">
        <v>2013</v>
      </c>
      <c r="B1098" t="s">
        <v>2014</v>
      </c>
      <c r="C1098">
        <v>2018</v>
      </c>
      <c r="D1098">
        <v>0</v>
      </c>
      <c r="E1098" t="s">
        <v>55</v>
      </c>
      <c r="F1098" t="s">
        <v>128</v>
      </c>
      <c r="G1098" t="s">
        <v>129</v>
      </c>
      <c r="H1098">
        <v>1</v>
      </c>
      <c r="I1098">
        <v>19.092099999999999</v>
      </c>
      <c r="J1098">
        <v>675.2</v>
      </c>
      <c r="M1098">
        <v>3</v>
      </c>
      <c r="O1098">
        <v>0.26800000000000002</v>
      </c>
      <c r="Q1098">
        <v>1.21</v>
      </c>
      <c r="R1098">
        <v>1.31</v>
      </c>
    </row>
    <row r="1099" spans="1:19" x14ac:dyDescent="0.2">
      <c r="A1099" t="s">
        <v>2015</v>
      </c>
      <c r="B1099" t="s">
        <v>2016</v>
      </c>
      <c r="C1099">
        <v>2018</v>
      </c>
      <c r="D1099">
        <v>0</v>
      </c>
      <c r="E1099" t="s">
        <v>55</v>
      </c>
      <c r="F1099" t="s">
        <v>128</v>
      </c>
      <c r="G1099" t="s">
        <v>129</v>
      </c>
      <c r="H1099">
        <v>1</v>
      </c>
      <c r="I1099">
        <v>15.48043</v>
      </c>
      <c r="J1099">
        <v>422.1</v>
      </c>
      <c r="M1099">
        <v>2.3199999999999998</v>
      </c>
      <c r="O1099">
        <v>0.20699999999999999</v>
      </c>
      <c r="Q1099">
        <v>1.1399999999999999</v>
      </c>
      <c r="R1099">
        <v>1.1299999999999999</v>
      </c>
    </row>
    <row r="1100" spans="1:19" x14ac:dyDescent="0.2">
      <c r="A1100" t="s">
        <v>2017</v>
      </c>
      <c r="B1100" t="s">
        <v>2018</v>
      </c>
      <c r="C1100">
        <v>2016</v>
      </c>
      <c r="D1100">
        <v>0</v>
      </c>
      <c r="E1100" t="s">
        <v>55</v>
      </c>
      <c r="F1100" t="s">
        <v>128</v>
      </c>
      <c r="G1100" t="s">
        <v>129</v>
      </c>
      <c r="H1100">
        <v>1</v>
      </c>
      <c r="I1100">
        <v>14.5665</v>
      </c>
      <c r="J1100">
        <v>99.33</v>
      </c>
      <c r="K1100">
        <v>1</v>
      </c>
      <c r="M1100">
        <v>2.67</v>
      </c>
      <c r="O1100">
        <v>0.23799999999999999</v>
      </c>
      <c r="Q1100">
        <v>0.56000000000000005</v>
      </c>
      <c r="R1100">
        <v>0.52</v>
      </c>
      <c r="S1100">
        <v>3.92</v>
      </c>
    </row>
    <row r="1101" spans="1:19" x14ac:dyDescent="0.2">
      <c r="A1101" t="s">
        <v>2019</v>
      </c>
      <c r="B1101" t="s">
        <v>2020</v>
      </c>
      <c r="C1101">
        <v>2018</v>
      </c>
      <c r="D1101">
        <v>0</v>
      </c>
      <c r="E1101" t="s">
        <v>55</v>
      </c>
      <c r="F1101" t="s">
        <v>128</v>
      </c>
      <c r="G1101" t="s">
        <v>129</v>
      </c>
      <c r="H1101">
        <v>1</v>
      </c>
      <c r="I1101">
        <v>2.6266657000000002</v>
      </c>
      <c r="J1101">
        <v>676.32</v>
      </c>
      <c r="K1101">
        <v>1.9</v>
      </c>
      <c r="L1101">
        <v>451.3186</v>
      </c>
      <c r="M1101">
        <v>17.396000000000001</v>
      </c>
      <c r="N1101">
        <v>1.42</v>
      </c>
      <c r="O1101">
        <v>1.552</v>
      </c>
      <c r="P1101">
        <v>0.5</v>
      </c>
      <c r="Q1101">
        <v>1.39</v>
      </c>
      <c r="R1101">
        <v>1.69</v>
      </c>
      <c r="S1101">
        <v>0.40050000000000002</v>
      </c>
    </row>
    <row r="1102" spans="1:19" x14ac:dyDescent="0.2">
      <c r="A1102" t="s">
        <v>2021</v>
      </c>
      <c r="B1102" t="s">
        <v>2022</v>
      </c>
      <c r="C1102">
        <v>2018</v>
      </c>
      <c r="D1102">
        <v>0</v>
      </c>
      <c r="E1102" t="s">
        <v>55</v>
      </c>
      <c r="F1102" t="s">
        <v>128</v>
      </c>
      <c r="G1102" t="s">
        <v>129</v>
      </c>
      <c r="H1102">
        <v>1</v>
      </c>
      <c r="I1102">
        <v>11.63344</v>
      </c>
      <c r="J1102">
        <v>214.58</v>
      </c>
      <c r="K1102">
        <v>8.8000000000000007</v>
      </c>
      <c r="L1102">
        <v>70.876090000000005</v>
      </c>
      <c r="M1102">
        <v>9.5280000000000005</v>
      </c>
      <c r="N1102">
        <v>0.223</v>
      </c>
      <c r="O1102">
        <v>0.85</v>
      </c>
      <c r="P1102">
        <v>0.48299999999999998</v>
      </c>
      <c r="Q1102">
        <v>1.1000000000000001</v>
      </c>
      <c r="R1102">
        <v>1.65</v>
      </c>
      <c r="S1102">
        <v>0.35</v>
      </c>
    </row>
    <row r="1103" spans="1:19" x14ac:dyDescent="0.2">
      <c r="A1103" t="s">
        <v>2023</v>
      </c>
      <c r="B1103" t="s">
        <v>2024</v>
      </c>
      <c r="C1103">
        <v>2018</v>
      </c>
      <c r="D1103">
        <v>0</v>
      </c>
      <c r="E1103" t="s">
        <v>55</v>
      </c>
      <c r="F1103" t="s">
        <v>128</v>
      </c>
      <c r="G1103" t="s">
        <v>129</v>
      </c>
      <c r="H1103">
        <v>1</v>
      </c>
      <c r="I1103">
        <v>50.818947000000001</v>
      </c>
      <c r="J1103">
        <v>163.22999999999999</v>
      </c>
      <c r="K1103">
        <v>7</v>
      </c>
      <c r="L1103">
        <v>14.8</v>
      </c>
      <c r="M1103">
        <v>2.41</v>
      </c>
      <c r="N1103">
        <v>4.657E-2</v>
      </c>
      <c r="O1103">
        <v>0.215</v>
      </c>
      <c r="P1103">
        <v>5.7</v>
      </c>
      <c r="Q1103">
        <v>0.88</v>
      </c>
      <c r="R1103">
        <v>0.85</v>
      </c>
      <c r="S1103">
        <v>2.02</v>
      </c>
    </row>
    <row r="1104" spans="1:19" x14ac:dyDescent="0.2">
      <c r="A1104" t="s">
        <v>2025</v>
      </c>
      <c r="B1104" t="s">
        <v>2026</v>
      </c>
      <c r="C1104">
        <v>2018</v>
      </c>
      <c r="D1104">
        <v>0</v>
      </c>
      <c r="E1104" t="s">
        <v>55</v>
      </c>
      <c r="F1104" t="s">
        <v>128</v>
      </c>
      <c r="G1104" t="s">
        <v>129</v>
      </c>
      <c r="H1104">
        <v>2</v>
      </c>
      <c r="I1104">
        <v>5.8400020000000001</v>
      </c>
      <c r="J1104">
        <v>187</v>
      </c>
      <c r="M1104">
        <v>2.2309999999999999</v>
      </c>
      <c r="O1104">
        <v>0.19900000000000001</v>
      </c>
      <c r="Q1104">
        <v>0.5</v>
      </c>
      <c r="R1104">
        <v>0.47</v>
      </c>
      <c r="S1104">
        <v>6.61</v>
      </c>
    </row>
    <row r="1105" spans="1:19" x14ac:dyDescent="0.2">
      <c r="A1105" t="s">
        <v>2025</v>
      </c>
      <c r="B1105" t="s">
        <v>2027</v>
      </c>
      <c r="C1105">
        <v>2018</v>
      </c>
      <c r="D1105">
        <v>0</v>
      </c>
      <c r="E1105" t="s">
        <v>55</v>
      </c>
      <c r="F1105" t="s">
        <v>128</v>
      </c>
      <c r="G1105" t="s">
        <v>129</v>
      </c>
      <c r="H1105">
        <v>2</v>
      </c>
      <c r="I1105">
        <v>19.660302000000001</v>
      </c>
      <c r="J1105">
        <v>187</v>
      </c>
      <c r="M1105">
        <v>2.6680000000000001</v>
      </c>
      <c r="O1105">
        <v>0.23799999999999999</v>
      </c>
      <c r="Q1105">
        <v>0.5</v>
      </c>
      <c r="R1105">
        <v>0.47</v>
      </c>
      <c r="S1105">
        <v>6.61</v>
      </c>
    </row>
    <row r="1106" spans="1:19" x14ac:dyDescent="0.2">
      <c r="A1106" t="s">
        <v>2028</v>
      </c>
      <c r="B1106" t="s">
        <v>2029</v>
      </c>
      <c r="C1106">
        <v>2018</v>
      </c>
      <c r="D1106">
        <v>0</v>
      </c>
      <c r="E1106" t="s">
        <v>55</v>
      </c>
      <c r="F1106" t="s">
        <v>128</v>
      </c>
      <c r="G1106" t="s">
        <v>129</v>
      </c>
      <c r="H1106">
        <v>1</v>
      </c>
      <c r="I1106">
        <v>2.3691719999999998</v>
      </c>
      <c r="J1106">
        <v>139.22</v>
      </c>
      <c r="K1106">
        <v>9.6999999999999993</v>
      </c>
      <c r="L1106">
        <v>6.54</v>
      </c>
      <c r="M1106">
        <v>1.71</v>
      </c>
      <c r="N1106">
        <v>2.0580000000000001E-2</v>
      </c>
      <c r="O1106">
        <v>0.153</v>
      </c>
      <c r="P1106">
        <v>7.1</v>
      </c>
      <c r="Q1106">
        <v>0.92</v>
      </c>
      <c r="R1106">
        <v>0.98</v>
      </c>
      <c r="S1106">
        <v>0.98</v>
      </c>
    </row>
    <row r="1107" spans="1:19" x14ac:dyDescent="0.2">
      <c r="A1107" t="s">
        <v>2030</v>
      </c>
      <c r="B1107" t="s">
        <v>2031</v>
      </c>
      <c r="C1107">
        <v>2018</v>
      </c>
      <c r="D1107">
        <v>0</v>
      </c>
      <c r="E1107" t="s">
        <v>55</v>
      </c>
      <c r="F1107" t="s">
        <v>128</v>
      </c>
      <c r="G1107" t="s">
        <v>129</v>
      </c>
      <c r="H1107">
        <v>4</v>
      </c>
      <c r="I1107">
        <v>0.658524</v>
      </c>
      <c r="J1107">
        <v>77.16</v>
      </c>
      <c r="L1107">
        <v>11.3</v>
      </c>
      <c r="M1107">
        <v>3.3</v>
      </c>
      <c r="N1107">
        <v>3.5549999999999998E-2</v>
      </c>
      <c r="O1107">
        <v>0.29399999999999998</v>
      </c>
      <c r="P1107">
        <v>1.77</v>
      </c>
      <c r="Q1107">
        <v>0.69</v>
      </c>
      <c r="R1107">
        <v>0.7</v>
      </c>
      <c r="S1107">
        <v>2.79</v>
      </c>
    </row>
    <row r="1108" spans="1:19" x14ac:dyDescent="0.2">
      <c r="A1108" t="s">
        <v>2030</v>
      </c>
      <c r="B1108" t="s">
        <v>2032</v>
      </c>
      <c r="C1108">
        <v>2018</v>
      </c>
      <c r="D1108">
        <v>0</v>
      </c>
      <c r="E1108" t="s">
        <v>55</v>
      </c>
      <c r="F1108" t="s">
        <v>128</v>
      </c>
      <c r="G1108" t="s">
        <v>129</v>
      </c>
      <c r="H1108">
        <v>4</v>
      </c>
      <c r="I1108">
        <v>7.8140000000000001</v>
      </c>
      <c r="J1108">
        <v>77.16</v>
      </c>
      <c r="L1108">
        <v>0.28999999999999998</v>
      </c>
      <c r="M1108">
        <v>0.70499999999999996</v>
      </c>
      <c r="N1108">
        <v>9.1E-4</v>
      </c>
      <c r="O1108">
        <v>6.3E-2</v>
      </c>
      <c r="P1108">
        <v>4.51</v>
      </c>
      <c r="Q1108">
        <v>0.69</v>
      </c>
      <c r="R1108">
        <v>0.7</v>
      </c>
      <c r="S1108">
        <v>2.79</v>
      </c>
    </row>
    <row r="1109" spans="1:19" x14ac:dyDescent="0.2">
      <c r="A1109" t="s">
        <v>2030</v>
      </c>
      <c r="B1109" t="s">
        <v>2033</v>
      </c>
      <c r="C1109">
        <v>2018</v>
      </c>
      <c r="D1109">
        <v>0</v>
      </c>
      <c r="E1109" t="s">
        <v>55</v>
      </c>
      <c r="F1109" t="s">
        <v>128</v>
      </c>
      <c r="G1109" t="s">
        <v>129</v>
      </c>
      <c r="H1109">
        <v>4</v>
      </c>
      <c r="I1109">
        <v>14.696999999999999</v>
      </c>
      <c r="J1109">
        <v>77.16</v>
      </c>
      <c r="L1109">
        <v>9.4</v>
      </c>
      <c r="M1109">
        <v>2.93</v>
      </c>
      <c r="N1109">
        <v>2.9579999999999999E-2</v>
      </c>
      <c r="O1109">
        <v>0.26100000000000001</v>
      </c>
      <c r="P1109">
        <v>2.0299999999999998</v>
      </c>
      <c r="Q1109">
        <v>0.69</v>
      </c>
      <c r="R1109">
        <v>0.7</v>
      </c>
      <c r="S1109">
        <v>2.79</v>
      </c>
    </row>
    <row r="1110" spans="1:19" x14ac:dyDescent="0.2">
      <c r="A1110" t="s">
        <v>2030</v>
      </c>
      <c r="B1110" t="s">
        <v>2034</v>
      </c>
      <c r="C1110">
        <v>2018</v>
      </c>
      <c r="D1110">
        <v>0</v>
      </c>
      <c r="E1110" t="s">
        <v>55</v>
      </c>
      <c r="F1110" t="s">
        <v>128</v>
      </c>
      <c r="G1110" t="s">
        <v>129</v>
      </c>
      <c r="H1110">
        <v>4</v>
      </c>
      <c r="I1110">
        <v>19.481999999999999</v>
      </c>
      <c r="J1110">
        <v>77.16</v>
      </c>
      <c r="L1110">
        <v>8.3000000000000007</v>
      </c>
      <c r="M1110">
        <v>2.73</v>
      </c>
      <c r="N1110">
        <v>2.6110000000000001E-2</v>
      </c>
      <c r="O1110">
        <v>0.24399999999999999</v>
      </c>
      <c r="P1110">
        <v>2.21</v>
      </c>
      <c r="Q1110">
        <v>0.69</v>
      </c>
      <c r="R1110">
        <v>0.7</v>
      </c>
      <c r="S1110">
        <v>2.79</v>
      </c>
    </row>
    <row r="1111" spans="1:19" x14ac:dyDescent="0.2">
      <c r="A1111" t="s">
        <v>2035</v>
      </c>
      <c r="B1111" t="s">
        <v>2036</v>
      </c>
      <c r="C1111">
        <v>2018</v>
      </c>
      <c r="D1111">
        <v>0</v>
      </c>
      <c r="E1111" t="s">
        <v>55</v>
      </c>
      <c r="F1111" t="s">
        <v>128</v>
      </c>
      <c r="G1111" t="s">
        <v>129</v>
      </c>
      <c r="H1111">
        <v>2</v>
      </c>
      <c r="I1111">
        <v>2.151894</v>
      </c>
      <c r="J1111">
        <v>331.46</v>
      </c>
      <c r="M1111">
        <v>1.41</v>
      </c>
      <c r="O1111">
        <v>0.126</v>
      </c>
      <c r="Q1111">
        <v>0.84</v>
      </c>
      <c r="R1111">
        <v>0.78</v>
      </c>
    </row>
    <row r="1112" spans="1:19" x14ac:dyDescent="0.2">
      <c r="A1112" t="s">
        <v>2035</v>
      </c>
      <c r="B1112" t="s">
        <v>2037</v>
      </c>
      <c r="C1112">
        <v>2018</v>
      </c>
      <c r="D1112">
        <v>0</v>
      </c>
      <c r="E1112" t="s">
        <v>55</v>
      </c>
      <c r="F1112" t="s">
        <v>128</v>
      </c>
      <c r="G1112" t="s">
        <v>129</v>
      </c>
      <c r="H1112">
        <v>2</v>
      </c>
      <c r="I1112">
        <v>9.3268409999999999</v>
      </c>
      <c r="J1112">
        <v>331.46</v>
      </c>
      <c r="M1112">
        <v>2.69</v>
      </c>
      <c r="O1112">
        <v>0.24</v>
      </c>
      <c r="Q1112">
        <v>0.84</v>
      </c>
      <c r="R1112">
        <v>0.78</v>
      </c>
    </row>
    <row r="1113" spans="1:19" x14ac:dyDescent="0.2">
      <c r="A1113" t="s">
        <v>2038</v>
      </c>
      <c r="B1113" t="s">
        <v>2039</v>
      </c>
      <c r="C1113">
        <v>2018</v>
      </c>
      <c r="D1113">
        <v>0</v>
      </c>
      <c r="E1113" t="s">
        <v>55</v>
      </c>
      <c r="F1113" t="s">
        <v>128</v>
      </c>
      <c r="G1113" t="s">
        <v>129</v>
      </c>
      <c r="H1113">
        <v>1</v>
      </c>
      <c r="I1113">
        <v>4.144965</v>
      </c>
      <c r="J1113">
        <v>362.07</v>
      </c>
      <c r="M1113">
        <v>1.57</v>
      </c>
      <c r="O1113">
        <v>0.14000000000000001</v>
      </c>
      <c r="Q1113">
        <v>1.1599999999999999</v>
      </c>
      <c r="R1113">
        <v>1.45</v>
      </c>
      <c r="S1113">
        <v>1.1299999999999999</v>
      </c>
    </row>
    <row r="1114" spans="1:19" x14ac:dyDescent="0.2">
      <c r="A1114" t="s">
        <v>2040</v>
      </c>
      <c r="B1114" t="s">
        <v>2041</v>
      </c>
      <c r="C1114">
        <v>2016</v>
      </c>
      <c r="D1114">
        <v>0</v>
      </c>
      <c r="E1114" t="s">
        <v>55</v>
      </c>
      <c r="F1114" t="s">
        <v>128</v>
      </c>
      <c r="G1114" t="s">
        <v>129</v>
      </c>
      <c r="H1114">
        <v>1</v>
      </c>
      <c r="I1114">
        <v>6.7713150000000004</v>
      </c>
      <c r="J1114">
        <v>251.43</v>
      </c>
      <c r="K1114">
        <v>10.3</v>
      </c>
      <c r="L1114">
        <v>30.9</v>
      </c>
      <c r="M1114">
        <v>4.4800000000000004</v>
      </c>
      <c r="N1114">
        <v>9.7220000000000001E-2</v>
      </c>
      <c r="O1114">
        <v>0.4</v>
      </c>
      <c r="P1114">
        <v>1.87</v>
      </c>
      <c r="Q1114">
        <v>0.87</v>
      </c>
      <c r="R1114">
        <v>0.89</v>
      </c>
    </row>
    <row r="1115" spans="1:19" x14ac:dyDescent="0.2">
      <c r="A1115" t="s">
        <v>2042</v>
      </c>
      <c r="B1115" t="s">
        <v>2043</v>
      </c>
      <c r="C1115">
        <v>2018</v>
      </c>
      <c r="D1115">
        <v>0</v>
      </c>
      <c r="E1115" t="s">
        <v>55</v>
      </c>
      <c r="F1115" t="s">
        <v>128</v>
      </c>
      <c r="G1115" t="s">
        <v>129</v>
      </c>
      <c r="H1115">
        <v>2</v>
      </c>
      <c r="I1115">
        <v>1.543069</v>
      </c>
      <c r="J1115">
        <v>283.52999999999997</v>
      </c>
      <c r="M1115">
        <v>1.38</v>
      </c>
      <c r="O1115">
        <v>0.123</v>
      </c>
      <c r="Q1115">
        <v>0.85</v>
      </c>
      <c r="R1115">
        <v>0.77</v>
      </c>
    </row>
    <row r="1116" spans="1:19" x14ac:dyDescent="0.2">
      <c r="A1116" t="s">
        <v>2042</v>
      </c>
      <c r="B1116" t="s">
        <v>2044</v>
      </c>
      <c r="C1116">
        <v>2018</v>
      </c>
      <c r="D1116">
        <v>0</v>
      </c>
      <c r="E1116" t="s">
        <v>55</v>
      </c>
      <c r="F1116" t="s">
        <v>128</v>
      </c>
      <c r="G1116" t="s">
        <v>129</v>
      </c>
      <c r="H1116">
        <v>2</v>
      </c>
      <c r="I1116">
        <v>4.4000279999999998</v>
      </c>
      <c r="J1116">
        <v>283.52999999999997</v>
      </c>
      <c r="M1116">
        <v>2.95</v>
      </c>
      <c r="O1116">
        <v>0.26300000000000001</v>
      </c>
      <c r="Q1116">
        <v>0.85</v>
      </c>
      <c r="R1116">
        <v>0.77</v>
      </c>
    </row>
    <row r="1117" spans="1:19" x14ac:dyDescent="0.2">
      <c r="A1117" t="s">
        <v>2045</v>
      </c>
      <c r="B1117" t="s">
        <v>2046</v>
      </c>
      <c r="C1117">
        <v>2018</v>
      </c>
      <c r="D1117">
        <v>0</v>
      </c>
      <c r="E1117" t="s">
        <v>55</v>
      </c>
      <c r="F1117" t="s">
        <v>128</v>
      </c>
      <c r="G1117" t="s">
        <v>129</v>
      </c>
      <c r="H1117">
        <v>1</v>
      </c>
      <c r="I1117">
        <v>8.5624210000000005</v>
      </c>
      <c r="J1117">
        <v>571.47</v>
      </c>
      <c r="M1117">
        <v>7.28</v>
      </c>
      <c r="O1117">
        <v>0.64900000000000002</v>
      </c>
      <c r="Q1117">
        <v>0.83</v>
      </c>
      <c r="R1117">
        <v>0.99</v>
      </c>
      <c r="S1117">
        <v>2.2839999999999998</v>
      </c>
    </row>
    <row r="1118" spans="1:19" x14ac:dyDescent="0.2">
      <c r="A1118" t="s">
        <v>2047</v>
      </c>
      <c r="B1118" t="s">
        <v>2048</v>
      </c>
      <c r="C1118">
        <v>2018</v>
      </c>
      <c r="D1118">
        <v>0</v>
      </c>
      <c r="E1118" t="s">
        <v>55</v>
      </c>
      <c r="F1118" t="s">
        <v>128</v>
      </c>
      <c r="G1118" t="s">
        <v>129</v>
      </c>
      <c r="H1118">
        <v>1</v>
      </c>
      <c r="I1118">
        <v>14.453533</v>
      </c>
      <c r="J1118">
        <v>426.57</v>
      </c>
      <c r="M1118">
        <v>2.91</v>
      </c>
      <c r="O1118">
        <v>0.26</v>
      </c>
      <c r="Q1118">
        <v>0.81</v>
      </c>
      <c r="R1118">
        <v>0.81</v>
      </c>
      <c r="S1118">
        <v>2.577</v>
      </c>
    </row>
    <row r="1119" spans="1:19" x14ac:dyDescent="0.2">
      <c r="A1119" t="s">
        <v>2049</v>
      </c>
      <c r="B1119" t="s">
        <v>2050</v>
      </c>
      <c r="C1119">
        <v>2018</v>
      </c>
      <c r="D1119">
        <v>0</v>
      </c>
      <c r="E1119" t="s">
        <v>55</v>
      </c>
      <c r="F1119" t="s">
        <v>128</v>
      </c>
      <c r="G1119" t="s">
        <v>129</v>
      </c>
      <c r="H1119">
        <v>1</v>
      </c>
      <c r="I1119">
        <v>11.716332</v>
      </c>
      <c r="J1119">
        <v>310.60000000000002</v>
      </c>
      <c r="M1119">
        <v>4.42</v>
      </c>
      <c r="O1119">
        <v>0.39400000000000002</v>
      </c>
      <c r="Q1119">
        <v>0.9</v>
      </c>
      <c r="R1119">
        <v>0.84</v>
      </c>
      <c r="S1119">
        <v>3.6999999999999998E-2</v>
      </c>
    </row>
    <row r="1120" spans="1:19" x14ac:dyDescent="0.2">
      <c r="A1120" t="s">
        <v>2051</v>
      </c>
      <c r="B1120" t="s">
        <v>2052</v>
      </c>
      <c r="C1120">
        <v>2018</v>
      </c>
      <c r="D1120">
        <v>0</v>
      </c>
      <c r="E1120" t="s">
        <v>55</v>
      </c>
      <c r="F1120" t="s">
        <v>128</v>
      </c>
      <c r="G1120" t="s">
        <v>129</v>
      </c>
      <c r="H1120">
        <v>1</v>
      </c>
      <c r="I1120">
        <v>14.129714</v>
      </c>
      <c r="J1120">
        <v>232.82</v>
      </c>
      <c r="M1120">
        <v>2.2000000000000002</v>
      </c>
      <c r="O1120">
        <v>0.19600000000000001</v>
      </c>
      <c r="Q1120">
        <v>0.81</v>
      </c>
      <c r="R1120">
        <v>0.74</v>
      </c>
      <c r="S1120">
        <v>2.98</v>
      </c>
    </row>
    <row r="1121" spans="1:19" x14ac:dyDescent="0.2">
      <c r="A1121" t="s">
        <v>2053</v>
      </c>
      <c r="B1121" t="s">
        <v>2054</v>
      </c>
      <c r="C1121">
        <v>2018</v>
      </c>
      <c r="D1121">
        <v>0</v>
      </c>
      <c r="E1121" t="s">
        <v>55</v>
      </c>
      <c r="F1121" t="s">
        <v>128</v>
      </c>
      <c r="G1121" t="s">
        <v>129</v>
      </c>
      <c r="H1121">
        <v>2</v>
      </c>
      <c r="I1121">
        <v>3.280961</v>
      </c>
      <c r="J1121">
        <v>124.09</v>
      </c>
      <c r="M1121">
        <v>2.2400000000000002</v>
      </c>
      <c r="O1121">
        <v>0.2</v>
      </c>
      <c r="Q1121">
        <v>0.79</v>
      </c>
      <c r="R1121">
        <v>0.73</v>
      </c>
    </row>
    <row r="1122" spans="1:19" x14ac:dyDescent="0.2">
      <c r="A1122" t="s">
        <v>2053</v>
      </c>
      <c r="B1122" t="s">
        <v>2055</v>
      </c>
      <c r="C1122">
        <v>2018</v>
      </c>
      <c r="D1122">
        <v>0</v>
      </c>
      <c r="E1122" t="s">
        <v>55</v>
      </c>
      <c r="F1122" t="s">
        <v>128</v>
      </c>
      <c r="G1122" t="s">
        <v>129</v>
      </c>
      <c r="H1122">
        <v>2</v>
      </c>
      <c r="I1122">
        <v>8.4387559999999997</v>
      </c>
      <c r="J1122">
        <v>124.09</v>
      </c>
      <c r="M1122">
        <v>2.34</v>
      </c>
      <c r="O1122">
        <v>0.20899999999999999</v>
      </c>
      <c r="Q1122">
        <v>0.79</v>
      </c>
      <c r="R1122">
        <v>0.73</v>
      </c>
    </row>
    <row r="1123" spans="1:19" x14ac:dyDescent="0.2">
      <c r="A1123" t="s">
        <v>2056</v>
      </c>
      <c r="B1123" t="s">
        <v>2057</v>
      </c>
      <c r="C1123">
        <v>2018</v>
      </c>
      <c r="D1123">
        <v>0</v>
      </c>
      <c r="E1123" t="s">
        <v>55</v>
      </c>
      <c r="F1123" t="s">
        <v>128</v>
      </c>
      <c r="G1123" t="s">
        <v>129</v>
      </c>
      <c r="H1123">
        <v>1</v>
      </c>
      <c r="I1123">
        <v>18.718268999999999</v>
      </c>
      <c r="J1123">
        <v>489.88</v>
      </c>
      <c r="M1123">
        <v>3.77</v>
      </c>
      <c r="O1123">
        <v>0.33600000000000002</v>
      </c>
      <c r="Q1123">
        <v>0.82</v>
      </c>
      <c r="R1123">
        <v>0.85</v>
      </c>
      <c r="S1123">
        <v>0.505</v>
      </c>
    </row>
    <row r="1124" spans="1:19" x14ac:dyDescent="0.2">
      <c r="A1124" t="s">
        <v>2058</v>
      </c>
      <c r="B1124" t="s">
        <v>2059</v>
      </c>
      <c r="C1124">
        <v>2018</v>
      </c>
      <c r="D1124">
        <v>0</v>
      </c>
      <c r="E1124" t="s">
        <v>55</v>
      </c>
      <c r="F1124" t="s">
        <v>128</v>
      </c>
      <c r="G1124" t="s">
        <v>129</v>
      </c>
      <c r="H1124">
        <v>1</v>
      </c>
      <c r="I1124">
        <v>6.3267629999999997</v>
      </c>
      <c r="J1124">
        <v>113.53</v>
      </c>
      <c r="M1124">
        <v>2.0699999999999998</v>
      </c>
      <c r="O1124">
        <v>0.185</v>
      </c>
      <c r="Q1124">
        <v>1.02</v>
      </c>
      <c r="R1124">
        <v>0.97</v>
      </c>
      <c r="S1124">
        <v>6.9359999999999999</v>
      </c>
    </row>
    <row r="1125" spans="1:19" x14ac:dyDescent="0.2">
      <c r="A1125" t="s">
        <v>2060</v>
      </c>
      <c r="B1125" t="s">
        <v>2061</v>
      </c>
      <c r="C1125">
        <v>2018</v>
      </c>
      <c r="D1125">
        <v>0</v>
      </c>
      <c r="E1125" t="s">
        <v>55</v>
      </c>
      <c r="F1125" t="s">
        <v>128</v>
      </c>
      <c r="G1125" t="s">
        <v>129</v>
      </c>
      <c r="H1125">
        <v>1</v>
      </c>
      <c r="I1125">
        <v>3.3349660000000001</v>
      </c>
      <c r="J1125">
        <v>804.13</v>
      </c>
      <c r="M1125">
        <v>2.98</v>
      </c>
      <c r="O1125">
        <v>0.26600000000000001</v>
      </c>
      <c r="Q1125">
        <v>1.4</v>
      </c>
      <c r="R1125">
        <v>1.61</v>
      </c>
      <c r="S1125">
        <v>0.41299999999999998</v>
      </c>
    </row>
    <row r="1126" spans="1:19" x14ac:dyDescent="0.2">
      <c r="A1126" t="s">
        <v>2062</v>
      </c>
      <c r="B1126" t="s">
        <v>2063</v>
      </c>
      <c r="C1126">
        <v>2018</v>
      </c>
      <c r="D1126">
        <v>0</v>
      </c>
      <c r="E1126" t="s">
        <v>55</v>
      </c>
      <c r="F1126" t="s">
        <v>128</v>
      </c>
      <c r="G1126" t="s">
        <v>129</v>
      </c>
      <c r="H1126">
        <v>1</v>
      </c>
      <c r="I1126">
        <v>7.1226050000000001</v>
      </c>
      <c r="J1126">
        <v>183.8</v>
      </c>
      <c r="M1126">
        <v>1.21</v>
      </c>
      <c r="O1126">
        <v>0.108</v>
      </c>
      <c r="Q1126">
        <v>0.79</v>
      </c>
      <c r="R1126">
        <v>0.86</v>
      </c>
      <c r="S1126">
        <v>1.1299999999999999</v>
      </c>
    </row>
    <row r="1127" spans="1:19" x14ac:dyDescent="0.2">
      <c r="A1127" t="s">
        <v>2064</v>
      </c>
      <c r="B1127" t="s">
        <v>2065</v>
      </c>
      <c r="C1127">
        <v>2016</v>
      </c>
      <c r="D1127">
        <v>0</v>
      </c>
      <c r="E1127" t="s">
        <v>55</v>
      </c>
      <c r="F1127" t="s">
        <v>128</v>
      </c>
      <c r="G1127" t="s">
        <v>129</v>
      </c>
      <c r="H1127">
        <v>1</v>
      </c>
      <c r="I1127">
        <v>2.2604549999999999</v>
      </c>
      <c r="J1127">
        <v>63.11</v>
      </c>
      <c r="M1127">
        <v>2.3199999999999998</v>
      </c>
      <c r="O1127">
        <v>0.20699999999999999</v>
      </c>
      <c r="Q1127">
        <v>0.26</v>
      </c>
      <c r="R1127">
        <v>0.28999999999999998</v>
      </c>
      <c r="S1127">
        <v>15.2</v>
      </c>
    </row>
    <row r="1128" spans="1:19" x14ac:dyDescent="0.2">
      <c r="A1128" t="s">
        <v>2066</v>
      </c>
      <c r="B1128" t="s">
        <v>2067</v>
      </c>
      <c r="C1128">
        <v>2018</v>
      </c>
      <c r="D1128">
        <v>0</v>
      </c>
      <c r="E1128" t="s">
        <v>55</v>
      </c>
      <c r="F1128" t="s">
        <v>128</v>
      </c>
      <c r="G1128" t="s">
        <v>129</v>
      </c>
      <c r="H1128">
        <v>1</v>
      </c>
      <c r="I1128">
        <v>19.895202000000001</v>
      </c>
      <c r="J1128">
        <v>396.9</v>
      </c>
      <c r="M1128">
        <v>7.67</v>
      </c>
      <c r="O1128">
        <v>0.68400000000000005</v>
      </c>
      <c r="Q1128">
        <v>1.1100000000000001</v>
      </c>
      <c r="R1128">
        <v>1.28</v>
      </c>
      <c r="S1128">
        <v>0.25900000000000001</v>
      </c>
    </row>
    <row r="1129" spans="1:19" x14ac:dyDescent="0.2">
      <c r="A1129" t="s">
        <v>2068</v>
      </c>
      <c r="B1129" t="s">
        <v>2069</v>
      </c>
      <c r="C1129">
        <v>2018</v>
      </c>
      <c r="D1129">
        <v>0</v>
      </c>
      <c r="E1129" t="s">
        <v>55</v>
      </c>
      <c r="F1129" t="s">
        <v>128</v>
      </c>
      <c r="G1129" t="s">
        <v>129</v>
      </c>
      <c r="H1129">
        <v>1</v>
      </c>
      <c r="I1129">
        <v>8.6877209999999998</v>
      </c>
      <c r="J1129">
        <v>466.11</v>
      </c>
      <c r="M1129">
        <v>8.18</v>
      </c>
      <c r="O1129">
        <v>0.73</v>
      </c>
      <c r="Q1129">
        <v>0.82</v>
      </c>
      <c r="R1129">
        <v>0.76</v>
      </c>
      <c r="S1129">
        <v>4.3540000000000001</v>
      </c>
    </row>
    <row r="1130" spans="1:19" x14ac:dyDescent="0.2">
      <c r="A1130" t="s">
        <v>2070</v>
      </c>
      <c r="B1130" t="s">
        <v>2071</v>
      </c>
      <c r="C1130">
        <v>2018</v>
      </c>
      <c r="D1130">
        <v>0</v>
      </c>
      <c r="E1130" t="s">
        <v>55</v>
      </c>
      <c r="F1130" t="s">
        <v>128</v>
      </c>
      <c r="G1130" t="s">
        <v>129</v>
      </c>
      <c r="H1130">
        <v>1</v>
      </c>
      <c r="I1130">
        <v>4.1698360000000001</v>
      </c>
      <c r="J1130">
        <v>502.28</v>
      </c>
      <c r="M1130">
        <v>2.82</v>
      </c>
      <c r="O1130">
        <v>0.252</v>
      </c>
      <c r="Q1130">
        <v>0.95</v>
      </c>
      <c r="R1130">
        <v>0.94</v>
      </c>
      <c r="S1130">
        <v>1.4419999999999999</v>
      </c>
    </row>
    <row r="1131" spans="1:19" x14ac:dyDescent="0.2">
      <c r="A1131" t="s">
        <v>2072</v>
      </c>
      <c r="B1131" t="s">
        <v>2073</v>
      </c>
      <c r="C1131">
        <v>2018</v>
      </c>
      <c r="D1131">
        <v>0</v>
      </c>
      <c r="E1131" t="s">
        <v>55</v>
      </c>
      <c r="F1131" t="s">
        <v>128</v>
      </c>
      <c r="G1131" t="s">
        <v>129</v>
      </c>
      <c r="H1131">
        <v>1</v>
      </c>
      <c r="I1131">
        <v>1.921036</v>
      </c>
      <c r="J1131">
        <v>408.24</v>
      </c>
      <c r="M1131">
        <v>3.52</v>
      </c>
      <c r="O1131">
        <v>0.314</v>
      </c>
      <c r="Q1131">
        <v>0.89</v>
      </c>
      <c r="R1131">
        <v>0.82</v>
      </c>
      <c r="S1131">
        <v>2.8610000000000002</v>
      </c>
    </row>
    <row r="1132" spans="1:19" x14ac:dyDescent="0.2">
      <c r="A1132" t="s">
        <v>2074</v>
      </c>
      <c r="B1132" t="s">
        <v>2075</v>
      </c>
      <c r="C1132">
        <v>2018</v>
      </c>
      <c r="D1132">
        <v>0</v>
      </c>
      <c r="E1132" t="s">
        <v>55</v>
      </c>
      <c r="F1132" t="s">
        <v>128</v>
      </c>
      <c r="G1132" t="s">
        <v>129</v>
      </c>
      <c r="H1132">
        <v>1</v>
      </c>
      <c r="I1132">
        <v>4.7950689999999998</v>
      </c>
      <c r="J1132">
        <v>107.6</v>
      </c>
      <c r="K1132">
        <v>0.12</v>
      </c>
      <c r="M1132">
        <v>2.78</v>
      </c>
      <c r="O1132">
        <v>0.248</v>
      </c>
      <c r="Q1132">
        <v>0.63</v>
      </c>
      <c r="R1132">
        <v>0.61</v>
      </c>
      <c r="S1132">
        <v>3.91</v>
      </c>
    </row>
    <row r="1133" spans="1:19" x14ac:dyDescent="0.2">
      <c r="A1133" t="s">
        <v>2076</v>
      </c>
      <c r="B1133" t="s">
        <v>2077</v>
      </c>
      <c r="C1133">
        <v>2018</v>
      </c>
      <c r="D1133">
        <v>0</v>
      </c>
      <c r="E1133" t="s">
        <v>55</v>
      </c>
      <c r="F1133" t="s">
        <v>128</v>
      </c>
      <c r="G1133" t="s">
        <v>129</v>
      </c>
      <c r="H1133">
        <v>4</v>
      </c>
      <c r="I1133">
        <v>3.4717449999999999</v>
      </c>
      <c r="J1133">
        <v>155.65</v>
      </c>
      <c r="L1133">
        <v>9.68</v>
      </c>
      <c r="M1133">
        <v>2.59</v>
      </c>
      <c r="N1133">
        <v>3.0460000000000001E-2</v>
      </c>
      <c r="O1133">
        <v>0.23100000000000001</v>
      </c>
      <c r="P1133">
        <v>3.07</v>
      </c>
      <c r="Q1133">
        <v>0.83</v>
      </c>
      <c r="R1133">
        <v>0.79</v>
      </c>
      <c r="S1133">
        <v>2.512</v>
      </c>
    </row>
    <row r="1134" spans="1:19" x14ac:dyDescent="0.2">
      <c r="A1134" t="s">
        <v>2076</v>
      </c>
      <c r="B1134" t="s">
        <v>2078</v>
      </c>
      <c r="C1134">
        <v>2018</v>
      </c>
      <c r="D1134">
        <v>0</v>
      </c>
      <c r="E1134" t="s">
        <v>55</v>
      </c>
      <c r="F1134" t="s">
        <v>128</v>
      </c>
      <c r="G1134" t="s">
        <v>129</v>
      </c>
      <c r="H1134">
        <v>4</v>
      </c>
      <c r="I1134">
        <v>7.1380480000000004</v>
      </c>
      <c r="J1134">
        <v>155.65</v>
      </c>
      <c r="L1134">
        <v>15.68</v>
      </c>
      <c r="M1134">
        <v>3.53</v>
      </c>
      <c r="N1134">
        <v>4.9329999999999999E-2</v>
      </c>
      <c r="O1134">
        <v>0.315</v>
      </c>
      <c r="P1134">
        <v>1.95</v>
      </c>
      <c r="Q1134">
        <v>0.83</v>
      </c>
      <c r="R1134">
        <v>0.79</v>
      </c>
      <c r="S1134">
        <v>2.512</v>
      </c>
    </row>
    <row r="1135" spans="1:19" x14ac:dyDescent="0.2">
      <c r="A1135" t="s">
        <v>2076</v>
      </c>
      <c r="B1135" t="s">
        <v>2079</v>
      </c>
      <c r="C1135">
        <v>2018</v>
      </c>
      <c r="D1135">
        <v>0</v>
      </c>
      <c r="E1135" t="s">
        <v>55</v>
      </c>
      <c r="F1135" t="s">
        <v>128</v>
      </c>
      <c r="G1135" t="s">
        <v>129</v>
      </c>
      <c r="H1135">
        <v>4</v>
      </c>
      <c r="I1135">
        <v>10.455819999999999</v>
      </c>
      <c r="J1135">
        <v>155.65</v>
      </c>
      <c r="L1135">
        <v>6.5</v>
      </c>
      <c r="M1135">
        <v>2.48</v>
      </c>
      <c r="N1135">
        <v>2.0449999999999999E-2</v>
      </c>
      <c r="O1135">
        <v>0.221</v>
      </c>
      <c r="Q1135">
        <v>0.83</v>
      </c>
      <c r="R1135">
        <v>0.79</v>
      </c>
      <c r="S1135">
        <v>2.512</v>
      </c>
    </row>
    <row r="1136" spans="1:19" x14ac:dyDescent="0.2">
      <c r="A1136" t="s">
        <v>2076</v>
      </c>
      <c r="B1136" t="s">
        <v>2080</v>
      </c>
      <c r="C1136">
        <v>2018</v>
      </c>
      <c r="D1136">
        <v>0</v>
      </c>
      <c r="E1136" t="s">
        <v>55</v>
      </c>
      <c r="F1136" t="s">
        <v>128</v>
      </c>
      <c r="G1136" t="s">
        <v>129</v>
      </c>
      <c r="H1136">
        <v>4</v>
      </c>
      <c r="I1136">
        <v>14.762890000000001</v>
      </c>
      <c r="J1136">
        <v>155.65</v>
      </c>
      <c r="L1136">
        <v>10.7</v>
      </c>
      <c r="M1136">
        <v>1.95</v>
      </c>
      <c r="N1136">
        <v>3.3669999999999999E-2</v>
      </c>
      <c r="O1136">
        <v>0.17399999999999999</v>
      </c>
      <c r="Q1136">
        <v>0.83</v>
      </c>
      <c r="R1136">
        <v>0.79</v>
      </c>
      <c r="S1136">
        <v>2.512</v>
      </c>
    </row>
    <row r="1137" spans="1:19" x14ac:dyDescent="0.2">
      <c r="A1137" t="s">
        <v>2081</v>
      </c>
      <c r="B1137" t="s">
        <v>2082</v>
      </c>
      <c r="C1137">
        <v>2018</v>
      </c>
      <c r="D1137">
        <v>0</v>
      </c>
      <c r="E1137" t="s">
        <v>55</v>
      </c>
      <c r="F1137" t="s">
        <v>128</v>
      </c>
      <c r="G1137" t="s">
        <v>63</v>
      </c>
      <c r="H1137">
        <v>1</v>
      </c>
      <c r="I1137">
        <v>27.359000000000002</v>
      </c>
      <c r="J1137">
        <v>76.319999999999993</v>
      </c>
      <c r="M1137">
        <v>2.1</v>
      </c>
      <c r="O1137">
        <v>0.187</v>
      </c>
      <c r="Q1137">
        <v>0.64</v>
      </c>
      <c r="R1137">
        <v>0.62</v>
      </c>
    </row>
    <row r="1138" spans="1:19" x14ac:dyDescent="0.2">
      <c r="A1138" t="s">
        <v>2083</v>
      </c>
      <c r="B1138" t="s">
        <v>2084</v>
      </c>
      <c r="C1138">
        <v>2018</v>
      </c>
      <c r="D1138">
        <v>0</v>
      </c>
      <c r="E1138" t="s">
        <v>55</v>
      </c>
      <c r="F1138" t="s">
        <v>128</v>
      </c>
      <c r="G1138" t="s">
        <v>63</v>
      </c>
      <c r="H1138">
        <v>1</v>
      </c>
      <c r="I1138">
        <v>14.893291</v>
      </c>
      <c r="J1138">
        <v>159.05000000000001</v>
      </c>
      <c r="K1138">
        <v>4.5</v>
      </c>
      <c r="L1138">
        <v>100.11645</v>
      </c>
      <c r="M1138">
        <v>9.4939999999999998</v>
      </c>
      <c r="N1138">
        <v>0.315</v>
      </c>
      <c r="O1138">
        <v>0.84699999999999998</v>
      </c>
      <c r="Q1138">
        <v>1.06</v>
      </c>
      <c r="R1138">
        <v>1.07</v>
      </c>
      <c r="S1138">
        <v>1.2170000000000001</v>
      </c>
    </row>
    <row r="1139" spans="1:19" x14ac:dyDescent="0.2">
      <c r="A1139" t="s">
        <v>2085</v>
      </c>
      <c r="B1139" t="s">
        <v>2086</v>
      </c>
      <c r="C1139">
        <v>2018</v>
      </c>
      <c r="D1139">
        <v>0</v>
      </c>
      <c r="E1139" t="s">
        <v>55</v>
      </c>
      <c r="F1139" t="s">
        <v>128</v>
      </c>
      <c r="G1139" t="s">
        <v>63</v>
      </c>
      <c r="H1139">
        <v>1</v>
      </c>
      <c r="I1139">
        <v>31.393463000000001</v>
      </c>
      <c r="J1139">
        <v>65.72</v>
      </c>
      <c r="K1139">
        <v>1</v>
      </c>
      <c r="M1139">
        <v>1.9</v>
      </c>
      <c r="O1139">
        <v>0.17</v>
      </c>
      <c r="Q1139">
        <v>0.33</v>
      </c>
      <c r="R1139">
        <v>0.32</v>
      </c>
      <c r="S1139">
        <v>14.2</v>
      </c>
    </row>
    <row r="1140" spans="1:19" x14ac:dyDescent="0.2">
      <c r="A1140" t="s">
        <v>2087</v>
      </c>
      <c r="B1140" t="s">
        <v>2088</v>
      </c>
      <c r="C1140">
        <v>2019</v>
      </c>
      <c r="D1140">
        <v>0</v>
      </c>
      <c r="E1140" t="s">
        <v>55</v>
      </c>
      <c r="F1140" t="s">
        <v>128</v>
      </c>
      <c r="G1140" t="s">
        <v>63</v>
      </c>
      <c r="H1140">
        <v>1</v>
      </c>
      <c r="I1140">
        <v>13.156969</v>
      </c>
      <c r="J1140">
        <v>270.7</v>
      </c>
      <c r="M1140">
        <v>9.1</v>
      </c>
      <c r="O1140">
        <v>0.81200000000000006</v>
      </c>
      <c r="Q1140">
        <v>0.95</v>
      </c>
      <c r="R1140">
        <v>1.02</v>
      </c>
      <c r="S1140">
        <v>1.24</v>
      </c>
    </row>
    <row r="1141" spans="1:19" x14ac:dyDescent="0.2">
      <c r="A1141" t="s">
        <v>2089</v>
      </c>
      <c r="B1141" t="s">
        <v>2090</v>
      </c>
      <c r="C1141">
        <v>2016</v>
      </c>
      <c r="D1141">
        <v>0</v>
      </c>
      <c r="E1141" t="s">
        <v>55</v>
      </c>
      <c r="F1141" t="s">
        <v>128</v>
      </c>
      <c r="G1141" t="s">
        <v>129</v>
      </c>
      <c r="H1141">
        <v>1</v>
      </c>
      <c r="I1141">
        <v>3.2588320999999998</v>
      </c>
      <c r="J1141">
        <v>179.39</v>
      </c>
      <c r="K1141">
        <v>2.6</v>
      </c>
      <c r="L1141">
        <v>232.01589999999999</v>
      </c>
      <c r="M1141">
        <v>13.339</v>
      </c>
      <c r="N1141">
        <v>0.73</v>
      </c>
      <c r="O1141">
        <v>1.19</v>
      </c>
      <c r="P1141">
        <v>0.53</v>
      </c>
      <c r="Q1141">
        <v>0.94</v>
      </c>
      <c r="R1141">
        <v>0.86</v>
      </c>
    </row>
    <row r="1142" spans="1:19" x14ac:dyDescent="0.2">
      <c r="A1142" t="s">
        <v>2091</v>
      </c>
      <c r="B1142" t="s">
        <v>2092</v>
      </c>
      <c r="C1142">
        <v>2019</v>
      </c>
      <c r="D1142">
        <v>0</v>
      </c>
      <c r="E1142" t="s">
        <v>55</v>
      </c>
      <c r="F1142" t="s">
        <v>128</v>
      </c>
      <c r="G1142" t="s">
        <v>63</v>
      </c>
      <c r="H1142">
        <v>2</v>
      </c>
      <c r="I1142">
        <v>9.2116500000000006</v>
      </c>
      <c r="J1142">
        <v>274.99</v>
      </c>
      <c r="K1142">
        <v>4</v>
      </c>
      <c r="L1142">
        <v>10.9</v>
      </c>
      <c r="M1142">
        <v>3.06</v>
      </c>
      <c r="N1142">
        <v>3.4299999999999997E-2</v>
      </c>
      <c r="O1142">
        <v>0.27300000000000002</v>
      </c>
      <c r="P1142">
        <v>4.0999999999999996</v>
      </c>
      <c r="Q1142">
        <v>1.19</v>
      </c>
      <c r="R1142">
        <v>1.51</v>
      </c>
      <c r="S1142">
        <v>0.48499999999999999</v>
      </c>
    </row>
    <row r="1143" spans="1:19" x14ac:dyDescent="0.2">
      <c r="A1143" t="s">
        <v>2091</v>
      </c>
      <c r="B1143" t="s">
        <v>2093</v>
      </c>
      <c r="C1143">
        <v>2019</v>
      </c>
      <c r="D1143">
        <v>0</v>
      </c>
      <c r="E1143" t="s">
        <v>55</v>
      </c>
      <c r="F1143" t="s">
        <v>128</v>
      </c>
      <c r="G1143" t="s">
        <v>63</v>
      </c>
      <c r="H1143">
        <v>2</v>
      </c>
      <c r="I1143">
        <v>48.366849999999999</v>
      </c>
      <c r="J1143">
        <v>274.99</v>
      </c>
      <c r="K1143">
        <v>4</v>
      </c>
      <c r="L1143">
        <v>246.00041999999999</v>
      </c>
      <c r="M1143">
        <v>11.276</v>
      </c>
      <c r="N1143">
        <v>0.77400000000000002</v>
      </c>
      <c r="O1143">
        <v>1.006</v>
      </c>
      <c r="P1143">
        <v>1.01</v>
      </c>
      <c r="Q1143">
        <v>1.19</v>
      </c>
      <c r="R1143">
        <v>1.51</v>
      </c>
      <c r="S1143">
        <v>0.48499999999999999</v>
      </c>
    </row>
    <row r="1144" spans="1:19" x14ac:dyDescent="0.2">
      <c r="A1144" t="s">
        <v>2094</v>
      </c>
      <c r="B1144" t="s">
        <v>2095</v>
      </c>
      <c r="C1144">
        <v>2019</v>
      </c>
      <c r="D1144">
        <v>0</v>
      </c>
      <c r="E1144" t="s">
        <v>55</v>
      </c>
      <c r="F1144" t="s">
        <v>128</v>
      </c>
      <c r="G1144" t="s">
        <v>63</v>
      </c>
      <c r="H1144">
        <v>1</v>
      </c>
      <c r="I1144">
        <v>2.225177</v>
      </c>
      <c r="J1144">
        <v>90.29</v>
      </c>
      <c r="K1144">
        <v>3.72</v>
      </c>
      <c r="L1144">
        <v>6.49</v>
      </c>
      <c r="M1144">
        <v>1.589</v>
      </c>
      <c r="N1144">
        <v>2.0420000000000001E-2</v>
      </c>
      <c r="O1144">
        <v>0.14199999999999999</v>
      </c>
      <c r="P1144">
        <v>8.84</v>
      </c>
      <c r="Q1144">
        <v>0.93</v>
      </c>
      <c r="R1144">
        <v>0.9</v>
      </c>
    </row>
    <row r="1145" spans="1:19" x14ac:dyDescent="0.2">
      <c r="A1145" t="s">
        <v>2096</v>
      </c>
      <c r="B1145" t="s">
        <v>2097</v>
      </c>
      <c r="C1145">
        <v>2019</v>
      </c>
      <c r="D1145">
        <v>0</v>
      </c>
      <c r="E1145" t="s">
        <v>55</v>
      </c>
      <c r="F1145" t="s">
        <v>128</v>
      </c>
      <c r="G1145" t="s">
        <v>63</v>
      </c>
      <c r="H1145">
        <v>1</v>
      </c>
      <c r="I1145">
        <v>13.1225</v>
      </c>
      <c r="J1145">
        <v>396.64</v>
      </c>
      <c r="M1145">
        <v>2.4500000000000002</v>
      </c>
      <c r="O1145">
        <v>0.219</v>
      </c>
      <c r="Q1145">
        <v>0.96</v>
      </c>
      <c r="R1145">
        <v>0.95</v>
      </c>
    </row>
    <row r="1146" spans="1:19" x14ac:dyDescent="0.2">
      <c r="A1146" t="s">
        <v>2098</v>
      </c>
      <c r="B1146" t="s">
        <v>2099</v>
      </c>
      <c r="C1146">
        <v>2019</v>
      </c>
      <c r="D1146">
        <v>0</v>
      </c>
      <c r="E1146" t="s">
        <v>55</v>
      </c>
      <c r="F1146" t="s">
        <v>128</v>
      </c>
      <c r="G1146" t="s">
        <v>63</v>
      </c>
      <c r="H1146">
        <v>1</v>
      </c>
      <c r="I1146">
        <v>2.50387</v>
      </c>
      <c r="J1146">
        <v>377.04</v>
      </c>
      <c r="M1146">
        <v>1.66</v>
      </c>
      <c r="O1146">
        <v>0.14799999999999999</v>
      </c>
      <c r="Q1146">
        <v>0.99</v>
      </c>
      <c r="R1146">
        <v>1.2</v>
      </c>
    </row>
    <row r="1147" spans="1:19" x14ac:dyDescent="0.2">
      <c r="A1147" t="s">
        <v>2100</v>
      </c>
      <c r="B1147" t="s">
        <v>2101</v>
      </c>
      <c r="C1147">
        <v>2018</v>
      </c>
      <c r="D1147">
        <v>0</v>
      </c>
      <c r="E1147" t="s">
        <v>55</v>
      </c>
      <c r="F1147" t="s">
        <v>128</v>
      </c>
      <c r="G1147" t="s">
        <v>129</v>
      </c>
      <c r="H1147">
        <v>1</v>
      </c>
      <c r="I1147">
        <v>4.0248670000000004</v>
      </c>
      <c r="J1147">
        <v>225.7</v>
      </c>
      <c r="L1147">
        <v>106.47305</v>
      </c>
      <c r="M1147">
        <v>10.054</v>
      </c>
      <c r="N1147">
        <v>0.33500000000000002</v>
      </c>
      <c r="O1147">
        <v>0.89700000000000002</v>
      </c>
      <c r="P1147">
        <v>0.61199999999999999</v>
      </c>
      <c r="Q1147">
        <v>0.74</v>
      </c>
      <c r="R1147">
        <v>0.7</v>
      </c>
      <c r="S1147">
        <v>3.0430000000000001</v>
      </c>
    </row>
    <row r="1148" spans="1:19" x14ac:dyDescent="0.2">
      <c r="A1148" t="s">
        <v>2102</v>
      </c>
      <c r="B1148" t="s">
        <v>2103</v>
      </c>
      <c r="C1148">
        <v>2015</v>
      </c>
      <c r="D1148">
        <v>0</v>
      </c>
      <c r="E1148" t="s">
        <v>55</v>
      </c>
      <c r="F1148" t="s">
        <v>128</v>
      </c>
      <c r="G1148" t="s">
        <v>129</v>
      </c>
      <c r="H1148">
        <v>3</v>
      </c>
      <c r="I1148">
        <v>10.054489999999999</v>
      </c>
      <c r="J1148">
        <v>44.13</v>
      </c>
      <c r="M1148">
        <v>2.1800000000000002</v>
      </c>
      <c r="O1148">
        <v>0.19400000000000001</v>
      </c>
      <c r="Q1148">
        <v>0.6</v>
      </c>
      <c r="R1148">
        <v>0.56000000000000005</v>
      </c>
    </row>
    <row r="1149" spans="1:19" x14ac:dyDescent="0.2">
      <c r="A1149" t="s">
        <v>2102</v>
      </c>
      <c r="B1149" t="s">
        <v>2104</v>
      </c>
      <c r="C1149">
        <v>2015</v>
      </c>
      <c r="D1149">
        <v>0</v>
      </c>
      <c r="E1149" t="s">
        <v>55</v>
      </c>
      <c r="F1149" t="s">
        <v>128</v>
      </c>
      <c r="G1149" t="s">
        <v>129</v>
      </c>
      <c r="H1149">
        <v>3</v>
      </c>
      <c r="I1149">
        <v>24.643540000000002</v>
      </c>
      <c r="J1149">
        <v>44.13</v>
      </c>
      <c r="M1149">
        <v>1.85</v>
      </c>
      <c r="O1149">
        <v>0.16500000000000001</v>
      </c>
      <c r="Q1149">
        <v>0.6</v>
      </c>
      <c r="R1149">
        <v>0.56000000000000005</v>
      </c>
    </row>
    <row r="1150" spans="1:19" x14ac:dyDescent="0.2">
      <c r="A1150" t="s">
        <v>2102</v>
      </c>
      <c r="B1150" t="s">
        <v>2105</v>
      </c>
      <c r="C1150">
        <v>2015</v>
      </c>
      <c r="D1150">
        <v>0</v>
      </c>
      <c r="E1150" t="s">
        <v>55</v>
      </c>
      <c r="F1150" t="s">
        <v>128</v>
      </c>
      <c r="G1150" t="s">
        <v>129</v>
      </c>
      <c r="H1150">
        <v>3</v>
      </c>
      <c r="I1150">
        <v>44.559829999999998</v>
      </c>
      <c r="J1150">
        <v>44.13</v>
      </c>
      <c r="M1150">
        <v>1.51</v>
      </c>
      <c r="O1150">
        <v>0.13500000000000001</v>
      </c>
      <c r="Q1150">
        <v>0.6</v>
      </c>
      <c r="R1150">
        <v>0.56000000000000005</v>
      </c>
    </row>
    <row r="1151" spans="1:19" x14ac:dyDescent="0.2">
      <c r="A1151" t="s">
        <v>2106</v>
      </c>
      <c r="B1151" t="s">
        <v>2107</v>
      </c>
      <c r="C1151">
        <v>2016</v>
      </c>
      <c r="D1151">
        <v>0</v>
      </c>
      <c r="E1151" t="s">
        <v>55</v>
      </c>
      <c r="F1151" t="s">
        <v>128</v>
      </c>
      <c r="G1151" t="s">
        <v>129</v>
      </c>
      <c r="H1151">
        <v>1</v>
      </c>
      <c r="I1151">
        <v>4.098503</v>
      </c>
      <c r="J1151">
        <v>336.26</v>
      </c>
      <c r="K1151">
        <v>3.9</v>
      </c>
      <c r="L1151">
        <v>184.02357000000001</v>
      </c>
      <c r="M1151">
        <v>11.646000000000001</v>
      </c>
      <c r="N1151">
        <v>0.57899999999999996</v>
      </c>
      <c r="O1151">
        <v>1.0389999999999999</v>
      </c>
      <c r="P1151">
        <v>0.64</v>
      </c>
      <c r="Q1151">
        <v>0.9</v>
      </c>
      <c r="R1151">
        <v>0.84</v>
      </c>
      <c r="S1151">
        <v>2.11</v>
      </c>
    </row>
    <row r="1152" spans="1:19" x14ac:dyDescent="0.2">
      <c r="A1152" t="s">
        <v>2108</v>
      </c>
      <c r="B1152" t="s">
        <v>2109</v>
      </c>
      <c r="C1152">
        <v>2016</v>
      </c>
      <c r="D1152">
        <v>0</v>
      </c>
      <c r="E1152" t="s">
        <v>55</v>
      </c>
      <c r="F1152" t="s">
        <v>128</v>
      </c>
      <c r="G1152" t="s">
        <v>129</v>
      </c>
      <c r="H1152">
        <v>1</v>
      </c>
      <c r="I1152">
        <v>1.2578499999999999</v>
      </c>
      <c r="J1152">
        <v>110.87</v>
      </c>
      <c r="L1152">
        <v>563.83042</v>
      </c>
      <c r="M1152">
        <v>11.882</v>
      </c>
      <c r="N1152">
        <v>1.774</v>
      </c>
      <c r="O1152">
        <v>1.06</v>
      </c>
      <c r="Q1152">
        <v>0.91</v>
      </c>
      <c r="R1152">
        <v>0.78</v>
      </c>
    </row>
    <row r="1153" spans="1:19" x14ac:dyDescent="0.2">
      <c r="A1153" t="s">
        <v>2110</v>
      </c>
      <c r="B1153" t="s">
        <v>2111</v>
      </c>
      <c r="C1153">
        <v>2016</v>
      </c>
      <c r="D1153">
        <v>0</v>
      </c>
      <c r="E1153" t="s">
        <v>55</v>
      </c>
      <c r="F1153" t="s">
        <v>128</v>
      </c>
      <c r="G1153" t="s">
        <v>129</v>
      </c>
      <c r="H1153">
        <v>3</v>
      </c>
      <c r="I1153">
        <v>8.9921299999999995</v>
      </c>
      <c r="J1153">
        <v>158.38999999999999</v>
      </c>
      <c r="K1153">
        <v>7.9</v>
      </c>
      <c r="L1153">
        <v>16.5</v>
      </c>
      <c r="M1153">
        <v>5.13</v>
      </c>
      <c r="N1153">
        <v>5.1909999999999998E-2</v>
      </c>
      <c r="O1153">
        <v>0.45800000000000002</v>
      </c>
      <c r="P1153">
        <v>0.67</v>
      </c>
      <c r="Q1153">
        <v>0.86</v>
      </c>
      <c r="R1153">
        <v>0.84</v>
      </c>
    </row>
    <row r="1154" spans="1:19" x14ac:dyDescent="0.2">
      <c r="A1154" t="s">
        <v>2110</v>
      </c>
      <c r="B1154" t="s">
        <v>2112</v>
      </c>
      <c r="C1154">
        <v>2016</v>
      </c>
      <c r="D1154">
        <v>0</v>
      </c>
      <c r="E1154" t="s">
        <v>55</v>
      </c>
      <c r="F1154" t="s">
        <v>128</v>
      </c>
      <c r="G1154" t="s">
        <v>129</v>
      </c>
      <c r="H1154">
        <v>3</v>
      </c>
      <c r="I1154">
        <v>20.6602</v>
      </c>
      <c r="J1154">
        <v>158.38999999999999</v>
      </c>
      <c r="K1154">
        <v>7.9</v>
      </c>
      <c r="L1154">
        <v>12.1</v>
      </c>
      <c r="M1154">
        <v>3.01</v>
      </c>
      <c r="N1154">
        <v>3.807E-2</v>
      </c>
      <c r="O1154">
        <v>0.26900000000000002</v>
      </c>
      <c r="P1154">
        <v>2.7</v>
      </c>
      <c r="Q1154">
        <v>0.86</v>
      </c>
      <c r="R1154">
        <v>0.84</v>
      </c>
    </row>
    <row r="1155" spans="1:19" x14ac:dyDescent="0.2">
      <c r="A1155" t="s">
        <v>2110</v>
      </c>
      <c r="B1155" t="s">
        <v>2113</v>
      </c>
      <c r="C1155">
        <v>2016</v>
      </c>
      <c r="D1155">
        <v>0</v>
      </c>
      <c r="E1155" t="s">
        <v>55</v>
      </c>
      <c r="F1155" t="s">
        <v>128</v>
      </c>
      <c r="G1155" t="s">
        <v>129</v>
      </c>
      <c r="H1155">
        <v>3</v>
      </c>
      <c r="I1155">
        <v>31.715399999999999</v>
      </c>
      <c r="J1155">
        <v>158.38999999999999</v>
      </c>
      <c r="K1155">
        <v>7.9</v>
      </c>
      <c r="L1155">
        <v>10.3</v>
      </c>
      <c r="M1155">
        <v>3.43</v>
      </c>
      <c r="N1155">
        <v>3.2410000000000001E-2</v>
      </c>
      <c r="O1155">
        <v>0.30599999999999999</v>
      </c>
      <c r="P1155">
        <v>1.38</v>
      </c>
      <c r="Q1155">
        <v>0.86</v>
      </c>
      <c r="R1155">
        <v>0.84</v>
      </c>
    </row>
    <row r="1156" spans="1:19" x14ac:dyDescent="0.2">
      <c r="A1156" t="s">
        <v>2114</v>
      </c>
      <c r="B1156" t="s">
        <v>2115</v>
      </c>
      <c r="C1156">
        <v>2016</v>
      </c>
      <c r="D1156">
        <v>0</v>
      </c>
      <c r="E1156" t="s">
        <v>55</v>
      </c>
      <c r="F1156" t="s">
        <v>128</v>
      </c>
      <c r="G1156" t="s">
        <v>129</v>
      </c>
      <c r="H1156">
        <v>1</v>
      </c>
      <c r="I1156">
        <v>5.4248649999999996</v>
      </c>
      <c r="J1156">
        <v>139.80000000000001</v>
      </c>
      <c r="K1156">
        <v>8.9999999999999993E-3</v>
      </c>
      <c r="L1156">
        <v>1175.971</v>
      </c>
      <c r="M1156">
        <v>5.04</v>
      </c>
      <c r="N1156">
        <v>3.7</v>
      </c>
      <c r="O1156">
        <v>0.45</v>
      </c>
      <c r="Q1156">
        <v>0.56000000000000005</v>
      </c>
      <c r="R1156">
        <v>1.05</v>
      </c>
      <c r="S1156">
        <v>0.72</v>
      </c>
    </row>
    <row r="1157" spans="1:19" x14ac:dyDescent="0.2">
      <c r="A1157" t="s">
        <v>2116</v>
      </c>
      <c r="B1157" t="s">
        <v>2117</v>
      </c>
      <c r="C1157">
        <v>2016</v>
      </c>
      <c r="D1157">
        <v>0</v>
      </c>
      <c r="E1157" t="s">
        <v>55</v>
      </c>
      <c r="F1157" t="s">
        <v>128</v>
      </c>
      <c r="G1157" t="s">
        <v>129</v>
      </c>
      <c r="H1157">
        <v>1</v>
      </c>
      <c r="I1157">
        <v>2.9956330000000002</v>
      </c>
      <c r="J1157">
        <v>352.34</v>
      </c>
      <c r="M1157">
        <v>13.96</v>
      </c>
      <c r="O1157">
        <v>1.2450000000000001</v>
      </c>
      <c r="Q1157">
        <v>1.1499999999999999</v>
      </c>
      <c r="R1157">
        <v>1.44</v>
      </c>
      <c r="S1157">
        <v>0.67500000000000004</v>
      </c>
    </row>
    <row r="1158" spans="1:19" x14ac:dyDescent="0.2">
      <c r="A1158" t="s">
        <v>2118</v>
      </c>
      <c r="B1158" t="s">
        <v>2119</v>
      </c>
      <c r="C1158">
        <v>2016</v>
      </c>
      <c r="D1158">
        <v>0</v>
      </c>
      <c r="E1158" t="s">
        <v>55</v>
      </c>
      <c r="F1158" t="s">
        <v>128</v>
      </c>
      <c r="G1158" t="s">
        <v>129</v>
      </c>
      <c r="H1158">
        <v>2</v>
      </c>
      <c r="I1158">
        <v>5.608352</v>
      </c>
      <c r="J1158">
        <v>254.43</v>
      </c>
      <c r="M1158">
        <v>1.93</v>
      </c>
      <c r="O1158">
        <v>0.17199999999999999</v>
      </c>
      <c r="Q1158">
        <v>0.7</v>
      </c>
      <c r="R1158">
        <v>0.62</v>
      </c>
    </row>
    <row r="1159" spans="1:19" x14ac:dyDescent="0.2">
      <c r="A1159" t="s">
        <v>2118</v>
      </c>
      <c r="B1159" t="s">
        <v>2120</v>
      </c>
      <c r="C1159">
        <v>2016</v>
      </c>
      <c r="D1159">
        <v>0</v>
      </c>
      <c r="E1159" t="s">
        <v>55</v>
      </c>
      <c r="F1159" t="s">
        <v>128</v>
      </c>
      <c r="G1159" t="s">
        <v>129</v>
      </c>
      <c r="H1159">
        <v>2</v>
      </c>
      <c r="I1159">
        <v>2.3999640000000002</v>
      </c>
      <c r="J1159">
        <v>254.43</v>
      </c>
      <c r="M1159">
        <v>1.32</v>
      </c>
      <c r="O1159">
        <v>0.11799999999999999</v>
      </c>
      <c r="Q1159">
        <v>0.7</v>
      </c>
      <c r="R1159">
        <v>0.62</v>
      </c>
    </row>
    <row r="1160" spans="1:19" x14ac:dyDescent="0.2">
      <c r="A1160" t="s">
        <v>2121</v>
      </c>
      <c r="B1160" t="s">
        <v>2122</v>
      </c>
      <c r="C1160">
        <v>2016</v>
      </c>
      <c r="D1160">
        <v>0</v>
      </c>
      <c r="E1160" t="s">
        <v>55</v>
      </c>
      <c r="F1160" t="s">
        <v>128</v>
      </c>
      <c r="G1160" t="s">
        <v>129</v>
      </c>
      <c r="H1160">
        <v>2</v>
      </c>
      <c r="I1160">
        <v>1.42266</v>
      </c>
      <c r="J1160">
        <v>110.09</v>
      </c>
      <c r="M1160">
        <v>1.32</v>
      </c>
      <c r="O1160">
        <v>0.11799999999999999</v>
      </c>
      <c r="Q1160">
        <v>0.8</v>
      </c>
      <c r="R1160">
        <v>0.74</v>
      </c>
    </row>
    <row r="1161" spans="1:19" x14ac:dyDescent="0.2">
      <c r="A1161" t="s">
        <v>2121</v>
      </c>
      <c r="B1161" t="s">
        <v>2123</v>
      </c>
      <c r="C1161">
        <v>2016</v>
      </c>
      <c r="D1161">
        <v>0</v>
      </c>
      <c r="E1161" t="s">
        <v>55</v>
      </c>
      <c r="F1161" t="s">
        <v>128</v>
      </c>
      <c r="G1161" t="s">
        <v>129</v>
      </c>
      <c r="H1161">
        <v>2</v>
      </c>
      <c r="I1161">
        <v>5.3405899999999997</v>
      </c>
      <c r="J1161">
        <v>110.09</v>
      </c>
      <c r="M1161">
        <v>2.8</v>
      </c>
      <c r="O1161">
        <v>0.25</v>
      </c>
      <c r="Q1161">
        <v>0.8</v>
      </c>
      <c r="R1161">
        <v>0.74</v>
      </c>
    </row>
    <row r="1162" spans="1:19" x14ac:dyDescent="0.2">
      <c r="A1162" t="s">
        <v>2124</v>
      </c>
      <c r="B1162" t="s">
        <v>2125</v>
      </c>
      <c r="C1162">
        <v>2016</v>
      </c>
      <c r="D1162">
        <v>0</v>
      </c>
      <c r="E1162" t="s">
        <v>55</v>
      </c>
      <c r="F1162" t="s">
        <v>128</v>
      </c>
      <c r="G1162" t="s">
        <v>129</v>
      </c>
      <c r="H1162">
        <v>3</v>
      </c>
      <c r="I1162">
        <v>4.4411699999999996</v>
      </c>
      <c r="J1162">
        <v>180.86</v>
      </c>
      <c r="M1162">
        <v>1.61</v>
      </c>
      <c r="O1162">
        <v>0.14399999999999999</v>
      </c>
      <c r="Q1162">
        <v>0.9</v>
      </c>
      <c r="R1162">
        <v>0.85</v>
      </c>
    </row>
    <row r="1163" spans="1:19" x14ac:dyDescent="0.2">
      <c r="A1163" t="s">
        <v>2124</v>
      </c>
      <c r="B1163" t="s">
        <v>2126</v>
      </c>
      <c r="C1163">
        <v>2016</v>
      </c>
      <c r="D1163">
        <v>0</v>
      </c>
      <c r="E1163" t="s">
        <v>55</v>
      </c>
      <c r="F1163" t="s">
        <v>128</v>
      </c>
      <c r="G1163" t="s">
        <v>129</v>
      </c>
      <c r="H1163">
        <v>3</v>
      </c>
      <c r="I1163">
        <v>6.4290399999999996</v>
      </c>
      <c r="J1163">
        <v>180.86</v>
      </c>
      <c r="M1163">
        <v>2.75</v>
      </c>
      <c r="O1163">
        <v>0.245</v>
      </c>
      <c r="Q1163">
        <v>0.9</v>
      </c>
      <c r="R1163">
        <v>0.85</v>
      </c>
    </row>
    <row r="1164" spans="1:19" x14ac:dyDescent="0.2">
      <c r="A1164" t="s">
        <v>2124</v>
      </c>
      <c r="B1164" t="s">
        <v>2127</v>
      </c>
      <c r="C1164">
        <v>2016</v>
      </c>
      <c r="D1164">
        <v>0</v>
      </c>
      <c r="E1164" t="s">
        <v>55</v>
      </c>
      <c r="F1164" t="s">
        <v>128</v>
      </c>
      <c r="G1164" t="s">
        <v>129</v>
      </c>
      <c r="H1164">
        <v>3</v>
      </c>
      <c r="I1164">
        <v>14.091889999999999</v>
      </c>
      <c r="J1164">
        <v>180.86</v>
      </c>
      <c r="M1164">
        <v>2.73</v>
      </c>
      <c r="O1164">
        <v>0.24399999999999999</v>
      </c>
      <c r="Q1164">
        <v>0.9</v>
      </c>
      <c r="R1164">
        <v>0.85</v>
      </c>
    </row>
    <row r="1165" spans="1:19" x14ac:dyDescent="0.2">
      <c r="A1165" t="s">
        <v>2128</v>
      </c>
      <c r="B1165" t="s">
        <v>2129</v>
      </c>
      <c r="C1165">
        <v>2016</v>
      </c>
      <c r="D1165">
        <v>0</v>
      </c>
      <c r="E1165" t="s">
        <v>55</v>
      </c>
      <c r="F1165" t="s">
        <v>128</v>
      </c>
      <c r="G1165" t="s">
        <v>129</v>
      </c>
      <c r="H1165">
        <v>2</v>
      </c>
      <c r="I1165">
        <v>4.01593</v>
      </c>
      <c r="J1165">
        <v>193.71</v>
      </c>
      <c r="L1165">
        <v>19.069800000000001</v>
      </c>
      <c r="M1165">
        <v>1.9059999999999999</v>
      </c>
      <c r="N1165">
        <v>0.06</v>
      </c>
      <c r="O1165">
        <v>0.17</v>
      </c>
      <c r="Q1165">
        <v>2.2400000000000002</v>
      </c>
      <c r="R1165">
        <v>1.38</v>
      </c>
      <c r="S1165">
        <v>1.21</v>
      </c>
    </row>
    <row r="1166" spans="1:19" x14ac:dyDescent="0.2">
      <c r="A1166" t="s">
        <v>2128</v>
      </c>
      <c r="B1166" t="s">
        <v>2130</v>
      </c>
      <c r="C1166">
        <v>2016</v>
      </c>
      <c r="D1166">
        <v>0</v>
      </c>
      <c r="E1166" t="s">
        <v>55</v>
      </c>
      <c r="F1166" t="s">
        <v>128</v>
      </c>
      <c r="G1166" t="s">
        <v>129</v>
      </c>
      <c r="H1166">
        <v>2</v>
      </c>
      <c r="I1166">
        <v>10.561030000000001</v>
      </c>
      <c r="J1166">
        <v>193.71</v>
      </c>
      <c r="L1166">
        <v>9.9</v>
      </c>
      <c r="M1166">
        <v>2.42</v>
      </c>
      <c r="N1166">
        <v>3.1150000000000001E-2</v>
      </c>
      <c r="O1166">
        <v>0.216</v>
      </c>
      <c r="P1166">
        <v>3.6</v>
      </c>
      <c r="Q1166">
        <v>2.2400000000000002</v>
      </c>
      <c r="R1166">
        <v>1.38</v>
      </c>
      <c r="S1166">
        <v>1.21</v>
      </c>
    </row>
    <row r="1167" spans="1:19" x14ac:dyDescent="0.2">
      <c r="A1167" t="s">
        <v>2131</v>
      </c>
      <c r="B1167" t="s">
        <v>2132</v>
      </c>
      <c r="C1167">
        <v>2016</v>
      </c>
      <c r="D1167">
        <v>0</v>
      </c>
      <c r="E1167" t="s">
        <v>55</v>
      </c>
      <c r="F1167" t="s">
        <v>128</v>
      </c>
      <c r="G1167" t="s">
        <v>129</v>
      </c>
      <c r="H1167">
        <v>1</v>
      </c>
      <c r="I1167">
        <v>4.6054300000000001</v>
      </c>
      <c r="J1167">
        <v>310.14</v>
      </c>
      <c r="L1167">
        <v>28.604700000000001</v>
      </c>
      <c r="M1167">
        <v>6.2770000000000001</v>
      </c>
      <c r="N1167">
        <v>0.09</v>
      </c>
      <c r="O1167">
        <v>0.56000000000000005</v>
      </c>
      <c r="Q1167">
        <v>0.66</v>
      </c>
      <c r="R1167">
        <v>2.97</v>
      </c>
      <c r="S1167">
        <v>0.04</v>
      </c>
    </row>
    <row r="1168" spans="1:19" x14ac:dyDescent="0.2">
      <c r="A1168" t="s">
        <v>2133</v>
      </c>
      <c r="B1168" t="s">
        <v>2134</v>
      </c>
      <c r="C1168">
        <v>2015</v>
      </c>
      <c r="D1168">
        <v>0</v>
      </c>
      <c r="E1168" t="s">
        <v>55</v>
      </c>
      <c r="F1168" t="s">
        <v>128</v>
      </c>
      <c r="G1168" t="s">
        <v>129</v>
      </c>
      <c r="H1168">
        <v>1</v>
      </c>
      <c r="I1168">
        <v>10.003417000000001</v>
      </c>
      <c r="J1168">
        <v>233.37</v>
      </c>
      <c r="M1168">
        <v>2.1</v>
      </c>
      <c r="O1168">
        <v>0.187</v>
      </c>
      <c r="Q1168">
        <v>0.64</v>
      </c>
      <c r="R1168">
        <v>0.56999999999999995</v>
      </c>
    </row>
    <row r="1169" spans="1:19" x14ac:dyDescent="0.2">
      <c r="A1169" t="s">
        <v>2135</v>
      </c>
      <c r="B1169" t="s">
        <v>2136</v>
      </c>
      <c r="C1169">
        <v>2016</v>
      </c>
      <c r="D1169">
        <v>0</v>
      </c>
      <c r="E1169" t="s">
        <v>55</v>
      </c>
      <c r="F1169" t="s">
        <v>128</v>
      </c>
      <c r="G1169" t="s">
        <v>129</v>
      </c>
      <c r="H1169">
        <v>1</v>
      </c>
      <c r="I1169">
        <v>6.6879600000000003</v>
      </c>
      <c r="J1169">
        <v>401.36</v>
      </c>
      <c r="M1169">
        <v>2.15</v>
      </c>
      <c r="O1169">
        <v>0.192</v>
      </c>
      <c r="Q1169">
        <v>0.7</v>
      </c>
      <c r="R1169">
        <v>0.64</v>
      </c>
    </row>
    <row r="1170" spans="1:19" x14ac:dyDescent="0.2">
      <c r="A1170" t="s">
        <v>2137</v>
      </c>
      <c r="B1170" t="s">
        <v>2138</v>
      </c>
      <c r="C1170">
        <v>2016</v>
      </c>
      <c r="D1170">
        <v>0</v>
      </c>
      <c r="E1170" t="s">
        <v>55</v>
      </c>
      <c r="F1170" t="s">
        <v>128</v>
      </c>
      <c r="G1170" t="s">
        <v>129</v>
      </c>
      <c r="H1170">
        <v>1</v>
      </c>
      <c r="I1170">
        <v>3.4713409999999998</v>
      </c>
      <c r="J1170">
        <v>183.48</v>
      </c>
      <c r="M1170">
        <v>4.75</v>
      </c>
      <c r="O1170">
        <v>0.42399999999999999</v>
      </c>
      <c r="Q1170">
        <v>0.6</v>
      </c>
      <c r="R1170">
        <v>0.59</v>
      </c>
    </row>
    <row r="1171" spans="1:19" x14ac:dyDescent="0.2">
      <c r="A1171" t="s">
        <v>2139</v>
      </c>
      <c r="B1171" t="s">
        <v>2140</v>
      </c>
      <c r="C1171">
        <v>2016</v>
      </c>
      <c r="D1171">
        <v>0</v>
      </c>
      <c r="E1171" t="s">
        <v>55</v>
      </c>
      <c r="F1171" t="s">
        <v>128</v>
      </c>
      <c r="G1171" t="s">
        <v>129</v>
      </c>
      <c r="H1171">
        <v>1</v>
      </c>
      <c r="I1171">
        <v>5.6568800000000001</v>
      </c>
      <c r="J1171">
        <v>483.19</v>
      </c>
      <c r="M1171">
        <v>2.72</v>
      </c>
      <c r="O1171">
        <v>0.24299999999999999</v>
      </c>
      <c r="Q1171">
        <v>1.1499999999999999</v>
      </c>
      <c r="R1171">
        <v>1.58</v>
      </c>
    </row>
    <row r="1172" spans="1:19" x14ac:dyDescent="0.2">
      <c r="A1172" t="s">
        <v>2141</v>
      </c>
      <c r="B1172" t="s">
        <v>2142</v>
      </c>
      <c r="C1172">
        <v>2016</v>
      </c>
      <c r="D1172">
        <v>0</v>
      </c>
      <c r="E1172" t="s">
        <v>55</v>
      </c>
      <c r="F1172" t="s">
        <v>128</v>
      </c>
      <c r="G1172" t="s">
        <v>129</v>
      </c>
      <c r="H1172">
        <v>1</v>
      </c>
      <c r="I1172">
        <v>1.7292684</v>
      </c>
      <c r="J1172">
        <v>502.34</v>
      </c>
      <c r="M1172">
        <v>6.71</v>
      </c>
      <c r="O1172">
        <v>0.59899999999999998</v>
      </c>
      <c r="Q1172">
        <v>0.5</v>
      </c>
      <c r="R1172">
        <v>0.45</v>
      </c>
    </row>
    <row r="1173" spans="1:19" x14ac:dyDescent="0.2">
      <c r="A1173" t="s">
        <v>2143</v>
      </c>
      <c r="B1173" t="s">
        <v>2144</v>
      </c>
      <c r="C1173">
        <v>2016</v>
      </c>
      <c r="D1173">
        <v>0</v>
      </c>
      <c r="E1173" t="s">
        <v>55</v>
      </c>
      <c r="F1173" t="s">
        <v>128</v>
      </c>
      <c r="G1173" t="s">
        <v>129</v>
      </c>
      <c r="H1173">
        <v>1</v>
      </c>
      <c r="I1173">
        <v>19.1541</v>
      </c>
      <c r="J1173">
        <v>454.93</v>
      </c>
      <c r="M1173">
        <v>2.0499999999999998</v>
      </c>
      <c r="O1173">
        <v>0.183</v>
      </c>
      <c r="Q1173">
        <v>0.96</v>
      </c>
      <c r="R1173">
        <v>1.29</v>
      </c>
    </row>
    <row r="1174" spans="1:19" x14ac:dyDescent="0.2">
      <c r="A1174" t="s">
        <v>2145</v>
      </c>
      <c r="B1174" t="s">
        <v>2146</v>
      </c>
      <c r="C1174">
        <v>2016</v>
      </c>
      <c r="D1174">
        <v>0</v>
      </c>
      <c r="E1174" t="s">
        <v>55</v>
      </c>
      <c r="F1174" t="s">
        <v>128</v>
      </c>
      <c r="G1174" t="s">
        <v>129</v>
      </c>
      <c r="H1174">
        <v>1</v>
      </c>
      <c r="I1174">
        <v>31.6372</v>
      </c>
      <c r="J1174">
        <v>353.38</v>
      </c>
      <c r="M1174">
        <v>1.89</v>
      </c>
      <c r="O1174">
        <v>0.16900000000000001</v>
      </c>
      <c r="Q1174">
        <v>0.75</v>
      </c>
      <c r="R1174">
        <v>0.76</v>
      </c>
    </row>
    <row r="1175" spans="1:19" x14ac:dyDescent="0.2">
      <c r="A1175" t="s">
        <v>2147</v>
      </c>
      <c r="B1175" t="s">
        <v>2148</v>
      </c>
      <c r="C1175">
        <v>2016</v>
      </c>
      <c r="D1175">
        <v>0</v>
      </c>
      <c r="E1175" t="s">
        <v>55</v>
      </c>
      <c r="F1175" t="s">
        <v>128</v>
      </c>
      <c r="G1175" t="s">
        <v>129</v>
      </c>
      <c r="H1175">
        <v>1</v>
      </c>
      <c r="I1175">
        <v>20.506499999999999</v>
      </c>
      <c r="J1175">
        <v>316.61</v>
      </c>
      <c r="M1175">
        <v>2.2400000000000002</v>
      </c>
      <c r="O1175">
        <v>0.2</v>
      </c>
      <c r="Q1175">
        <v>0.77</v>
      </c>
      <c r="R1175">
        <v>0.73</v>
      </c>
    </row>
    <row r="1176" spans="1:19" x14ac:dyDescent="0.2">
      <c r="A1176" t="s">
        <v>2149</v>
      </c>
      <c r="B1176" t="s">
        <v>2150</v>
      </c>
      <c r="C1176">
        <v>2016</v>
      </c>
      <c r="D1176">
        <v>0</v>
      </c>
      <c r="E1176" t="s">
        <v>55</v>
      </c>
      <c r="F1176" t="s">
        <v>128</v>
      </c>
      <c r="G1176" t="s">
        <v>129</v>
      </c>
      <c r="H1176">
        <v>1</v>
      </c>
      <c r="I1176">
        <v>2.7706499999999998</v>
      </c>
      <c r="J1176">
        <v>463.06</v>
      </c>
      <c r="M1176">
        <v>1.93</v>
      </c>
      <c r="O1176">
        <v>0.17199999999999999</v>
      </c>
      <c r="Q1176">
        <v>0.51</v>
      </c>
      <c r="R1176">
        <v>0.45</v>
      </c>
    </row>
    <row r="1177" spans="1:19" x14ac:dyDescent="0.2">
      <c r="A1177" t="s">
        <v>2151</v>
      </c>
      <c r="B1177" t="s">
        <v>2152</v>
      </c>
      <c r="C1177">
        <v>2015</v>
      </c>
      <c r="D1177">
        <v>0</v>
      </c>
      <c r="E1177" t="s">
        <v>55</v>
      </c>
      <c r="F1177" t="s">
        <v>128</v>
      </c>
      <c r="G1177" t="s">
        <v>129</v>
      </c>
      <c r="H1177">
        <v>2</v>
      </c>
      <c r="I1177">
        <v>5.7359400000000003</v>
      </c>
      <c r="J1177">
        <v>204.12</v>
      </c>
      <c r="M1177">
        <v>1.91</v>
      </c>
      <c r="O1177">
        <v>0.17</v>
      </c>
      <c r="Q1177">
        <v>0.61</v>
      </c>
      <c r="R1177">
        <v>0.56999999999999995</v>
      </c>
    </row>
    <row r="1178" spans="1:19" x14ac:dyDescent="0.2">
      <c r="A1178" t="s">
        <v>2151</v>
      </c>
      <c r="B1178" t="s">
        <v>2153</v>
      </c>
      <c r="C1178">
        <v>2015</v>
      </c>
      <c r="D1178">
        <v>0</v>
      </c>
      <c r="E1178" t="s">
        <v>55</v>
      </c>
      <c r="F1178" t="s">
        <v>128</v>
      </c>
      <c r="G1178" t="s">
        <v>129</v>
      </c>
      <c r="H1178">
        <v>2</v>
      </c>
      <c r="I1178">
        <v>10.932410000000001</v>
      </c>
      <c r="J1178">
        <v>204.12</v>
      </c>
      <c r="M1178">
        <v>2.2599999999999998</v>
      </c>
      <c r="O1178">
        <v>0.20200000000000001</v>
      </c>
      <c r="Q1178">
        <v>0.61</v>
      </c>
      <c r="R1178">
        <v>0.56999999999999995</v>
      </c>
    </row>
    <row r="1179" spans="1:19" x14ac:dyDescent="0.2">
      <c r="A1179" t="s">
        <v>2154</v>
      </c>
      <c r="B1179" t="s">
        <v>2155</v>
      </c>
      <c r="C1179">
        <v>2016</v>
      </c>
      <c r="D1179">
        <v>0</v>
      </c>
      <c r="E1179" t="s">
        <v>55</v>
      </c>
      <c r="F1179" t="s">
        <v>128</v>
      </c>
      <c r="G1179" t="s">
        <v>129</v>
      </c>
      <c r="H1179">
        <v>1</v>
      </c>
      <c r="I1179">
        <v>8.7529000000000003</v>
      </c>
      <c r="J1179">
        <v>259.33</v>
      </c>
      <c r="M1179">
        <v>1.59</v>
      </c>
      <c r="O1179">
        <v>0.14199999999999999</v>
      </c>
      <c r="Q1179">
        <v>0.61</v>
      </c>
      <c r="R1179">
        <v>0.55000000000000004</v>
      </c>
    </row>
    <row r="1180" spans="1:19" x14ac:dyDescent="0.2">
      <c r="A1180" t="s">
        <v>2156</v>
      </c>
      <c r="B1180" t="s">
        <v>2157</v>
      </c>
      <c r="C1180">
        <v>2016</v>
      </c>
      <c r="D1180">
        <v>0</v>
      </c>
      <c r="E1180" t="s">
        <v>55</v>
      </c>
      <c r="F1180" t="s">
        <v>128</v>
      </c>
      <c r="G1180" t="s">
        <v>129</v>
      </c>
      <c r="H1180">
        <v>1</v>
      </c>
      <c r="I1180">
        <v>3.5350549999999998</v>
      </c>
      <c r="J1180">
        <v>1041.7</v>
      </c>
      <c r="M1180">
        <v>18</v>
      </c>
      <c r="O1180">
        <v>1.6060000000000001</v>
      </c>
      <c r="Q1180">
        <v>1.69</v>
      </c>
      <c r="R1180">
        <v>2.19</v>
      </c>
      <c r="S1180">
        <v>0.22</v>
      </c>
    </row>
    <row r="1181" spans="1:19" x14ac:dyDescent="0.2">
      <c r="A1181" t="s">
        <v>2158</v>
      </c>
      <c r="B1181" t="s">
        <v>2159</v>
      </c>
      <c r="C1181">
        <v>2016</v>
      </c>
      <c r="D1181">
        <v>0</v>
      </c>
      <c r="E1181" t="s">
        <v>55</v>
      </c>
      <c r="F1181" t="s">
        <v>128</v>
      </c>
      <c r="G1181" t="s">
        <v>129</v>
      </c>
      <c r="H1181">
        <v>1</v>
      </c>
      <c r="I1181">
        <v>12.20772</v>
      </c>
      <c r="J1181">
        <v>139.1</v>
      </c>
      <c r="M1181">
        <v>2.6</v>
      </c>
      <c r="O1181">
        <v>0.23200000000000001</v>
      </c>
      <c r="Q1181">
        <v>0.85</v>
      </c>
      <c r="R1181">
        <v>0.81</v>
      </c>
      <c r="S1181">
        <v>2.29</v>
      </c>
    </row>
    <row r="1182" spans="1:19" x14ac:dyDescent="0.2">
      <c r="A1182" t="s">
        <v>2160</v>
      </c>
      <c r="B1182" t="s">
        <v>2161</v>
      </c>
      <c r="C1182">
        <v>2016</v>
      </c>
      <c r="D1182">
        <v>0</v>
      </c>
      <c r="E1182" t="s">
        <v>55</v>
      </c>
      <c r="F1182" t="s">
        <v>128</v>
      </c>
      <c r="G1182" t="s">
        <v>129</v>
      </c>
      <c r="H1182">
        <v>1</v>
      </c>
      <c r="I1182">
        <v>9.7843</v>
      </c>
      <c r="J1182">
        <v>175.84</v>
      </c>
      <c r="M1182">
        <v>1.1499999999999999</v>
      </c>
      <c r="O1182">
        <v>0.10299999999999999</v>
      </c>
      <c r="Q1182">
        <v>0.42</v>
      </c>
      <c r="R1182">
        <v>0.38</v>
      </c>
    </row>
    <row r="1183" spans="1:19" x14ac:dyDescent="0.2">
      <c r="A1183" t="s">
        <v>2162</v>
      </c>
      <c r="B1183" t="s">
        <v>2163</v>
      </c>
      <c r="C1183">
        <v>2016</v>
      </c>
      <c r="D1183">
        <v>0</v>
      </c>
      <c r="E1183" t="s">
        <v>55</v>
      </c>
      <c r="F1183" t="s">
        <v>128</v>
      </c>
      <c r="G1183" t="s">
        <v>129</v>
      </c>
      <c r="H1183">
        <v>1</v>
      </c>
      <c r="I1183">
        <v>2.8492579999999998</v>
      </c>
      <c r="J1183">
        <v>160.26</v>
      </c>
      <c r="M1183">
        <v>3.82</v>
      </c>
      <c r="O1183">
        <v>0.34100000000000003</v>
      </c>
      <c r="Q1183">
        <v>0.7</v>
      </c>
      <c r="R1183">
        <v>0.63</v>
      </c>
    </row>
    <row r="1184" spans="1:19" x14ac:dyDescent="0.2">
      <c r="A1184" t="s">
        <v>2164</v>
      </c>
      <c r="B1184" t="s">
        <v>2165</v>
      </c>
      <c r="C1184">
        <v>2016</v>
      </c>
      <c r="D1184">
        <v>0</v>
      </c>
      <c r="E1184" t="s">
        <v>55</v>
      </c>
      <c r="F1184" t="s">
        <v>128</v>
      </c>
      <c r="G1184" t="s">
        <v>129</v>
      </c>
      <c r="H1184">
        <v>1</v>
      </c>
      <c r="I1184">
        <v>9.0062999999999995</v>
      </c>
      <c r="J1184">
        <v>266.23</v>
      </c>
      <c r="M1184">
        <v>2.1</v>
      </c>
      <c r="O1184">
        <v>0.187</v>
      </c>
      <c r="Q1184">
        <v>0.68</v>
      </c>
      <c r="R1184">
        <v>0.62</v>
      </c>
    </row>
    <row r="1185" spans="1:19" x14ac:dyDescent="0.2">
      <c r="A1185" t="s">
        <v>2166</v>
      </c>
      <c r="B1185" t="s">
        <v>2167</v>
      </c>
      <c r="C1185">
        <v>2016</v>
      </c>
      <c r="D1185">
        <v>0</v>
      </c>
      <c r="E1185" t="s">
        <v>55</v>
      </c>
      <c r="F1185" t="s">
        <v>128</v>
      </c>
      <c r="G1185" t="s">
        <v>129</v>
      </c>
      <c r="H1185">
        <v>3</v>
      </c>
      <c r="I1185">
        <v>7.0525399999999996</v>
      </c>
      <c r="J1185">
        <v>182.69</v>
      </c>
      <c r="M1185">
        <v>2.68</v>
      </c>
      <c r="O1185">
        <v>0.23899999999999999</v>
      </c>
      <c r="Q1185">
        <v>0.89</v>
      </c>
      <c r="R1185">
        <v>0.86</v>
      </c>
    </row>
    <row r="1186" spans="1:19" x14ac:dyDescent="0.2">
      <c r="A1186" t="s">
        <v>2166</v>
      </c>
      <c r="B1186" t="s">
        <v>2168</v>
      </c>
      <c r="C1186">
        <v>2016</v>
      </c>
      <c r="D1186">
        <v>0</v>
      </c>
      <c r="E1186" t="s">
        <v>55</v>
      </c>
      <c r="F1186" t="s">
        <v>128</v>
      </c>
      <c r="G1186" t="s">
        <v>129</v>
      </c>
      <c r="H1186">
        <v>3</v>
      </c>
      <c r="I1186">
        <v>2.5372599999999998</v>
      </c>
      <c r="J1186">
        <v>182.69</v>
      </c>
      <c r="M1186">
        <v>1.62</v>
      </c>
      <c r="O1186">
        <v>0.14499999999999999</v>
      </c>
      <c r="Q1186">
        <v>0.89</v>
      </c>
      <c r="R1186">
        <v>0.86</v>
      </c>
    </row>
    <row r="1187" spans="1:19" x14ac:dyDescent="0.2">
      <c r="A1187" t="s">
        <v>2166</v>
      </c>
      <c r="B1187" t="s">
        <v>2169</v>
      </c>
      <c r="C1187">
        <v>2016</v>
      </c>
      <c r="D1187">
        <v>0</v>
      </c>
      <c r="E1187" t="s">
        <v>55</v>
      </c>
      <c r="F1187" t="s">
        <v>128</v>
      </c>
      <c r="G1187" t="s">
        <v>129</v>
      </c>
      <c r="H1187">
        <v>3</v>
      </c>
      <c r="I1187">
        <v>22.8827</v>
      </c>
      <c r="J1187">
        <v>182.69</v>
      </c>
      <c r="M1187">
        <v>1.71</v>
      </c>
      <c r="O1187">
        <v>0.153</v>
      </c>
      <c r="Q1187">
        <v>0.89</v>
      </c>
      <c r="R1187">
        <v>0.86</v>
      </c>
    </row>
    <row r="1188" spans="1:19" x14ac:dyDescent="0.2">
      <c r="A1188" t="s">
        <v>2170</v>
      </c>
      <c r="B1188" t="s">
        <v>2171</v>
      </c>
      <c r="C1188">
        <v>2016</v>
      </c>
      <c r="D1188">
        <v>0</v>
      </c>
      <c r="E1188" t="s">
        <v>55</v>
      </c>
      <c r="F1188" t="s">
        <v>128</v>
      </c>
      <c r="G1188" t="s">
        <v>129</v>
      </c>
      <c r="H1188">
        <v>2</v>
      </c>
      <c r="I1188">
        <v>20.6921</v>
      </c>
      <c r="J1188">
        <v>314.08999999999997</v>
      </c>
      <c r="M1188">
        <v>2.41</v>
      </c>
      <c r="O1188">
        <v>0.215</v>
      </c>
      <c r="Q1188">
        <v>0.77</v>
      </c>
      <c r="R1188">
        <v>0.73</v>
      </c>
    </row>
    <row r="1189" spans="1:19" x14ac:dyDescent="0.2">
      <c r="A1189" t="s">
        <v>2170</v>
      </c>
      <c r="B1189" t="s">
        <v>2172</v>
      </c>
      <c r="C1189">
        <v>2016</v>
      </c>
      <c r="D1189">
        <v>0</v>
      </c>
      <c r="E1189" t="s">
        <v>55</v>
      </c>
      <c r="F1189" t="s">
        <v>128</v>
      </c>
      <c r="G1189" t="s">
        <v>129</v>
      </c>
      <c r="H1189">
        <v>2</v>
      </c>
      <c r="I1189">
        <v>11.295400000000001</v>
      </c>
      <c r="J1189">
        <v>314.08999999999997</v>
      </c>
      <c r="M1189">
        <v>2.2999999999999998</v>
      </c>
      <c r="O1189">
        <v>0.20499999999999999</v>
      </c>
      <c r="Q1189">
        <v>0.77</v>
      </c>
      <c r="R1189">
        <v>0.73</v>
      </c>
    </row>
    <row r="1190" spans="1:19" x14ac:dyDescent="0.2">
      <c r="A1190" t="s">
        <v>2173</v>
      </c>
      <c r="B1190" t="s">
        <v>2174</v>
      </c>
      <c r="C1190">
        <v>2015</v>
      </c>
      <c r="D1190">
        <v>0</v>
      </c>
      <c r="E1190" t="s">
        <v>55</v>
      </c>
      <c r="F1190" t="s">
        <v>128</v>
      </c>
      <c r="G1190" t="s">
        <v>129</v>
      </c>
      <c r="H1190">
        <v>1</v>
      </c>
      <c r="I1190">
        <v>30.94191</v>
      </c>
      <c r="J1190">
        <v>319.58999999999997</v>
      </c>
      <c r="M1190">
        <v>2.5</v>
      </c>
      <c r="O1190">
        <v>0.223</v>
      </c>
      <c r="Q1190">
        <v>0.97</v>
      </c>
      <c r="R1190">
        <v>0.96</v>
      </c>
    </row>
    <row r="1191" spans="1:19" x14ac:dyDescent="0.2">
      <c r="A1191" t="s">
        <v>2175</v>
      </c>
      <c r="B1191" t="s">
        <v>2176</v>
      </c>
      <c r="C1191">
        <v>2016</v>
      </c>
      <c r="D1191">
        <v>0</v>
      </c>
      <c r="E1191" t="s">
        <v>55</v>
      </c>
      <c r="F1191" t="s">
        <v>128</v>
      </c>
      <c r="G1191" t="s">
        <v>129</v>
      </c>
      <c r="H1191">
        <v>1</v>
      </c>
      <c r="I1191">
        <v>3.00265</v>
      </c>
      <c r="J1191">
        <v>498.7</v>
      </c>
      <c r="K1191">
        <v>10</v>
      </c>
      <c r="L1191">
        <v>135.39558</v>
      </c>
      <c r="M1191">
        <v>7.6559999999999997</v>
      </c>
      <c r="N1191">
        <v>0.42599999999999999</v>
      </c>
      <c r="O1191">
        <v>0.68300000000000005</v>
      </c>
      <c r="P1191">
        <v>1.7</v>
      </c>
      <c r="Q1191">
        <v>0.97</v>
      </c>
      <c r="R1191">
        <v>1.1200000000000001</v>
      </c>
      <c r="S1191">
        <v>0.99</v>
      </c>
    </row>
    <row r="1192" spans="1:19" x14ac:dyDescent="0.2">
      <c r="A1192" t="s">
        <v>2177</v>
      </c>
      <c r="B1192" t="s">
        <v>2178</v>
      </c>
      <c r="C1192">
        <v>2016</v>
      </c>
      <c r="D1192">
        <v>0</v>
      </c>
      <c r="E1192" t="s">
        <v>55</v>
      </c>
      <c r="F1192" t="s">
        <v>128</v>
      </c>
      <c r="G1192" t="s">
        <v>129</v>
      </c>
      <c r="H1192">
        <v>1</v>
      </c>
      <c r="I1192">
        <v>2.5730200000000001</v>
      </c>
      <c r="J1192">
        <v>410.35</v>
      </c>
      <c r="M1192">
        <v>2.48</v>
      </c>
      <c r="O1192">
        <v>0.221</v>
      </c>
      <c r="Q1192">
        <v>1.21</v>
      </c>
      <c r="R1192">
        <v>1.36</v>
      </c>
    </row>
    <row r="1193" spans="1:19" x14ac:dyDescent="0.2">
      <c r="A1193" t="s">
        <v>2179</v>
      </c>
      <c r="B1193" t="s">
        <v>2180</v>
      </c>
      <c r="C1193">
        <v>2016</v>
      </c>
      <c r="D1193">
        <v>0</v>
      </c>
      <c r="E1193" t="s">
        <v>55</v>
      </c>
      <c r="F1193" t="s">
        <v>128</v>
      </c>
      <c r="G1193" t="s">
        <v>129</v>
      </c>
      <c r="H1193">
        <v>2</v>
      </c>
      <c r="I1193">
        <v>6.6720199999999998</v>
      </c>
      <c r="J1193">
        <v>112.83</v>
      </c>
      <c r="M1193">
        <v>2.14</v>
      </c>
      <c r="O1193">
        <v>0.191</v>
      </c>
      <c r="Q1193">
        <v>0.77</v>
      </c>
      <c r="R1193">
        <v>0.73</v>
      </c>
    </row>
    <row r="1194" spans="1:19" x14ac:dyDescent="0.2">
      <c r="A1194" t="s">
        <v>2179</v>
      </c>
      <c r="B1194" t="s">
        <v>2181</v>
      </c>
      <c r="C1194">
        <v>2016</v>
      </c>
      <c r="D1194">
        <v>0</v>
      </c>
      <c r="E1194" t="s">
        <v>55</v>
      </c>
      <c r="F1194" t="s">
        <v>128</v>
      </c>
      <c r="G1194" t="s">
        <v>129</v>
      </c>
      <c r="H1194">
        <v>2</v>
      </c>
      <c r="I1194">
        <v>16.1966</v>
      </c>
      <c r="J1194">
        <v>112.83</v>
      </c>
      <c r="M1194">
        <v>2.14</v>
      </c>
      <c r="O1194">
        <v>0.191</v>
      </c>
      <c r="Q1194">
        <v>0.77</v>
      </c>
      <c r="R1194">
        <v>0.73</v>
      </c>
    </row>
    <row r="1195" spans="1:19" x14ac:dyDescent="0.2">
      <c r="A1195" t="s">
        <v>2182</v>
      </c>
      <c r="B1195" t="s">
        <v>2183</v>
      </c>
      <c r="C1195">
        <v>2016</v>
      </c>
      <c r="D1195">
        <v>0</v>
      </c>
      <c r="E1195" t="s">
        <v>55</v>
      </c>
      <c r="F1195" t="s">
        <v>128</v>
      </c>
      <c r="G1195" t="s">
        <v>129</v>
      </c>
      <c r="H1195">
        <v>2</v>
      </c>
      <c r="I1195">
        <v>20.257000000000001</v>
      </c>
      <c r="J1195">
        <v>524.41</v>
      </c>
      <c r="M1195">
        <v>3.22</v>
      </c>
      <c r="O1195">
        <v>0.28699999999999998</v>
      </c>
      <c r="Q1195">
        <v>1.4</v>
      </c>
      <c r="R1195">
        <v>1.63</v>
      </c>
    </row>
    <row r="1196" spans="1:19" x14ac:dyDescent="0.2">
      <c r="A1196" t="s">
        <v>2182</v>
      </c>
      <c r="B1196" t="s">
        <v>2184</v>
      </c>
      <c r="C1196">
        <v>2016</v>
      </c>
      <c r="D1196">
        <v>0</v>
      </c>
      <c r="E1196" t="s">
        <v>55</v>
      </c>
      <c r="F1196" t="s">
        <v>128</v>
      </c>
      <c r="G1196" t="s">
        <v>129</v>
      </c>
      <c r="H1196">
        <v>2</v>
      </c>
      <c r="I1196">
        <v>25.4556</v>
      </c>
      <c r="J1196">
        <v>524.41</v>
      </c>
      <c r="M1196">
        <v>3.9</v>
      </c>
      <c r="O1196">
        <v>0.34799999999999998</v>
      </c>
      <c r="Q1196">
        <v>1.4</v>
      </c>
      <c r="R1196">
        <v>1.63</v>
      </c>
    </row>
    <row r="1197" spans="1:19" x14ac:dyDescent="0.2">
      <c r="A1197" t="s">
        <v>2185</v>
      </c>
      <c r="B1197" t="s">
        <v>2186</v>
      </c>
      <c r="C1197">
        <v>2016</v>
      </c>
      <c r="D1197">
        <v>0</v>
      </c>
      <c r="E1197" t="s">
        <v>55</v>
      </c>
      <c r="F1197" t="s">
        <v>128</v>
      </c>
      <c r="G1197" t="s">
        <v>129</v>
      </c>
      <c r="H1197">
        <v>1</v>
      </c>
      <c r="I1197">
        <v>6.5304399999999996</v>
      </c>
      <c r="J1197">
        <v>506.87</v>
      </c>
      <c r="M1197">
        <v>2.0699999999999998</v>
      </c>
      <c r="O1197">
        <v>0.185</v>
      </c>
      <c r="Q1197">
        <v>0.74</v>
      </c>
      <c r="R1197">
        <v>0.73</v>
      </c>
    </row>
    <row r="1198" spans="1:19" x14ac:dyDescent="0.2">
      <c r="A1198" t="s">
        <v>2187</v>
      </c>
      <c r="B1198" t="s">
        <v>2188</v>
      </c>
      <c r="C1198">
        <v>2016</v>
      </c>
      <c r="D1198">
        <v>0</v>
      </c>
      <c r="E1198" t="s">
        <v>55</v>
      </c>
      <c r="F1198" t="s">
        <v>128</v>
      </c>
      <c r="G1198" t="s">
        <v>129</v>
      </c>
      <c r="H1198">
        <v>1</v>
      </c>
      <c r="I1198">
        <v>12.647500000000001</v>
      </c>
      <c r="J1198">
        <v>78.06</v>
      </c>
      <c r="M1198">
        <v>1.58</v>
      </c>
      <c r="O1198">
        <v>0.14099999999999999</v>
      </c>
      <c r="Q1198">
        <v>0.87</v>
      </c>
      <c r="R1198">
        <v>0.84</v>
      </c>
    </row>
    <row r="1199" spans="1:19" x14ac:dyDescent="0.2">
      <c r="A1199" t="s">
        <v>2189</v>
      </c>
      <c r="B1199" t="s">
        <v>2190</v>
      </c>
      <c r="C1199">
        <v>2016</v>
      </c>
      <c r="D1199">
        <v>0</v>
      </c>
      <c r="E1199" t="s">
        <v>55</v>
      </c>
      <c r="F1199" t="s">
        <v>128</v>
      </c>
      <c r="G1199" t="s">
        <v>129</v>
      </c>
      <c r="H1199">
        <v>1</v>
      </c>
      <c r="I1199">
        <v>5.0696300000000001</v>
      </c>
      <c r="J1199">
        <v>520.42999999999995</v>
      </c>
      <c r="L1199">
        <v>21.3</v>
      </c>
      <c r="M1199">
        <v>2.4900000000000002</v>
      </c>
      <c r="N1199">
        <v>6.7019999999999996E-2</v>
      </c>
      <c r="O1199">
        <v>0.222</v>
      </c>
      <c r="P1199">
        <v>7.8</v>
      </c>
      <c r="Q1199">
        <v>1.1100000000000001</v>
      </c>
      <c r="R1199">
        <v>1.67</v>
      </c>
    </row>
    <row r="1200" spans="1:19" x14ac:dyDescent="0.2">
      <c r="A1200" t="s">
        <v>2191</v>
      </c>
      <c r="B1200" t="s">
        <v>2192</v>
      </c>
      <c r="C1200">
        <v>2016</v>
      </c>
      <c r="D1200">
        <v>0</v>
      </c>
      <c r="E1200" t="s">
        <v>55</v>
      </c>
      <c r="F1200" t="s">
        <v>128</v>
      </c>
      <c r="G1200" t="s">
        <v>129</v>
      </c>
      <c r="H1200">
        <v>1</v>
      </c>
      <c r="I1200">
        <v>8.0542800000000003</v>
      </c>
      <c r="J1200">
        <v>169.47</v>
      </c>
      <c r="M1200">
        <v>1.58</v>
      </c>
      <c r="O1200">
        <v>0.14099999999999999</v>
      </c>
      <c r="Q1200">
        <v>0.73</v>
      </c>
      <c r="R1200">
        <v>0.68</v>
      </c>
    </row>
    <row r="1201" spans="1:19" x14ac:dyDescent="0.2">
      <c r="A1201" t="s">
        <v>2193</v>
      </c>
      <c r="B1201" t="s">
        <v>2194</v>
      </c>
      <c r="C1201">
        <v>2016</v>
      </c>
      <c r="D1201">
        <v>0</v>
      </c>
      <c r="E1201" t="s">
        <v>55</v>
      </c>
      <c r="F1201" t="s">
        <v>128</v>
      </c>
      <c r="G1201" t="s">
        <v>129</v>
      </c>
      <c r="H1201">
        <v>1</v>
      </c>
      <c r="I1201">
        <v>7.0659900000000002</v>
      </c>
      <c r="J1201">
        <v>181.63</v>
      </c>
      <c r="M1201">
        <v>2.3199999999999998</v>
      </c>
      <c r="O1201">
        <v>0.20699999999999999</v>
      </c>
      <c r="Q1201">
        <v>0.55000000000000004</v>
      </c>
      <c r="R1201">
        <v>0.49</v>
      </c>
    </row>
    <row r="1202" spans="1:19" x14ac:dyDescent="0.2">
      <c r="A1202" t="s">
        <v>2195</v>
      </c>
      <c r="B1202" t="s">
        <v>2196</v>
      </c>
      <c r="C1202">
        <v>2015</v>
      </c>
      <c r="D1202">
        <v>0</v>
      </c>
      <c r="E1202" t="s">
        <v>55</v>
      </c>
      <c r="F1202" t="s">
        <v>128</v>
      </c>
      <c r="G1202" t="s">
        <v>129</v>
      </c>
      <c r="H1202">
        <v>1</v>
      </c>
      <c r="I1202">
        <v>28.679919999999999</v>
      </c>
      <c r="J1202">
        <v>754.64</v>
      </c>
      <c r="M1202">
        <v>2.67</v>
      </c>
      <c r="O1202">
        <v>0.23799999999999999</v>
      </c>
      <c r="Q1202">
        <v>0.97</v>
      </c>
      <c r="R1202">
        <v>0.96</v>
      </c>
    </row>
    <row r="1203" spans="1:19" x14ac:dyDescent="0.2">
      <c r="A1203" t="s">
        <v>2197</v>
      </c>
      <c r="B1203" t="s">
        <v>2198</v>
      </c>
      <c r="C1203">
        <v>2016</v>
      </c>
      <c r="D1203">
        <v>0</v>
      </c>
      <c r="E1203" t="s">
        <v>55</v>
      </c>
      <c r="F1203" t="s">
        <v>128</v>
      </c>
      <c r="G1203" t="s">
        <v>129</v>
      </c>
      <c r="H1203">
        <v>1</v>
      </c>
      <c r="I1203">
        <v>13.978960000000001</v>
      </c>
      <c r="J1203">
        <v>234.47</v>
      </c>
      <c r="M1203">
        <v>2.89</v>
      </c>
      <c r="O1203">
        <v>0.25800000000000001</v>
      </c>
      <c r="Q1203">
        <v>0.94</v>
      </c>
      <c r="R1203">
        <v>0.93</v>
      </c>
    </row>
    <row r="1204" spans="1:19" x14ac:dyDescent="0.2">
      <c r="A1204" t="s">
        <v>2199</v>
      </c>
      <c r="B1204" t="s">
        <v>2200</v>
      </c>
      <c r="C1204">
        <v>2016</v>
      </c>
      <c r="D1204">
        <v>0</v>
      </c>
      <c r="E1204" t="s">
        <v>55</v>
      </c>
      <c r="F1204" t="s">
        <v>128</v>
      </c>
      <c r="G1204" t="s">
        <v>129</v>
      </c>
      <c r="H1204">
        <v>1</v>
      </c>
      <c r="I1204">
        <v>6.9854099999999999</v>
      </c>
      <c r="J1204">
        <v>153.86000000000001</v>
      </c>
      <c r="M1204">
        <v>2.15</v>
      </c>
      <c r="O1204">
        <v>0.192</v>
      </c>
      <c r="Q1204">
        <v>0.48</v>
      </c>
      <c r="R1204">
        <v>0.43</v>
      </c>
    </row>
    <row r="1205" spans="1:19" x14ac:dyDescent="0.2">
      <c r="A1205" t="s">
        <v>2201</v>
      </c>
      <c r="B1205" t="s">
        <v>2202</v>
      </c>
      <c r="C1205">
        <v>2016</v>
      </c>
      <c r="D1205">
        <v>0</v>
      </c>
      <c r="E1205" t="s">
        <v>55</v>
      </c>
      <c r="F1205" t="s">
        <v>128</v>
      </c>
      <c r="G1205" t="s">
        <v>129</v>
      </c>
      <c r="H1205">
        <v>4</v>
      </c>
      <c r="I1205">
        <v>5.5772120000000003</v>
      </c>
      <c r="J1205">
        <v>66.56</v>
      </c>
      <c r="M1205">
        <v>1.08</v>
      </c>
      <c r="O1205">
        <v>9.6000000000000002E-2</v>
      </c>
      <c r="Q1205">
        <v>0.27</v>
      </c>
      <c r="R1205">
        <v>0.33</v>
      </c>
    </row>
    <row r="1206" spans="1:19" x14ac:dyDescent="0.2">
      <c r="A1206" t="s">
        <v>2201</v>
      </c>
      <c r="B1206" t="s">
        <v>2203</v>
      </c>
      <c r="C1206">
        <v>2016</v>
      </c>
      <c r="D1206">
        <v>0</v>
      </c>
      <c r="E1206" t="s">
        <v>55</v>
      </c>
      <c r="F1206" t="s">
        <v>128</v>
      </c>
      <c r="G1206" t="s">
        <v>129</v>
      </c>
      <c r="H1206">
        <v>4</v>
      </c>
      <c r="I1206">
        <v>15.189033999999999</v>
      </c>
      <c r="J1206">
        <v>66.56</v>
      </c>
      <c r="M1206">
        <v>1.1599999999999999</v>
      </c>
      <c r="O1206">
        <v>0.10299999999999999</v>
      </c>
      <c r="Q1206">
        <v>0.27</v>
      </c>
      <c r="R1206">
        <v>0.33</v>
      </c>
    </row>
    <row r="1207" spans="1:19" x14ac:dyDescent="0.2">
      <c r="A1207" t="s">
        <v>2201</v>
      </c>
      <c r="B1207" t="s">
        <v>2204</v>
      </c>
      <c r="C1207">
        <v>2016</v>
      </c>
      <c r="D1207">
        <v>0</v>
      </c>
      <c r="E1207" t="s">
        <v>55</v>
      </c>
      <c r="F1207" t="s">
        <v>128</v>
      </c>
      <c r="G1207" t="s">
        <v>129</v>
      </c>
      <c r="H1207">
        <v>4</v>
      </c>
      <c r="I1207">
        <v>7.7601779999999998</v>
      </c>
      <c r="J1207">
        <v>66.56</v>
      </c>
      <c r="M1207">
        <v>1.01</v>
      </c>
      <c r="O1207">
        <v>0.09</v>
      </c>
      <c r="Q1207">
        <v>0.27</v>
      </c>
      <c r="R1207">
        <v>0.33</v>
      </c>
    </row>
    <row r="1208" spans="1:19" x14ac:dyDescent="0.2">
      <c r="A1208" t="s">
        <v>2201</v>
      </c>
      <c r="B1208" t="s">
        <v>2205</v>
      </c>
      <c r="C1208">
        <v>2016</v>
      </c>
      <c r="D1208">
        <v>0</v>
      </c>
      <c r="E1208" t="s">
        <v>55</v>
      </c>
      <c r="F1208" t="s">
        <v>128</v>
      </c>
      <c r="G1208" t="s">
        <v>129</v>
      </c>
      <c r="H1208">
        <v>4</v>
      </c>
      <c r="I1208">
        <v>24.158867999999998</v>
      </c>
      <c r="J1208">
        <v>66.56</v>
      </c>
      <c r="M1208">
        <v>1.29</v>
      </c>
      <c r="O1208">
        <v>0.115</v>
      </c>
      <c r="Q1208">
        <v>0.27</v>
      </c>
      <c r="R1208">
        <v>0.33</v>
      </c>
    </row>
    <row r="1209" spans="1:19" x14ac:dyDescent="0.2">
      <c r="A1209" t="s">
        <v>2206</v>
      </c>
      <c r="B1209" t="s">
        <v>2207</v>
      </c>
      <c r="C1209">
        <v>2016</v>
      </c>
      <c r="D1209">
        <v>0</v>
      </c>
      <c r="E1209" t="s">
        <v>55</v>
      </c>
      <c r="F1209" t="s">
        <v>128</v>
      </c>
      <c r="G1209" t="s">
        <v>129</v>
      </c>
      <c r="H1209">
        <v>1</v>
      </c>
      <c r="I1209">
        <v>7.4954299999999998</v>
      </c>
      <c r="J1209">
        <v>271.27</v>
      </c>
      <c r="M1209">
        <v>2.4500000000000002</v>
      </c>
      <c r="O1209">
        <v>0.219</v>
      </c>
      <c r="Q1209">
        <v>1.05</v>
      </c>
      <c r="R1209">
        <v>1.06</v>
      </c>
    </row>
    <row r="1210" spans="1:19" x14ac:dyDescent="0.2">
      <c r="A1210" t="s">
        <v>2208</v>
      </c>
      <c r="B1210" t="s">
        <v>2209</v>
      </c>
      <c r="C1210">
        <v>2016</v>
      </c>
      <c r="D1210">
        <v>0</v>
      </c>
      <c r="E1210" t="s">
        <v>55</v>
      </c>
      <c r="F1210" t="s">
        <v>128</v>
      </c>
      <c r="G1210" t="s">
        <v>129</v>
      </c>
      <c r="H1210">
        <v>1</v>
      </c>
      <c r="I1210">
        <v>19.566600000000001</v>
      </c>
      <c r="J1210">
        <v>381.85</v>
      </c>
      <c r="M1210">
        <v>2.31</v>
      </c>
      <c r="O1210">
        <v>0.20599999999999999</v>
      </c>
      <c r="Q1210">
        <v>0.96</v>
      </c>
      <c r="R1210">
        <v>0.98</v>
      </c>
    </row>
    <row r="1211" spans="1:19" x14ac:dyDescent="0.2">
      <c r="A1211" t="s">
        <v>2210</v>
      </c>
      <c r="B1211" t="s">
        <v>2211</v>
      </c>
      <c r="C1211">
        <v>2016</v>
      </c>
      <c r="D1211">
        <v>0</v>
      </c>
      <c r="E1211" t="s">
        <v>55</v>
      </c>
      <c r="F1211" t="s">
        <v>128</v>
      </c>
      <c r="G1211" t="s">
        <v>129</v>
      </c>
      <c r="H1211">
        <v>2</v>
      </c>
      <c r="I1211">
        <v>7.8141999999999996</v>
      </c>
      <c r="J1211">
        <v>570.86</v>
      </c>
      <c r="M1211">
        <v>2.67</v>
      </c>
      <c r="O1211">
        <v>0.23799999999999999</v>
      </c>
      <c r="Q1211">
        <v>1.1599999999999999</v>
      </c>
      <c r="R1211">
        <v>1.56</v>
      </c>
    </row>
    <row r="1212" spans="1:19" x14ac:dyDescent="0.2">
      <c r="A1212" t="s">
        <v>2210</v>
      </c>
      <c r="B1212" t="s">
        <v>2212</v>
      </c>
      <c r="C1212">
        <v>2016</v>
      </c>
      <c r="D1212">
        <v>0</v>
      </c>
      <c r="E1212" t="s">
        <v>55</v>
      </c>
      <c r="F1212" t="s">
        <v>128</v>
      </c>
      <c r="G1212" t="s">
        <v>129</v>
      </c>
      <c r="H1212">
        <v>2</v>
      </c>
      <c r="I1212">
        <v>18.311</v>
      </c>
      <c r="J1212">
        <v>570.86</v>
      </c>
      <c r="M1212">
        <v>2.77</v>
      </c>
      <c r="O1212">
        <v>0.247</v>
      </c>
      <c r="Q1212">
        <v>1.1599999999999999</v>
      </c>
      <c r="R1212">
        <v>1.56</v>
      </c>
    </row>
    <row r="1213" spans="1:19" x14ac:dyDescent="0.2">
      <c r="A1213" t="s">
        <v>2213</v>
      </c>
      <c r="B1213" t="s">
        <v>2214</v>
      </c>
      <c r="C1213">
        <v>2016</v>
      </c>
      <c r="D1213">
        <v>0</v>
      </c>
      <c r="E1213" t="s">
        <v>55</v>
      </c>
      <c r="F1213" t="s">
        <v>128</v>
      </c>
      <c r="G1213" t="s">
        <v>129</v>
      </c>
      <c r="H1213">
        <v>1</v>
      </c>
      <c r="I1213">
        <v>8.1997959999999992</v>
      </c>
      <c r="J1213">
        <v>142.31</v>
      </c>
      <c r="K1213">
        <v>0.85</v>
      </c>
      <c r="L1213">
        <v>603.87699999999995</v>
      </c>
      <c r="M1213">
        <v>2.2999999999999998</v>
      </c>
      <c r="N1213">
        <v>1.9</v>
      </c>
      <c r="O1213">
        <v>0.20499999999999999</v>
      </c>
      <c r="Q1213">
        <v>0.8</v>
      </c>
      <c r="R1213">
        <v>0.76</v>
      </c>
      <c r="S1213">
        <v>2.5</v>
      </c>
    </row>
    <row r="1214" spans="1:19" x14ac:dyDescent="0.2">
      <c r="A1214" t="s">
        <v>2215</v>
      </c>
      <c r="B1214" t="s">
        <v>2216</v>
      </c>
      <c r="C1214">
        <v>2016</v>
      </c>
      <c r="D1214">
        <v>0</v>
      </c>
      <c r="E1214" t="s">
        <v>55</v>
      </c>
      <c r="F1214" t="s">
        <v>128</v>
      </c>
      <c r="G1214" t="s">
        <v>129</v>
      </c>
      <c r="H1214">
        <v>1</v>
      </c>
      <c r="I1214">
        <v>10.99573</v>
      </c>
      <c r="J1214">
        <v>257.89999999999998</v>
      </c>
      <c r="M1214">
        <v>3.69</v>
      </c>
      <c r="O1214">
        <v>0.32900000000000001</v>
      </c>
      <c r="Q1214">
        <v>1.06</v>
      </c>
      <c r="R1214">
        <v>1.28</v>
      </c>
    </row>
    <row r="1215" spans="1:19" x14ac:dyDescent="0.2">
      <c r="A1215" t="s">
        <v>2217</v>
      </c>
      <c r="B1215" t="s">
        <v>2218</v>
      </c>
      <c r="C1215">
        <v>2015</v>
      </c>
      <c r="D1215">
        <v>0</v>
      </c>
      <c r="E1215" t="s">
        <v>55</v>
      </c>
      <c r="F1215" t="s">
        <v>128</v>
      </c>
      <c r="G1215" t="s">
        <v>129</v>
      </c>
      <c r="H1215">
        <v>2</v>
      </c>
      <c r="I1215">
        <v>10.35239</v>
      </c>
      <c r="J1215">
        <v>407.93</v>
      </c>
      <c r="M1215">
        <v>3.58</v>
      </c>
      <c r="O1215">
        <v>0.31900000000000001</v>
      </c>
      <c r="Q1215">
        <v>0.78</v>
      </c>
      <c r="R1215">
        <v>0.74</v>
      </c>
    </row>
    <row r="1216" spans="1:19" x14ac:dyDescent="0.2">
      <c r="A1216" t="s">
        <v>2217</v>
      </c>
      <c r="B1216" t="s">
        <v>2219</v>
      </c>
      <c r="C1216">
        <v>2016</v>
      </c>
      <c r="D1216">
        <v>0</v>
      </c>
      <c r="E1216" t="s">
        <v>55</v>
      </c>
      <c r="F1216" t="s">
        <v>128</v>
      </c>
      <c r="G1216" t="s">
        <v>129</v>
      </c>
      <c r="H1216">
        <v>2</v>
      </c>
      <c r="I1216">
        <v>5.0641600000000002</v>
      </c>
      <c r="J1216">
        <v>407.93</v>
      </c>
      <c r="M1216">
        <v>2.41</v>
      </c>
      <c r="O1216">
        <v>0.215</v>
      </c>
      <c r="Q1216">
        <v>0.78</v>
      </c>
      <c r="R1216">
        <v>0.74</v>
      </c>
    </row>
    <row r="1217" spans="1:19" x14ac:dyDescent="0.2">
      <c r="A1217" t="s">
        <v>2220</v>
      </c>
      <c r="B1217" t="s">
        <v>2221</v>
      </c>
      <c r="C1217">
        <v>2016</v>
      </c>
      <c r="D1217">
        <v>0</v>
      </c>
      <c r="E1217" t="s">
        <v>55</v>
      </c>
      <c r="F1217" t="s">
        <v>128</v>
      </c>
      <c r="G1217" t="s">
        <v>129</v>
      </c>
      <c r="H1217">
        <v>3</v>
      </c>
      <c r="I1217">
        <v>19.091799999999999</v>
      </c>
      <c r="J1217">
        <v>201.96</v>
      </c>
      <c r="M1217">
        <v>2.0099999999999998</v>
      </c>
      <c r="O1217">
        <v>0.17899999999999999</v>
      </c>
      <c r="Q1217">
        <v>0.9</v>
      </c>
      <c r="R1217">
        <v>0.87</v>
      </c>
    </row>
    <row r="1218" spans="1:19" x14ac:dyDescent="0.2">
      <c r="A1218" t="s">
        <v>2220</v>
      </c>
      <c r="B1218" t="s">
        <v>2222</v>
      </c>
      <c r="C1218">
        <v>2016</v>
      </c>
      <c r="D1218">
        <v>0</v>
      </c>
      <c r="E1218" t="s">
        <v>55</v>
      </c>
      <c r="F1218" t="s">
        <v>128</v>
      </c>
      <c r="G1218" t="s">
        <v>129</v>
      </c>
      <c r="H1218">
        <v>3</v>
      </c>
      <c r="I1218">
        <v>5.6050000000000004</v>
      </c>
      <c r="J1218">
        <v>201.96</v>
      </c>
      <c r="M1218">
        <v>1.47</v>
      </c>
      <c r="O1218">
        <v>0.13100000000000001</v>
      </c>
      <c r="Q1218">
        <v>0.9</v>
      </c>
      <c r="R1218">
        <v>0.87</v>
      </c>
    </row>
    <row r="1219" spans="1:19" x14ac:dyDescent="0.2">
      <c r="A1219" t="s">
        <v>2220</v>
      </c>
      <c r="B1219" t="s">
        <v>2223</v>
      </c>
      <c r="C1219">
        <v>2018</v>
      </c>
      <c r="D1219">
        <v>0</v>
      </c>
      <c r="E1219" t="s">
        <v>55</v>
      </c>
      <c r="F1219" t="s">
        <v>128</v>
      </c>
      <c r="G1219" t="s">
        <v>129</v>
      </c>
      <c r="H1219">
        <v>3</v>
      </c>
      <c r="I1219">
        <v>28.867253000000002</v>
      </c>
      <c r="J1219">
        <v>201.96</v>
      </c>
      <c r="M1219">
        <v>2.552</v>
      </c>
      <c r="O1219">
        <v>0.22800000000000001</v>
      </c>
      <c r="Q1219">
        <v>0.9</v>
      </c>
      <c r="R1219">
        <v>0.87</v>
      </c>
    </row>
    <row r="1220" spans="1:19" x14ac:dyDescent="0.2">
      <c r="A1220" t="s">
        <v>2224</v>
      </c>
      <c r="B1220" t="s">
        <v>2225</v>
      </c>
      <c r="C1220">
        <v>2016</v>
      </c>
      <c r="D1220">
        <v>0</v>
      </c>
      <c r="E1220" t="s">
        <v>55</v>
      </c>
      <c r="F1220" t="s">
        <v>128</v>
      </c>
      <c r="G1220" t="s">
        <v>129</v>
      </c>
      <c r="H1220">
        <v>1</v>
      </c>
      <c r="I1220">
        <v>6.1023250000000004</v>
      </c>
      <c r="J1220">
        <v>254.14</v>
      </c>
      <c r="M1220">
        <v>1.97</v>
      </c>
      <c r="O1220">
        <v>0.17599999999999999</v>
      </c>
      <c r="Q1220">
        <v>0.75</v>
      </c>
      <c r="R1220">
        <v>0.63</v>
      </c>
    </row>
    <row r="1221" spans="1:19" x14ac:dyDescent="0.2">
      <c r="A1221" t="s">
        <v>2226</v>
      </c>
      <c r="B1221" t="s">
        <v>2227</v>
      </c>
      <c r="C1221">
        <v>2016</v>
      </c>
      <c r="D1221">
        <v>0</v>
      </c>
      <c r="E1221" t="s">
        <v>55</v>
      </c>
      <c r="F1221" t="s">
        <v>128</v>
      </c>
      <c r="G1221" t="s">
        <v>129</v>
      </c>
      <c r="H1221">
        <v>2</v>
      </c>
      <c r="I1221">
        <v>2.7469700000000001</v>
      </c>
      <c r="J1221">
        <v>125.98</v>
      </c>
      <c r="M1221">
        <v>1.244</v>
      </c>
      <c r="O1221">
        <v>0.111</v>
      </c>
      <c r="Q1221">
        <v>0.48</v>
      </c>
      <c r="R1221">
        <v>0.42</v>
      </c>
    </row>
    <row r="1222" spans="1:19" x14ac:dyDescent="0.2">
      <c r="A1222" t="s">
        <v>2226</v>
      </c>
      <c r="B1222" t="s">
        <v>2228</v>
      </c>
      <c r="C1222">
        <v>2016</v>
      </c>
      <c r="D1222">
        <v>0</v>
      </c>
      <c r="E1222" t="s">
        <v>55</v>
      </c>
      <c r="F1222" t="s">
        <v>128</v>
      </c>
      <c r="G1222" t="s">
        <v>129</v>
      </c>
      <c r="H1222">
        <v>2</v>
      </c>
      <c r="I1222">
        <v>9.9976699999999994</v>
      </c>
      <c r="J1222">
        <v>125.98</v>
      </c>
      <c r="M1222">
        <v>1.4830000000000001</v>
      </c>
      <c r="O1222">
        <v>0.13200000000000001</v>
      </c>
      <c r="Q1222">
        <v>0.48</v>
      </c>
      <c r="R1222">
        <v>0.42</v>
      </c>
    </row>
    <row r="1223" spans="1:19" x14ac:dyDescent="0.2">
      <c r="A1223" t="s">
        <v>2229</v>
      </c>
      <c r="B1223" t="s">
        <v>2230</v>
      </c>
      <c r="C1223">
        <v>2016</v>
      </c>
      <c r="D1223">
        <v>0</v>
      </c>
      <c r="E1223" t="s">
        <v>55</v>
      </c>
      <c r="F1223" t="s">
        <v>128</v>
      </c>
      <c r="G1223" t="s">
        <v>129</v>
      </c>
      <c r="H1223">
        <v>2</v>
      </c>
      <c r="I1223">
        <v>6.4215</v>
      </c>
      <c r="J1223">
        <v>287.23</v>
      </c>
      <c r="M1223">
        <v>2.41</v>
      </c>
      <c r="O1223">
        <v>0.215</v>
      </c>
      <c r="Q1223">
        <v>0.95</v>
      </c>
      <c r="R1223">
        <v>0.93</v>
      </c>
    </row>
    <row r="1224" spans="1:19" x14ac:dyDescent="0.2">
      <c r="A1224" t="s">
        <v>2229</v>
      </c>
      <c r="B1224" t="s">
        <v>2231</v>
      </c>
      <c r="C1224">
        <v>2016</v>
      </c>
      <c r="D1224">
        <v>0</v>
      </c>
      <c r="E1224" t="s">
        <v>55</v>
      </c>
      <c r="F1224" t="s">
        <v>128</v>
      </c>
      <c r="G1224" t="s">
        <v>129</v>
      </c>
      <c r="H1224">
        <v>2</v>
      </c>
      <c r="I1224">
        <v>27.86</v>
      </c>
      <c r="J1224">
        <v>287.23</v>
      </c>
      <c r="M1224">
        <v>2.0299999999999998</v>
      </c>
      <c r="O1224">
        <v>0.18099999999999999</v>
      </c>
      <c r="Q1224">
        <v>0.95</v>
      </c>
      <c r="R1224">
        <v>0.93</v>
      </c>
    </row>
    <row r="1225" spans="1:19" x14ac:dyDescent="0.2">
      <c r="A1225" t="s">
        <v>2232</v>
      </c>
      <c r="B1225" t="s">
        <v>2233</v>
      </c>
      <c r="C1225">
        <v>2016</v>
      </c>
      <c r="D1225">
        <v>0</v>
      </c>
      <c r="E1225" t="s">
        <v>55</v>
      </c>
      <c r="F1225" t="s">
        <v>128</v>
      </c>
      <c r="G1225" t="s">
        <v>129</v>
      </c>
      <c r="H1225">
        <v>1</v>
      </c>
      <c r="I1225">
        <v>0.68453299999999995</v>
      </c>
      <c r="J1225">
        <v>97.49</v>
      </c>
      <c r="M1225">
        <v>1.01</v>
      </c>
      <c r="O1225">
        <v>0.09</v>
      </c>
      <c r="Q1225">
        <v>0.56999999999999995</v>
      </c>
      <c r="R1225">
        <v>0.51</v>
      </c>
    </row>
    <row r="1226" spans="1:19" x14ac:dyDescent="0.2">
      <c r="A1226" t="s">
        <v>2234</v>
      </c>
      <c r="B1226" t="s">
        <v>2235</v>
      </c>
      <c r="C1226">
        <v>2016</v>
      </c>
      <c r="D1226">
        <v>0</v>
      </c>
      <c r="E1226" t="s">
        <v>55</v>
      </c>
      <c r="F1226" t="s">
        <v>128</v>
      </c>
      <c r="G1226" t="s">
        <v>129</v>
      </c>
      <c r="H1226">
        <v>1</v>
      </c>
      <c r="I1226">
        <v>8.7768300000000004</v>
      </c>
      <c r="J1226">
        <v>260.61</v>
      </c>
      <c r="M1226">
        <v>1.96</v>
      </c>
      <c r="O1226">
        <v>0.17499999999999999</v>
      </c>
      <c r="Q1226">
        <v>0.79</v>
      </c>
      <c r="R1226">
        <v>0.76</v>
      </c>
    </row>
    <row r="1227" spans="1:19" x14ac:dyDescent="0.2">
      <c r="A1227" t="s">
        <v>2236</v>
      </c>
      <c r="B1227" t="s">
        <v>2237</v>
      </c>
      <c r="C1227">
        <v>2016</v>
      </c>
      <c r="D1227">
        <v>0</v>
      </c>
      <c r="E1227" t="s">
        <v>55</v>
      </c>
      <c r="F1227" t="s">
        <v>128</v>
      </c>
      <c r="G1227" t="s">
        <v>129</v>
      </c>
      <c r="H1227">
        <v>1</v>
      </c>
      <c r="I1227">
        <v>9.7266180000000002</v>
      </c>
      <c r="J1227">
        <v>503.6</v>
      </c>
      <c r="M1227">
        <v>7.6</v>
      </c>
      <c r="O1227">
        <v>0.67800000000000005</v>
      </c>
      <c r="Q1227">
        <v>1.1599999999999999</v>
      </c>
      <c r="R1227">
        <v>1.4</v>
      </c>
      <c r="S1227">
        <v>0.59</v>
      </c>
    </row>
    <row r="1228" spans="1:19" x14ac:dyDescent="0.2">
      <c r="A1228" t="s">
        <v>2238</v>
      </c>
      <c r="B1228" t="s">
        <v>2239</v>
      </c>
      <c r="C1228">
        <v>2016</v>
      </c>
      <c r="D1228">
        <v>0</v>
      </c>
      <c r="E1228" t="s">
        <v>55</v>
      </c>
      <c r="F1228" t="s">
        <v>128</v>
      </c>
      <c r="G1228" t="s">
        <v>129</v>
      </c>
      <c r="H1228">
        <v>1</v>
      </c>
      <c r="I1228">
        <v>4.6121999999999996</v>
      </c>
      <c r="J1228">
        <v>110.91</v>
      </c>
      <c r="M1228">
        <v>1.23</v>
      </c>
      <c r="O1228">
        <v>0.11</v>
      </c>
      <c r="Q1228">
        <v>0.26</v>
      </c>
      <c r="R1228">
        <v>0.26</v>
      </c>
    </row>
    <row r="1229" spans="1:19" x14ac:dyDescent="0.2">
      <c r="A1229" t="s">
        <v>2240</v>
      </c>
      <c r="B1229" t="s">
        <v>2241</v>
      </c>
      <c r="C1229">
        <v>2016</v>
      </c>
      <c r="D1229">
        <v>0</v>
      </c>
      <c r="E1229" t="s">
        <v>55</v>
      </c>
      <c r="F1229" t="s">
        <v>128</v>
      </c>
      <c r="G1229" t="s">
        <v>129</v>
      </c>
      <c r="H1229">
        <v>1</v>
      </c>
      <c r="I1229">
        <v>1.0960259999999999</v>
      </c>
      <c r="J1229">
        <v>86.25</v>
      </c>
      <c r="M1229">
        <v>0.61499999999999999</v>
      </c>
      <c r="O1229">
        <v>5.5E-2</v>
      </c>
      <c r="Q1229">
        <v>0.35</v>
      </c>
      <c r="R1229">
        <v>0.32</v>
      </c>
    </row>
    <row r="1230" spans="1:19" x14ac:dyDescent="0.2">
      <c r="A1230" t="s">
        <v>2242</v>
      </c>
      <c r="B1230" t="s">
        <v>2243</v>
      </c>
      <c r="C1230">
        <v>2015</v>
      </c>
      <c r="D1230">
        <v>0</v>
      </c>
      <c r="E1230" t="s">
        <v>55</v>
      </c>
      <c r="F1230" t="s">
        <v>128</v>
      </c>
      <c r="G1230" t="s">
        <v>129</v>
      </c>
      <c r="H1230">
        <v>1</v>
      </c>
      <c r="I1230">
        <v>18.4498</v>
      </c>
      <c r="J1230">
        <v>83.16</v>
      </c>
      <c r="K1230">
        <v>1</v>
      </c>
      <c r="M1230">
        <v>2.25</v>
      </c>
      <c r="O1230">
        <v>0.20100000000000001</v>
      </c>
      <c r="Q1230">
        <v>0.3</v>
      </c>
      <c r="R1230">
        <v>0.31</v>
      </c>
      <c r="S1230">
        <v>9.8800000000000008</v>
      </c>
    </row>
    <row r="1231" spans="1:19" x14ac:dyDescent="0.2">
      <c r="A1231" t="s">
        <v>2244</v>
      </c>
      <c r="B1231" t="s">
        <v>2245</v>
      </c>
      <c r="C1231">
        <v>2016</v>
      </c>
      <c r="D1231">
        <v>0</v>
      </c>
      <c r="E1231" t="s">
        <v>55</v>
      </c>
      <c r="F1231" t="s">
        <v>128</v>
      </c>
      <c r="G1231" t="s">
        <v>129</v>
      </c>
      <c r="H1231">
        <v>2</v>
      </c>
      <c r="I1231">
        <v>13.733314</v>
      </c>
      <c r="J1231">
        <v>134.9</v>
      </c>
      <c r="M1231">
        <v>2.6</v>
      </c>
      <c r="O1231">
        <v>0.23200000000000001</v>
      </c>
      <c r="Q1231">
        <v>0.63</v>
      </c>
      <c r="R1231">
        <v>0.62</v>
      </c>
      <c r="S1231">
        <v>3.74</v>
      </c>
    </row>
    <row r="1232" spans="1:19" x14ac:dyDescent="0.2">
      <c r="A1232" t="s">
        <v>2244</v>
      </c>
      <c r="B1232" t="s">
        <v>2246</v>
      </c>
      <c r="C1232">
        <v>2016</v>
      </c>
      <c r="D1232">
        <v>0</v>
      </c>
      <c r="E1232" t="s">
        <v>55</v>
      </c>
      <c r="F1232" t="s">
        <v>128</v>
      </c>
      <c r="G1232" t="s">
        <v>129</v>
      </c>
      <c r="H1232">
        <v>2</v>
      </c>
      <c r="I1232">
        <v>2.900706</v>
      </c>
      <c r="J1232">
        <v>134.9</v>
      </c>
      <c r="M1232">
        <v>1.3</v>
      </c>
      <c r="O1232">
        <v>0.11600000000000001</v>
      </c>
      <c r="Q1232">
        <v>0.63</v>
      </c>
      <c r="R1232">
        <v>0.62</v>
      </c>
      <c r="S1232">
        <v>3.74</v>
      </c>
    </row>
    <row r="1233" spans="1:19" x14ac:dyDescent="0.2">
      <c r="A1233" t="s">
        <v>2247</v>
      </c>
      <c r="B1233" t="s">
        <v>2248</v>
      </c>
      <c r="C1233">
        <v>2016</v>
      </c>
      <c r="D1233">
        <v>0</v>
      </c>
      <c r="E1233" t="s">
        <v>55</v>
      </c>
      <c r="F1233" t="s">
        <v>128</v>
      </c>
      <c r="G1233" t="s">
        <v>129</v>
      </c>
      <c r="H1233">
        <v>1</v>
      </c>
      <c r="I1233">
        <v>1.4195489999999999</v>
      </c>
      <c r="J1233">
        <v>62.69</v>
      </c>
      <c r="M1233">
        <v>1.1000000000000001</v>
      </c>
      <c r="O1233">
        <v>9.8000000000000004E-2</v>
      </c>
      <c r="Q1233">
        <v>0.28999999999999998</v>
      </c>
      <c r="R1233">
        <v>0.28000000000000003</v>
      </c>
    </row>
    <row r="1234" spans="1:19" x14ac:dyDescent="0.2">
      <c r="A1234" t="s">
        <v>2249</v>
      </c>
      <c r="B1234" t="s">
        <v>2250</v>
      </c>
      <c r="C1234">
        <v>2016</v>
      </c>
      <c r="D1234">
        <v>0</v>
      </c>
      <c r="E1234" t="s">
        <v>55</v>
      </c>
      <c r="F1234" t="s">
        <v>128</v>
      </c>
      <c r="G1234" t="s">
        <v>129</v>
      </c>
      <c r="H1234">
        <v>1</v>
      </c>
      <c r="I1234">
        <v>10.134016000000001</v>
      </c>
      <c r="J1234">
        <v>180.63</v>
      </c>
      <c r="M1234">
        <v>3.88</v>
      </c>
      <c r="O1234">
        <v>0.34599999999999997</v>
      </c>
      <c r="Q1234">
        <v>0.44</v>
      </c>
      <c r="R1234">
        <v>0.42</v>
      </c>
      <c r="S1234">
        <v>1.1200000000000001</v>
      </c>
    </row>
    <row r="1235" spans="1:19" x14ac:dyDescent="0.2">
      <c r="A1235" t="s">
        <v>2251</v>
      </c>
      <c r="B1235" t="s">
        <v>2252</v>
      </c>
      <c r="C1235">
        <v>2016</v>
      </c>
      <c r="D1235">
        <v>0</v>
      </c>
      <c r="E1235" t="s">
        <v>55</v>
      </c>
      <c r="F1235" t="s">
        <v>128</v>
      </c>
      <c r="G1235" t="s">
        <v>129</v>
      </c>
      <c r="H1235">
        <v>1</v>
      </c>
      <c r="I1235">
        <v>8.4067260000000008</v>
      </c>
      <c r="J1235">
        <v>869.76</v>
      </c>
      <c r="M1235">
        <v>10.61</v>
      </c>
      <c r="O1235">
        <v>0.94699999999999995</v>
      </c>
      <c r="Q1235">
        <v>1.2</v>
      </c>
      <c r="R1235">
        <v>4.47</v>
      </c>
      <c r="S1235">
        <v>0.27900000000000003</v>
      </c>
    </row>
    <row r="1236" spans="1:19" x14ac:dyDescent="0.2">
      <c r="A1236" t="s">
        <v>2253</v>
      </c>
      <c r="B1236" t="s">
        <v>2254</v>
      </c>
      <c r="C1236">
        <v>2016</v>
      </c>
      <c r="D1236">
        <v>0</v>
      </c>
      <c r="E1236" t="s">
        <v>55</v>
      </c>
      <c r="F1236" t="s">
        <v>128</v>
      </c>
      <c r="G1236" t="s">
        <v>129</v>
      </c>
      <c r="H1236">
        <v>1</v>
      </c>
      <c r="I1236">
        <v>10.136448</v>
      </c>
      <c r="J1236">
        <v>526.30999999999995</v>
      </c>
      <c r="M1236">
        <v>5.2</v>
      </c>
      <c r="O1236">
        <v>0.46400000000000002</v>
      </c>
      <c r="Q1236">
        <v>1.2</v>
      </c>
      <c r="R1236">
        <v>1.57</v>
      </c>
      <c r="S1236">
        <v>0.63300000000000001</v>
      </c>
    </row>
    <row r="1237" spans="1:19" x14ac:dyDescent="0.2">
      <c r="A1237" t="s">
        <v>2255</v>
      </c>
      <c r="B1237" t="s">
        <v>2256</v>
      </c>
      <c r="C1237">
        <v>2016</v>
      </c>
      <c r="D1237">
        <v>0</v>
      </c>
      <c r="E1237" t="s">
        <v>55</v>
      </c>
      <c r="F1237" t="s">
        <v>128</v>
      </c>
      <c r="G1237" t="s">
        <v>129</v>
      </c>
      <c r="H1237">
        <v>1</v>
      </c>
      <c r="I1237">
        <v>18.251985000000001</v>
      </c>
      <c r="J1237">
        <v>522.29</v>
      </c>
      <c r="M1237">
        <v>11.73</v>
      </c>
      <c r="O1237">
        <v>1.046</v>
      </c>
      <c r="Q1237">
        <v>1.63</v>
      </c>
      <c r="R1237">
        <v>2.63</v>
      </c>
      <c r="S1237">
        <v>9.9000000000000005E-2</v>
      </c>
    </row>
    <row r="1238" spans="1:19" x14ac:dyDescent="0.2">
      <c r="A1238" t="s">
        <v>2257</v>
      </c>
      <c r="B1238" t="s">
        <v>2258</v>
      </c>
      <c r="C1238">
        <v>2012</v>
      </c>
      <c r="D1238">
        <v>0</v>
      </c>
      <c r="E1238" t="s">
        <v>21</v>
      </c>
      <c r="F1238" t="s">
        <v>128</v>
      </c>
      <c r="G1238" t="s">
        <v>2259</v>
      </c>
      <c r="H1238">
        <v>1</v>
      </c>
      <c r="I1238">
        <v>1.217514</v>
      </c>
      <c r="J1238">
        <v>262</v>
      </c>
      <c r="L1238">
        <v>8654.15</v>
      </c>
      <c r="M1238">
        <v>12.442</v>
      </c>
      <c r="N1238">
        <v>27.23</v>
      </c>
      <c r="O1238">
        <v>1.1100000000000001</v>
      </c>
      <c r="P1238">
        <v>24.7</v>
      </c>
      <c r="Q1238">
        <v>1.32</v>
      </c>
      <c r="R1238">
        <v>1.46</v>
      </c>
    </row>
    <row r="1239" spans="1:19" x14ac:dyDescent="0.2">
      <c r="A1239" t="s">
        <v>2260</v>
      </c>
      <c r="B1239" t="s">
        <v>2261</v>
      </c>
      <c r="C1239">
        <v>2016</v>
      </c>
      <c r="D1239">
        <v>0</v>
      </c>
      <c r="E1239" t="s">
        <v>21</v>
      </c>
      <c r="F1239" t="s">
        <v>128</v>
      </c>
      <c r="G1239" t="s">
        <v>2262</v>
      </c>
      <c r="H1239">
        <v>1</v>
      </c>
      <c r="I1239">
        <v>4.1662739000000002</v>
      </c>
      <c r="J1239">
        <v>183</v>
      </c>
      <c r="K1239">
        <v>4.5</v>
      </c>
      <c r="L1239">
        <v>215.80656999999999</v>
      </c>
      <c r="M1239">
        <v>15.680999999999999</v>
      </c>
      <c r="N1239">
        <v>0.67900000000000005</v>
      </c>
      <c r="O1239">
        <v>1.399</v>
      </c>
      <c r="P1239">
        <v>0.308</v>
      </c>
      <c r="Q1239">
        <v>1.1100000000000001</v>
      </c>
      <c r="R1239">
        <v>1.21</v>
      </c>
      <c r="S1239">
        <v>0.88900000000000001</v>
      </c>
    </row>
    <row r="1240" spans="1:19" x14ac:dyDescent="0.2">
      <c r="A1240" t="s">
        <v>2263</v>
      </c>
      <c r="B1240" t="s">
        <v>2264</v>
      </c>
      <c r="C1240">
        <v>2017</v>
      </c>
      <c r="D1240">
        <v>0</v>
      </c>
      <c r="E1240" t="s">
        <v>21</v>
      </c>
      <c r="F1240" t="s">
        <v>128</v>
      </c>
      <c r="G1240" t="s">
        <v>2262</v>
      </c>
      <c r="H1240">
        <v>1</v>
      </c>
      <c r="I1240">
        <v>4.7361000000000004</v>
      </c>
      <c r="J1240">
        <v>98</v>
      </c>
      <c r="L1240">
        <v>54.348930000000003</v>
      </c>
      <c r="M1240">
        <v>15.132</v>
      </c>
      <c r="N1240">
        <v>0.17100000000000001</v>
      </c>
      <c r="O1240">
        <v>1.35</v>
      </c>
      <c r="Q1240">
        <v>1.44</v>
      </c>
      <c r="R1240">
        <v>2.69</v>
      </c>
      <c r="S1240">
        <v>0.104</v>
      </c>
    </row>
    <row r="1241" spans="1:19" x14ac:dyDescent="0.2">
      <c r="A1241" t="s">
        <v>2265</v>
      </c>
      <c r="B1241" t="s">
        <v>2266</v>
      </c>
      <c r="C1241">
        <v>2017</v>
      </c>
      <c r="D1241">
        <v>0</v>
      </c>
      <c r="E1241" t="s">
        <v>21</v>
      </c>
      <c r="F1241" t="s">
        <v>128</v>
      </c>
      <c r="G1241" t="s">
        <v>2267</v>
      </c>
      <c r="H1241">
        <v>1</v>
      </c>
      <c r="I1241">
        <v>5.0316229999999997</v>
      </c>
      <c r="J1241">
        <v>360</v>
      </c>
      <c r="K1241">
        <v>2.2000000000000002</v>
      </c>
      <c r="L1241">
        <v>301.93849999999998</v>
      </c>
      <c r="M1241">
        <v>19.952000000000002</v>
      </c>
      <c r="N1241">
        <v>0.95</v>
      </c>
      <c r="O1241">
        <v>1.78</v>
      </c>
      <c r="P1241">
        <v>0.20899999999999999</v>
      </c>
      <c r="Q1241">
        <v>1.59</v>
      </c>
      <c r="R1241">
        <v>2.37</v>
      </c>
      <c r="S1241">
        <v>0.16800000000000001</v>
      </c>
    </row>
    <row r="1242" spans="1:19" x14ac:dyDescent="0.2">
      <c r="A1242" t="s">
        <v>2268</v>
      </c>
      <c r="B1242" t="s">
        <v>2269</v>
      </c>
      <c r="C1242">
        <v>2016</v>
      </c>
      <c r="D1242">
        <v>0</v>
      </c>
      <c r="E1242" t="s">
        <v>21</v>
      </c>
      <c r="F1242" t="s">
        <v>128</v>
      </c>
      <c r="G1242" t="s">
        <v>2262</v>
      </c>
      <c r="H1242">
        <v>1</v>
      </c>
      <c r="I1242">
        <v>1.7100565999999999</v>
      </c>
      <c r="J1242">
        <v>266</v>
      </c>
      <c r="K1242">
        <v>5.1100000000000003</v>
      </c>
      <c r="L1242">
        <v>408.09372000000002</v>
      </c>
      <c r="M1242">
        <v>19.536999999999999</v>
      </c>
      <c r="N1242">
        <v>1.284</v>
      </c>
      <c r="O1242">
        <v>1.7430000000000001</v>
      </c>
      <c r="P1242">
        <v>0.32200000000000001</v>
      </c>
      <c r="Q1242">
        <v>1.24</v>
      </c>
      <c r="R1242">
        <v>1.52</v>
      </c>
      <c r="S1242">
        <v>0.495</v>
      </c>
    </row>
    <row r="1243" spans="1:19" x14ac:dyDescent="0.2">
      <c r="A1243" t="s">
        <v>2270</v>
      </c>
      <c r="B1243" t="s">
        <v>2271</v>
      </c>
      <c r="C1243">
        <v>2016</v>
      </c>
      <c r="D1243">
        <v>0</v>
      </c>
      <c r="E1243" t="s">
        <v>21</v>
      </c>
      <c r="F1243" t="s">
        <v>128</v>
      </c>
      <c r="G1243" t="s">
        <v>2262</v>
      </c>
      <c r="H1243">
        <v>1</v>
      </c>
      <c r="I1243">
        <v>3.32944</v>
      </c>
      <c r="J1243">
        <v>291</v>
      </c>
      <c r="L1243">
        <v>416.35730000000001</v>
      </c>
      <c r="M1243">
        <v>19.504000000000001</v>
      </c>
      <c r="N1243">
        <v>1.31</v>
      </c>
      <c r="O1243">
        <v>1.74</v>
      </c>
      <c r="Q1243">
        <v>2.06</v>
      </c>
      <c r="R1243">
        <v>1.78</v>
      </c>
      <c r="S1243">
        <v>0.51</v>
      </c>
    </row>
    <row r="1244" spans="1:19" x14ac:dyDescent="0.2">
      <c r="A1244" t="s">
        <v>2272</v>
      </c>
      <c r="B1244" t="s">
        <v>2273</v>
      </c>
      <c r="C1244">
        <v>2017</v>
      </c>
      <c r="D1244">
        <v>0</v>
      </c>
      <c r="E1244" t="s">
        <v>21</v>
      </c>
      <c r="F1244" t="s">
        <v>128</v>
      </c>
      <c r="G1244" t="s">
        <v>2259</v>
      </c>
      <c r="H1244">
        <v>1</v>
      </c>
      <c r="I1244">
        <v>0.9689951</v>
      </c>
      <c r="J1244">
        <v>450.28</v>
      </c>
      <c r="K1244">
        <v>3.1</v>
      </c>
      <c r="L1244">
        <v>874.03250000000003</v>
      </c>
      <c r="M1244">
        <v>15.861000000000001</v>
      </c>
      <c r="N1244">
        <v>2.75</v>
      </c>
      <c r="O1244">
        <v>1.415</v>
      </c>
      <c r="P1244">
        <v>1.2</v>
      </c>
      <c r="Q1244">
        <v>1.21</v>
      </c>
      <c r="R1244">
        <v>1.36</v>
      </c>
      <c r="S1244">
        <v>0.67900000000000005</v>
      </c>
    </row>
    <row r="1245" spans="1:19" x14ac:dyDescent="0.2">
      <c r="A1245" t="s">
        <v>2274</v>
      </c>
      <c r="B1245" t="s">
        <v>2275</v>
      </c>
      <c r="C1245">
        <v>2016</v>
      </c>
      <c r="D1245">
        <v>0</v>
      </c>
      <c r="E1245" t="s">
        <v>21</v>
      </c>
      <c r="F1245" t="s">
        <v>128</v>
      </c>
      <c r="G1245" t="s">
        <v>2259</v>
      </c>
      <c r="H1245">
        <v>1</v>
      </c>
      <c r="I1245">
        <v>3.0801715999999999</v>
      </c>
      <c r="J1245">
        <v>210</v>
      </c>
      <c r="K1245">
        <v>0.65</v>
      </c>
      <c r="L1245">
        <v>416.35730000000001</v>
      </c>
      <c r="M1245">
        <v>17.094000000000001</v>
      </c>
      <c r="N1245">
        <v>1.31</v>
      </c>
      <c r="O1245">
        <v>1.5249999999999999</v>
      </c>
      <c r="P1245">
        <v>0.46</v>
      </c>
      <c r="Q1245">
        <v>1.64</v>
      </c>
      <c r="R1245">
        <v>1.65</v>
      </c>
      <c r="S1245">
        <v>0.51800000000000002</v>
      </c>
    </row>
    <row r="1246" spans="1:19" x14ac:dyDescent="0.2">
      <c r="A1246" t="s">
        <v>2276</v>
      </c>
      <c r="B1246" t="s">
        <v>2277</v>
      </c>
      <c r="C1246">
        <v>2017</v>
      </c>
      <c r="D1246">
        <v>0</v>
      </c>
      <c r="E1246" t="s">
        <v>21</v>
      </c>
      <c r="F1246" t="s">
        <v>128</v>
      </c>
      <c r="G1246" t="s">
        <v>2267</v>
      </c>
      <c r="H1246">
        <v>1</v>
      </c>
      <c r="I1246">
        <v>2.8717518000000002</v>
      </c>
      <c r="J1246">
        <v>311</v>
      </c>
      <c r="K1246">
        <v>1.9</v>
      </c>
      <c r="L1246">
        <v>375.0394</v>
      </c>
      <c r="M1246">
        <v>17.597999999999999</v>
      </c>
      <c r="N1246">
        <v>1.18</v>
      </c>
      <c r="O1246">
        <v>1.57</v>
      </c>
      <c r="P1246">
        <v>0.377</v>
      </c>
      <c r="Q1246">
        <v>1.52</v>
      </c>
      <c r="R1246">
        <v>1.91</v>
      </c>
      <c r="S1246">
        <v>0.31109999999999999</v>
      </c>
    </row>
    <row r="1247" spans="1:19" x14ac:dyDescent="0.2">
      <c r="A1247" t="s">
        <v>2278</v>
      </c>
      <c r="B1247" t="s">
        <v>2279</v>
      </c>
      <c r="C1247">
        <v>2017</v>
      </c>
      <c r="D1247">
        <v>0</v>
      </c>
      <c r="E1247" t="s">
        <v>21</v>
      </c>
      <c r="F1247" t="s">
        <v>128</v>
      </c>
      <c r="G1247" t="s">
        <v>2259</v>
      </c>
      <c r="H1247">
        <v>1</v>
      </c>
      <c r="I1247">
        <v>4.6117093000000002</v>
      </c>
      <c r="J1247">
        <v>302.8</v>
      </c>
      <c r="L1247">
        <v>1293.5681</v>
      </c>
      <c r="M1247">
        <v>21.408999999999999</v>
      </c>
      <c r="N1247">
        <v>4.07</v>
      </c>
      <c r="O1247">
        <v>1.91</v>
      </c>
      <c r="P1247">
        <v>0.74399999999999999</v>
      </c>
      <c r="Q1247">
        <v>1.62</v>
      </c>
      <c r="R1247">
        <v>1.83</v>
      </c>
      <c r="S1247">
        <v>0.376</v>
      </c>
    </row>
    <row r="1248" spans="1:19" x14ac:dyDescent="0.2">
      <c r="A1248" t="s">
        <v>2280</v>
      </c>
      <c r="B1248" t="s">
        <v>2281</v>
      </c>
      <c r="C1248">
        <v>2012</v>
      </c>
      <c r="D1248">
        <v>0</v>
      </c>
      <c r="E1248" t="s">
        <v>21</v>
      </c>
      <c r="F1248" t="s">
        <v>128</v>
      </c>
      <c r="G1248" t="s">
        <v>2259</v>
      </c>
      <c r="H1248">
        <v>1</v>
      </c>
      <c r="I1248">
        <v>4.1137899999999998</v>
      </c>
      <c r="J1248">
        <v>134.57</v>
      </c>
      <c r="L1248">
        <v>540.31100000000004</v>
      </c>
      <c r="M1248">
        <v>15.132</v>
      </c>
      <c r="N1248">
        <v>1.7</v>
      </c>
      <c r="O1248">
        <v>1.35</v>
      </c>
      <c r="Q1248">
        <v>1.54</v>
      </c>
      <c r="R1248">
        <v>1.93</v>
      </c>
      <c r="S1248">
        <v>0.3</v>
      </c>
    </row>
    <row r="1249" spans="1:19" x14ac:dyDescent="0.2">
      <c r="A1249" t="s">
        <v>2282</v>
      </c>
      <c r="B1249" t="s">
        <v>2283</v>
      </c>
      <c r="C1249">
        <v>2017</v>
      </c>
      <c r="D1249">
        <v>0</v>
      </c>
      <c r="E1249" t="s">
        <v>21</v>
      </c>
      <c r="F1249" t="s">
        <v>128</v>
      </c>
      <c r="G1249" t="s">
        <v>2267</v>
      </c>
      <c r="H1249">
        <v>1</v>
      </c>
      <c r="I1249">
        <v>3.4741084999999998</v>
      </c>
      <c r="J1249">
        <v>139.69999999999999</v>
      </c>
      <c r="K1249">
        <v>0.6</v>
      </c>
      <c r="L1249">
        <v>1074.9010599999999</v>
      </c>
      <c r="M1249">
        <v>19.515000000000001</v>
      </c>
      <c r="N1249">
        <v>3.3820000000000001</v>
      </c>
      <c r="O1249">
        <v>1.7410000000000001</v>
      </c>
      <c r="P1249">
        <v>0.80600000000000005</v>
      </c>
      <c r="Q1249">
        <v>1.76</v>
      </c>
      <c r="R1249">
        <v>1.56</v>
      </c>
      <c r="S1249">
        <v>0.64100000000000001</v>
      </c>
    </row>
    <row r="1250" spans="1:19" x14ac:dyDescent="0.2">
      <c r="A1250" t="s">
        <v>2284</v>
      </c>
      <c r="B1250" t="s">
        <v>2285</v>
      </c>
      <c r="C1250">
        <v>2018</v>
      </c>
      <c r="D1250">
        <v>0</v>
      </c>
      <c r="E1250" t="s">
        <v>21</v>
      </c>
      <c r="F1250" t="s">
        <v>128</v>
      </c>
      <c r="G1250" t="s">
        <v>2267</v>
      </c>
      <c r="H1250">
        <v>1</v>
      </c>
      <c r="I1250">
        <v>3.6127647000000001</v>
      </c>
      <c r="J1250">
        <v>415</v>
      </c>
      <c r="K1250">
        <v>1.6</v>
      </c>
      <c r="L1250">
        <v>1242.7153000000001</v>
      </c>
      <c r="M1250">
        <v>17.777000000000001</v>
      </c>
      <c r="N1250">
        <v>3.91</v>
      </c>
      <c r="O1250">
        <v>1.5860000000000001</v>
      </c>
      <c r="P1250">
        <v>1.24</v>
      </c>
      <c r="Q1250">
        <v>1.46</v>
      </c>
      <c r="R1250">
        <v>1.64</v>
      </c>
      <c r="S1250">
        <v>0.46800000000000003</v>
      </c>
    </row>
    <row r="1251" spans="1:19" x14ac:dyDescent="0.2">
      <c r="A1251" t="s">
        <v>2286</v>
      </c>
      <c r="B1251" t="s">
        <v>2287</v>
      </c>
      <c r="C1251">
        <v>2013</v>
      </c>
      <c r="D1251">
        <v>0</v>
      </c>
      <c r="E1251" t="s">
        <v>21</v>
      </c>
      <c r="F1251" t="s">
        <v>128</v>
      </c>
      <c r="G1251" t="s">
        <v>2259</v>
      </c>
      <c r="H1251">
        <v>1</v>
      </c>
      <c r="I1251">
        <v>2.7033900000000002</v>
      </c>
      <c r="J1251">
        <v>178</v>
      </c>
      <c r="L1251">
        <v>616.59019999999998</v>
      </c>
      <c r="M1251">
        <v>17.486000000000001</v>
      </c>
      <c r="N1251">
        <v>1.94</v>
      </c>
      <c r="O1251">
        <v>1.56</v>
      </c>
      <c r="Q1251">
        <v>1.96</v>
      </c>
      <c r="R1251">
        <v>1.7</v>
      </c>
      <c r="S1251">
        <v>0.56000000000000005</v>
      </c>
    </row>
    <row r="1252" spans="1:19" x14ac:dyDescent="0.2">
      <c r="A1252" t="s">
        <v>2288</v>
      </c>
      <c r="B1252" t="s">
        <v>2289</v>
      </c>
      <c r="C1252">
        <v>2016</v>
      </c>
      <c r="D1252">
        <v>0</v>
      </c>
      <c r="E1252" t="s">
        <v>21</v>
      </c>
      <c r="F1252" t="s">
        <v>128</v>
      </c>
      <c r="G1252" t="s">
        <v>2259</v>
      </c>
      <c r="H1252">
        <v>1</v>
      </c>
      <c r="I1252">
        <v>2.9895931999999998</v>
      </c>
      <c r="J1252">
        <v>210</v>
      </c>
      <c r="K1252">
        <v>4.4400000000000004</v>
      </c>
      <c r="L1252">
        <v>286.68266</v>
      </c>
      <c r="M1252">
        <v>19.044</v>
      </c>
      <c r="N1252">
        <v>0.90200000000000002</v>
      </c>
      <c r="O1252">
        <v>1.6990000000000001</v>
      </c>
      <c r="P1252">
        <v>0.22800000000000001</v>
      </c>
      <c r="Q1252">
        <v>1.2</v>
      </c>
      <c r="R1252">
        <v>1.6</v>
      </c>
      <c r="S1252">
        <v>0.41099999999999998</v>
      </c>
    </row>
    <row r="1253" spans="1:19" x14ac:dyDescent="0.2">
      <c r="A1253" t="s">
        <v>2290</v>
      </c>
      <c r="B1253" t="s">
        <v>2291</v>
      </c>
      <c r="C1253">
        <v>2014</v>
      </c>
      <c r="D1253">
        <v>0</v>
      </c>
      <c r="E1253" t="s">
        <v>21</v>
      </c>
      <c r="F1253" t="s">
        <v>128</v>
      </c>
      <c r="G1253" t="s">
        <v>2259</v>
      </c>
      <c r="H1253">
        <v>2</v>
      </c>
      <c r="I1253">
        <v>7.8456999999999999</v>
      </c>
      <c r="J1253">
        <v>222</v>
      </c>
      <c r="L1253">
        <v>165.27160000000001</v>
      </c>
      <c r="M1253">
        <v>14.571999999999999</v>
      </c>
      <c r="N1253">
        <v>0.52</v>
      </c>
      <c r="O1253">
        <v>1.3</v>
      </c>
      <c r="Q1253">
        <v>1.42</v>
      </c>
      <c r="R1253">
        <v>1.73</v>
      </c>
      <c r="S1253">
        <v>0.39</v>
      </c>
    </row>
    <row r="1254" spans="1:19" x14ac:dyDescent="0.2">
      <c r="A1254" t="s">
        <v>2290</v>
      </c>
      <c r="B1254" t="s">
        <v>2292</v>
      </c>
      <c r="C1254">
        <v>2015</v>
      </c>
      <c r="D1254">
        <v>0</v>
      </c>
      <c r="E1254" t="s">
        <v>21</v>
      </c>
      <c r="F1254" t="s">
        <v>22</v>
      </c>
      <c r="G1254" t="s">
        <v>35</v>
      </c>
      <c r="H1254">
        <v>2</v>
      </c>
      <c r="I1254">
        <v>1276</v>
      </c>
      <c r="J1254">
        <v>222</v>
      </c>
      <c r="N1254">
        <v>3.71</v>
      </c>
      <c r="Q1254">
        <v>1.42</v>
      </c>
      <c r="R1254">
        <v>1.73</v>
      </c>
      <c r="S1254">
        <v>0.39</v>
      </c>
    </row>
    <row r="1255" spans="1:19" x14ac:dyDescent="0.2">
      <c r="A1255" t="s">
        <v>2293</v>
      </c>
      <c r="B1255" t="s">
        <v>2294</v>
      </c>
      <c r="C1255">
        <v>2015</v>
      </c>
      <c r="D1255">
        <v>0</v>
      </c>
      <c r="E1255" t="s">
        <v>21</v>
      </c>
      <c r="F1255" t="s">
        <v>128</v>
      </c>
      <c r="G1255" t="s">
        <v>2259</v>
      </c>
      <c r="H1255">
        <v>1</v>
      </c>
      <c r="I1255">
        <v>2.7347700000000001</v>
      </c>
      <c r="J1255">
        <v>129</v>
      </c>
      <c r="L1255">
        <v>441.78370000000001</v>
      </c>
      <c r="M1255">
        <v>17.934000000000001</v>
      </c>
      <c r="N1255">
        <v>1.39</v>
      </c>
      <c r="O1255">
        <v>1.6</v>
      </c>
      <c r="Q1255">
        <v>1.76</v>
      </c>
      <c r="R1255">
        <v>1.81</v>
      </c>
      <c r="S1255">
        <v>0.42</v>
      </c>
    </row>
    <row r="1256" spans="1:19" x14ac:dyDescent="0.2">
      <c r="A1256" t="s">
        <v>2295</v>
      </c>
      <c r="B1256" t="s">
        <v>2296</v>
      </c>
      <c r="C1256">
        <v>2015</v>
      </c>
      <c r="D1256">
        <v>0</v>
      </c>
      <c r="E1256" t="s">
        <v>21</v>
      </c>
      <c r="F1256" t="s">
        <v>128</v>
      </c>
      <c r="G1256" t="s">
        <v>2259</v>
      </c>
      <c r="H1256">
        <v>1</v>
      </c>
      <c r="I1256">
        <v>3.2440600000000002</v>
      </c>
      <c r="J1256">
        <v>236</v>
      </c>
      <c r="L1256">
        <v>209.76779999999999</v>
      </c>
      <c r="M1256">
        <v>18.158999999999999</v>
      </c>
      <c r="N1256">
        <v>0.66</v>
      </c>
      <c r="O1256">
        <v>1.62</v>
      </c>
      <c r="Q1256">
        <v>0.81</v>
      </c>
      <c r="R1256">
        <v>1.46</v>
      </c>
      <c r="S1256">
        <v>0.37</v>
      </c>
    </row>
    <row r="1257" spans="1:19" x14ac:dyDescent="0.2">
      <c r="A1257" t="s">
        <v>2297</v>
      </c>
      <c r="B1257" t="s">
        <v>2298</v>
      </c>
      <c r="C1257">
        <v>2017</v>
      </c>
      <c r="D1257">
        <v>0</v>
      </c>
      <c r="E1257" t="s">
        <v>21</v>
      </c>
      <c r="F1257" t="s">
        <v>128</v>
      </c>
      <c r="G1257" t="s">
        <v>2267</v>
      </c>
      <c r="H1257">
        <v>1</v>
      </c>
      <c r="I1257">
        <v>1.4811235</v>
      </c>
      <c r="J1257">
        <v>188.7</v>
      </c>
      <c r="K1257">
        <v>0.3</v>
      </c>
      <c r="L1257">
        <v>915.35040000000004</v>
      </c>
      <c r="M1257">
        <v>21.196000000000002</v>
      </c>
      <c r="N1257">
        <v>2.88</v>
      </c>
      <c r="O1257">
        <v>1.891</v>
      </c>
      <c r="P1257">
        <v>0.53</v>
      </c>
      <c r="Q1257">
        <v>2.52</v>
      </c>
      <c r="R1257">
        <v>2.36</v>
      </c>
      <c r="S1257">
        <v>0.2702</v>
      </c>
    </row>
    <row r="1258" spans="1:19" x14ac:dyDescent="0.2">
      <c r="A1258" t="s">
        <v>2299</v>
      </c>
      <c r="B1258" t="s">
        <v>2300</v>
      </c>
      <c r="C1258">
        <v>2014</v>
      </c>
      <c r="D1258">
        <v>1</v>
      </c>
      <c r="E1258" t="s">
        <v>55</v>
      </c>
      <c r="F1258" t="s">
        <v>2301</v>
      </c>
      <c r="G1258" t="s">
        <v>63</v>
      </c>
      <c r="H1258">
        <v>3</v>
      </c>
      <c r="I1258">
        <v>0.21970000000000001</v>
      </c>
      <c r="J1258">
        <v>1758.47</v>
      </c>
    </row>
    <row r="1259" spans="1:19" x14ac:dyDescent="0.2">
      <c r="A1259" t="s">
        <v>2299</v>
      </c>
      <c r="B1259" t="s">
        <v>2302</v>
      </c>
      <c r="C1259">
        <v>2014</v>
      </c>
      <c r="D1259">
        <v>1</v>
      </c>
      <c r="E1259" t="s">
        <v>55</v>
      </c>
      <c r="F1259" t="s">
        <v>2301</v>
      </c>
      <c r="G1259" t="s">
        <v>63</v>
      </c>
      <c r="H1259">
        <v>3</v>
      </c>
      <c r="I1259">
        <v>0.32528000000000001</v>
      </c>
      <c r="J1259">
        <v>1758.47</v>
      </c>
    </row>
    <row r="1260" spans="1:19" x14ac:dyDescent="0.2">
      <c r="A1260" t="s">
        <v>2299</v>
      </c>
      <c r="B1260" t="s">
        <v>2303</v>
      </c>
      <c r="C1260">
        <v>2014</v>
      </c>
      <c r="D1260">
        <v>1</v>
      </c>
      <c r="E1260" t="s">
        <v>55</v>
      </c>
      <c r="F1260" t="s">
        <v>2301</v>
      </c>
      <c r="G1260" t="s">
        <v>63</v>
      </c>
      <c r="H1260">
        <v>3</v>
      </c>
      <c r="I1260">
        <v>0.81161000000000005</v>
      </c>
      <c r="J1260">
        <v>1758.47</v>
      </c>
    </row>
    <row r="1261" spans="1:19" x14ac:dyDescent="0.2">
      <c r="A1261" t="s">
        <v>2304</v>
      </c>
      <c r="B1261" t="s">
        <v>2305</v>
      </c>
      <c r="C1261">
        <v>2015</v>
      </c>
      <c r="D1261">
        <v>1</v>
      </c>
      <c r="E1261" t="s">
        <v>55</v>
      </c>
      <c r="F1261" t="s">
        <v>128</v>
      </c>
      <c r="G1261" t="s">
        <v>63</v>
      </c>
      <c r="H1261">
        <v>1</v>
      </c>
      <c r="I1261">
        <v>854.08299999999997</v>
      </c>
      <c r="J1261">
        <v>1464.12</v>
      </c>
      <c r="M1261">
        <v>5.5</v>
      </c>
      <c r="O1261">
        <v>0.49099999999999999</v>
      </c>
      <c r="Q1261">
        <v>1.01</v>
      </c>
      <c r="R1261">
        <v>1.01</v>
      </c>
    </row>
    <row r="1262" spans="1:19" x14ac:dyDescent="0.2">
      <c r="A1262" t="s">
        <v>2306</v>
      </c>
      <c r="B1262" t="s">
        <v>2307</v>
      </c>
      <c r="C1262">
        <v>2015</v>
      </c>
      <c r="D1262">
        <v>1</v>
      </c>
      <c r="E1262" t="s">
        <v>55</v>
      </c>
      <c r="F1262" t="s">
        <v>128</v>
      </c>
      <c r="G1262" t="s">
        <v>63</v>
      </c>
      <c r="H1262">
        <v>1</v>
      </c>
      <c r="I1262">
        <v>1322.3</v>
      </c>
      <c r="J1262">
        <v>1215.6400000000001</v>
      </c>
      <c r="M1262">
        <v>6.9</v>
      </c>
      <c r="O1262">
        <v>0.61599999999999999</v>
      </c>
      <c r="Q1262">
        <v>0.98</v>
      </c>
      <c r="R1262">
        <v>1.01</v>
      </c>
    </row>
    <row r="1263" spans="1:19" x14ac:dyDescent="0.2">
      <c r="A1263" t="s">
        <v>2308</v>
      </c>
      <c r="B1263" t="s">
        <v>2309</v>
      </c>
      <c r="C1263">
        <v>2015</v>
      </c>
      <c r="D1263">
        <v>1</v>
      </c>
      <c r="E1263" t="s">
        <v>55</v>
      </c>
      <c r="F1263" t="s">
        <v>128</v>
      </c>
      <c r="G1263" t="s">
        <v>63</v>
      </c>
      <c r="H1263">
        <v>2</v>
      </c>
      <c r="I1263">
        <v>440.78129999999999</v>
      </c>
      <c r="J1263">
        <v>848</v>
      </c>
      <c r="M1263">
        <v>6.4</v>
      </c>
      <c r="O1263">
        <v>0.57099999999999995</v>
      </c>
      <c r="Q1263">
        <v>1.07</v>
      </c>
      <c r="R1263">
        <v>1.24</v>
      </c>
    </row>
    <row r="1264" spans="1:19" x14ac:dyDescent="0.2">
      <c r="A1264" t="s">
        <v>2310</v>
      </c>
      <c r="B1264" t="s">
        <v>2311</v>
      </c>
      <c r="C1264">
        <v>2015</v>
      </c>
      <c r="D1264">
        <v>1</v>
      </c>
      <c r="E1264" t="s">
        <v>55</v>
      </c>
      <c r="F1264" t="s">
        <v>128</v>
      </c>
      <c r="G1264" t="s">
        <v>63</v>
      </c>
      <c r="H1264">
        <v>1</v>
      </c>
      <c r="I1264">
        <v>1320.1</v>
      </c>
      <c r="J1264">
        <v>742.54</v>
      </c>
      <c r="M1264">
        <v>6.6</v>
      </c>
      <c r="O1264">
        <v>0.58899999999999997</v>
      </c>
      <c r="Q1264">
        <v>0.98</v>
      </c>
      <c r="R1264">
        <v>1.52</v>
      </c>
    </row>
    <row r="1265" spans="1:19" x14ac:dyDescent="0.2">
      <c r="A1265" t="s">
        <v>2312</v>
      </c>
      <c r="B1265" t="s">
        <v>2313</v>
      </c>
      <c r="C1265">
        <v>2016</v>
      </c>
      <c r="D1265">
        <v>1</v>
      </c>
      <c r="E1265" t="s">
        <v>55</v>
      </c>
      <c r="F1265" t="s">
        <v>2314</v>
      </c>
      <c r="G1265" t="s">
        <v>63</v>
      </c>
      <c r="H1265">
        <v>1</v>
      </c>
      <c r="I1265">
        <v>840</v>
      </c>
      <c r="J1265">
        <v>1382.51</v>
      </c>
      <c r="N1265">
        <v>11.8</v>
      </c>
      <c r="Q1265">
        <v>1.63</v>
      </c>
    </row>
    <row r="1266" spans="1:19" x14ac:dyDescent="0.2">
      <c r="A1266" t="s">
        <v>2315</v>
      </c>
      <c r="B1266" t="s">
        <v>2316</v>
      </c>
      <c r="C1266">
        <v>2015</v>
      </c>
      <c r="D1266">
        <v>1</v>
      </c>
      <c r="E1266" t="s">
        <v>55</v>
      </c>
      <c r="F1266" t="s">
        <v>128</v>
      </c>
      <c r="G1266" t="s">
        <v>63</v>
      </c>
      <c r="H1266">
        <v>2</v>
      </c>
      <c r="I1266">
        <v>31.809899999999999</v>
      </c>
      <c r="J1266">
        <v>1072.1199999999999</v>
      </c>
      <c r="M1266">
        <v>4.0999999999999996</v>
      </c>
      <c r="O1266">
        <v>0.36599999999999999</v>
      </c>
      <c r="Q1266">
        <v>1.04</v>
      </c>
      <c r="R1266">
        <v>1.26</v>
      </c>
    </row>
    <row r="1267" spans="1:19" x14ac:dyDescent="0.2">
      <c r="A1267" t="s">
        <v>2315</v>
      </c>
      <c r="B1267" t="s">
        <v>2317</v>
      </c>
      <c r="C1267">
        <v>2015</v>
      </c>
      <c r="D1267">
        <v>1</v>
      </c>
      <c r="E1267" t="s">
        <v>55</v>
      </c>
      <c r="F1267" t="s">
        <v>128</v>
      </c>
      <c r="G1267" t="s">
        <v>63</v>
      </c>
      <c r="H1267">
        <v>2</v>
      </c>
      <c r="I1267">
        <v>75.2</v>
      </c>
      <c r="J1267">
        <v>1072.1199999999999</v>
      </c>
      <c r="M1267">
        <v>2.4</v>
      </c>
      <c r="O1267">
        <v>0.214</v>
      </c>
      <c r="Q1267">
        <v>1.04</v>
      </c>
      <c r="R1267">
        <v>1.26</v>
      </c>
    </row>
    <row r="1268" spans="1:19" x14ac:dyDescent="0.2">
      <c r="A1268" t="s">
        <v>2318</v>
      </c>
      <c r="B1268" t="s">
        <v>2319</v>
      </c>
      <c r="C1268">
        <v>2015</v>
      </c>
      <c r="D1268">
        <v>1</v>
      </c>
      <c r="E1268" t="s">
        <v>55</v>
      </c>
      <c r="F1268" t="s">
        <v>128</v>
      </c>
      <c r="G1268" t="s">
        <v>63</v>
      </c>
      <c r="H1268">
        <v>2</v>
      </c>
      <c r="I1268">
        <v>572.38469999999995</v>
      </c>
      <c r="J1268">
        <v>1594.34</v>
      </c>
      <c r="M1268">
        <v>4.5999999999999996</v>
      </c>
      <c r="O1268">
        <v>0.41</v>
      </c>
      <c r="Q1268">
        <v>0.98</v>
      </c>
      <c r="R1268">
        <v>1.03</v>
      </c>
    </row>
    <row r="1269" spans="1:19" x14ac:dyDescent="0.2">
      <c r="A1269" t="s">
        <v>2320</v>
      </c>
      <c r="B1269" t="s">
        <v>2321</v>
      </c>
      <c r="C1269">
        <v>2019</v>
      </c>
      <c r="D1269">
        <v>0</v>
      </c>
      <c r="E1269" t="s">
        <v>21</v>
      </c>
      <c r="F1269" t="s">
        <v>2322</v>
      </c>
      <c r="G1269" t="s">
        <v>2323</v>
      </c>
      <c r="H1269">
        <v>1</v>
      </c>
      <c r="J1269">
        <v>6651</v>
      </c>
      <c r="L1269">
        <v>1043.43589</v>
      </c>
      <c r="N1269">
        <v>3.2829999999999999</v>
      </c>
      <c r="Q1269">
        <v>0.09</v>
      </c>
    </row>
    <row r="1270" spans="1:19" x14ac:dyDescent="0.2">
      <c r="A1270" t="s">
        <v>2324</v>
      </c>
      <c r="B1270" t="s">
        <v>2325</v>
      </c>
      <c r="C1270">
        <v>2018</v>
      </c>
      <c r="D1270">
        <v>0</v>
      </c>
      <c r="E1270" t="s">
        <v>21</v>
      </c>
      <c r="F1270" t="s">
        <v>2322</v>
      </c>
      <c r="G1270" t="s">
        <v>2323</v>
      </c>
      <c r="H1270">
        <v>1</v>
      </c>
      <c r="J1270">
        <v>6600</v>
      </c>
      <c r="L1270">
        <v>2224.81</v>
      </c>
      <c r="N1270">
        <v>7</v>
      </c>
      <c r="Q1270">
        <v>0.45</v>
      </c>
    </row>
    <row r="1271" spans="1:19" x14ac:dyDescent="0.2">
      <c r="A1271" t="s">
        <v>2326</v>
      </c>
      <c r="B1271" t="s">
        <v>2327</v>
      </c>
      <c r="C1271">
        <v>2018</v>
      </c>
      <c r="D1271">
        <v>0</v>
      </c>
      <c r="E1271" t="s">
        <v>21</v>
      </c>
      <c r="F1271" t="s">
        <v>2322</v>
      </c>
      <c r="G1271" t="s">
        <v>2323</v>
      </c>
      <c r="H1271">
        <v>1</v>
      </c>
      <c r="J1271">
        <v>6260</v>
      </c>
      <c r="L1271">
        <v>1452.4830999999999</v>
      </c>
      <c r="N1271">
        <v>4.57</v>
      </c>
      <c r="Q1271">
        <v>0.04</v>
      </c>
    </row>
    <row r="1272" spans="1:19" x14ac:dyDescent="0.2">
      <c r="A1272" t="s">
        <v>2328</v>
      </c>
      <c r="B1272" t="s">
        <v>2329</v>
      </c>
      <c r="C1272">
        <v>2018</v>
      </c>
      <c r="D1272">
        <v>0</v>
      </c>
      <c r="E1272" t="s">
        <v>21</v>
      </c>
      <c r="F1272" t="s">
        <v>2322</v>
      </c>
      <c r="G1272" t="s">
        <v>2323</v>
      </c>
      <c r="H1272">
        <v>1</v>
      </c>
      <c r="J1272">
        <v>7010</v>
      </c>
      <c r="L1272">
        <v>4923.1867000000002</v>
      </c>
      <c r="N1272">
        <v>15.49</v>
      </c>
      <c r="Q1272">
        <v>7.0000000000000007E-2</v>
      </c>
    </row>
    <row r="1273" spans="1:19" x14ac:dyDescent="0.2">
      <c r="A1273" t="s">
        <v>2330</v>
      </c>
      <c r="B1273" t="s">
        <v>2331</v>
      </c>
      <c r="C1273">
        <v>2019</v>
      </c>
      <c r="D1273">
        <v>0</v>
      </c>
      <c r="E1273" t="s">
        <v>21</v>
      </c>
      <c r="F1273" t="s">
        <v>2322</v>
      </c>
      <c r="G1273" t="s">
        <v>2323</v>
      </c>
      <c r="H1273">
        <v>1</v>
      </c>
      <c r="J1273">
        <v>6000</v>
      </c>
      <c r="L1273">
        <v>635.66</v>
      </c>
      <c r="N1273">
        <v>2</v>
      </c>
      <c r="Q1273">
        <v>0.37</v>
      </c>
    </row>
    <row r="1274" spans="1:19" x14ac:dyDescent="0.2">
      <c r="A1274" t="s">
        <v>2332</v>
      </c>
      <c r="B1274" t="s">
        <v>2333</v>
      </c>
      <c r="C1274">
        <v>2019</v>
      </c>
      <c r="D1274">
        <v>0</v>
      </c>
      <c r="E1274" t="s">
        <v>21</v>
      </c>
      <c r="F1274" t="s">
        <v>2322</v>
      </c>
      <c r="G1274" t="s">
        <v>2323</v>
      </c>
      <c r="H1274">
        <v>1</v>
      </c>
      <c r="J1274">
        <v>6500</v>
      </c>
      <c r="L1274">
        <v>225.6593</v>
      </c>
      <c r="N1274">
        <v>0.71</v>
      </c>
      <c r="Q1274">
        <v>0.33</v>
      </c>
    </row>
    <row r="1275" spans="1:19" x14ac:dyDescent="0.2">
      <c r="A1275" t="s">
        <v>2334</v>
      </c>
      <c r="B1275" t="s">
        <v>2335</v>
      </c>
      <c r="C1275">
        <v>2015</v>
      </c>
      <c r="D1275">
        <v>1</v>
      </c>
      <c r="E1275" t="s">
        <v>55</v>
      </c>
      <c r="F1275" t="s">
        <v>128</v>
      </c>
      <c r="G1275" t="s">
        <v>63</v>
      </c>
      <c r="H1275">
        <v>1</v>
      </c>
      <c r="I1275">
        <v>17.855229999999999</v>
      </c>
      <c r="J1275">
        <v>426</v>
      </c>
      <c r="L1275">
        <v>1690.8556000000001</v>
      </c>
      <c r="M1275">
        <v>17.262</v>
      </c>
      <c r="N1275">
        <v>5.32</v>
      </c>
      <c r="O1275">
        <v>1.54</v>
      </c>
      <c r="Q1275">
        <v>1.82</v>
      </c>
      <c r="R1275">
        <v>1.75</v>
      </c>
      <c r="S1275">
        <v>0.47</v>
      </c>
    </row>
    <row r="1276" spans="1:19" x14ac:dyDescent="0.2">
      <c r="A1276" t="s">
        <v>2336</v>
      </c>
      <c r="B1276" t="s">
        <v>2337</v>
      </c>
      <c r="C1276">
        <v>2014</v>
      </c>
      <c r="D1276">
        <v>1</v>
      </c>
      <c r="E1276" t="s">
        <v>55</v>
      </c>
      <c r="F1276" t="s">
        <v>128</v>
      </c>
      <c r="G1276" t="s">
        <v>63</v>
      </c>
      <c r="H1276">
        <v>1</v>
      </c>
      <c r="I1276">
        <v>86.647660999999999</v>
      </c>
      <c r="J1276">
        <v>900</v>
      </c>
      <c r="K1276">
        <v>9.3000000000000007</v>
      </c>
      <c r="L1276">
        <v>460.83</v>
      </c>
      <c r="M1276">
        <v>10.54</v>
      </c>
      <c r="N1276">
        <v>1.45</v>
      </c>
      <c r="O1276">
        <v>0.94</v>
      </c>
      <c r="P1276">
        <v>2.1</v>
      </c>
      <c r="Q1276">
        <v>0.99</v>
      </c>
      <c r="R1276">
        <v>1.1299999999999999</v>
      </c>
      <c r="S1276">
        <v>0.99</v>
      </c>
    </row>
    <row r="1277" spans="1:19" x14ac:dyDescent="0.2">
      <c r="A1277" t="s">
        <v>2338</v>
      </c>
      <c r="B1277" t="s">
        <v>2339</v>
      </c>
      <c r="C1277">
        <v>2011</v>
      </c>
      <c r="D1277">
        <v>1</v>
      </c>
      <c r="E1277" t="s">
        <v>55</v>
      </c>
      <c r="F1277" t="s">
        <v>128</v>
      </c>
      <c r="G1277" t="s">
        <v>63</v>
      </c>
      <c r="H1277">
        <v>1</v>
      </c>
      <c r="I1277">
        <v>1.7635879999999999</v>
      </c>
      <c r="J1277">
        <v>415</v>
      </c>
      <c r="L1277">
        <v>2949.4623999999999</v>
      </c>
      <c r="M1277">
        <v>16.948</v>
      </c>
      <c r="N1277">
        <v>9.2799999999999994</v>
      </c>
      <c r="O1277">
        <v>1.512</v>
      </c>
      <c r="P1277">
        <v>3.6</v>
      </c>
      <c r="Q1277">
        <v>1.72</v>
      </c>
      <c r="R1277">
        <v>1.74</v>
      </c>
    </row>
    <row r="1278" spans="1:19" x14ac:dyDescent="0.2">
      <c r="A1278" t="s">
        <v>2340</v>
      </c>
      <c r="B1278" t="s">
        <v>2341</v>
      </c>
      <c r="C1278">
        <v>2013</v>
      </c>
      <c r="D1278">
        <v>1</v>
      </c>
      <c r="E1278" t="s">
        <v>55</v>
      </c>
      <c r="F1278" t="s">
        <v>128</v>
      </c>
      <c r="G1278" t="s">
        <v>63</v>
      </c>
      <c r="H1278">
        <v>2</v>
      </c>
      <c r="I1278">
        <v>10.95416</v>
      </c>
      <c r="J1278">
        <v>339</v>
      </c>
      <c r="K1278">
        <v>2.2000000000000002</v>
      </c>
      <c r="L1278">
        <v>8.6999999999999993</v>
      </c>
      <c r="M1278">
        <v>3.78</v>
      </c>
      <c r="N1278">
        <v>2.7E-2</v>
      </c>
      <c r="O1278">
        <v>0.33700000000000002</v>
      </c>
      <c r="P1278">
        <v>0.87</v>
      </c>
      <c r="Q1278">
        <v>0.96</v>
      </c>
      <c r="R1278">
        <v>0.88</v>
      </c>
    </row>
    <row r="1279" spans="1:19" x14ac:dyDescent="0.2">
      <c r="A1279" t="s">
        <v>2340</v>
      </c>
      <c r="B1279" t="s">
        <v>2342</v>
      </c>
      <c r="C1279">
        <v>2013</v>
      </c>
      <c r="D1279">
        <v>1</v>
      </c>
      <c r="E1279" t="s">
        <v>55</v>
      </c>
      <c r="F1279" t="s">
        <v>2343</v>
      </c>
      <c r="G1279" t="s">
        <v>63</v>
      </c>
      <c r="H1279">
        <v>2</v>
      </c>
      <c r="I1279">
        <v>22.339500000000001</v>
      </c>
      <c r="J1279">
        <v>339</v>
      </c>
      <c r="K1279">
        <v>2.2000000000000002</v>
      </c>
      <c r="L1279">
        <v>198.8</v>
      </c>
      <c r="N1279">
        <v>0.626</v>
      </c>
      <c r="Q1279">
        <v>0.96</v>
      </c>
      <c r="R1279">
        <v>0.88</v>
      </c>
    </row>
    <row r="1280" spans="1:19" x14ac:dyDescent="0.2">
      <c r="A1280" t="s">
        <v>2344</v>
      </c>
      <c r="B1280" t="s">
        <v>2345</v>
      </c>
      <c r="C1280">
        <v>2019</v>
      </c>
      <c r="D1280">
        <v>1</v>
      </c>
      <c r="E1280" t="s">
        <v>55</v>
      </c>
      <c r="F1280" t="s">
        <v>128</v>
      </c>
      <c r="G1280" t="s">
        <v>63</v>
      </c>
      <c r="H1280">
        <v>2</v>
      </c>
      <c r="I1280">
        <v>20.441500000000001</v>
      </c>
      <c r="J1280">
        <v>1168.99</v>
      </c>
      <c r="L1280">
        <v>4.5999999999999996</v>
      </c>
      <c r="M1280">
        <v>1.9</v>
      </c>
      <c r="N1280">
        <v>1.447E-2</v>
      </c>
      <c r="O1280">
        <v>0.17</v>
      </c>
      <c r="Q1280">
        <v>1.02</v>
      </c>
      <c r="R1280">
        <v>0.97</v>
      </c>
    </row>
    <row r="1281" spans="1:19" x14ac:dyDescent="0.2">
      <c r="A1281" t="s">
        <v>2344</v>
      </c>
      <c r="B1281" t="s">
        <v>2346</v>
      </c>
      <c r="C1281">
        <v>2019</v>
      </c>
      <c r="D1281">
        <v>1</v>
      </c>
      <c r="E1281" t="s">
        <v>55</v>
      </c>
      <c r="F1281" t="s">
        <v>128</v>
      </c>
      <c r="G1281" t="s">
        <v>63</v>
      </c>
      <c r="H1281">
        <v>2</v>
      </c>
      <c r="I1281">
        <v>13.6088</v>
      </c>
      <c r="J1281">
        <v>1168.99</v>
      </c>
      <c r="L1281">
        <v>9</v>
      </c>
      <c r="M1281">
        <v>1.9</v>
      </c>
      <c r="N1281">
        <v>2.8320000000000001E-2</v>
      </c>
      <c r="O1281">
        <v>0.17</v>
      </c>
      <c r="Q1281">
        <v>1.02</v>
      </c>
      <c r="R1281">
        <v>0.97</v>
      </c>
    </row>
    <row r="1282" spans="1:19" x14ac:dyDescent="0.2">
      <c r="A1282" t="s">
        <v>2347</v>
      </c>
      <c r="B1282" t="s">
        <v>2348</v>
      </c>
      <c r="C1282">
        <v>2010</v>
      </c>
      <c r="D1282">
        <v>1</v>
      </c>
      <c r="E1282" t="s">
        <v>55</v>
      </c>
      <c r="F1282" t="s">
        <v>128</v>
      </c>
      <c r="G1282" t="s">
        <v>63</v>
      </c>
      <c r="H1282">
        <v>1</v>
      </c>
      <c r="I1282">
        <v>3.9051200000000001</v>
      </c>
      <c r="J1282">
        <v>800</v>
      </c>
      <c r="M1282">
        <v>12.442</v>
      </c>
      <c r="O1282">
        <v>1.1100000000000001</v>
      </c>
      <c r="Q1282">
        <v>0.95</v>
      </c>
      <c r="R1282">
        <v>0.86</v>
      </c>
    </row>
    <row r="1283" spans="1:19" x14ac:dyDescent="0.2">
      <c r="A1283" t="s">
        <v>2349</v>
      </c>
      <c r="B1283" t="s">
        <v>2350</v>
      </c>
      <c r="C1283">
        <v>2013</v>
      </c>
      <c r="D1283">
        <v>1</v>
      </c>
      <c r="E1283" t="s">
        <v>55</v>
      </c>
      <c r="F1283" t="s">
        <v>128</v>
      </c>
      <c r="G1283" t="s">
        <v>63</v>
      </c>
      <c r="H1283">
        <v>8</v>
      </c>
      <c r="I1283">
        <v>7.0081509999999998</v>
      </c>
      <c r="J1283">
        <v>780</v>
      </c>
      <c r="M1283">
        <v>1.31</v>
      </c>
      <c r="O1283">
        <v>0.11700000000000001</v>
      </c>
      <c r="Q1283">
        <v>1.2</v>
      </c>
      <c r="R1283">
        <v>1.2</v>
      </c>
    </row>
    <row r="1284" spans="1:19" x14ac:dyDescent="0.2">
      <c r="A1284" t="s">
        <v>2349</v>
      </c>
      <c r="B1284" t="s">
        <v>2351</v>
      </c>
      <c r="C1284">
        <v>2013</v>
      </c>
      <c r="D1284">
        <v>1</v>
      </c>
      <c r="E1284" t="s">
        <v>55</v>
      </c>
      <c r="F1284" t="s">
        <v>128</v>
      </c>
      <c r="G1284" t="s">
        <v>63</v>
      </c>
      <c r="H1284">
        <v>8</v>
      </c>
      <c r="I1284">
        <v>8.7193749999999994</v>
      </c>
      <c r="J1284">
        <v>780</v>
      </c>
      <c r="M1284">
        <v>1.19</v>
      </c>
      <c r="O1284">
        <v>0.106</v>
      </c>
      <c r="Q1284">
        <v>1.2</v>
      </c>
      <c r="R1284">
        <v>1.2</v>
      </c>
    </row>
    <row r="1285" spans="1:19" x14ac:dyDescent="0.2">
      <c r="A1285" t="s">
        <v>2349</v>
      </c>
      <c r="B1285" t="s">
        <v>2352</v>
      </c>
      <c r="C1285">
        <v>2013</v>
      </c>
      <c r="D1285">
        <v>1</v>
      </c>
      <c r="E1285" t="s">
        <v>55</v>
      </c>
      <c r="F1285" t="s">
        <v>128</v>
      </c>
      <c r="G1285" t="s">
        <v>63</v>
      </c>
      <c r="H1285">
        <v>8</v>
      </c>
      <c r="I1285">
        <v>59.736669999999997</v>
      </c>
      <c r="J1285">
        <v>780</v>
      </c>
      <c r="M1285">
        <v>2.87</v>
      </c>
      <c r="O1285">
        <v>0.25600000000000001</v>
      </c>
      <c r="Q1285">
        <v>1.2</v>
      </c>
      <c r="R1285">
        <v>1.2</v>
      </c>
    </row>
    <row r="1286" spans="1:19" x14ac:dyDescent="0.2">
      <c r="A1286" t="s">
        <v>2349</v>
      </c>
      <c r="B1286" t="s">
        <v>2353</v>
      </c>
      <c r="C1286">
        <v>2013</v>
      </c>
      <c r="D1286">
        <v>1</v>
      </c>
      <c r="E1286" t="s">
        <v>55</v>
      </c>
      <c r="F1286" t="s">
        <v>128</v>
      </c>
      <c r="G1286" t="s">
        <v>63</v>
      </c>
      <c r="H1286">
        <v>8</v>
      </c>
      <c r="I1286">
        <v>91.939130000000006</v>
      </c>
      <c r="J1286">
        <v>780</v>
      </c>
      <c r="M1286">
        <v>2.66</v>
      </c>
      <c r="O1286">
        <v>0.23699999999999999</v>
      </c>
      <c r="Q1286">
        <v>1.2</v>
      </c>
      <c r="R1286">
        <v>1.2</v>
      </c>
    </row>
    <row r="1287" spans="1:19" x14ac:dyDescent="0.2">
      <c r="A1287" t="s">
        <v>2349</v>
      </c>
      <c r="B1287" t="s">
        <v>2354</v>
      </c>
      <c r="C1287">
        <v>2013</v>
      </c>
      <c r="D1287">
        <v>1</v>
      </c>
      <c r="E1287" t="s">
        <v>55</v>
      </c>
      <c r="F1287" t="s">
        <v>128</v>
      </c>
      <c r="G1287" t="s">
        <v>63</v>
      </c>
      <c r="H1287">
        <v>8</v>
      </c>
      <c r="I1287">
        <v>124.9144</v>
      </c>
      <c r="J1287">
        <v>780</v>
      </c>
      <c r="M1287">
        <v>2.88</v>
      </c>
      <c r="O1287">
        <v>0.25700000000000001</v>
      </c>
      <c r="Q1287">
        <v>1.2</v>
      </c>
      <c r="R1287">
        <v>1.2</v>
      </c>
    </row>
    <row r="1288" spans="1:19" x14ac:dyDescent="0.2">
      <c r="A1288" t="s">
        <v>2349</v>
      </c>
      <c r="B1288" t="s">
        <v>2355</v>
      </c>
      <c r="C1288">
        <v>2013</v>
      </c>
      <c r="D1288">
        <v>1</v>
      </c>
      <c r="E1288" t="s">
        <v>55</v>
      </c>
      <c r="F1288" t="s">
        <v>128</v>
      </c>
      <c r="G1288" t="s">
        <v>63</v>
      </c>
      <c r="H1288">
        <v>8</v>
      </c>
      <c r="I1288">
        <v>210.60696999999999</v>
      </c>
      <c r="J1288">
        <v>780</v>
      </c>
      <c r="M1288">
        <v>8.1</v>
      </c>
      <c r="O1288">
        <v>0.72299999999999998</v>
      </c>
      <c r="Q1288">
        <v>1.2</v>
      </c>
      <c r="R1288">
        <v>1.2</v>
      </c>
    </row>
    <row r="1289" spans="1:19" x14ac:dyDescent="0.2">
      <c r="A1289" t="s">
        <v>2349</v>
      </c>
      <c r="B1289" t="s">
        <v>2356</v>
      </c>
      <c r="C1289">
        <v>2013</v>
      </c>
      <c r="D1289">
        <v>1</v>
      </c>
      <c r="E1289" t="s">
        <v>55</v>
      </c>
      <c r="F1289" t="s">
        <v>128</v>
      </c>
      <c r="G1289" t="s">
        <v>63</v>
      </c>
      <c r="H1289">
        <v>8</v>
      </c>
      <c r="I1289">
        <v>331.60059000000001</v>
      </c>
      <c r="J1289">
        <v>780</v>
      </c>
      <c r="M1289">
        <v>11.3</v>
      </c>
      <c r="O1289">
        <v>1.008</v>
      </c>
      <c r="Q1289">
        <v>1.2</v>
      </c>
      <c r="R1289">
        <v>1.2</v>
      </c>
    </row>
    <row r="1290" spans="1:19" x14ac:dyDescent="0.2">
      <c r="A1290" t="s">
        <v>2349</v>
      </c>
      <c r="B1290" t="s">
        <v>2357</v>
      </c>
      <c r="C1290">
        <v>2017</v>
      </c>
      <c r="D1290">
        <v>1</v>
      </c>
      <c r="E1290" t="s">
        <v>55</v>
      </c>
      <c r="F1290" t="s">
        <v>128</v>
      </c>
      <c r="G1290" t="s">
        <v>63</v>
      </c>
      <c r="H1290">
        <v>8</v>
      </c>
      <c r="I1290">
        <v>14.449120000000001</v>
      </c>
      <c r="J1290">
        <v>780</v>
      </c>
      <c r="M1290">
        <v>1.32</v>
      </c>
      <c r="O1290">
        <v>0.11799999999999999</v>
      </c>
      <c r="Q1290">
        <v>1.2</v>
      </c>
      <c r="R1290">
        <v>1.2</v>
      </c>
    </row>
    <row r="1291" spans="1:19" x14ac:dyDescent="0.2">
      <c r="A1291" t="s">
        <v>2358</v>
      </c>
      <c r="B1291" t="s">
        <v>2359</v>
      </c>
      <c r="C1291">
        <v>2018</v>
      </c>
      <c r="D1291">
        <v>1</v>
      </c>
      <c r="E1291" t="s">
        <v>55</v>
      </c>
      <c r="F1291" t="s">
        <v>128</v>
      </c>
      <c r="G1291" t="s">
        <v>63</v>
      </c>
      <c r="H1291">
        <v>1</v>
      </c>
      <c r="I1291">
        <v>141.241671</v>
      </c>
      <c r="J1291">
        <v>946.59</v>
      </c>
      <c r="K1291">
        <v>3.2</v>
      </c>
      <c r="L1291">
        <v>613.41189999999995</v>
      </c>
      <c r="M1291">
        <v>11.097</v>
      </c>
      <c r="N1291">
        <v>1.93</v>
      </c>
      <c r="O1291">
        <v>0.99</v>
      </c>
      <c r="P1291">
        <v>2.46</v>
      </c>
      <c r="Q1291">
        <v>1.01</v>
      </c>
      <c r="R1291">
        <v>0.96</v>
      </c>
      <c r="S1291">
        <v>1.88</v>
      </c>
    </row>
    <row r="1292" spans="1:19" x14ac:dyDescent="0.2">
      <c r="A1292" t="s">
        <v>2360</v>
      </c>
      <c r="B1292" t="s">
        <v>2361</v>
      </c>
      <c r="C1292">
        <v>2011</v>
      </c>
      <c r="D1292">
        <v>1</v>
      </c>
      <c r="E1292" t="s">
        <v>55</v>
      </c>
      <c r="F1292" t="s">
        <v>2301</v>
      </c>
      <c r="G1292" t="s">
        <v>63</v>
      </c>
      <c r="H1292">
        <v>2</v>
      </c>
      <c r="I1292">
        <v>0.24010400000000001</v>
      </c>
      <c r="J1292">
        <v>1180</v>
      </c>
      <c r="L1292">
        <v>0.44</v>
      </c>
      <c r="M1292">
        <v>0.75900000000000001</v>
      </c>
      <c r="N1292">
        <v>1.4E-3</v>
      </c>
      <c r="O1292">
        <v>6.8000000000000005E-2</v>
      </c>
      <c r="Q1292">
        <v>0.5</v>
      </c>
      <c r="R1292">
        <v>0.2</v>
      </c>
      <c r="S1292">
        <v>84.1</v>
      </c>
    </row>
    <row r="1293" spans="1:19" x14ac:dyDescent="0.2">
      <c r="A1293" t="s">
        <v>2360</v>
      </c>
      <c r="B1293" t="s">
        <v>2362</v>
      </c>
      <c r="C1293">
        <v>2011</v>
      </c>
      <c r="D1293">
        <v>1</v>
      </c>
      <c r="E1293" t="s">
        <v>55</v>
      </c>
      <c r="F1293" t="s">
        <v>2301</v>
      </c>
      <c r="G1293" t="s">
        <v>63</v>
      </c>
      <c r="H1293">
        <v>2</v>
      </c>
      <c r="I1293">
        <v>0.342887</v>
      </c>
      <c r="J1293">
        <v>1180</v>
      </c>
      <c r="L1293">
        <v>0.65500000000000003</v>
      </c>
      <c r="M1293">
        <v>0.86699999999999999</v>
      </c>
      <c r="N1293">
        <v>2.0999999999999999E-3</v>
      </c>
      <c r="O1293">
        <v>7.6999999999999999E-2</v>
      </c>
      <c r="Q1293">
        <v>0.5</v>
      </c>
      <c r="R1293">
        <v>0.2</v>
      </c>
      <c r="S1293">
        <v>84.1</v>
      </c>
    </row>
    <row r="1294" spans="1:19" x14ac:dyDescent="0.2">
      <c r="A1294" t="s">
        <v>2363</v>
      </c>
      <c r="B1294" t="s">
        <v>2364</v>
      </c>
      <c r="C1294">
        <v>2013</v>
      </c>
      <c r="D1294">
        <v>1</v>
      </c>
      <c r="E1294" t="s">
        <v>55</v>
      </c>
      <c r="F1294" t="s">
        <v>128</v>
      </c>
      <c r="G1294" t="s">
        <v>63</v>
      </c>
      <c r="H1294">
        <v>4</v>
      </c>
      <c r="I1294">
        <v>3.7432080000000001</v>
      </c>
      <c r="J1294">
        <v>462</v>
      </c>
      <c r="K1294">
        <v>3.16</v>
      </c>
      <c r="L1294">
        <v>10.5</v>
      </c>
      <c r="M1294">
        <v>1.71</v>
      </c>
      <c r="N1294">
        <v>3.3000000000000002E-2</v>
      </c>
      <c r="O1294">
        <v>0.153</v>
      </c>
      <c r="P1294">
        <v>10.1</v>
      </c>
      <c r="Q1294">
        <v>1.28</v>
      </c>
      <c r="R1294">
        <v>1.52</v>
      </c>
    </row>
    <row r="1295" spans="1:19" x14ac:dyDescent="0.2">
      <c r="A1295" t="s">
        <v>2363</v>
      </c>
      <c r="B1295" t="s">
        <v>2365</v>
      </c>
      <c r="C1295">
        <v>2013</v>
      </c>
      <c r="D1295">
        <v>1</v>
      </c>
      <c r="E1295" t="s">
        <v>55</v>
      </c>
      <c r="F1295" t="s">
        <v>128</v>
      </c>
      <c r="G1295" t="s">
        <v>63</v>
      </c>
      <c r="H1295">
        <v>4</v>
      </c>
      <c r="I1295">
        <v>10.423648</v>
      </c>
      <c r="J1295">
        <v>462</v>
      </c>
      <c r="K1295">
        <v>3.16</v>
      </c>
      <c r="L1295">
        <v>15.6</v>
      </c>
      <c r="M1295">
        <v>4.32</v>
      </c>
      <c r="N1295">
        <v>4.9000000000000002E-2</v>
      </c>
      <c r="O1295">
        <v>0.38500000000000001</v>
      </c>
      <c r="P1295">
        <v>0.91</v>
      </c>
      <c r="Q1295">
        <v>1.28</v>
      </c>
      <c r="R1295">
        <v>1.52</v>
      </c>
    </row>
    <row r="1296" spans="1:19" x14ac:dyDescent="0.2">
      <c r="A1296" t="s">
        <v>2363</v>
      </c>
      <c r="B1296" t="s">
        <v>2366</v>
      </c>
      <c r="C1296">
        <v>2013</v>
      </c>
      <c r="D1296">
        <v>1</v>
      </c>
      <c r="E1296" t="s">
        <v>55</v>
      </c>
      <c r="F1296" t="s">
        <v>128</v>
      </c>
      <c r="G1296" t="s">
        <v>63</v>
      </c>
      <c r="H1296">
        <v>4</v>
      </c>
      <c r="I1296">
        <v>22.342988999999999</v>
      </c>
      <c r="J1296">
        <v>462</v>
      </c>
      <c r="K1296">
        <v>3.16</v>
      </c>
      <c r="L1296">
        <v>106</v>
      </c>
      <c r="M1296">
        <v>11.27</v>
      </c>
      <c r="N1296">
        <v>0.33400000000000002</v>
      </c>
      <c r="O1296">
        <v>1.0049999999999999</v>
      </c>
      <c r="P1296">
        <v>0.36299999999999999</v>
      </c>
      <c r="Q1296">
        <v>1.28</v>
      </c>
      <c r="R1296">
        <v>1.52</v>
      </c>
    </row>
    <row r="1297" spans="1:19" x14ac:dyDescent="0.2">
      <c r="A1297" t="s">
        <v>2363</v>
      </c>
      <c r="B1297" t="s">
        <v>2367</v>
      </c>
      <c r="C1297">
        <v>2013</v>
      </c>
      <c r="D1297">
        <v>1</v>
      </c>
      <c r="E1297" t="s">
        <v>55</v>
      </c>
      <c r="F1297" t="s">
        <v>128</v>
      </c>
      <c r="G1297" t="s">
        <v>63</v>
      </c>
      <c r="H1297">
        <v>4</v>
      </c>
      <c r="I1297">
        <v>54.320309999999999</v>
      </c>
      <c r="J1297">
        <v>462</v>
      </c>
      <c r="K1297">
        <v>3.16</v>
      </c>
      <c r="L1297">
        <v>35</v>
      </c>
      <c r="M1297">
        <v>6.56</v>
      </c>
      <c r="N1297">
        <v>0.11</v>
      </c>
      <c r="O1297">
        <v>0.58499999999999996</v>
      </c>
      <c r="P1297">
        <v>0.6</v>
      </c>
      <c r="Q1297">
        <v>1.28</v>
      </c>
      <c r="R1297">
        <v>1.52</v>
      </c>
    </row>
    <row r="1298" spans="1:19" x14ac:dyDescent="0.2">
      <c r="A1298" t="s">
        <v>2368</v>
      </c>
      <c r="B1298" t="s">
        <v>2369</v>
      </c>
      <c r="C1298">
        <v>2018</v>
      </c>
      <c r="D1298">
        <v>0</v>
      </c>
      <c r="E1298" t="s">
        <v>21</v>
      </c>
      <c r="F1298" t="s">
        <v>128</v>
      </c>
      <c r="G1298" t="s">
        <v>2370</v>
      </c>
      <c r="H1298">
        <v>1</v>
      </c>
      <c r="I1298">
        <v>1.706291</v>
      </c>
      <c r="J1298">
        <v>264.69</v>
      </c>
      <c r="L1298">
        <v>346.43470000000002</v>
      </c>
      <c r="M1298">
        <v>11.545</v>
      </c>
      <c r="N1298">
        <v>1.0900000000000001</v>
      </c>
      <c r="O1298">
        <v>1.03</v>
      </c>
      <c r="P1298">
        <v>1.31</v>
      </c>
      <c r="Q1298">
        <v>0.89</v>
      </c>
      <c r="R1298">
        <v>0.91</v>
      </c>
      <c r="S1298">
        <v>1.68</v>
      </c>
    </row>
    <row r="1299" spans="1:19" x14ac:dyDescent="0.2">
      <c r="A1299" t="s">
        <v>2371</v>
      </c>
      <c r="B1299" t="s">
        <v>2372</v>
      </c>
      <c r="C1299">
        <v>2014</v>
      </c>
      <c r="D1299">
        <v>0</v>
      </c>
      <c r="E1299" t="s">
        <v>21</v>
      </c>
      <c r="F1299" t="s">
        <v>22</v>
      </c>
      <c r="G1299" t="s">
        <v>35</v>
      </c>
      <c r="H1299">
        <v>1</v>
      </c>
      <c r="I1299">
        <v>121.54</v>
      </c>
      <c r="J1299">
        <v>3.93</v>
      </c>
      <c r="N1299">
        <v>2.1999999999999999E-2</v>
      </c>
      <c r="Q1299">
        <v>0.28000000000000003</v>
      </c>
      <c r="R1299">
        <v>0.28999999999999998</v>
      </c>
    </row>
    <row r="1300" spans="1:19" x14ac:dyDescent="0.2">
      <c r="A1300" t="s">
        <v>2373</v>
      </c>
      <c r="B1300" t="s">
        <v>2374</v>
      </c>
      <c r="C1300">
        <v>2011</v>
      </c>
      <c r="D1300">
        <v>1</v>
      </c>
      <c r="E1300" t="s">
        <v>55</v>
      </c>
      <c r="F1300" t="s">
        <v>128</v>
      </c>
      <c r="G1300" t="s">
        <v>63</v>
      </c>
      <c r="H1300">
        <v>2</v>
      </c>
      <c r="I1300">
        <v>0.83749099999999999</v>
      </c>
      <c r="J1300">
        <v>173</v>
      </c>
      <c r="L1300">
        <v>4.60853</v>
      </c>
      <c r="M1300">
        <v>1.4810000000000001</v>
      </c>
      <c r="N1300">
        <v>1.4500000000000001E-2</v>
      </c>
      <c r="O1300">
        <v>0.13200000000000001</v>
      </c>
      <c r="P1300">
        <v>8</v>
      </c>
      <c r="Q1300">
        <v>0.91</v>
      </c>
      <c r="R1300">
        <v>1.06</v>
      </c>
    </row>
    <row r="1301" spans="1:19" x14ac:dyDescent="0.2">
      <c r="A1301" t="s">
        <v>2373</v>
      </c>
      <c r="B1301" t="s">
        <v>2375</v>
      </c>
      <c r="C1301">
        <v>2011</v>
      </c>
      <c r="D1301">
        <v>1</v>
      </c>
      <c r="E1301" t="s">
        <v>55</v>
      </c>
      <c r="F1301" t="s">
        <v>128</v>
      </c>
      <c r="G1301" t="s">
        <v>63</v>
      </c>
      <c r="H1301">
        <v>2</v>
      </c>
      <c r="I1301">
        <v>45.294300999999997</v>
      </c>
      <c r="J1301">
        <v>173</v>
      </c>
      <c r="L1301">
        <v>17.2</v>
      </c>
      <c r="M1301">
        <v>2.35</v>
      </c>
      <c r="N1301">
        <v>5.3999999999999999E-2</v>
      </c>
      <c r="O1301">
        <v>0.21</v>
      </c>
      <c r="P1301">
        <v>7.1</v>
      </c>
      <c r="Q1301">
        <v>0.91</v>
      </c>
      <c r="R1301">
        <v>1.06</v>
      </c>
    </row>
    <row r="1302" spans="1:19" x14ac:dyDescent="0.2">
      <c r="A1302" t="s">
        <v>2376</v>
      </c>
      <c r="B1302" t="s">
        <v>2377</v>
      </c>
      <c r="C1302">
        <v>2014</v>
      </c>
      <c r="D1302">
        <v>1</v>
      </c>
      <c r="E1302" t="s">
        <v>55</v>
      </c>
      <c r="F1302" t="s">
        <v>128</v>
      </c>
      <c r="G1302" t="s">
        <v>63</v>
      </c>
      <c r="H1302">
        <v>3</v>
      </c>
      <c r="I1302">
        <v>6.8870500000000003</v>
      </c>
      <c r="J1302">
        <v>297</v>
      </c>
      <c r="K1302">
        <v>6.46</v>
      </c>
      <c r="L1302">
        <v>7.34</v>
      </c>
      <c r="M1302">
        <v>1.32</v>
      </c>
      <c r="N1302">
        <v>2.3E-2</v>
      </c>
      <c r="O1302">
        <v>0.11799999999999999</v>
      </c>
      <c r="P1302">
        <v>14.25</v>
      </c>
      <c r="Q1302">
        <v>1.08</v>
      </c>
      <c r="R1302">
        <v>1.49</v>
      </c>
      <c r="S1302">
        <v>0.44</v>
      </c>
    </row>
    <row r="1303" spans="1:19" x14ac:dyDescent="0.2">
      <c r="A1303" t="s">
        <v>2376</v>
      </c>
      <c r="B1303" t="s">
        <v>2378</v>
      </c>
      <c r="C1303">
        <v>2014</v>
      </c>
      <c r="D1303">
        <v>1</v>
      </c>
      <c r="E1303" t="s">
        <v>55</v>
      </c>
      <c r="F1303" t="s">
        <v>128</v>
      </c>
      <c r="G1303" t="s">
        <v>63</v>
      </c>
      <c r="H1303">
        <v>3</v>
      </c>
      <c r="I1303">
        <v>12.815899999999999</v>
      </c>
      <c r="J1303">
        <v>297</v>
      </c>
      <c r="K1303">
        <v>6.46</v>
      </c>
      <c r="L1303">
        <v>7.05</v>
      </c>
      <c r="M1303">
        <v>2.2000000000000002</v>
      </c>
      <c r="N1303">
        <v>2.2179999999999998E-2</v>
      </c>
      <c r="O1303">
        <v>0.19600000000000001</v>
      </c>
      <c r="Q1303">
        <v>1.08</v>
      </c>
      <c r="R1303">
        <v>1.49</v>
      </c>
      <c r="S1303">
        <v>0.44</v>
      </c>
    </row>
    <row r="1304" spans="1:19" x14ac:dyDescent="0.2">
      <c r="A1304" t="s">
        <v>2376</v>
      </c>
      <c r="B1304" t="s">
        <v>2379</v>
      </c>
      <c r="C1304">
        <v>2014</v>
      </c>
      <c r="D1304">
        <v>1</v>
      </c>
      <c r="E1304" t="s">
        <v>55</v>
      </c>
      <c r="F1304" t="s">
        <v>128</v>
      </c>
      <c r="G1304" t="s">
        <v>63</v>
      </c>
      <c r="H1304">
        <v>3</v>
      </c>
      <c r="I1304">
        <v>35.333100000000002</v>
      </c>
      <c r="J1304">
        <v>297</v>
      </c>
      <c r="K1304">
        <v>6.46</v>
      </c>
      <c r="L1304">
        <v>3</v>
      </c>
      <c r="M1304">
        <v>1.61</v>
      </c>
      <c r="N1304">
        <v>9.4400000000000005E-3</v>
      </c>
      <c r="O1304">
        <v>0.14399999999999999</v>
      </c>
      <c r="Q1304">
        <v>1.08</v>
      </c>
      <c r="R1304">
        <v>1.49</v>
      </c>
      <c r="S1304">
        <v>0.44</v>
      </c>
    </row>
    <row r="1305" spans="1:19" x14ac:dyDescent="0.2">
      <c r="A1305" t="s">
        <v>2380</v>
      </c>
      <c r="B1305" t="s">
        <v>2381</v>
      </c>
      <c r="C1305">
        <v>2016</v>
      </c>
      <c r="D1305">
        <v>1</v>
      </c>
      <c r="E1305" t="s">
        <v>55</v>
      </c>
      <c r="F1305" t="s">
        <v>128</v>
      </c>
      <c r="G1305" t="s">
        <v>63</v>
      </c>
      <c r="H1305">
        <v>1</v>
      </c>
      <c r="I1305">
        <v>120.0181272</v>
      </c>
      <c r="J1305">
        <v>925</v>
      </c>
      <c r="K1305">
        <v>1.26</v>
      </c>
      <c r="M1305">
        <v>4.76</v>
      </c>
      <c r="O1305">
        <v>0.42499999999999999</v>
      </c>
      <c r="Q1305">
        <v>1.4</v>
      </c>
      <c r="R1305">
        <v>1.51</v>
      </c>
    </row>
    <row r="1306" spans="1:19" x14ac:dyDescent="0.2">
      <c r="A1306" t="s">
        <v>2382</v>
      </c>
      <c r="B1306" t="s">
        <v>2383</v>
      </c>
      <c r="C1306">
        <v>2016</v>
      </c>
      <c r="D1306">
        <v>1</v>
      </c>
      <c r="E1306" t="s">
        <v>55</v>
      </c>
      <c r="F1306" t="s">
        <v>128</v>
      </c>
      <c r="G1306" t="s">
        <v>63</v>
      </c>
      <c r="H1306">
        <v>1</v>
      </c>
      <c r="I1306">
        <v>14.305119830000001</v>
      </c>
      <c r="J1306">
        <v>1009</v>
      </c>
      <c r="K1306">
        <v>4.68</v>
      </c>
      <c r="M1306">
        <v>3.15</v>
      </c>
      <c r="O1306">
        <v>0.28100000000000003</v>
      </c>
      <c r="Q1306">
        <v>0.9</v>
      </c>
      <c r="R1306">
        <v>0.88</v>
      </c>
    </row>
    <row r="1307" spans="1:19" x14ac:dyDescent="0.2">
      <c r="A1307" t="s">
        <v>2384</v>
      </c>
      <c r="B1307" t="s">
        <v>2385</v>
      </c>
      <c r="C1307">
        <v>2016</v>
      </c>
      <c r="D1307">
        <v>1</v>
      </c>
      <c r="E1307" t="s">
        <v>55</v>
      </c>
      <c r="F1307" t="s">
        <v>128</v>
      </c>
      <c r="G1307" t="s">
        <v>63</v>
      </c>
      <c r="H1307">
        <v>1</v>
      </c>
      <c r="I1307">
        <v>4.3364293299999996</v>
      </c>
      <c r="J1307">
        <v>425</v>
      </c>
      <c r="K1307">
        <v>4.07</v>
      </c>
      <c r="M1307">
        <v>1.71</v>
      </c>
      <c r="O1307">
        <v>0.153</v>
      </c>
      <c r="Q1307">
        <v>1.22</v>
      </c>
      <c r="R1307">
        <v>1.57</v>
      </c>
    </row>
    <row r="1308" spans="1:19" x14ac:dyDescent="0.2">
      <c r="A1308" t="s">
        <v>2386</v>
      </c>
      <c r="B1308" t="s">
        <v>2387</v>
      </c>
      <c r="C1308">
        <v>2016</v>
      </c>
      <c r="D1308">
        <v>1</v>
      </c>
      <c r="E1308" t="s">
        <v>55</v>
      </c>
      <c r="F1308" t="s">
        <v>128</v>
      </c>
      <c r="G1308" t="s">
        <v>63</v>
      </c>
      <c r="H1308">
        <v>1</v>
      </c>
      <c r="I1308">
        <v>3.5548569099999998</v>
      </c>
      <c r="J1308">
        <v>873</v>
      </c>
      <c r="K1308">
        <v>3.16</v>
      </c>
      <c r="M1308">
        <v>1.78</v>
      </c>
      <c r="O1308">
        <v>0.159</v>
      </c>
      <c r="Q1308">
        <v>1.1100000000000001</v>
      </c>
      <c r="R1308">
        <v>1.17</v>
      </c>
    </row>
    <row r="1309" spans="1:19" x14ac:dyDescent="0.2">
      <c r="A1309" t="s">
        <v>2388</v>
      </c>
      <c r="B1309" t="s">
        <v>2389</v>
      </c>
      <c r="C1309">
        <v>2016</v>
      </c>
      <c r="D1309">
        <v>1</v>
      </c>
      <c r="E1309" t="s">
        <v>55</v>
      </c>
      <c r="F1309" t="s">
        <v>128</v>
      </c>
      <c r="G1309" t="s">
        <v>63</v>
      </c>
      <c r="H1309">
        <v>1</v>
      </c>
      <c r="I1309">
        <v>5.2878978700000001</v>
      </c>
      <c r="J1309">
        <v>1080</v>
      </c>
      <c r="K1309">
        <v>7.76</v>
      </c>
      <c r="M1309">
        <v>6.28</v>
      </c>
      <c r="O1309">
        <v>0.56000000000000005</v>
      </c>
      <c r="Q1309">
        <v>1.1100000000000001</v>
      </c>
      <c r="R1309">
        <v>3.39</v>
      </c>
    </row>
    <row r="1310" spans="1:19" x14ac:dyDescent="0.2">
      <c r="A1310" t="s">
        <v>2390</v>
      </c>
      <c r="B1310" t="s">
        <v>2391</v>
      </c>
      <c r="C1310">
        <v>2016</v>
      </c>
      <c r="D1310">
        <v>1</v>
      </c>
      <c r="E1310" t="s">
        <v>55</v>
      </c>
      <c r="F1310" t="s">
        <v>128</v>
      </c>
      <c r="G1310" t="s">
        <v>63</v>
      </c>
      <c r="H1310">
        <v>1</v>
      </c>
      <c r="I1310">
        <v>6.4980152499999999</v>
      </c>
      <c r="J1310">
        <v>515</v>
      </c>
      <c r="K1310">
        <v>6.17</v>
      </c>
      <c r="M1310">
        <v>1.5</v>
      </c>
      <c r="O1310">
        <v>0.13400000000000001</v>
      </c>
      <c r="Q1310">
        <v>1</v>
      </c>
      <c r="R1310">
        <v>1.06</v>
      </c>
    </row>
    <row r="1311" spans="1:19" x14ac:dyDescent="0.2">
      <c r="A1311" t="s">
        <v>2392</v>
      </c>
      <c r="B1311" t="s">
        <v>2393</v>
      </c>
      <c r="C1311">
        <v>2016</v>
      </c>
      <c r="D1311">
        <v>1</v>
      </c>
      <c r="E1311" t="s">
        <v>55</v>
      </c>
      <c r="F1311" t="s">
        <v>128</v>
      </c>
      <c r="G1311" t="s">
        <v>63</v>
      </c>
      <c r="H1311">
        <v>1</v>
      </c>
      <c r="I1311">
        <v>19.76172042</v>
      </c>
      <c r="J1311">
        <v>496</v>
      </c>
      <c r="K1311">
        <v>4.2699999999999996</v>
      </c>
      <c r="M1311">
        <v>1.54</v>
      </c>
      <c r="O1311">
        <v>0.13700000000000001</v>
      </c>
      <c r="Q1311">
        <v>0.78</v>
      </c>
      <c r="R1311">
        <v>0.74</v>
      </c>
    </row>
    <row r="1312" spans="1:19" x14ac:dyDescent="0.2">
      <c r="A1312" t="s">
        <v>2394</v>
      </c>
      <c r="B1312" t="s">
        <v>2395</v>
      </c>
      <c r="C1312">
        <v>2016</v>
      </c>
      <c r="D1312">
        <v>1</v>
      </c>
      <c r="E1312" t="s">
        <v>55</v>
      </c>
      <c r="F1312" t="s">
        <v>128</v>
      </c>
      <c r="G1312" t="s">
        <v>63</v>
      </c>
      <c r="H1312">
        <v>1</v>
      </c>
      <c r="I1312">
        <v>5.1850020700000004</v>
      </c>
      <c r="J1312">
        <v>365</v>
      </c>
      <c r="K1312">
        <v>4.17</v>
      </c>
      <c r="M1312">
        <v>1.44</v>
      </c>
      <c r="O1312">
        <v>0.128</v>
      </c>
      <c r="Q1312">
        <v>0.73</v>
      </c>
      <c r="R1312">
        <v>0.7</v>
      </c>
    </row>
    <row r="1313" spans="1:19" x14ac:dyDescent="0.2">
      <c r="A1313" t="s">
        <v>2396</v>
      </c>
      <c r="B1313" t="s">
        <v>2397</v>
      </c>
      <c r="C1313">
        <v>2016</v>
      </c>
      <c r="D1313">
        <v>1</v>
      </c>
      <c r="E1313" t="s">
        <v>55</v>
      </c>
      <c r="F1313" t="s">
        <v>128</v>
      </c>
      <c r="G1313" t="s">
        <v>63</v>
      </c>
      <c r="H1313">
        <v>1</v>
      </c>
      <c r="I1313">
        <v>12.439311930000001</v>
      </c>
      <c r="J1313">
        <v>299</v>
      </c>
      <c r="K1313">
        <v>6.76</v>
      </c>
      <c r="M1313">
        <v>1.28</v>
      </c>
      <c r="O1313">
        <v>0.114</v>
      </c>
      <c r="Q1313">
        <v>0.81</v>
      </c>
      <c r="R1313">
        <v>0.78</v>
      </c>
    </row>
    <row r="1314" spans="1:19" x14ac:dyDescent="0.2">
      <c r="A1314" t="s">
        <v>2398</v>
      </c>
      <c r="B1314" t="s">
        <v>2399</v>
      </c>
      <c r="C1314">
        <v>2016</v>
      </c>
      <c r="D1314">
        <v>1</v>
      </c>
      <c r="E1314" t="s">
        <v>55</v>
      </c>
      <c r="F1314" t="s">
        <v>128</v>
      </c>
      <c r="G1314" t="s">
        <v>63</v>
      </c>
      <c r="H1314">
        <v>1</v>
      </c>
      <c r="I1314">
        <v>11.350119169999999</v>
      </c>
      <c r="J1314">
        <v>281</v>
      </c>
      <c r="K1314">
        <v>3.16</v>
      </c>
      <c r="M1314">
        <v>2.17</v>
      </c>
      <c r="O1314">
        <v>0.19400000000000001</v>
      </c>
      <c r="Q1314">
        <v>0.59</v>
      </c>
      <c r="R1314">
        <v>0.56999999999999995</v>
      </c>
    </row>
    <row r="1315" spans="1:19" x14ac:dyDescent="0.2">
      <c r="A1315" t="s">
        <v>2400</v>
      </c>
      <c r="B1315" t="s">
        <v>2401</v>
      </c>
      <c r="C1315">
        <v>2014</v>
      </c>
      <c r="D1315">
        <v>1</v>
      </c>
      <c r="E1315" t="s">
        <v>55</v>
      </c>
      <c r="F1315" t="s">
        <v>128</v>
      </c>
      <c r="G1315" t="s">
        <v>63</v>
      </c>
      <c r="H1315">
        <v>2</v>
      </c>
      <c r="I1315">
        <v>3.4876811999999999</v>
      </c>
      <c r="J1315">
        <v>657</v>
      </c>
      <c r="K1315">
        <v>5.9</v>
      </c>
      <c r="L1315">
        <v>51.1</v>
      </c>
      <c r="M1315">
        <v>5.77</v>
      </c>
      <c r="N1315">
        <v>0.16</v>
      </c>
      <c r="O1315">
        <v>0.51</v>
      </c>
      <c r="P1315">
        <v>1.45</v>
      </c>
      <c r="Q1315">
        <v>1.17</v>
      </c>
      <c r="R1315">
        <v>1.56</v>
      </c>
      <c r="S1315">
        <v>0.437</v>
      </c>
    </row>
    <row r="1316" spans="1:19" x14ac:dyDescent="0.2">
      <c r="A1316" t="s">
        <v>2400</v>
      </c>
      <c r="B1316" t="s">
        <v>2402</v>
      </c>
      <c r="C1316">
        <v>2014</v>
      </c>
      <c r="D1316">
        <v>1</v>
      </c>
      <c r="E1316" t="s">
        <v>55</v>
      </c>
      <c r="F1316" t="s">
        <v>128</v>
      </c>
      <c r="G1316" t="s">
        <v>63</v>
      </c>
      <c r="H1316">
        <v>2</v>
      </c>
      <c r="I1316">
        <v>6.0297599999999996</v>
      </c>
      <c r="J1316">
        <v>657</v>
      </c>
      <c r="K1316">
        <v>5.9</v>
      </c>
      <c r="L1316">
        <v>3.78</v>
      </c>
      <c r="M1316">
        <v>1.25</v>
      </c>
      <c r="N1316">
        <v>0.01</v>
      </c>
      <c r="O1316">
        <v>0.112</v>
      </c>
      <c r="P1316">
        <v>10.5</v>
      </c>
      <c r="Q1316">
        <v>1.17</v>
      </c>
      <c r="R1316">
        <v>1.56</v>
      </c>
      <c r="S1316">
        <v>0.437</v>
      </c>
    </row>
    <row r="1317" spans="1:19" x14ac:dyDescent="0.2">
      <c r="A1317" t="s">
        <v>2403</v>
      </c>
      <c r="B1317" t="s">
        <v>2404</v>
      </c>
      <c r="C1317">
        <v>2016</v>
      </c>
      <c r="D1317">
        <v>1</v>
      </c>
      <c r="E1317" t="s">
        <v>55</v>
      </c>
      <c r="F1317" t="s">
        <v>128</v>
      </c>
      <c r="G1317" t="s">
        <v>63</v>
      </c>
      <c r="H1317">
        <v>1</v>
      </c>
      <c r="I1317">
        <v>34.268570500000003</v>
      </c>
      <c r="J1317">
        <v>610</v>
      </c>
      <c r="K1317">
        <v>4.79</v>
      </c>
      <c r="M1317">
        <v>2.3199999999999998</v>
      </c>
      <c r="O1317">
        <v>0.20699999999999999</v>
      </c>
      <c r="Q1317">
        <v>0.86</v>
      </c>
      <c r="R1317">
        <v>0.82</v>
      </c>
    </row>
    <row r="1318" spans="1:19" x14ac:dyDescent="0.2">
      <c r="A1318" t="s">
        <v>2405</v>
      </c>
      <c r="B1318" t="s">
        <v>2406</v>
      </c>
      <c r="C1318">
        <v>2016</v>
      </c>
      <c r="D1318">
        <v>1</v>
      </c>
      <c r="E1318" t="s">
        <v>55</v>
      </c>
      <c r="F1318" t="s">
        <v>128</v>
      </c>
      <c r="G1318" t="s">
        <v>63</v>
      </c>
      <c r="H1318">
        <v>1</v>
      </c>
      <c r="I1318">
        <v>5.7532219700000002</v>
      </c>
      <c r="J1318">
        <v>860</v>
      </c>
      <c r="K1318">
        <v>4.47</v>
      </c>
      <c r="M1318">
        <v>2.87</v>
      </c>
      <c r="O1318">
        <v>0.25600000000000001</v>
      </c>
      <c r="Q1318">
        <v>0.91</v>
      </c>
      <c r="R1318">
        <v>0.88</v>
      </c>
    </row>
    <row r="1319" spans="1:19" x14ac:dyDescent="0.2">
      <c r="A1319" t="s">
        <v>2407</v>
      </c>
      <c r="B1319" t="s">
        <v>2408</v>
      </c>
      <c r="C1319">
        <v>2016</v>
      </c>
      <c r="D1319">
        <v>1</v>
      </c>
      <c r="E1319" t="s">
        <v>55</v>
      </c>
      <c r="F1319" t="s">
        <v>128</v>
      </c>
      <c r="G1319" t="s">
        <v>63</v>
      </c>
      <c r="H1319">
        <v>1</v>
      </c>
      <c r="I1319">
        <v>5.5086043900000004</v>
      </c>
      <c r="J1319">
        <v>420</v>
      </c>
      <c r="K1319">
        <v>3.72</v>
      </c>
      <c r="M1319">
        <v>1.29</v>
      </c>
      <c r="O1319">
        <v>0.115</v>
      </c>
      <c r="Q1319">
        <v>0.95</v>
      </c>
      <c r="R1319">
        <v>0.91</v>
      </c>
    </row>
    <row r="1320" spans="1:19" x14ac:dyDescent="0.2">
      <c r="A1320" t="s">
        <v>2409</v>
      </c>
      <c r="B1320" t="s">
        <v>2410</v>
      </c>
      <c r="C1320">
        <v>2016</v>
      </c>
      <c r="D1320">
        <v>1</v>
      </c>
      <c r="E1320" t="s">
        <v>55</v>
      </c>
      <c r="F1320" t="s">
        <v>128</v>
      </c>
      <c r="G1320" t="s">
        <v>63</v>
      </c>
      <c r="H1320">
        <v>1</v>
      </c>
      <c r="I1320">
        <v>18.930549589999998</v>
      </c>
      <c r="J1320">
        <v>433</v>
      </c>
      <c r="K1320">
        <v>4.2699999999999996</v>
      </c>
      <c r="M1320">
        <v>2.15</v>
      </c>
      <c r="O1320">
        <v>0.192</v>
      </c>
      <c r="Q1320">
        <v>0.81</v>
      </c>
      <c r="R1320">
        <v>0.76</v>
      </c>
    </row>
    <row r="1321" spans="1:19" x14ac:dyDescent="0.2">
      <c r="A1321" t="s">
        <v>2411</v>
      </c>
      <c r="B1321" t="s">
        <v>2412</v>
      </c>
      <c r="C1321">
        <v>2016</v>
      </c>
      <c r="D1321">
        <v>1</v>
      </c>
      <c r="E1321" t="s">
        <v>55</v>
      </c>
      <c r="F1321" t="s">
        <v>128</v>
      </c>
      <c r="G1321" t="s">
        <v>63</v>
      </c>
      <c r="H1321">
        <v>1</v>
      </c>
      <c r="I1321">
        <v>16.57110363</v>
      </c>
      <c r="J1321">
        <v>672</v>
      </c>
      <c r="K1321">
        <v>4.79</v>
      </c>
      <c r="M1321">
        <v>2.39</v>
      </c>
      <c r="O1321">
        <v>0.21299999999999999</v>
      </c>
      <c r="Q1321">
        <v>0.88</v>
      </c>
      <c r="R1321">
        <v>0.84</v>
      </c>
    </row>
    <row r="1322" spans="1:19" x14ac:dyDescent="0.2">
      <c r="A1322" t="s">
        <v>2413</v>
      </c>
      <c r="B1322" t="s">
        <v>2414</v>
      </c>
      <c r="C1322">
        <v>2016</v>
      </c>
      <c r="D1322">
        <v>1</v>
      </c>
      <c r="E1322" t="s">
        <v>55</v>
      </c>
      <c r="F1322" t="s">
        <v>128</v>
      </c>
      <c r="G1322" t="s">
        <v>63</v>
      </c>
      <c r="H1322">
        <v>1</v>
      </c>
      <c r="I1322">
        <v>16.004942140000001</v>
      </c>
      <c r="J1322">
        <v>932</v>
      </c>
      <c r="K1322">
        <v>1.58</v>
      </c>
      <c r="M1322">
        <v>3.55</v>
      </c>
      <c r="O1322">
        <v>0.317</v>
      </c>
      <c r="Q1322">
        <v>1.49</v>
      </c>
      <c r="R1322">
        <v>1.81</v>
      </c>
    </row>
    <row r="1323" spans="1:19" x14ac:dyDescent="0.2">
      <c r="A1323" t="s">
        <v>2415</v>
      </c>
      <c r="B1323" t="s">
        <v>2416</v>
      </c>
      <c r="C1323">
        <v>2016</v>
      </c>
      <c r="D1323">
        <v>1</v>
      </c>
      <c r="E1323" t="s">
        <v>55</v>
      </c>
      <c r="F1323" t="s">
        <v>128</v>
      </c>
      <c r="G1323" t="s">
        <v>63</v>
      </c>
      <c r="H1323">
        <v>2</v>
      </c>
      <c r="I1323">
        <v>1.9545243400000001</v>
      </c>
      <c r="J1323">
        <v>1239</v>
      </c>
      <c r="K1323">
        <v>3.89</v>
      </c>
      <c r="M1323">
        <v>2.1800000000000002</v>
      </c>
      <c r="O1323">
        <v>0.19400000000000001</v>
      </c>
      <c r="Q1323">
        <v>0.99</v>
      </c>
      <c r="R1323">
        <v>1</v>
      </c>
    </row>
    <row r="1324" spans="1:19" x14ac:dyDescent="0.2">
      <c r="A1324" t="s">
        <v>2415</v>
      </c>
      <c r="B1324" t="s">
        <v>2417</v>
      </c>
      <c r="C1324">
        <v>2016</v>
      </c>
      <c r="D1324">
        <v>1</v>
      </c>
      <c r="E1324" t="s">
        <v>55</v>
      </c>
      <c r="F1324" t="s">
        <v>128</v>
      </c>
      <c r="G1324" t="s">
        <v>63</v>
      </c>
      <c r="H1324">
        <v>2</v>
      </c>
      <c r="I1324">
        <v>105.6551369</v>
      </c>
      <c r="J1324">
        <v>1239</v>
      </c>
      <c r="K1324">
        <v>3.89</v>
      </c>
      <c r="M1324">
        <v>3.68</v>
      </c>
      <c r="O1324">
        <v>0.32800000000000001</v>
      </c>
      <c r="Q1324">
        <v>0.99</v>
      </c>
      <c r="R1324">
        <v>1</v>
      </c>
    </row>
    <row r="1325" spans="1:19" x14ac:dyDescent="0.2">
      <c r="A1325" t="s">
        <v>2418</v>
      </c>
      <c r="B1325" t="s">
        <v>2419</v>
      </c>
      <c r="C1325">
        <v>2016</v>
      </c>
      <c r="D1325">
        <v>1</v>
      </c>
      <c r="E1325" t="s">
        <v>55</v>
      </c>
      <c r="F1325" t="s">
        <v>128</v>
      </c>
      <c r="G1325" t="s">
        <v>63</v>
      </c>
      <c r="H1325">
        <v>1</v>
      </c>
      <c r="I1325">
        <v>7.2340046899999999</v>
      </c>
      <c r="J1325">
        <v>554</v>
      </c>
      <c r="K1325">
        <v>2.95</v>
      </c>
      <c r="M1325">
        <v>1.99</v>
      </c>
      <c r="O1325">
        <v>0.17799999999999999</v>
      </c>
      <c r="Q1325">
        <v>0.93</v>
      </c>
      <c r="R1325">
        <v>0.87</v>
      </c>
    </row>
    <row r="1326" spans="1:19" x14ac:dyDescent="0.2">
      <c r="A1326" t="s">
        <v>2420</v>
      </c>
      <c r="B1326" t="s">
        <v>2421</v>
      </c>
      <c r="C1326">
        <v>2016</v>
      </c>
      <c r="D1326">
        <v>1</v>
      </c>
      <c r="E1326" t="s">
        <v>55</v>
      </c>
      <c r="F1326" t="s">
        <v>128</v>
      </c>
      <c r="G1326" t="s">
        <v>63</v>
      </c>
      <c r="H1326">
        <v>1</v>
      </c>
      <c r="I1326">
        <v>49.101351399999999</v>
      </c>
      <c r="J1326">
        <v>894</v>
      </c>
      <c r="K1326">
        <v>4.47</v>
      </c>
      <c r="M1326">
        <v>2.58</v>
      </c>
      <c r="O1326">
        <v>0.23</v>
      </c>
      <c r="Q1326">
        <v>0.91</v>
      </c>
      <c r="R1326">
        <v>0.88</v>
      </c>
    </row>
    <row r="1327" spans="1:19" x14ac:dyDescent="0.2">
      <c r="A1327" t="s">
        <v>2422</v>
      </c>
      <c r="B1327" t="s">
        <v>2423</v>
      </c>
      <c r="C1327">
        <v>2016</v>
      </c>
      <c r="D1327">
        <v>1</v>
      </c>
      <c r="E1327" t="s">
        <v>55</v>
      </c>
      <c r="F1327" t="s">
        <v>128</v>
      </c>
      <c r="G1327" t="s">
        <v>63</v>
      </c>
      <c r="H1327">
        <v>1</v>
      </c>
      <c r="I1327">
        <v>1.41122985</v>
      </c>
      <c r="J1327">
        <v>198</v>
      </c>
      <c r="K1327">
        <v>3.55</v>
      </c>
      <c r="M1327">
        <v>1.46</v>
      </c>
      <c r="O1327">
        <v>0.13</v>
      </c>
      <c r="Q1327">
        <v>0.7</v>
      </c>
      <c r="R1327">
        <v>0.67</v>
      </c>
    </row>
    <row r="1328" spans="1:19" x14ac:dyDescent="0.2">
      <c r="A1328" t="s">
        <v>2424</v>
      </c>
      <c r="B1328" t="s">
        <v>2425</v>
      </c>
      <c r="C1328">
        <v>2014</v>
      </c>
      <c r="D1328">
        <v>1</v>
      </c>
      <c r="E1328" t="s">
        <v>55</v>
      </c>
      <c r="F1328" t="s">
        <v>128</v>
      </c>
      <c r="G1328" t="s">
        <v>63</v>
      </c>
      <c r="H1328">
        <v>5</v>
      </c>
      <c r="I1328">
        <v>5.2869599999999997</v>
      </c>
      <c r="J1328">
        <v>110</v>
      </c>
      <c r="L1328">
        <v>4.3</v>
      </c>
      <c r="M1328">
        <v>0.47</v>
      </c>
      <c r="N1328">
        <v>1.353E-2</v>
      </c>
      <c r="O1328">
        <v>4.2000000000000003E-2</v>
      </c>
      <c r="Q1328">
        <v>0.81</v>
      </c>
      <c r="R1328">
        <v>0.76</v>
      </c>
      <c r="S1328">
        <v>2.61</v>
      </c>
    </row>
    <row r="1329" spans="1:19" x14ac:dyDescent="0.2">
      <c r="A1329" t="s">
        <v>2424</v>
      </c>
      <c r="B1329" t="s">
        <v>2426</v>
      </c>
      <c r="C1329">
        <v>2014</v>
      </c>
      <c r="D1329">
        <v>1</v>
      </c>
      <c r="E1329" t="s">
        <v>55</v>
      </c>
      <c r="F1329" t="s">
        <v>128</v>
      </c>
      <c r="G1329" t="s">
        <v>63</v>
      </c>
      <c r="H1329">
        <v>5</v>
      </c>
      <c r="I1329">
        <v>7.0714199999999998</v>
      </c>
      <c r="J1329">
        <v>110</v>
      </c>
      <c r="L1329">
        <v>3</v>
      </c>
      <c r="M1329">
        <v>0.57999999999999996</v>
      </c>
      <c r="N1329">
        <v>9.4400000000000005E-3</v>
      </c>
      <c r="O1329">
        <v>5.1999999999999998E-2</v>
      </c>
      <c r="Q1329">
        <v>0.81</v>
      </c>
      <c r="R1329">
        <v>0.76</v>
      </c>
      <c r="S1329">
        <v>2.61</v>
      </c>
    </row>
    <row r="1330" spans="1:19" x14ac:dyDescent="0.2">
      <c r="A1330" t="s">
        <v>2424</v>
      </c>
      <c r="B1330" t="s">
        <v>2427</v>
      </c>
      <c r="C1330">
        <v>2014</v>
      </c>
      <c r="D1330">
        <v>1</v>
      </c>
      <c r="E1330" t="s">
        <v>55</v>
      </c>
      <c r="F1330" t="s">
        <v>128</v>
      </c>
      <c r="G1330" t="s">
        <v>63</v>
      </c>
      <c r="H1330">
        <v>5</v>
      </c>
      <c r="I1330">
        <v>10.3117</v>
      </c>
      <c r="J1330">
        <v>110</v>
      </c>
      <c r="L1330">
        <v>3.8</v>
      </c>
      <c r="M1330">
        <v>1.18</v>
      </c>
      <c r="N1330">
        <v>1.2E-2</v>
      </c>
      <c r="O1330">
        <v>0.105</v>
      </c>
      <c r="P1330">
        <v>13.27</v>
      </c>
      <c r="Q1330">
        <v>0.81</v>
      </c>
      <c r="R1330">
        <v>0.76</v>
      </c>
      <c r="S1330">
        <v>2.61</v>
      </c>
    </row>
    <row r="1331" spans="1:19" x14ac:dyDescent="0.2">
      <c r="A1331" t="s">
        <v>2424</v>
      </c>
      <c r="B1331" t="s">
        <v>2428</v>
      </c>
      <c r="C1331">
        <v>2013</v>
      </c>
      <c r="D1331">
        <v>1</v>
      </c>
      <c r="E1331" t="s">
        <v>55</v>
      </c>
      <c r="F1331" t="s">
        <v>128</v>
      </c>
      <c r="G1331" t="s">
        <v>63</v>
      </c>
      <c r="H1331">
        <v>5</v>
      </c>
      <c r="I1331">
        <v>16.145700000000001</v>
      </c>
      <c r="J1331">
        <v>110</v>
      </c>
      <c r="L1331">
        <v>8.93</v>
      </c>
      <c r="M1331">
        <v>2.2200000000000002</v>
      </c>
      <c r="N1331">
        <v>2.8000000000000001E-2</v>
      </c>
      <c r="O1331">
        <v>0.19800000000000001</v>
      </c>
      <c r="P1331">
        <v>4.68</v>
      </c>
      <c r="Q1331">
        <v>0.81</v>
      </c>
      <c r="R1331">
        <v>0.76</v>
      </c>
      <c r="S1331">
        <v>2.61</v>
      </c>
    </row>
    <row r="1332" spans="1:19" x14ac:dyDescent="0.2">
      <c r="A1332" t="s">
        <v>2424</v>
      </c>
      <c r="B1332" t="s">
        <v>2429</v>
      </c>
      <c r="C1332">
        <v>2014</v>
      </c>
      <c r="D1332">
        <v>1</v>
      </c>
      <c r="E1332" t="s">
        <v>55</v>
      </c>
      <c r="F1332" t="s">
        <v>128</v>
      </c>
      <c r="G1332" t="s">
        <v>63</v>
      </c>
      <c r="H1332">
        <v>5</v>
      </c>
      <c r="I1332">
        <v>27.453600000000002</v>
      </c>
      <c r="J1332">
        <v>110</v>
      </c>
      <c r="L1332">
        <v>5.2</v>
      </c>
      <c r="M1332">
        <v>0.88</v>
      </c>
      <c r="N1332">
        <v>1.636E-2</v>
      </c>
      <c r="O1332">
        <v>7.9000000000000001E-2</v>
      </c>
      <c r="Q1332">
        <v>0.81</v>
      </c>
      <c r="R1332">
        <v>0.76</v>
      </c>
      <c r="S1332">
        <v>2.61</v>
      </c>
    </row>
    <row r="1333" spans="1:19" x14ac:dyDescent="0.2">
      <c r="A1333" t="s">
        <v>2430</v>
      </c>
      <c r="B1333" t="s">
        <v>2431</v>
      </c>
      <c r="C1333">
        <v>2016</v>
      </c>
      <c r="D1333">
        <v>1</v>
      </c>
      <c r="E1333" t="s">
        <v>55</v>
      </c>
      <c r="F1333" t="s">
        <v>128</v>
      </c>
      <c r="G1333" t="s">
        <v>63</v>
      </c>
      <c r="H1333">
        <v>1</v>
      </c>
      <c r="I1333">
        <v>96.915149600000007</v>
      </c>
      <c r="J1333">
        <v>446</v>
      </c>
      <c r="K1333">
        <v>3.63</v>
      </c>
      <c r="M1333">
        <v>2.2799999999999998</v>
      </c>
      <c r="O1333">
        <v>0.20300000000000001</v>
      </c>
      <c r="Q1333">
        <v>0.87</v>
      </c>
      <c r="R1333">
        <v>0.8</v>
      </c>
    </row>
    <row r="1334" spans="1:19" x14ac:dyDescent="0.2">
      <c r="A1334" t="s">
        <v>2432</v>
      </c>
      <c r="B1334" t="s">
        <v>2433</v>
      </c>
      <c r="C1334">
        <v>2016</v>
      </c>
      <c r="D1334">
        <v>1</v>
      </c>
      <c r="E1334" t="s">
        <v>55</v>
      </c>
      <c r="F1334" t="s">
        <v>128</v>
      </c>
      <c r="G1334" t="s">
        <v>63</v>
      </c>
      <c r="H1334">
        <v>1</v>
      </c>
      <c r="I1334">
        <v>13.474695710000001</v>
      </c>
      <c r="J1334">
        <v>837</v>
      </c>
      <c r="K1334">
        <v>4.68</v>
      </c>
      <c r="M1334">
        <v>2.33</v>
      </c>
      <c r="O1334">
        <v>0.20799999999999999</v>
      </c>
      <c r="Q1334">
        <v>0.89</v>
      </c>
      <c r="R1334">
        <v>0.86</v>
      </c>
    </row>
    <row r="1335" spans="1:19" x14ac:dyDescent="0.2">
      <c r="A1335" t="s">
        <v>2434</v>
      </c>
      <c r="B1335" t="s">
        <v>2435</v>
      </c>
      <c r="C1335">
        <v>2016</v>
      </c>
      <c r="D1335">
        <v>1</v>
      </c>
      <c r="E1335" t="s">
        <v>55</v>
      </c>
      <c r="F1335" t="s">
        <v>128</v>
      </c>
      <c r="G1335" t="s">
        <v>63</v>
      </c>
      <c r="H1335">
        <v>1</v>
      </c>
      <c r="I1335">
        <v>10.99469878</v>
      </c>
      <c r="J1335">
        <v>455</v>
      </c>
      <c r="K1335">
        <v>3.63</v>
      </c>
      <c r="M1335">
        <v>2.36</v>
      </c>
      <c r="O1335">
        <v>0.21099999999999999</v>
      </c>
      <c r="Q1335">
        <v>0.71</v>
      </c>
      <c r="R1335">
        <v>0.68</v>
      </c>
    </row>
    <row r="1336" spans="1:19" x14ac:dyDescent="0.2">
      <c r="A1336" t="s">
        <v>2436</v>
      </c>
      <c r="B1336" t="s">
        <v>2437</v>
      </c>
      <c r="C1336">
        <v>2016</v>
      </c>
      <c r="D1336">
        <v>1</v>
      </c>
      <c r="E1336" t="s">
        <v>55</v>
      </c>
      <c r="F1336" t="s">
        <v>128</v>
      </c>
      <c r="G1336" t="s">
        <v>63</v>
      </c>
      <c r="H1336">
        <v>1</v>
      </c>
      <c r="I1336">
        <v>62.138771400000003</v>
      </c>
      <c r="J1336">
        <v>686</v>
      </c>
      <c r="K1336">
        <v>4.47</v>
      </c>
      <c r="M1336">
        <v>2.63</v>
      </c>
      <c r="O1336">
        <v>0.23499999999999999</v>
      </c>
      <c r="Q1336">
        <v>0.93</v>
      </c>
      <c r="R1336">
        <v>0.89</v>
      </c>
    </row>
    <row r="1337" spans="1:19" x14ac:dyDescent="0.2">
      <c r="A1337" t="s">
        <v>2438</v>
      </c>
      <c r="B1337" t="s">
        <v>2439</v>
      </c>
      <c r="C1337">
        <v>2016</v>
      </c>
      <c r="D1337">
        <v>1</v>
      </c>
      <c r="E1337" t="s">
        <v>55</v>
      </c>
      <c r="F1337" t="s">
        <v>128</v>
      </c>
      <c r="G1337" t="s">
        <v>63</v>
      </c>
      <c r="H1337">
        <v>1</v>
      </c>
      <c r="I1337">
        <v>66.416213299999995</v>
      </c>
      <c r="J1337">
        <v>1017</v>
      </c>
      <c r="K1337">
        <v>5.25</v>
      </c>
      <c r="M1337">
        <v>3.91</v>
      </c>
      <c r="O1337">
        <v>0.34899999999999998</v>
      </c>
      <c r="Q1337">
        <v>0.81</v>
      </c>
      <c r="R1337">
        <v>0.78</v>
      </c>
    </row>
    <row r="1338" spans="1:19" x14ac:dyDescent="0.2">
      <c r="A1338" t="s">
        <v>2440</v>
      </c>
      <c r="B1338" t="s">
        <v>2441</v>
      </c>
      <c r="C1338">
        <v>2016</v>
      </c>
      <c r="D1338">
        <v>1</v>
      </c>
      <c r="E1338" t="s">
        <v>55</v>
      </c>
      <c r="F1338" t="s">
        <v>128</v>
      </c>
      <c r="G1338" t="s">
        <v>63</v>
      </c>
      <c r="H1338">
        <v>1</v>
      </c>
      <c r="I1338">
        <v>37.322949299999998</v>
      </c>
      <c r="J1338">
        <v>716</v>
      </c>
      <c r="K1338">
        <v>3.31</v>
      </c>
      <c r="M1338">
        <v>1.98</v>
      </c>
      <c r="O1338">
        <v>0.17699999999999999</v>
      </c>
      <c r="Q1338">
        <v>1.0900000000000001</v>
      </c>
      <c r="R1338">
        <v>1.1299999999999999</v>
      </c>
    </row>
    <row r="1339" spans="1:19" x14ac:dyDescent="0.2">
      <c r="A1339" t="s">
        <v>2442</v>
      </c>
      <c r="B1339" t="s">
        <v>2443</v>
      </c>
      <c r="C1339">
        <v>2016</v>
      </c>
      <c r="D1339">
        <v>1</v>
      </c>
      <c r="E1339" t="s">
        <v>55</v>
      </c>
      <c r="F1339" t="s">
        <v>128</v>
      </c>
      <c r="G1339" t="s">
        <v>63</v>
      </c>
      <c r="H1339">
        <v>1</v>
      </c>
      <c r="I1339">
        <v>36.515605299999997</v>
      </c>
      <c r="J1339">
        <v>389</v>
      </c>
      <c r="K1339">
        <v>4.57</v>
      </c>
      <c r="M1339">
        <v>2.21</v>
      </c>
      <c r="O1339">
        <v>0.19700000000000001</v>
      </c>
      <c r="Q1339">
        <v>0.79</v>
      </c>
      <c r="R1339">
        <v>0.75</v>
      </c>
    </row>
    <row r="1340" spans="1:19" x14ac:dyDescent="0.2">
      <c r="A1340" t="s">
        <v>2444</v>
      </c>
      <c r="B1340" t="s">
        <v>2445</v>
      </c>
      <c r="C1340">
        <v>2016</v>
      </c>
      <c r="D1340">
        <v>1</v>
      </c>
      <c r="E1340" t="s">
        <v>55</v>
      </c>
      <c r="F1340" t="s">
        <v>128</v>
      </c>
      <c r="G1340" t="s">
        <v>63</v>
      </c>
      <c r="H1340">
        <v>1</v>
      </c>
      <c r="I1340">
        <v>1.9078052000000001</v>
      </c>
      <c r="J1340">
        <v>291</v>
      </c>
      <c r="K1340">
        <v>1.41</v>
      </c>
      <c r="M1340">
        <v>0.89</v>
      </c>
      <c r="O1340">
        <v>7.9000000000000001E-2</v>
      </c>
      <c r="Q1340">
        <v>0.91</v>
      </c>
      <c r="R1340">
        <v>0.82</v>
      </c>
    </row>
    <row r="1341" spans="1:19" x14ac:dyDescent="0.2">
      <c r="A1341" t="s">
        <v>2446</v>
      </c>
      <c r="B1341" t="s">
        <v>2447</v>
      </c>
      <c r="C1341">
        <v>2016</v>
      </c>
      <c r="D1341">
        <v>1</v>
      </c>
      <c r="E1341" t="s">
        <v>55</v>
      </c>
      <c r="F1341" t="s">
        <v>128</v>
      </c>
      <c r="G1341" t="s">
        <v>63</v>
      </c>
      <c r="H1341">
        <v>1</v>
      </c>
      <c r="I1341">
        <v>2.5146243199999998</v>
      </c>
      <c r="J1341">
        <v>633</v>
      </c>
      <c r="K1341">
        <v>4.68</v>
      </c>
      <c r="M1341">
        <v>1.33</v>
      </c>
      <c r="O1341">
        <v>0.11899999999999999</v>
      </c>
      <c r="Q1341">
        <v>0.9</v>
      </c>
      <c r="R1341">
        <v>0.87</v>
      </c>
    </row>
    <row r="1342" spans="1:19" x14ac:dyDescent="0.2">
      <c r="A1342" t="s">
        <v>2448</v>
      </c>
      <c r="B1342" t="s">
        <v>2449</v>
      </c>
      <c r="C1342">
        <v>2016</v>
      </c>
      <c r="D1342">
        <v>1</v>
      </c>
      <c r="E1342" t="s">
        <v>55</v>
      </c>
      <c r="F1342" t="s">
        <v>128</v>
      </c>
      <c r="G1342" t="s">
        <v>63</v>
      </c>
      <c r="H1342">
        <v>1</v>
      </c>
      <c r="I1342">
        <v>4.41769648</v>
      </c>
      <c r="J1342">
        <v>422</v>
      </c>
      <c r="K1342">
        <v>4.07</v>
      </c>
      <c r="M1342">
        <v>1.26</v>
      </c>
      <c r="O1342">
        <v>0.112</v>
      </c>
      <c r="Q1342">
        <v>0.82</v>
      </c>
      <c r="R1342">
        <v>0.77</v>
      </c>
    </row>
    <row r="1343" spans="1:19" x14ac:dyDescent="0.2">
      <c r="A1343" t="s">
        <v>2450</v>
      </c>
      <c r="B1343" t="s">
        <v>2451</v>
      </c>
      <c r="C1343">
        <v>2014</v>
      </c>
      <c r="D1343">
        <v>1</v>
      </c>
      <c r="E1343" t="s">
        <v>55</v>
      </c>
      <c r="F1343" t="s">
        <v>128</v>
      </c>
      <c r="G1343" t="s">
        <v>63</v>
      </c>
      <c r="H1343">
        <v>2</v>
      </c>
      <c r="I1343">
        <v>15.965400000000001</v>
      </c>
      <c r="J1343">
        <v>485</v>
      </c>
      <c r="K1343">
        <v>5.7</v>
      </c>
      <c r="L1343">
        <v>9.6999999999999993</v>
      </c>
      <c r="M1343">
        <v>3.37</v>
      </c>
      <c r="N1343">
        <v>3.1E-2</v>
      </c>
      <c r="O1343">
        <v>0.30099999999999999</v>
      </c>
      <c r="P1343">
        <v>1.38</v>
      </c>
      <c r="Q1343">
        <v>1.0900000000000001</v>
      </c>
      <c r="R1343">
        <v>1.44</v>
      </c>
      <c r="S1343">
        <v>0.52</v>
      </c>
    </row>
    <row r="1344" spans="1:19" x14ac:dyDescent="0.2">
      <c r="A1344" t="s">
        <v>2450</v>
      </c>
      <c r="B1344" t="s">
        <v>2452</v>
      </c>
      <c r="C1344">
        <v>2014</v>
      </c>
      <c r="D1344">
        <v>1</v>
      </c>
      <c r="E1344" t="s">
        <v>55</v>
      </c>
      <c r="F1344" t="s">
        <v>128</v>
      </c>
      <c r="G1344" t="s">
        <v>63</v>
      </c>
      <c r="H1344">
        <v>2</v>
      </c>
      <c r="I1344">
        <v>179.61199999999999</v>
      </c>
      <c r="J1344">
        <v>485</v>
      </c>
      <c r="K1344">
        <v>5.7</v>
      </c>
      <c r="L1344">
        <v>36.1</v>
      </c>
      <c r="M1344">
        <v>5.14</v>
      </c>
      <c r="N1344">
        <v>0.114</v>
      </c>
      <c r="O1344">
        <v>0.45900000000000002</v>
      </c>
      <c r="P1344">
        <v>1.47</v>
      </c>
      <c r="Q1344">
        <v>1.0900000000000001</v>
      </c>
      <c r="R1344">
        <v>1.44</v>
      </c>
      <c r="S1344">
        <v>0.52</v>
      </c>
    </row>
    <row r="1345" spans="1:18" x14ac:dyDescent="0.2">
      <c r="A1345" t="s">
        <v>2453</v>
      </c>
      <c r="B1345" t="s">
        <v>2454</v>
      </c>
      <c r="C1345">
        <v>2016</v>
      </c>
      <c r="D1345">
        <v>1</v>
      </c>
      <c r="E1345" t="s">
        <v>55</v>
      </c>
      <c r="F1345" t="s">
        <v>128</v>
      </c>
      <c r="G1345" t="s">
        <v>63</v>
      </c>
      <c r="H1345">
        <v>1</v>
      </c>
      <c r="I1345">
        <v>19.329524159999998</v>
      </c>
      <c r="J1345">
        <v>795</v>
      </c>
      <c r="K1345">
        <v>4.37</v>
      </c>
      <c r="M1345">
        <v>2.48</v>
      </c>
      <c r="O1345">
        <v>0.221</v>
      </c>
      <c r="Q1345">
        <v>0.8</v>
      </c>
      <c r="R1345">
        <v>0.76</v>
      </c>
    </row>
    <row r="1346" spans="1:18" x14ac:dyDescent="0.2">
      <c r="A1346" t="s">
        <v>2455</v>
      </c>
      <c r="B1346" t="s">
        <v>2456</v>
      </c>
      <c r="C1346">
        <v>2016</v>
      </c>
      <c r="D1346">
        <v>1</v>
      </c>
      <c r="E1346" t="s">
        <v>55</v>
      </c>
      <c r="F1346" t="s">
        <v>128</v>
      </c>
      <c r="G1346" t="s">
        <v>63</v>
      </c>
      <c r="H1346">
        <v>1</v>
      </c>
      <c r="I1346">
        <v>1.2262173199999999</v>
      </c>
      <c r="J1346">
        <v>741</v>
      </c>
      <c r="K1346">
        <v>3.39</v>
      </c>
      <c r="M1346">
        <v>0.87</v>
      </c>
      <c r="O1346">
        <v>7.8E-2</v>
      </c>
      <c r="Q1346">
        <v>1.0900000000000001</v>
      </c>
      <c r="R1346">
        <v>1.1200000000000001</v>
      </c>
    </row>
    <row r="1347" spans="1:18" x14ac:dyDescent="0.2">
      <c r="A1347" t="s">
        <v>2457</v>
      </c>
      <c r="B1347" t="s">
        <v>2458</v>
      </c>
      <c r="C1347">
        <v>2016</v>
      </c>
      <c r="D1347">
        <v>1</v>
      </c>
      <c r="E1347" t="s">
        <v>55</v>
      </c>
      <c r="F1347" t="s">
        <v>128</v>
      </c>
      <c r="G1347" t="s">
        <v>63</v>
      </c>
      <c r="H1347">
        <v>1</v>
      </c>
      <c r="I1347">
        <v>3.29011795</v>
      </c>
      <c r="J1347">
        <v>607</v>
      </c>
      <c r="K1347">
        <v>1.86</v>
      </c>
      <c r="M1347">
        <v>1.87</v>
      </c>
      <c r="O1347">
        <v>0.16700000000000001</v>
      </c>
      <c r="Q1347">
        <v>0.77</v>
      </c>
      <c r="R1347">
        <v>0.71</v>
      </c>
    </row>
    <row r="1348" spans="1:18" x14ac:dyDescent="0.2">
      <c r="A1348" t="s">
        <v>2459</v>
      </c>
      <c r="B1348" t="s">
        <v>2460</v>
      </c>
      <c r="C1348">
        <v>2016</v>
      </c>
      <c r="D1348">
        <v>1</v>
      </c>
      <c r="E1348" t="s">
        <v>55</v>
      </c>
      <c r="F1348" t="s">
        <v>128</v>
      </c>
      <c r="G1348" t="s">
        <v>63</v>
      </c>
      <c r="H1348">
        <v>1</v>
      </c>
      <c r="I1348">
        <v>7.5605280600000002</v>
      </c>
      <c r="J1348">
        <v>1425</v>
      </c>
      <c r="K1348">
        <v>5.01</v>
      </c>
      <c r="M1348">
        <v>2.5099999999999998</v>
      </c>
      <c r="O1348">
        <v>0.224</v>
      </c>
      <c r="Q1348">
        <v>0.94</v>
      </c>
      <c r="R1348">
        <v>0.92</v>
      </c>
    </row>
    <row r="1349" spans="1:18" x14ac:dyDescent="0.2">
      <c r="A1349" t="s">
        <v>2461</v>
      </c>
      <c r="B1349" t="s">
        <v>2462</v>
      </c>
      <c r="C1349">
        <v>2016</v>
      </c>
      <c r="D1349">
        <v>1</v>
      </c>
      <c r="E1349" t="s">
        <v>55</v>
      </c>
      <c r="F1349" t="s">
        <v>128</v>
      </c>
      <c r="G1349" t="s">
        <v>63</v>
      </c>
      <c r="H1349">
        <v>1</v>
      </c>
      <c r="I1349">
        <v>12.124009429999999</v>
      </c>
      <c r="J1349">
        <v>706</v>
      </c>
      <c r="K1349">
        <v>4.79</v>
      </c>
      <c r="M1349">
        <v>2.2599999999999998</v>
      </c>
      <c r="O1349">
        <v>0.20200000000000001</v>
      </c>
      <c r="Q1349">
        <v>0.83</v>
      </c>
      <c r="R1349">
        <v>0.8</v>
      </c>
    </row>
    <row r="1350" spans="1:18" x14ac:dyDescent="0.2">
      <c r="A1350" t="s">
        <v>2463</v>
      </c>
      <c r="B1350" t="s">
        <v>2464</v>
      </c>
      <c r="C1350">
        <v>2016</v>
      </c>
      <c r="D1350">
        <v>1</v>
      </c>
      <c r="E1350" t="s">
        <v>55</v>
      </c>
      <c r="F1350" t="s">
        <v>128</v>
      </c>
      <c r="G1350" t="s">
        <v>63</v>
      </c>
      <c r="H1350">
        <v>1</v>
      </c>
      <c r="I1350">
        <v>2.7140775499999998</v>
      </c>
      <c r="J1350">
        <v>408</v>
      </c>
      <c r="K1350">
        <v>4.47</v>
      </c>
      <c r="M1350">
        <v>1.17</v>
      </c>
      <c r="O1350">
        <v>0.104</v>
      </c>
      <c r="Q1350">
        <v>0.98</v>
      </c>
      <c r="R1350">
        <v>0.97</v>
      </c>
    </row>
    <row r="1351" spans="1:18" x14ac:dyDescent="0.2">
      <c r="A1351" t="s">
        <v>2465</v>
      </c>
      <c r="B1351" t="s">
        <v>2466</v>
      </c>
      <c r="C1351">
        <v>2016</v>
      </c>
      <c r="D1351">
        <v>1</v>
      </c>
      <c r="E1351" t="s">
        <v>55</v>
      </c>
      <c r="F1351" t="s">
        <v>128</v>
      </c>
      <c r="G1351" t="s">
        <v>63</v>
      </c>
      <c r="H1351">
        <v>1</v>
      </c>
      <c r="I1351">
        <v>122.8808058</v>
      </c>
      <c r="J1351">
        <v>507</v>
      </c>
      <c r="K1351">
        <v>3.24</v>
      </c>
      <c r="M1351">
        <v>3.01</v>
      </c>
      <c r="O1351">
        <v>0.26900000000000002</v>
      </c>
      <c r="Q1351">
        <v>0.95</v>
      </c>
      <c r="R1351">
        <v>0.89</v>
      </c>
    </row>
    <row r="1352" spans="1:18" x14ac:dyDescent="0.2">
      <c r="A1352" t="s">
        <v>2467</v>
      </c>
      <c r="B1352" t="s">
        <v>2468</v>
      </c>
      <c r="C1352">
        <v>2016</v>
      </c>
      <c r="D1352">
        <v>1</v>
      </c>
      <c r="E1352" t="s">
        <v>55</v>
      </c>
      <c r="F1352" t="s">
        <v>128</v>
      </c>
      <c r="G1352" t="s">
        <v>63</v>
      </c>
      <c r="H1352">
        <v>1</v>
      </c>
      <c r="I1352">
        <v>1.0637886700000001</v>
      </c>
      <c r="J1352">
        <v>451</v>
      </c>
      <c r="K1352">
        <v>5.13</v>
      </c>
      <c r="M1352">
        <v>1.28</v>
      </c>
      <c r="O1352">
        <v>0.114</v>
      </c>
      <c r="Q1352">
        <v>0.82</v>
      </c>
      <c r="R1352">
        <v>0.78</v>
      </c>
    </row>
    <row r="1353" spans="1:18" x14ac:dyDescent="0.2">
      <c r="A1353" t="s">
        <v>2469</v>
      </c>
      <c r="B1353" t="s">
        <v>2470</v>
      </c>
      <c r="C1353">
        <v>2016</v>
      </c>
      <c r="D1353">
        <v>1</v>
      </c>
      <c r="E1353" t="s">
        <v>55</v>
      </c>
      <c r="F1353" t="s">
        <v>128</v>
      </c>
      <c r="G1353" t="s">
        <v>63</v>
      </c>
      <c r="H1353">
        <v>1</v>
      </c>
      <c r="I1353">
        <v>148.4603382</v>
      </c>
      <c r="J1353">
        <v>622</v>
      </c>
      <c r="K1353">
        <v>4.2699999999999996</v>
      </c>
      <c r="M1353">
        <v>3.53</v>
      </c>
      <c r="O1353">
        <v>0.315</v>
      </c>
      <c r="Q1353">
        <v>0.87</v>
      </c>
      <c r="R1353">
        <v>0.83</v>
      </c>
    </row>
    <row r="1354" spans="1:18" x14ac:dyDescent="0.2">
      <c r="A1354" t="s">
        <v>2471</v>
      </c>
      <c r="B1354" t="s">
        <v>2472</v>
      </c>
      <c r="C1354">
        <v>2016</v>
      </c>
      <c r="D1354">
        <v>1</v>
      </c>
      <c r="E1354" t="s">
        <v>55</v>
      </c>
      <c r="F1354" t="s">
        <v>128</v>
      </c>
      <c r="G1354" t="s">
        <v>63</v>
      </c>
      <c r="H1354">
        <v>1</v>
      </c>
      <c r="I1354">
        <v>0.93488424000000003</v>
      </c>
      <c r="J1354">
        <v>324</v>
      </c>
      <c r="K1354">
        <v>4.37</v>
      </c>
      <c r="M1354">
        <v>1.46</v>
      </c>
      <c r="O1354">
        <v>0.13</v>
      </c>
      <c r="Q1354">
        <v>0.79</v>
      </c>
      <c r="R1354">
        <v>0.74</v>
      </c>
    </row>
    <row r="1355" spans="1:18" x14ac:dyDescent="0.2">
      <c r="A1355" t="s">
        <v>2473</v>
      </c>
      <c r="B1355" t="s">
        <v>2474</v>
      </c>
      <c r="C1355">
        <v>2014</v>
      </c>
      <c r="D1355">
        <v>1</v>
      </c>
      <c r="E1355" t="s">
        <v>55</v>
      </c>
      <c r="F1355" t="s">
        <v>128</v>
      </c>
      <c r="G1355" t="s">
        <v>63</v>
      </c>
      <c r="H1355">
        <v>3</v>
      </c>
      <c r="I1355">
        <v>11.427548</v>
      </c>
      <c r="J1355">
        <v>403</v>
      </c>
      <c r="M1355">
        <v>3.1</v>
      </c>
      <c r="O1355">
        <v>0.27700000000000002</v>
      </c>
      <c r="R1355">
        <v>1.35</v>
      </c>
    </row>
    <row r="1356" spans="1:18" x14ac:dyDescent="0.2">
      <c r="A1356" t="s">
        <v>2473</v>
      </c>
      <c r="B1356" t="s">
        <v>2475</v>
      </c>
      <c r="C1356">
        <v>2014</v>
      </c>
      <c r="D1356">
        <v>1</v>
      </c>
      <c r="E1356" t="s">
        <v>55</v>
      </c>
      <c r="F1356" t="s">
        <v>128</v>
      </c>
      <c r="G1356" t="s">
        <v>63</v>
      </c>
      <c r="H1356">
        <v>3</v>
      </c>
      <c r="I1356">
        <v>23.668205</v>
      </c>
      <c r="J1356">
        <v>403</v>
      </c>
      <c r="M1356">
        <v>3.13</v>
      </c>
      <c r="O1356">
        <v>0.27900000000000003</v>
      </c>
      <c r="R1356">
        <v>1.35</v>
      </c>
    </row>
    <row r="1357" spans="1:18" x14ac:dyDescent="0.2">
      <c r="A1357" t="s">
        <v>2473</v>
      </c>
      <c r="B1357" t="s">
        <v>2476</v>
      </c>
      <c r="C1357">
        <v>2014</v>
      </c>
      <c r="D1357">
        <v>1</v>
      </c>
      <c r="E1357" t="s">
        <v>55</v>
      </c>
      <c r="F1357" t="s">
        <v>128</v>
      </c>
      <c r="G1357" t="s">
        <v>63</v>
      </c>
      <c r="H1357">
        <v>3</v>
      </c>
      <c r="I1357">
        <v>51.755394000000003</v>
      </c>
      <c r="J1357">
        <v>403</v>
      </c>
      <c r="M1357">
        <v>3.58</v>
      </c>
      <c r="O1357">
        <v>0.31900000000000001</v>
      </c>
      <c r="R1357">
        <v>1.35</v>
      </c>
    </row>
    <row r="1358" spans="1:18" x14ac:dyDescent="0.2">
      <c r="A1358" t="s">
        <v>2477</v>
      </c>
      <c r="B1358" t="s">
        <v>2478</v>
      </c>
      <c r="C1358">
        <v>2016</v>
      </c>
      <c r="D1358">
        <v>1</v>
      </c>
      <c r="E1358" t="s">
        <v>55</v>
      </c>
      <c r="F1358" t="s">
        <v>128</v>
      </c>
      <c r="G1358" t="s">
        <v>63</v>
      </c>
      <c r="H1358">
        <v>1</v>
      </c>
      <c r="I1358">
        <v>201.12139999999999</v>
      </c>
      <c r="J1358">
        <v>473</v>
      </c>
      <c r="K1358">
        <v>4.17</v>
      </c>
      <c r="M1358">
        <v>2.08</v>
      </c>
      <c r="O1358">
        <v>0.186</v>
      </c>
      <c r="Q1358">
        <v>0.98</v>
      </c>
      <c r="R1358">
        <v>0.96</v>
      </c>
    </row>
    <row r="1359" spans="1:18" x14ac:dyDescent="0.2">
      <c r="A1359" t="s">
        <v>2479</v>
      </c>
      <c r="B1359" t="s">
        <v>2480</v>
      </c>
      <c r="C1359">
        <v>2016</v>
      </c>
      <c r="D1359">
        <v>1</v>
      </c>
      <c r="E1359" t="s">
        <v>55</v>
      </c>
      <c r="F1359" t="s">
        <v>128</v>
      </c>
      <c r="G1359" t="s">
        <v>63</v>
      </c>
      <c r="H1359">
        <v>1</v>
      </c>
      <c r="I1359">
        <v>24.757642100000002</v>
      </c>
      <c r="J1359">
        <v>979</v>
      </c>
      <c r="K1359">
        <v>3.55</v>
      </c>
      <c r="M1359">
        <v>2.94</v>
      </c>
      <c r="O1359">
        <v>0.26200000000000001</v>
      </c>
      <c r="Q1359">
        <v>1.06</v>
      </c>
      <c r="R1359">
        <v>1.08</v>
      </c>
    </row>
    <row r="1360" spans="1:18" x14ac:dyDescent="0.2">
      <c r="A1360" t="s">
        <v>2481</v>
      </c>
      <c r="B1360" t="s">
        <v>2482</v>
      </c>
      <c r="C1360">
        <v>2016</v>
      </c>
      <c r="D1360">
        <v>1</v>
      </c>
      <c r="E1360" t="s">
        <v>55</v>
      </c>
      <c r="F1360" t="s">
        <v>128</v>
      </c>
      <c r="G1360" t="s">
        <v>63</v>
      </c>
      <c r="H1360">
        <v>1</v>
      </c>
      <c r="I1360">
        <v>10.13202575</v>
      </c>
      <c r="J1360">
        <v>659</v>
      </c>
      <c r="K1360">
        <v>4.79</v>
      </c>
      <c r="M1360">
        <v>2.19</v>
      </c>
      <c r="O1360">
        <v>0.19500000000000001</v>
      </c>
      <c r="Q1360">
        <v>0.75</v>
      </c>
      <c r="R1360">
        <v>0.72</v>
      </c>
    </row>
    <row r="1361" spans="1:18" x14ac:dyDescent="0.2">
      <c r="A1361" t="s">
        <v>2483</v>
      </c>
      <c r="B1361" t="s">
        <v>2484</v>
      </c>
      <c r="C1361">
        <v>2016</v>
      </c>
      <c r="D1361">
        <v>1</v>
      </c>
      <c r="E1361" t="s">
        <v>55</v>
      </c>
      <c r="F1361" t="s">
        <v>128</v>
      </c>
      <c r="G1361" t="s">
        <v>63</v>
      </c>
      <c r="H1361">
        <v>1</v>
      </c>
      <c r="I1361">
        <v>38.505339800000002</v>
      </c>
      <c r="J1361">
        <v>838</v>
      </c>
      <c r="K1361">
        <v>4.47</v>
      </c>
      <c r="M1361">
        <v>2.5499999999999998</v>
      </c>
      <c r="O1361">
        <v>0.22700000000000001</v>
      </c>
      <c r="Q1361">
        <v>0.92</v>
      </c>
      <c r="R1361">
        <v>0.9</v>
      </c>
    </row>
    <row r="1362" spans="1:18" x14ac:dyDescent="0.2">
      <c r="A1362" t="s">
        <v>2485</v>
      </c>
      <c r="B1362" t="s">
        <v>2486</v>
      </c>
      <c r="C1362">
        <v>2016</v>
      </c>
      <c r="D1362">
        <v>1</v>
      </c>
      <c r="E1362" t="s">
        <v>55</v>
      </c>
      <c r="F1362" t="s">
        <v>128</v>
      </c>
      <c r="G1362" t="s">
        <v>63</v>
      </c>
      <c r="H1362">
        <v>1</v>
      </c>
      <c r="I1362">
        <v>6.7740886800000002</v>
      </c>
      <c r="J1362">
        <v>1507</v>
      </c>
      <c r="K1362">
        <v>3.55</v>
      </c>
      <c r="M1362">
        <v>2.67</v>
      </c>
      <c r="O1362">
        <v>0.23799999999999999</v>
      </c>
      <c r="Q1362">
        <v>1.08</v>
      </c>
      <c r="R1362">
        <v>1.1100000000000001</v>
      </c>
    </row>
    <row r="1363" spans="1:18" x14ac:dyDescent="0.2">
      <c r="A1363" t="s">
        <v>2487</v>
      </c>
      <c r="B1363" t="s">
        <v>2488</v>
      </c>
      <c r="C1363">
        <v>2016</v>
      </c>
      <c r="D1363">
        <v>1</v>
      </c>
      <c r="E1363" t="s">
        <v>55</v>
      </c>
      <c r="F1363" t="s">
        <v>128</v>
      </c>
      <c r="G1363" t="s">
        <v>63</v>
      </c>
      <c r="H1363">
        <v>1</v>
      </c>
      <c r="I1363">
        <v>26.410454779999998</v>
      </c>
      <c r="J1363">
        <v>971</v>
      </c>
      <c r="K1363">
        <v>4.47</v>
      </c>
      <c r="M1363">
        <v>2.69</v>
      </c>
      <c r="O1363">
        <v>0.24</v>
      </c>
      <c r="Q1363">
        <v>0.86</v>
      </c>
      <c r="R1363">
        <v>0.82</v>
      </c>
    </row>
    <row r="1364" spans="1:18" x14ac:dyDescent="0.2">
      <c r="A1364" t="s">
        <v>2489</v>
      </c>
      <c r="B1364" t="s">
        <v>2490</v>
      </c>
      <c r="C1364">
        <v>2016</v>
      </c>
      <c r="D1364">
        <v>1</v>
      </c>
      <c r="E1364" t="s">
        <v>55</v>
      </c>
      <c r="F1364" t="s">
        <v>128</v>
      </c>
      <c r="G1364" t="s">
        <v>63</v>
      </c>
      <c r="H1364">
        <v>1</v>
      </c>
      <c r="I1364">
        <v>14.375080349999999</v>
      </c>
      <c r="J1364">
        <v>518</v>
      </c>
      <c r="K1364">
        <v>3.63</v>
      </c>
      <c r="M1364">
        <v>1.71</v>
      </c>
      <c r="O1364">
        <v>0.153</v>
      </c>
      <c r="Q1364">
        <v>1.04</v>
      </c>
      <c r="R1364">
        <v>1.04</v>
      </c>
    </row>
    <row r="1365" spans="1:18" x14ac:dyDescent="0.2">
      <c r="A1365" t="s">
        <v>2491</v>
      </c>
      <c r="B1365" t="s">
        <v>2492</v>
      </c>
      <c r="C1365">
        <v>2016</v>
      </c>
      <c r="D1365">
        <v>1</v>
      </c>
      <c r="E1365" t="s">
        <v>55</v>
      </c>
      <c r="F1365" t="s">
        <v>128</v>
      </c>
      <c r="G1365" t="s">
        <v>63</v>
      </c>
      <c r="H1365">
        <v>2</v>
      </c>
      <c r="I1365">
        <v>56.1886887</v>
      </c>
      <c r="J1365">
        <v>566</v>
      </c>
      <c r="K1365">
        <v>4.47</v>
      </c>
      <c r="M1365">
        <v>2.09</v>
      </c>
      <c r="O1365">
        <v>0.186</v>
      </c>
      <c r="Q1365">
        <v>1.08</v>
      </c>
      <c r="R1365">
        <v>1.1299999999999999</v>
      </c>
    </row>
    <row r="1366" spans="1:18" x14ac:dyDescent="0.2">
      <c r="A1366" t="s">
        <v>2491</v>
      </c>
      <c r="B1366" t="s">
        <v>2493</v>
      </c>
      <c r="C1366">
        <v>2016</v>
      </c>
      <c r="D1366">
        <v>1</v>
      </c>
      <c r="E1366" t="s">
        <v>55</v>
      </c>
      <c r="F1366" t="s">
        <v>128</v>
      </c>
      <c r="G1366" t="s">
        <v>63</v>
      </c>
      <c r="H1366">
        <v>2</v>
      </c>
      <c r="I1366">
        <v>3.1889760100000002</v>
      </c>
      <c r="J1366">
        <v>566</v>
      </c>
      <c r="K1366">
        <v>4.47</v>
      </c>
      <c r="M1366">
        <v>0.99</v>
      </c>
      <c r="O1366">
        <v>8.7999999999999995E-2</v>
      </c>
      <c r="Q1366">
        <v>1.08</v>
      </c>
      <c r="R1366">
        <v>1.1299999999999999</v>
      </c>
    </row>
    <row r="1367" spans="1:18" x14ac:dyDescent="0.2">
      <c r="A1367" t="s">
        <v>2494</v>
      </c>
      <c r="B1367" t="s">
        <v>2495</v>
      </c>
      <c r="C1367">
        <v>2016</v>
      </c>
      <c r="D1367">
        <v>1</v>
      </c>
      <c r="E1367" t="s">
        <v>55</v>
      </c>
      <c r="F1367" t="s">
        <v>128</v>
      </c>
      <c r="G1367" t="s">
        <v>63</v>
      </c>
      <c r="H1367">
        <v>1</v>
      </c>
      <c r="I1367">
        <v>6.9210102100000004</v>
      </c>
      <c r="J1367">
        <v>415</v>
      </c>
      <c r="K1367">
        <v>3.98</v>
      </c>
      <c r="M1367">
        <v>1.61</v>
      </c>
      <c r="O1367">
        <v>0.14399999999999999</v>
      </c>
      <c r="Q1367">
        <v>0.75</v>
      </c>
      <c r="R1367">
        <v>0.7</v>
      </c>
    </row>
    <row r="1368" spans="1:18" x14ac:dyDescent="0.2">
      <c r="A1368" t="s">
        <v>2496</v>
      </c>
      <c r="B1368" t="s">
        <v>2497</v>
      </c>
      <c r="C1368">
        <v>2016</v>
      </c>
      <c r="D1368">
        <v>1</v>
      </c>
      <c r="E1368" t="s">
        <v>55</v>
      </c>
      <c r="F1368" t="s">
        <v>128</v>
      </c>
      <c r="G1368" t="s">
        <v>63</v>
      </c>
      <c r="H1368">
        <v>1</v>
      </c>
      <c r="I1368">
        <v>3.27346074</v>
      </c>
      <c r="J1368">
        <v>129</v>
      </c>
      <c r="K1368">
        <v>3.8</v>
      </c>
      <c r="M1368">
        <v>0.95</v>
      </c>
      <c r="O1368">
        <v>8.5000000000000006E-2</v>
      </c>
      <c r="Q1368">
        <v>0.51</v>
      </c>
      <c r="R1368">
        <v>0.49</v>
      </c>
    </row>
    <row r="1369" spans="1:18" x14ac:dyDescent="0.2">
      <c r="A1369" t="s">
        <v>2498</v>
      </c>
      <c r="B1369" t="s">
        <v>2499</v>
      </c>
      <c r="C1369">
        <v>2013</v>
      </c>
      <c r="D1369">
        <v>1</v>
      </c>
      <c r="E1369" t="s">
        <v>55</v>
      </c>
      <c r="F1369" t="s">
        <v>128</v>
      </c>
      <c r="G1369" t="s">
        <v>63</v>
      </c>
      <c r="H1369">
        <v>2</v>
      </c>
      <c r="I1369">
        <v>5.4122000000000003</v>
      </c>
      <c r="J1369">
        <v>524</v>
      </c>
      <c r="M1369">
        <v>4.8099999999999996</v>
      </c>
      <c r="O1369">
        <v>0.42899999999999999</v>
      </c>
      <c r="Q1369">
        <v>0.96</v>
      </c>
      <c r="R1369">
        <v>0.89</v>
      </c>
    </row>
    <row r="1370" spans="1:18" x14ac:dyDescent="0.2">
      <c r="A1370" t="s">
        <v>2498</v>
      </c>
      <c r="B1370" t="s">
        <v>2500</v>
      </c>
      <c r="C1370">
        <v>2014</v>
      </c>
      <c r="D1370">
        <v>1</v>
      </c>
      <c r="E1370" t="s">
        <v>55</v>
      </c>
      <c r="F1370" t="s">
        <v>128</v>
      </c>
      <c r="G1370" t="s">
        <v>63</v>
      </c>
      <c r="H1370">
        <v>2</v>
      </c>
      <c r="I1370">
        <v>7.1261999999999999</v>
      </c>
      <c r="J1370">
        <v>524</v>
      </c>
      <c r="L1370">
        <v>4.5999999999999996</v>
      </c>
      <c r="M1370">
        <v>1.31</v>
      </c>
      <c r="N1370">
        <v>1.447E-2</v>
      </c>
      <c r="O1370">
        <v>0.11700000000000001</v>
      </c>
      <c r="P1370">
        <v>11.2</v>
      </c>
      <c r="Q1370">
        <v>0.96</v>
      </c>
      <c r="R1370">
        <v>0.89</v>
      </c>
    </row>
    <row r="1371" spans="1:18" x14ac:dyDescent="0.2">
      <c r="A1371" t="s">
        <v>2501</v>
      </c>
      <c r="B1371" t="s">
        <v>2502</v>
      </c>
      <c r="C1371">
        <v>2016</v>
      </c>
      <c r="D1371">
        <v>1</v>
      </c>
      <c r="E1371" t="s">
        <v>55</v>
      </c>
      <c r="F1371" t="s">
        <v>128</v>
      </c>
      <c r="G1371" t="s">
        <v>63</v>
      </c>
      <c r="H1371">
        <v>2</v>
      </c>
      <c r="I1371">
        <v>15.378754600000001</v>
      </c>
      <c r="J1371">
        <v>555</v>
      </c>
      <c r="K1371">
        <v>3.55</v>
      </c>
      <c r="M1371">
        <v>1.6</v>
      </c>
      <c r="O1371">
        <v>0.14299999999999999</v>
      </c>
      <c r="Q1371">
        <v>1.0900000000000001</v>
      </c>
      <c r="R1371">
        <v>1.1299999999999999</v>
      </c>
    </row>
    <row r="1372" spans="1:18" x14ac:dyDescent="0.2">
      <c r="A1372" t="s">
        <v>2501</v>
      </c>
      <c r="B1372" t="s">
        <v>2503</v>
      </c>
      <c r="C1372">
        <v>2016</v>
      </c>
      <c r="D1372">
        <v>1</v>
      </c>
      <c r="E1372" t="s">
        <v>55</v>
      </c>
      <c r="F1372" t="s">
        <v>128</v>
      </c>
      <c r="G1372" t="s">
        <v>63</v>
      </c>
      <c r="H1372">
        <v>2</v>
      </c>
      <c r="I1372">
        <v>21.1284569</v>
      </c>
      <c r="J1372">
        <v>555</v>
      </c>
      <c r="K1372">
        <v>3.55</v>
      </c>
      <c r="M1372">
        <v>1.48</v>
      </c>
      <c r="O1372">
        <v>0.13200000000000001</v>
      </c>
      <c r="Q1372">
        <v>1.0900000000000001</v>
      </c>
      <c r="R1372">
        <v>1.1299999999999999</v>
      </c>
    </row>
    <row r="1373" spans="1:18" x14ac:dyDescent="0.2">
      <c r="A1373" t="s">
        <v>2504</v>
      </c>
      <c r="B1373" t="s">
        <v>2505</v>
      </c>
      <c r="C1373">
        <v>2016</v>
      </c>
      <c r="D1373">
        <v>1</v>
      </c>
      <c r="E1373" t="s">
        <v>55</v>
      </c>
      <c r="F1373" t="s">
        <v>128</v>
      </c>
      <c r="G1373" t="s">
        <v>63</v>
      </c>
      <c r="H1373">
        <v>1</v>
      </c>
      <c r="I1373">
        <v>25.96200249</v>
      </c>
      <c r="J1373">
        <v>1021</v>
      </c>
      <c r="K1373">
        <v>1.74</v>
      </c>
      <c r="M1373">
        <v>3.4</v>
      </c>
      <c r="O1373">
        <v>0.30299999999999999</v>
      </c>
      <c r="Q1373">
        <v>1.43</v>
      </c>
      <c r="R1373">
        <v>1.73</v>
      </c>
    </row>
    <row r="1374" spans="1:18" x14ac:dyDescent="0.2">
      <c r="A1374" t="s">
        <v>2506</v>
      </c>
      <c r="B1374" t="s">
        <v>2507</v>
      </c>
      <c r="C1374">
        <v>2016</v>
      </c>
      <c r="D1374">
        <v>1</v>
      </c>
      <c r="E1374" t="s">
        <v>55</v>
      </c>
      <c r="F1374" t="s">
        <v>128</v>
      </c>
      <c r="G1374" t="s">
        <v>63</v>
      </c>
      <c r="H1374">
        <v>1</v>
      </c>
      <c r="I1374">
        <v>34.853827600000002</v>
      </c>
      <c r="J1374">
        <v>1051</v>
      </c>
      <c r="K1374">
        <v>3.55</v>
      </c>
      <c r="M1374">
        <v>2.93</v>
      </c>
      <c r="O1374">
        <v>0.26100000000000001</v>
      </c>
      <c r="Q1374">
        <v>1.03</v>
      </c>
      <c r="R1374">
        <v>1.03</v>
      </c>
    </row>
    <row r="1375" spans="1:18" x14ac:dyDescent="0.2">
      <c r="A1375" t="s">
        <v>2508</v>
      </c>
      <c r="B1375" t="s">
        <v>2509</v>
      </c>
      <c r="C1375">
        <v>2016</v>
      </c>
      <c r="D1375">
        <v>1</v>
      </c>
      <c r="E1375" t="s">
        <v>55</v>
      </c>
      <c r="F1375" t="s">
        <v>128</v>
      </c>
      <c r="G1375" t="s">
        <v>63</v>
      </c>
      <c r="H1375">
        <v>1</v>
      </c>
      <c r="I1375">
        <v>2.41435165</v>
      </c>
      <c r="J1375">
        <v>171</v>
      </c>
      <c r="K1375">
        <v>3.09</v>
      </c>
      <c r="M1375">
        <v>0.98</v>
      </c>
      <c r="O1375">
        <v>8.6999999999999994E-2</v>
      </c>
      <c r="Q1375">
        <v>0.74</v>
      </c>
      <c r="R1375">
        <v>0.69</v>
      </c>
    </row>
    <row r="1376" spans="1:18" x14ac:dyDescent="0.2">
      <c r="A1376" t="s">
        <v>2510</v>
      </c>
      <c r="B1376" t="s">
        <v>2511</v>
      </c>
      <c r="C1376">
        <v>2016</v>
      </c>
      <c r="D1376">
        <v>1</v>
      </c>
      <c r="E1376" t="s">
        <v>55</v>
      </c>
      <c r="F1376" t="s">
        <v>128</v>
      </c>
      <c r="G1376" t="s">
        <v>63</v>
      </c>
      <c r="H1376">
        <v>1</v>
      </c>
      <c r="I1376">
        <v>4.3065568900000004</v>
      </c>
      <c r="J1376">
        <v>1050</v>
      </c>
      <c r="K1376">
        <v>2.82</v>
      </c>
      <c r="M1376">
        <v>2.63</v>
      </c>
      <c r="O1376">
        <v>0.23499999999999999</v>
      </c>
      <c r="Q1376">
        <v>1.22</v>
      </c>
      <c r="R1376">
        <v>1.34</v>
      </c>
    </row>
    <row r="1377" spans="1:19" x14ac:dyDescent="0.2">
      <c r="A1377" t="s">
        <v>2512</v>
      </c>
      <c r="B1377" t="s">
        <v>2513</v>
      </c>
      <c r="C1377">
        <v>2016</v>
      </c>
      <c r="D1377">
        <v>1</v>
      </c>
      <c r="E1377" t="s">
        <v>55</v>
      </c>
      <c r="F1377" t="s">
        <v>128</v>
      </c>
      <c r="G1377" t="s">
        <v>63</v>
      </c>
      <c r="H1377">
        <v>1</v>
      </c>
      <c r="I1377">
        <v>2.29503623</v>
      </c>
      <c r="J1377">
        <v>422</v>
      </c>
      <c r="K1377">
        <v>3.09</v>
      </c>
      <c r="M1377">
        <v>1.23</v>
      </c>
      <c r="O1377">
        <v>0.11</v>
      </c>
      <c r="Q1377">
        <v>0.98</v>
      </c>
      <c r="R1377">
        <v>0.94</v>
      </c>
    </row>
    <row r="1378" spans="1:19" x14ac:dyDescent="0.2">
      <c r="A1378" t="s">
        <v>2514</v>
      </c>
      <c r="B1378" t="s">
        <v>2515</v>
      </c>
      <c r="C1378">
        <v>2016</v>
      </c>
      <c r="D1378">
        <v>1</v>
      </c>
      <c r="E1378" t="s">
        <v>55</v>
      </c>
      <c r="F1378" t="s">
        <v>128</v>
      </c>
      <c r="G1378" t="s">
        <v>63</v>
      </c>
      <c r="H1378">
        <v>1</v>
      </c>
      <c r="I1378">
        <v>27.495605999999999</v>
      </c>
      <c r="J1378">
        <v>971</v>
      </c>
      <c r="K1378">
        <v>2.95</v>
      </c>
      <c r="M1378">
        <v>3.01</v>
      </c>
      <c r="O1378">
        <v>0.26900000000000002</v>
      </c>
      <c r="Q1378">
        <v>1.1200000000000001</v>
      </c>
      <c r="R1378">
        <v>1.2</v>
      </c>
    </row>
    <row r="1379" spans="1:19" x14ac:dyDescent="0.2">
      <c r="A1379" t="s">
        <v>2516</v>
      </c>
      <c r="B1379" t="s">
        <v>2517</v>
      </c>
      <c r="C1379">
        <v>2016</v>
      </c>
      <c r="D1379">
        <v>1</v>
      </c>
      <c r="E1379" t="s">
        <v>55</v>
      </c>
      <c r="F1379" t="s">
        <v>128</v>
      </c>
      <c r="G1379" t="s">
        <v>63</v>
      </c>
      <c r="H1379">
        <v>1</v>
      </c>
      <c r="I1379">
        <v>14.088274480000001</v>
      </c>
      <c r="J1379">
        <v>1462</v>
      </c>
      <c r="K1379">
        <v>3.09</v>
      </c>
      <c r="M1379">
        <v>3.36</v>
      </c>
      <c r="O1379">
        <v>0.3</v>
      </c>
      <c r="Q1379">
        <v>1.07</v>
      </c>
      <c r="R1379">
        <v>1.1000000000000001</v>
      </c>
    </row>
    <row r="1380" spans="1:19" x14ac:dyDescent="0.2">
      <c r="A1380" t="s">
        <v>2518</v>
      </c>
      <c r="B1380" t="s">
        <v>2519</v>
      </c>
      <c r="C1380">
        <v>2016</v>
      </c>
      <c r="D1380">
        <v>1</v>
      </c>
      <c r="E1380" t="s">
        <v>55</v>
      </c>
      <c r="F1380" t="s">
        <v>128</v>
      </c>
      <c r="G1380" t="s">
        <v>63</v>
      </c>
      <c r="H1380">
        <v>1</v>
      </c>
      <c r="I1380">
        <v>110.96545999999999</v>
      </c>
      <c r="J1380">
        <v>525</v>
      </c>
      <c r="K1380">
        <v>3.39</v>
      </c>
      <c r="M1380">
        <v>2.72</v>
      </c>
      <c r="O1380">
        <v>0.24299999999999999</v>
      </c>
      <c r="Q1380">
        <v>0.73</v>
      </c>
      <c r="R1380">
        <v>0.69</v>
      </c>
    </row>
    <row r="1381" spans="1:19" x14ac:dyDescent="0.2">
      <c r="A1381" t="s">
        <v>2520</v>
      </c>
      <c r="B1381" t="s">
        <v>2521</v>
      </c>
      <c r="C1381">
        <v>2016</v>
      </c>
      <c r="D1381">
        <v>1</v>
      </c>
      <c r="E1381" t="s">
        <v>55</v>
      </c>
      <c r="F1381" t="s">
        <v>128</v>
      </c>
      <c r="G1381" t="s">
        <v>63</v>
      </c>
      <c r="H1381">
        <v>1</v>
      </c>
      <c r="I1381">
        <v>3.76419105</v>
      </c>
      <c r="J1381">
        <v>673</v>
      </c>
      <c r="K1381">
        <v>5.37</v>
      </c>
      <c r="M1381">
        <v>1.73</v>
      </c>
      <c r="O1381">
        <v>0.154</v>
      </c>
      <c r="Q1381">
        <v>0.75</v>
      </c>
      <c r="R1381">
        <v>0.72</v>
      </c>
    </row>
    <row r="1382" spans="1:19" x14ac:dyDescent="0.2">
      <c r="A1382" t="s">
        <v>2522</v>
      </c>
      <c r="B1382" t="s">
        <v>2523</v>
      </c>
      <c r="C1382">
        <v>2014</v>
      </c>
      <c r="D1382">
        <v>1</v>
      </c>
      <c r="E1382" t="s">
        <v>55</v>
      </c>
      <c r="F1382" t="s">
        <v>128</v>
      </c>
      <c r="G1382" t="s">
        <v>63</v>
      </c>
      <c r="H1382">
        <v>4</v>
      </c>
      <c r="I1382">
        <v>6.16486</v>
      </c>
      <c r="J1382">
        <v>451</v>
      </c>
      <c r="K1382">
        <v>4.83</v>
      </c>
      <c r="L1382">
        <v>5.3</v>
      </c>
      <c r="M1382">
        <v>0.82</v>
      </c>
      <c r="N1382">
        <v>1.668E-2</v>
      </c>
      <c r="O1382">
        <v>7.2999999999999995E-2</v>
      </c>
      <c r="Q1382">
        <v>1</v>
      </c>
      <c r="R1382">
        <v>1.04</v>
      </c>
      <c r="S1382">
        <v>1.38</v>
      </c>
    </row>
    <row r="1383" spans="1:19" x14ac:dyDescent="0.2">
      <c r="A1383" t="s">
        <v>2522</v>
      </c>
      <c r="B1383" t="s">
        <v>2524</v>
      </c>
      <c r="C1383">
        <v>2014</v>
      </c>
      <c r="D1383">
        <v>1</v>
      </c>
      <c r="E1383" t="s">
        <v>55</v>
      </c>
      <c r="F1383" t="s">
        <v>128</v>
      </c>
      <c r="G1383" t="s">
        <v>63</v>
      </c>
      <c r="H1383">
        <v>4</v>
      </c>
      <c r="I1383">
        <v>13.5708</v>
      </c>
      <c r="J1383">
        <v>451</v>
      </c>
      <c r="K1383">
        <v>4.83</v>
      </c>
      <c r="L1383">
        <v>10.44</v>
      </c>
      <c r="M1383">
        <v>2.5</v>
      </c>
      <c r="N1383">
        <v>3.3000000000000002E-2</v>
      </c>
      <c r="O1383">
        <v>0.223</v>
      </c>
      <c r="P1383">
        <v>3.28</v>
      </c>
      <c r="Q1383">
        <v>1</v>
      </c>
      <c r="R1383">
        <v>1.04</v>
      </c>
      <c r="S1383">
        <v>1.38</v>
      </c>
    </row>
    <row r="1384" spans="1:19" x14ac:dyDescent="0.2">
      <c r="A1384" t="s">
        <v>2522</v>
      </c>
      <c r="B1384" t="s">
        <v>2525</v>
      </c>
      <c r="C1384">
        <v>2014</v>
      </c>
      <c r="D1384">
        <v>1</v>
      </c>
      <c r="E1384" t="s">
        <v>55</v>
      </c>
      <c r="F1384" t="s">
        <v>128</v>
      </c>
      <c r="G1384" t="s">
        <v>63</v>
      </c>
      <c r="H1384">
        <v>4</v>
      </c>
      <c r="I1384">
        <v>23.9802</v>
      </c>
      <c r="J1384">
        <v>451</v>
      </c>
      <c r="K1384">
        <v>4.83</v>
      </c>
      <c r="L1384">
        <v>8.1</v>
      </c>
      <c r="M1384">
        <v>0.95</v>
      </c>
      <c r="N1384">
        <v>2.5489999999999999E-2</v>
      </c>
      <c r="O1384">
        <v>8.5000000000000006E-2</v>
      </c>
      <c r="Q1384">
        <v>1</v>
      </c>
      <c r="R1384">
        <v>1.04</v>
      </c>
      <c r="S1384">
        <v>1.38</v>
      </c>
    </row>
    <row r="1385" spans="1:19" x14ac:dyDescent="0.2">
      <c r="A1385" t="s">
        <v>2522</v>
      </c>
      <c r="B1385" t="s">
        <v>2526</v>
      </c>
      <c r="C1385">
        <v>2014</v>
      </c>
      <c r="D1385">
        <v>1</v>
      </c>
      <c r="E1385" t="s">
        <v>55</v>
      </c>
      <c r="F1385" t="s">
        <v>128</v>
      </c>
      <c r="G1385" t="s">
        <v>63</v>
      </c>
      <c r="H1385">
        <v>4</v>
      </c>
      <c r="I1385">
        <v>43.844499999999996</v>
      </c>
      <c r="J1385">
        <v>451</v>
      </c>
      <c r="K1385">
        <v>4.83</v>
      </c>
      <c r="L1385">
        <v>11.17</v>
      </c>
      <c r="M1385">
        <v>2.56</v>
      </c>
      <c r="N1385">
        <v>3.5000000000000003E-2</v>
      </c>
      <c r="O1385">
        <v>0.22800000000000001</v>
      </c>
      <c r="P1385">
        <v>3.1</v>
      </c>
      <c r="Q1385">
        <v>1</v>
      </c>
      <c r="R1385">
        <v>1.04</v>
      </c>
      <c r="S1385">
        <v>1.38</v>
      </c>
    </row>
    <row r="1386" spans="1:19" x14ac:dyDescent="0.2">
      <c r="A1386" t="s">
        <v>2527</v>
      </c>
      <c r="B1386" t="s">
        <v>2528</v>
      </c>
      <c r="C1386">
        <v>2016</v>
      </c>
      <c r="D1386">
        <v>1</v>
      </c>
      <c r="E1386" t="s">
        <v>55</v>
      </c>
      <c r="F1386" t="s">
        <v>128</v>
      </c>
      <c r="G1386" t="s">
        <v>63</v>
      </c>
      <c r="H1386">
        <v>1</v>
      </c>
      <c r="I1386">
        <v>46.877936699999999</v>
      </c>
      <c r="J1386">
        <v>861</v>
      </c>
      <c r="K1386">
        <v>4.2699999999999996</v>
      </c>
      <c r="M1386">
        <v>2.38</v>
      </c>
      <c r="O1386">
        <v>0.21199999999999999</v>
      </c>
      <c r="Q1386">
        <v>0.99</v>
      </c>
      <c r="R1386">
        <v>0.99</v>
      </c>
    </row>
    <row r="1387" spans="1:19" x14ac:dyDescent="0.2">
      <c r="A1387" t="s">
        <v>2529</v>
      </c>
      <c r="B1387" t="s">
        <v>2530</v>
      </c>
      <c r="C1387">
        <v>2016</v>
      </c>
      <c r="D1387">
        <v>1</v>
      </c>
      <c r="E1387" t="s">
        <v>55</v>
      </c>
      <c r="F1387" t="s">
        <v>128</v>
      </c>
      <c r="G1387" t="s">
        <v>63</v>
      </c>
      <c r="H1387">
        <v>1</v>
      </c>
      <c r="I1387">
        <v>2.7579826700000001</v>
      </c>
      <c r="J1387">
        <v>585</v>
      </c>
      <c r="K1387">
        <v>2.14</v>
      </c>
      <c r="M1387">
        <v>1.98</v>
      </c>
      <c r="O1387">
        <v>0.17699999999999999</v>
      </c>
      <c r="Q1387">
        <v>1.0900000000000001</v>
      </c>
      <c r="R1387">
        <v>1.07</v>
      </c>
    </row>
    <row r="1388" spans="1:19" x14ac:dyDescent="0.2">
      <c r="A1388" t="s">
        <v>2531</v>
      </c>
      <c r="B1388" t="s">
        <v>2532</v>
      </c>
      <c r="C1388">
        <v>2016</v>
      </c>
      <c r="D1388">
        <v>1</v>
      </c>
      <c r="E1388" t="s">
        <v>55</v>
      </c>
      <c r="F1388" t="s">
        <v>128</v>
      </c>
      <c r="G1388" t="s">
        <v>63</v>
      </c>
      <c r="H1388">
        <v>1</v>
      </c>
      <c r="I1388">
        <v>9.3041207799999999</v>
      </c>
      <c r="J1388">
        <v>388</v>
      </c>
      <c r="K1388">
        <v>2.4500000000000002</v>
      </c>
      <c r="M1388">
        <v>1.76</v>
      </c>
      <c r="O1388">
        <v>0.157</v>
      </c>
      <c r="Q1388">
        <v>0.75</v>
      </c>
      <c r="R1388">
        <v>0.7</v>
      </c>
    </row>
    <row r="1389" spans="1:19" x14ac:dyDescent="0.2">
      <c r="A1389" t="s">
        <v>2533</v>
      </c>
      <c r="B1389" t="s">
        <v>2534</v>
      </c>
      <c r="C1389">
        <v>2016</v>
      </c>
      <c r="D1389">
        <v>1</v>
      </c>
      <c r="E1389" t="s">
        <v>55</v>
      </c>
      <c r="F1389" t="s">
        <v>128</v>
      </c>
      <c r="G1389" t="s">
        <v>63</v>
      </c>
      <c r="H1389">
        <v>1</v>
      </c>
      <c r="I1389">
        <v>14.07971466</v>
      </c>
      <c r="J1389">
        <v>365</v>
      </c>
      <c r="K1389">
        <v>3.39</v>
      </c>
      <c r="M1389">
        <v>1.49</v>
      </c>
      <c r="O1389">
        <v>0.13300000000000001</v>
      </c>
      <c r="Q1389">
        <v>1.0900000000000001</v>
      </c>
      <c r="R1389">
        <v>1.1399999999999999</v>
      </c>
    </row>
    <row r="1390" spans="1:19" x14ac:dyDescent="0.2">
      <c r="A1390" t="s">
        <v>2535</v>
      </c>
      <c r="B1390" t="s">
        <v>2536</v>
      </c>
      <c r="C1390">
        <v>2016</v>
      </c>
      <c r="D1390">
        <v>1</v>
      </c>
      <c r="E1390" t="s">
        <v>55</v>
      </c>
      <c r="F1390" t="s">
        <v>128</v>
      </c>
      <c r="G1390" t="s">
        <v>63</v>
      </c>
      <c r="H1390">
        <v>1</v>
      </c>
      <c r="I1390">
        <v>16.540803220000001</v>
      </c>
      <c r="J1390">
        <v>374</v>
      </c>
      <c r="K1390">
        <v>3.89</v>
      </c>
      <c r="M1390">
        <v>1.55</v>
      </c>
      <c r="O1390">
        <v>0.13800000000000001</v>
      </c>
      <c r="Q1390">
        <v>0.85</v>
      </c>
      <c r="R1390">
        <v>0.79</v>
      </c>
    </row>
    <row r="1391" spans="1:19" x14ac:dyDescent="0.2">
      <c r="A1391" t="s">
        <v>2537</v>
      </c>
      <c r="B1391" t="s">
        <v>2538</v>
      </c>
      <c r="C1391">
        <v>2016</v>
      </c>
      <c r="D1391">
        <v>1</v>
      </c>
      <c r="E1391" t="s">
        <v>55</v>
      </c>
      <c r="F1391" t="s">
        <v>128</v>
      </c>
      <c r="G1391" t="s">
        <v>63</v>
      </c>
      <c r="H1391">
        <v>2</v>
      </c>
      <c r="I1391">
        <v>3.6093089100000002</v>
      </c>
      <c r="J1391">
        <v>1078</v>
      </c>
      <c r="K1391">
        <v>4.47</v>
      </c>
      <c r="M1391">
        <v>3.73</v>
      </c>
      <c r="O1391">
        <v>0.33300000000000002</v>
      </c>
      <c r="Q1391">
        <v>0.94</v>
      </c>
      <c r="R1391">
        <v>0.93</v>
      </c>
    </row>
    <row r="1392" spans="1:19" x14ac:dyDescent="0.2">
      <c r="A1392" t="s">
        <v>2537</v>
      </c>
      <c r="B1392" t="s">
        <v>2539</v>
      </c>
      <c r="C1392">
        <v>2016</v>
      </c>
      <c r="D1392">
        <v>1</v>
      </c>
      <c r="E1392" t="s">
        <v>55</v>
      </c>
      <c r="F1392" t="s">
        <v>128</v>
      </c>
      <c r="G1392" t="s">
        <v>63</v>
      </c>
      <c r="H1392">
        <v>2</v>
      </c>
      <c r="I1392">
        <v>2.37030743</v>
      </c>
      <c r="J1392">
        <v>1078</v>
      </c>
      <c r="K1392">
        <v>4.47</v>
      </c>
      <c r="M1392">
        <v>1.6</v>
      </c>
      <c r="O1392">
        <v>0.14299999999999999</v>
      </c>
      <c r="Q1392">
        <v>0.94</v>
      </c>
      <c r="R1392">
        <v>0.93</v>
      </c>
    </row>
    <row r="1393" spans="1:18" x14ac:dyDescent="0.2">
      <c r="A1393" t="s">
        <v>2540</v>
      </c>
      <c r="B1393" t="s">
        <v>2541</v>
      </c>
      <c r="C1393">
        <v>2016</v>
      </c>
      <c r="D1393">
        <v>1</v>
      </c>
      <c r="E1393" t="s">
        <v>55</v>
      </c>
      <c r="F1393" t="s">
        <v>128</v>
      </c>
      <c r="G1393" t="s">
        <v>63</v>
      </c>
      <c r="H1393">
        <v>1</v>
      </c>
      <c r="I1393">
        <v>1.93155984</v>
      </c>
      <c r="J1393">
        <v>399</v>
      </c>
      <c r="K1393">
        <v>3.8</v>
      </c>
      <c r="M1393">
        <v>2.36</v>
      </c>
      <c r="O1393">
        <v>0.21099999999999999</v>
      </c>
      <c r="Q1393">
        <v>0.98</v>
      </c>
      <c r="R1393">
        <v>0.98</v>
      </c>
    </row>
    <row r="1394" spans="1:18" x14ac:dyDescent="0.2">
      <c r="A1394" t="s">
        <v>2542</v>
      </c>
      <c r="B1394" t="s">
        <v>2543</v>
      </c>
      <c r="C1394">
        <v>2016</v>
      </c>
      <c r="D1394">
        <v>1</v>
      </c>
      <c r="E1394" t="s">
        <v>55</v>
      </c>
      <c r="F1394" t="s">
        <v>128</v>
      </c>
      <c r="G1394" t="s">
        <v>63</v>
      </c>
      <c r="H1394">
        <v>1</v>
      </c>
      <c r="I1394">
        <v>0.76212926000000003</v>
      </c>
      <c r="J1394">
        <v>689</v>
      </c>
      <c r="K1394">
        <v>4.79</v>
      </c>
      <c r="M1394">
        <v>0.8</v>
      </c>
      <c r="O1394">
        <v>7.0999999999999994E-2</v>
      </c>
      <c r="Q1394">
        <v>0.95</v>
      </c>
      <c r="R1394">
        <v>0.93</v>
      </c>
    </row>
    <row r="1395" spans="1:18" x14ac:dyDescent="0.2">
      <c r="A1395" t="s">
        <v>2544</v>
      </c>
      <c r="B1395" t="s">
        <v>2545</v>
      </c>
      <c r="C1395">
        <v>2016</v>
      </c>
      <c r="D1395">
        <v>1</v>
      </c>
      <c r="E1395" t="s">
        <v>55</v>
      </c>
      <c r="F1395" t="s">
        <v>128</v>
      </c>
      <c r="G1395" t="s">
        <v>63</v>
      </c>
      <c r="H1395">
        <v>1</v>
      </c>
      <c r="I1395">
        <v>16.92344113</v>
      </c>
      <c r="J1395">
        <v>1532</v>
      </c>
      <c r="K1395">
        <v>4.17</v>
      </c>
      <c r="M1395">
        <v>3.63</v>
      </c>
      <c r="O1395">
        <v>0.32400000000000001</v>
      </c>
      <c r="Q1395">
        <v>1.01</v>
      </c>
      <c r="R1395">
        <v>1.01</v>
      </c>
    </row>
    <row r="1396" spans="1:18" x14ac:dyDescent="0.2">
      <c r="A1396" t="s">
        <v>2546</v>
      </c>
      <c r="B1396" t="s">
        <v>2547</v>
      </c>
      <c r="C1396">
        <v>2016</v>
      </c>
      <c r="D1396">
        <v>1</v>
      </c>
      <c r="E1396" t="s">
        <v>55</v>
      </c>
      <c r="F1396" t="s">
        <v>128</v>
      </c>
      <c r="G1396" t="s">
        <v>63</v>
      </c>
      <c r="H1396">
        <v>1</v>
      </c>
      <c r="I1396">
        <v>23.899029599999999</v>
      </c>
      <c r="J1396">
        <v>435</v>
      </c>
      <c r="K1396">
        <v>4.37</v>
      </c>
      <c r="M1396">
        <v>1.6</v>
      </c>
      <c r="O1396">
        <v>0.14299999999999999</v>
      </c>
      <c r="Q1396">
        <v>0.99</v>
      </c>
      <c r="R1396">
        <v>0.98</v>
      </c>
    </row>
    <row r="1397" spans="1:18" x14ac:dyDescent="0.2">
      <c r="A1397" t="s">
        <v>2548</v>
      </c>
      <c r="B1397" t="s">
        <v>2549</v>
      </c>
      <c r="C1397">
        <v>2014</v>
      </c>
      <c r="D1397">
        <v>1</v>
      </c>
      <c r="E1397" t="s">
        <v>55</v>
      </c>
      <c r="F1397" t="s">
        <v>128</v>
      </c>
      <c r="G1397" t="s">
        <v>63</v>
      </c>
      <c r="H1397">
        <v>4</v>
      </c>
      <c r="I1397">
        <v>3.1799970000000002</v>
      </c>
      <c r="J1397">
        <v>512</v>
      </c>
      <c r="M1397">
        <v>1.56</v>
      </c>
      <c r="O1397">
        <v>0.13900000000000001</v>
      </c>
      <c r="R1397">
        <v>1.41</v>
      </c>
    </row>
    <row r="1398" spans="1:18" x14ac:dyDescent="0.2">
      <c r="A1398" t="s">
        <v>2548</v>
      </c>
      <c r="B1398" t="s">
        <v>2550</v>
      </c>
      <c r="C1398">
        <v>2014</v>
      </c>
      <c r="D1398">
        <v>1</v>
      </c>
      <c r="E1398" t="s">
        <v>55</v>
      </c>
      <c r="F1398" t="s">
        <v>128</v>
      </c>
      <c r="G1398" t="s">
        <v>63</v>
      </c>
      <c r="H1398">
        <v>4</v>
      </c>
      <c r="I1398">
        <v>4.9014249999999997</v>
      </c>
      <c r="J1398">
        <v>512</v>
      </c>
      <c r="M1398">
        <v>1.81</v>
      </c>
      <c r="O1398">
        <v>0.161</v>
      </c>
      <c r="R1398">
        <v>1.41</v>
      </c>
    </row>
    <row r="1399" spans="1:18" x14ac:dyDescent="0.2">
      <c r="A1399" t="s">
        <v>2548</v>
      </c>
      <c r="B1399" t="s">
        <v>2551</v>
      </c>
      <c r="C1399">
        <v>2014</v>
      </c>
      <c r="D1399">
        <v>1</v>
      </c>
      <c r="E1399" t="s">
        <v>55</v>
      </c>
      <c r="F1399" t="s">
        <v>128</v>
      </c>
      <c r="G1399" t="s">
        <v>63</v>
      </c>
      <c r="H1399">
        <v>4</v>
      </c>
      <c r="I1399">
        <v>7.9582030000000001</v>
      </c>
      <c r="J1399">
        <v>512</v>
      </c>
      <c r="M1399">
        <v>1.07</v>
      </c>
      <c r="O1399">
        <v>9.5000000000000001E-2</v>
      </c>
      <c r="R1399">
        <v>1.41</v>
      </c>
    </row>
    <row r="1400" spans="1:18" x14ac:dyDescent="0.2">
      <c r="A1400" t="s">
        <v>2548</v>
      </c>
      <c r="B1400" t="s">
        <v>2552</v>
      </c>
      <c r="C1400">
        <v>2014</v>
      </c>
      <c r="D1400">
        <v>1</v>
      </c>
      <c r="E1400" t="s">
        <v>55</v>
      </c>
      <c r="F1400" t="s">
        <v>128</v>
      </c>
      <c r="G1400" t="s">
        <v>63</v>
      </c>
      <c r="H1400">
        <v>4</v>
      </c>
      <c r="I1400">
        <v>14.749048999999999</v>
      </c>
      <c r="J1400">
        <v>512</v>
      </c>
      <c r="M1400">
        <v>3.45</v>
      </c>
      <c r="O1400">
        <v>0.308</v>
      </c>
      <c r="R1400">
        <v>1.41</v>
      </c>
    </row>
    <row r="1401" spans="1:18" x14ac:dyDescent="0.2">
      <c r="A1401" t="s">
        <v>2553</v>
      </c>
      <c r="B1401" t="s">
        <v>2554</v>
      </c>
      <c r="C1401">
        <v>2016</v>
      </c>
      <c r="D1401">
        <v>1</v>
      </c>
      <c r="E1401" t="s">
        <v>55</v>
      </c>
      <c r="F1401" t="s">
        <v>128</v>
      </c>
      <c r="G1401" t="s">
        <v>63</v>
      </c>
      <c r="H1401">
        <v>1</v>
      </c>
      <c r="I1401">
        <v>6.2216146999999999</v>
      </c>
      <c r="J1401">
        <v>1040</v>
      </c>
      <c r="K1401">
        <v>2.75</v>
      </c>
      <c r="M1401">
        <v>1.73</v>
      </c>
      <c r="O1401">
        <v>0.154</v>
      </c>
      <c r="Q1401">
        <v>1.21</v>
      </c>
      <c r="R1401">
        <v>1.32</v>
      </c>
    </row>
    <row r="1402" spans="1:18" x14ac:dyDescent="0.2">
      <c r="A1402" t="s">
        <v>2555</v>
      </c>
      <c r="B1402" t="s">
        <v>2556</v>
      </c>
      <c r="C1402">
        <v>2016</v>
      </c>
      <c r="D1402">
        <v>1</v>
      </c>
      <c r="E1402" t="s">
        <v>55</v>
      </c>
      <c r="F1402" t="s">
        <v>128</v>
      </c>
      <c r="G1402" t="s">
        <v>63</v>
      </c>
      <c r="H1402">
        <v>1</v>
      </c>
      <c r="I1402">
        <v>6.1799844000000004</v>
      </c>
      <c r="J1402">
        <v>964</v>
      </c>
      <c r="K1402">
        <v>4.2699999999999996</v>
      </c>
      <c r="M1402">
        <v>2.38</v>
      </c>
      <c r="O1402">
        <v>0.21199999999999999</v>
      </c>
      <c r="Q1402">
        <v>0.86</v>
      </c>
      <c r="R1402">
        <v>0.81</v>
      </c>
    </row>
    <row r="1403" spans="1:18" x14ac:dyDescent="0.2">
      <c r="A1403" t="s">
        <v>2557</v>
      </c>
      <c r="B1403" t="s">
        <v>2558</v>
      </c>
      <c r="C1403">
        <v>2016</v>
      </c>
      <c r="D1403">
        <v>1</v>
      </c>
      <c r="E1403" t="s">
        <v>55</v>
      </c>
      <c r="F1403" t="s">
        <v>128</v>
      </c>
      <c r="G1403" t="s">
        <v>63</v>
      </c>
      <c r="H1403">
        <v>1</v>
      </c>
      <c r="I1403">
        <v>1.5690664999999999</v>
      </c>
      <c r="J1403">
        <v>976</v>
      </c>
      <c r="K1403">
        <v>2.88</v>
      </c>
      <c r="M1403">
        <v>1.58</v>
      </c>
      <c r="O1403">
        <v>0.14099999999999999</v>
      </c>
      <c r="Q1403">
        <v>1.2</v>
      </c>
      <c r="R1403">
        <v>1.32</v>
      </c>
    </row>
    <row r="1404" spans="1:18" x14ac:dyDescent="0.2">
      <c r="A1404" t="s">
        <v>2559</v>
      </c>
      <c r="B1404" t="s">
        <v>2560</v>
      </c>
      <c r="C1404">
        <v>2016</v>
      </c>
      <c r="D1404">
        <v>1</v>
      </c>
      <c r="E1404" t="s">
        <v>55</v>
      </c>
      <c r="F1404" t="s">
        <v>128</v>
      </c>
      <c r="G1404" t="s">
        <v>63</v>
      </c>
      <c r="H1404">
        <v>2</v>
      </c>
      <c r="I1404">
        <v>8.6788859299999999</v>
      </c>
      <c r="J1404">
        <v>837</v>
      </c>
      <c r="K1404">
        <v>3.72</v>
      </c>
      <c r="M1404">
        <v>2.2999999999999998</v>
      </c>
      <c r="O1404">
        <v>0.20499999999999999</v>
      </c>
      <c r="Q1404">
        <v>1</v>
      </c>
      <c r="R1404">
        <v>1</v>
      </c>
    </row>
    <row r="1405" spans="1:18" x14ac:dyDescent="0.2">
      <c r="A1405" t="s">
        <v>2559</v>
      </c>
      <c r="B1405" t="s">
        <v>2561</v>
      </c>
      <c r="C1405">
        <v>2016</v>
      </c>
      <c r="D1405">
        <v>1</v>
      </c>
      <c r="E1405" t="s">
        <v>55</v>
      </c>
      <c r="F1405" t="s">
        <v>128</v>
      </c>
      <c r="G1405" t="s">
        <v>63</v>
      </c>
      <c r="H1405">
        <v>2</v>
      </c>
      <c r="I1405">
        <v>4.0258225400000001</v>
      </c>
      <c r="J1405">
        <v>837</v>
      </c>
      <c r="K1405">
        <v>3.72</v>
      </c>
      <c r="M1405">
        <v>1.64</v>
      </c>
      <c r="O1405">
        <v>0.14599999999999999</v>
      </c>
      <c r="Q1405">
        <v>1</v>
      </c>
      <c r="R1405">
        <v>1</v>
      </c>
    </row>
    <row r="1406" spans="1:18" x14ac:dyDescent="0.2">
      <c r="A1406" t="s">
        <v>2562</v>
      </c>
      <c r="B1406" t="s">
        <v>2563</v>
      </c>
      <c r="C1406">
        <v>2016</v>
      </c>
      <c r="D1406">
        <v>1</v>
      </c>
      <c r="E1406" t="s">
        <v>55</v>
      </c>
      <c r="F1406" t="s">
        <v>128</v>
      </c>
      <c r="G1406" t="s">
        <v>63</v>
      </c>
      <c r="H1406">
        <v>1</v>
      </c>
      <c r="I1406">
        <v>5.9456653399999997</v>
      </c>
      <c r="J1406">
        <v>245</v>
      </c>
      <c r="K1406">
        <v>3.55</v>
      </c>
      <c r="M1406">
        <v>1.25</v>
      </c>
      <c r="O1406">
        <v>0.112</v>
      </c>
      <c r="Q1406">
        <v>0.6</v>
      </c>
      <c r="R1406">
        <v>0.56999999999999995</v>
      </c>
    </row>
    <row r="1407" spans="1:18" x14ac:dyDescent="0.2">
      <c r="A1407" t="s">
        <v>2564</v>
      </c>
      <c r="B1407" t="s">
        <v>2565</v>
      </c>
      <c r="C1407">
        <v>2016</v>
      </c>
      <c r="D1407">
        <v>1</v>
      </c>
      <c r="E1407" t="s">
        <v>55</v>
      </c>
      <c r="F1407" t="s">
        <v>128</v>
      </c>
      <c r="G1407" t="s">
        <v>63</v>
      </c>
      <c r="H1407">
        <v>1</v>
      </c>
      <c r="I1407">
        <v>1.5237281600000001</v>
      </c>
      <c r="J1407">
        <v>265</v>
      </c>
      <c r="K1407">
        <v>2.95</v>
      </c>
      <c r="M1407">
        <v>1.42</v>
      </c>
      <c r="O1407">
        <v>0.127</v>
      </c>
      <c r="Q1407">
        <v>0.56000000000000005</v>
      </c>
      <c r="R1407">
        <v>0.54</v>
      </c>
    </row>
    <row r="1408" spans="1:18" x14ac:dyDescent="0.2">
      <c r="A1408" t="s">
        <v>2566</v>
      </c>
      <c r="B1408" t="s">
        <v>2567</v>
      </c>
      <c r="C1408">
        <v>2016</v>
      </c>
      <c r="D1408">
        <v>1</v>
      </c>
      <c r="E1408" t="s">
        <v>55</v>
      </c>
      <c r="F1408" t="s">
        <v>128</v>
      </c>
      <c r="G1408" t="s">
        <v>63</v>
      </c>
      <c r="H1408">
        <v>1</v>
      </c>
      <c r="I1408">
        <v>6.14727918</v>
      </c>
      <c r="J1408">
        <v>199</v>
      </c>
      <c r="K1408">
        <v>3.72</v>
      </c>
      <c r="M1408">
        <v>0.8</v>
      </c>
      <c r="O1408">
        <v>7.0999999999999994E-2</v>
      </c>
      <c r="Q1408">
        <v>0.79</v>
      </c>
      <c r="R1408">
        <v>0.74</v>
      </c>
    </row>
    <row r="1409" spans="1:18" x14ac:dyDescent="0.2">
      <c r="A1409" t="s">
        <v>2568</v>
      </c>
      <c r="B1409" t="s">
        <v>2569</v>
      </c>
      <c r="C1409">
        <v>2016</v>
      </c>
      <c r="D1409">
        <v>1</v>
      </c>
      <c r="E1409" t="s">
        <v>55</v>
      </c>
      <c r="F1409" t="s">
        <v>128</v>
      </c>
      <c r="G1409" t="s">
        <v>63</v>
      </c>
      <c r="H1409">
        <v>1</v>
      </c>
      <c r="I1409">
        <v>34.351187400000001</v>
      </c>
      <c r="J1409">
        <v>1098</v>
      </c>
      <c r="K1409">
        <v>4.17</v>
      </c>
      <c r="M1409">
        <v>2.77</v>
      </c>
      <c r="O1409">
        <v>0.247</v>
      </c>
      <c r="Q1409">
        <v>1.02</v>
      </c>
      <c r="R1409">
        <v>1.02</v>
      </c>
    </row>
    <row r="1410" spans="1:18" x14ac:dyDescent="0.2">
      <c r="A1410" t="s">
        <v>2570</v>
      </c>
      <c r="B1410" t="s">
        <v>2571</v>
      </c>
      <c r="C1410">
        <v>2016</v>
      </c>
      <c r="D1410">
        <v>1</v>
      </c>
      <c r="E1410" t="s">
        <v>55</v>
      </c>
      <c r="F1410" t="s">
        <v>128</v>
      </c>
      <c r="G1410" t="s">
        <v>63</v>
      </c>
      <c r="H1410">
        <v>1</v>
      </c>
      <c r="I1410">
        <v>3.0072524199999999</v>
      </c>
      <c r="J1410">
        <v>1215</v>
      </c>
      <c r="K1410">
        <v>4.37</v>
      </c>
      <c r="M1410">
        <v>1.9</v>
      </c>
      <c r="O1410">
        <v>0.17</v>
      </c>
      <c r="Q1410">
        <v>0.94</v>
      </c>
      <c r="R1410">
        <v>0.92</v>
      </c>
    </row>
    <row r="1411" spans="1:18" x14ac:dyDescent="0.2">
      <c r="A1411" t="s">
        <v>2572</v>
      </c>
      <c r="B1411" t="s">
        <v>2573</v>
      </c>
      <c r="C1411">
        <v>2016</v>
      </c>
      <c r="D1411">
        <v>1</v>
      </c>
      <c r="E1411" t="s">
        <v>55</v>
      </c>
      <c r="F1411" t="s">
        <v>128</v>
      </c>
      <c r="G1411" t="s">
        <v>63</v>
      </c>
      <c r="H1411">
        <v>1</v>
      </c>
      <c r="I1411">
        <v>13.245031880000001</v>
      </c>
      <c r="J1411">
        <v>481</v>
      </c>
      <c r="K1411">
        <v>6.61</v>
      </c>
      <c r="M1411">
        <v>1.63</v>
      </c>
      <c r="O1411">
        <v>0.14499999999999999</v>
      </c>
      <c r="Q1411">
        <v>1.08</v>
      </c>
      <c r="R1411">
        <v>1.36</v>
      </c>
    </row>
    <row r="1412" spans="1:18" x14ac:dyDescent="0.2">
      <c r="A1412" t="s">
        <v>2574</v>
      </c>
      <c r="B1412" t="s">
        <v>2575</v>
      </c>
      <c r="C1412">
        <v>2014</v>
      </c>
      <c r="D1412">
        <v>1</v>
      </c>
      <c r="E1412" t="s">
        <v>55</v>
      </c>
      <c r="F1412" t="s">
        <v>128</v>
      </c>
      <c r="G1412" t="s">
        <v>63</v>
      </c>
      <c r="H1412">
        <v>2</v>
      </c>
      <c r="I1412">
        <v>49.183920999999998</v>
      </c>
      <c r="J1412">
        <v>729</v>
      </c>
      <c r="M1412">
        <v>8.65</v>
      </c>
      <c r="O1412">
        <v>0.77200000000000002</v>
      </c>
      <c r="R1412">
        <v>2.19</v>
      </c>
    </row>
    <row r="1413" spans="1:18" x14ac:dyDescent="0.2">
      <c r="A1413" t="s">
        <v>2574</v>
      </c>
      <c r="B1413" t="s">
        <v>2576</v>
      </c>
      <c r="C1413">
        <v>2014</v>
      </c>
      <c r="D1413">
        <v>1</v>
      </c>
      <c r="E1413" t="s">
        <v>55</v>
      </c>
      <c r="F1413" t="s">
        <v>128</v>
      </c>
      <c r="G1413" t="s">
        <v>63</v>
      </c>
      <c r="H1413">
        <v>2</v>
      </c>
      <c r="I1413">
        <v>190.32349400000001</v>
      </c>
      <c r="J1413">
        <v>729</v>
      </c>
      <c r="M1413">
        <v>8.18</v>
      </c>
      <c r="O1413">
        <v>0.73</v>
      </c>
      <c r="R1413">
        <v>2.19</v>
      </c>
    </row>
    <row r="1414" spans="1:18" x14ac:dyDescent="0.2">
      <c r="A1414" t="s">
        <v>2577</v>
      </c>
      <c r="B1414" t="s">
        <v>2578</v>
      </c>
      <c r="C1414">
        <v>2016</v>
      </c>
      <c r="D1414">
        <v>1</v>
      </c>
      <c r="E1414" t="s">
        <v>55</v>
      </c>
      <c r="F1414" t="s">
        <v>128</v>
      </c>
      <c r="G1414" t="s">
        <v>63</v>
      </c>
      <c r="H1414">
        <v>1</v>
      </c>
      <c r="I1414">
        <v>77.254839599999997</v>
      </c>
      <c r="J1414">
        <v>688</v>
      </c>
      <c r="K1414">
        <v>3.89</v>
      </c>
      <c r="M1414">
        <v>3.28</v>
      </c>
      <c r="O1414">
        <v>0.29299999999999998</v>
      </c>
      <c r="Q1414">
        <v>1.1000000000000001</v>
      </c>
      <c r="R1414">
        <v>1.1599999999999999</v>
      </c>
    </row>
    <row r="1415" spans="1:18" x14ac:dyDescent="0.2">
      <c r="A1415" t="s">
        <v>2579</v>
      </c>
      <c r="B1415" t="s">
        <v>2580</v>
      </c>
      <c r="C1415">
        <v>2016</v>
      </c>
      <c r="D1415">
        <v>1</v>
      </c>
      <c r="E1415" t="s">
        <v>55</v>
      </c>
      <c r="F1415" t="s">
        <v>128</v>
      </c>
      <c r="G1415" t="s">
        <v>63</v>
      </c>
      <c r="H1415">
        <v>1</v>
      </c>
      <c r="I1415">
        <v>3.8569185500000001</v>
      </c>
      <c r="J1415">
        <v>425</v>
      </c>
      <c r="K1415">
        <v>4.68</v>
      </c>
      <c r="M1415">
        <v>1.01</v>
      </c>
      <c r="O1415">
        <v>0.09</v>
      </c>
      <c r="Q1415">
        <v>0.88</v>
      </c>
      <c r="R1415">
        <v>0.84</v>
      </c>
    </row>
    <row r="1416" spans="1:18" x14ac:dyDescent="0.2">
      <c r="A1416" t="s">
        <v>2581</v>
      </c>
      <c r="B1416" t="s">
        <v>2582</v>
      </c>
      <c r="C1416">
        <v>2016</v>
      </c>
      <c r="D1416">
        <v>1</v>
      </c>
      <c r="E1416" t="s">
        <v>55</v>
      </c>
      <c r="F1416" t="s">
        <v>128</v>
      </c>
      <c r="G1416" t="s">
        <v>63</v>
      </c>
      <c r="H1416">
        <v>1</v>
      </c>
      <c r="I1416">
        <v>1.5432066</v>
      </c>
      <c r="J1416">
        <v>628</v>
      </c>
      <c r="K1416">
        <v>5.75</v>
      </c>
      <c r="M1416">
        <v>1.1200000000000001</v>
      </c>
      <c r="O1416">
        <v>0.1</v>
      </c>
      <c r="Q1416">
        <v>1.03</v>
      </c>
      <c r="R1416">
        <v>1.1399999999999999</v>
      </c>
    </row>
    <row r="1417" spans="1:18" x14ac:dyDescent="0.2">
      <c r="A1417" t="s">
        <v>2583</v>
      </c>
      <c r="B1417" t="s">
        <v>2584</v>
      </c>
      <c r="C1417">
        <v>2016</v>
      </c>
      <c r="D1417">
        <v>1</v>
      </c>
      <c r="E1417" t="s">
        <v>55</v>
      </c>
      <c r="F1417" t="s">
        <v>128</v>
      </c>
      <c r="G1417" t="s">
        <v>63</v>
      </c>
      <c r="H1417">
        <v>1</v>
      </c>
      <c r="I1417">
        <v>33.417799299999999</v>
      </c>
      <c r="J1417">
        <v>912</v>
      </c>
      <c r="K1417">
        <v>4.68</v>
      </c>
      <c r="M1417">
        <v>3.36</v>
      </c>
      <c r="O1417">
        <v>0.3</v>
      </c>
      <c r="Q1417">
        <v>0.81</v>
      </c>
      <c r="R1417">
        <v>0.77</v>
      </c>
    </row>
    <row r="1418" spans="1:18" x14ac:dyDescent="0.2">
      <c r="A1418" t="s">
        <v>2585</v>
      </c>
      <c r="B1418" t="s">
        <v>2586</v>
      </c>
      <c r="C1418">
        <v>2016</v>
      </c>
      <c r="D1418">
        <v>1</v>
      </c>
      <c r="E1418" t="s">
        <v>55</v>
      </c>
      <c r="F1418" t="s">
        <v>128</v>
      </c>
      <c r="G1418" t="s">
        <v>63</v>
      </c>
      <c r="H1418">
        <v>1</v>
      </c>
      <c r="I1418">
        <v>2.0533367899999999</v>
      </c>
      <c r="J1418">
        <v>427</v>
      </c>
      <c r="K1418">
        <v>4.07</v>
      </c>
      <c r="M1418">
        <v>1.1100000000000001</v>
      </c>
      <c r="O1418">
        <v>9.9000000000000005E-2</v>
      </c>
      <c r="Q1418">
        <v>1.1200000000000001</v>
      </c>
      <c r="R1418">
        <v>1.28</v>
      </c>
    </row>
    <row r="1419" spans="1:18" x14ac:dyDescent="0.2">
      <c r="A1419" t="s">
        <v>2587</v>
      </c>
      <c r="B1419" t="s">
        <v>2588</v>
      </c>
      <c r="C1419">
        <v>2016</v>
      </c>
      <c r="D1419">
        <v>1</v>
      </c>
      <c r="E1419" t="s">
        <v>55</v>
      </c>
      <c r="F1419" t="s">
        <v>128</v>
      </c>
      <c r="G1419" t="s">
        <v>63</v>
      </c>
      <c r="H1419">
        <v>1</v>
      </c>
      <c r="I1419">
        <v>219.32175280000001</v>
      </c>
      <c r="J1419">
        <v>1518</v>
      </c>
      <c r="K1419">
        <v>3.39</v>
      </c>
      <c r="M1419">
        <v>7.22</v>
      </c>
      <c r="O1419">
        <v>0.64400000000000002</v>
      </c>
      <c r="Q1419">
        <v>1.1100000000000001</v>
      </c>
      <c r="R1419">
        <v>1.1399999999999999</v>
      </c>
    </row>
    <row r="1420" spans="1:18" x14ac:dyDescent="0.2">
      <c r="A1420" t="s">
        <v>2589</v>
      </c>
      <c r="B1420" t="s">
        <v>2590</v>
      </c>
      <c r="C1420">
        <v>2016</v>
      </c>
      <c r="D1420">
        <v>1</v>
      </c>
      <c r="E1420" t="s">
        <v>55</v>
      </c>
      <c r="F1420" t="s">
        <v>128</v>
      </c>
      <c r="G1420" t="s">
        <v>63</v>
      </c>
      <c r="H1420">
        <v>2</v>
      </c>
      <c r="I1420">
        <v>18.784257279999999</v>
      </c>
      <c r="J1420">
        <v>464</v>
      </c>
      <c r="K1420">
        <v>2.88</v>
      </c>
      <c r="M1420">
        <v>2.44</v>
      </c>
      <c r="O1420">
        <v>0.218</v>
      </c>
      <c r="Q1420">
        <v>0.7</v>
      </c>
      <c r="R1420">
        <v>0.66</v>
      </c>
    </row>
    <row r="1421" spans="1:18" x14ac:dyDescent="0.2">
      <c r="A1421" t="s">
        <v>2589</v>
      </c>
      <c r="B1421" t="s">
        <v>2591</v>
      </c>
      <c r="C1421">
        <v>2016</v>
      </c>
      <c r="D1421">
        <v>1</v>
      </c>
      <c r="E1421" t="s">
        <v>55</v>
      </c>
      <c r="F1421" t="s">
        <v>128</v>
      </c>
      <c r="G1421" t="s">
        <v>63</v>
      </c>
      <c r="H1421">
        <v>2</v>
      </c>
      <c r="I1421">
        <v>161.5163345</v>
      </c>
      <c r="J1421">
        <v>464</v>
      </c>
      <c r="K1421">
        <v>2.88</v>
      </c>
      <c r="M1421">
        <v>2.94</v>
      </c>
      <c r="O1421">
        <v>0.26200000000000001</v>
      </c>
      <c r="Q1421">
        <v>0.7</v>
      </c>
      <c r="R1421">
        <v>0.66</v>
      </c>
    </row>
    <row r="1422" spans="1:18" x14ac:dyDescent="0.2">
      <c r="A1422" t="s">
        <v>2592</v>
      </c>
      <c r="B1422" t="s">
        <v>2593</v>
      </c>
      <c r="C1422">
        <v>2016</v>
      </c>
      <c r="D1422">
        <v>1</v>
      </c>
      <c r="E1422" t="s">
        <v>55</v>
      </c>
      <c r="F1422" t="s">
        <v>128</v>
      </c>
      <c r="G1422" t="s">
        <v>63</v>
      </c>
      <c r="H1422">
        <v>1</v>
      </c>
      <c r="I1422">
        <v>0.69384285000000001</v>
      </c>
      <c r="J1422">
        <v>354</v>
      </c>
      <c r="K1422">
        <v>3.55</v>
      </c>
      <c r="M1422">
        <v>0.61</v>
      </c>
      <c r="O1422">
        <v>5.3999999999999999E-2</v>
      </c>
      <c r="Q1422">
        <v>0.96</v>
      </c>
      <c r="R1422">
        <v>0.94</v>
      </c>
    </row>
    <row r="1423" spans="1:18" x14ac:dyDescent="0.2">
      <c r="A1423" t="s">
        <v>2594</v>
      </c>
      <c r="B1423" t="s">
        <v>2595</v>
      </c>
      <c r="C1423">
        <v>2016</v>
      </c>
      <c r="D1423">
        <v>1</v>
      </c>
      <c r="E1423" t="s">
        <v>55</v>
      </c>
      <c r="F1423" t="s">
        <v>128</v>
      </c>
      <c r="G1423" t="s">
        <v>63</v>
      </c>
      <c r="H1423">
        <v>1</v>
      </c>
      <c r="I1423">
        <v>23.127486439999998</v>
      </c>
      <c r="J1423">
        <v>300</v>
      </c>
      <c r="K1423">
        <v>3.02</v>
      </c>
      <c r="M1423">
        <v>1.42</v>
      </c>
      <c r="O1423">
        <v>0.127</v>
      </c>
      <c r="Q1423">
        <v>1.08</v>
      </c>
      <c r="R1423">
        <v>1.08</v>
      </c>
    </row>
    <row r="1424" spans="1:18" x14ac:dyDescent="0.2">
      <c r="A1424" t="s">
        <v>2596</v>
      </c>
      <c r="B1424" t="s">
        <v>2597</v>
      </c>
      <c r="C1424">
        <v>2016</v>
      </c>
      <c r="D1424">
        <v>1</v>
      </c>
      <c r="E1424" t="s">
        <v>55</v>
      </c>
      <c r="F1424" t="s">
        <v>128</v>
      </c>
      <c r="G1424" t="s">
        <v>63</v>
      </c>
      <c r="H1424">
        <v>1</v>
      </c>
      <c r="I1424">
        <v>5.1324856199999997</v>
      </c>
      <c r="J1424">
        <v>227</v>
      </c>
      <c r="K1424">
        <v>3.72</v>
      </c>
      <c r="M1424">
        <v>1.83</v>
      </c>
      <c r="O1424">
        <v>0.16300000000000001</v>
      </c>
      <c r="Q1424">
        <v>0.52</v>
      </c>
      <c r="R1424">
        <v>0.49</v>
      </c>
    </row>
    <row r="1425" spans="1:19" x14ac:dyDescent="0.2">
      <c r="A1425" t="s">
        <v>2598</v>
      </c>
      <c r="B1425" t="s">
        <v>2599</v>
      </c>
      <c r="C1425">
        <v>2014</v>
      </c>
      <c r="D1425">
        <v>1</v>
      </c>
      <c r="E1425" t="s">
        <v>55</v>
      </c>
      <c r="F1425" t="s">
        <v>128</v>
      </c>
      <c r="G1425" t="s">
        <v>63</v>
      </c>
      <c r="H1425">
        <v>2</v>
      </c>
      <c r="I1425">
        <v>6.48163</v>
      </c>
      <c r="J1425">
        <v>482</v>
      </c>
      <c r="K1425">
        <v>5.73</v>
      </c>
      <c r="L1425">
        <v>7.3</v>
      </c>
      <c r="M1425">
        <v>2.37</v>
      </c>
      <c r="N1425">
        <v>2.2970000000000001E-2</v>
      </c>
      <c r="O1425">
        <v>0.21099999999999999</v>
      </c>
      <c r="Q1425">
        <v>1.04</v>
      </c>
      <c r="R1425">
        <v>1.32</v>
      </c>
      <c r="S1425">
        <v>0.65</v>
      </c>
    </row>
    <row r="1426" spans="1:19" x14ac:dyDescent="0.2">
      <c r="A1426" t="s">
        <v>2598</v>
      </c>
      <c r="B1426" t="s">
        <v>2600</v>
      </c>
      <c r="C1426">
        <v>2014</v>
      </c>
      <c r="D1426">
        <v>1</v>
      </c>
      <c r="E1426" t="s">
        <v>55</v>
      </c>
      <c r="F1426" t="s">
        <v>128</v>
      </c>
      <c r="G1426" t="s">
        <v>63</v>
      </c>
      <c r="H1426">
        <v>2</v>
      </c>
      <c r="I1426">
        <v>21.2227</v>
      </c>
      <c r="J1426">
        <v>482</v>
      </c>
      <c r="K1426">
        <v>5.73</v>
      </c>
      <c r="L1426">
        <v>21.8</v>
      </c>
      <c r="M1426">
        <v>2.52</v>
      </c>
      <c r="N1426">
        <v>6.8589999999999998E-2</v>
      </c>
      <c r="O1426">
        <v>0.22500000000000001</v>
      </c>
      <c r="Q1426">
        <v>1.04</v>
      </c>
      <c r="R1426">
        <v>1.32</v>
      </c>
      <c r="S1426">
        <v>0.65</v>
      </c>
    </row>
    <row r="1427" spans="1:19" x14ac:dyDescent="0.2">
      <c r="A1427" t="s">
        <v>2601</v>
      </c>
      <c r="B1427" t="s">
        <v>2602</v>
      </c>
      <c r="C1427">
        <v>2016</v>
      </c>
      <c r="D1427">
        <v>1</v>
      </c>
      <c r="E1427" t="s">
        <v>55</v>
      </c>
      <c r="F1427" t="s">
        <v>128</v>
      </c>
      <c r="G1427" t="s">
        <v>63</v>
      </c>
      <c r="H1427">
        <v>1</v>
      </c>
      <c r="I1427">
        <v>198.68017900000001</v>
      </c>
      <c r="J1427">
        <v>702</v>
      </c>
      <c r="K1427">
        <v>4.37</v>
      </c>
      <c r="M1427">
        <v>2.25</v>
      </c>
      <c r="O1427">
        <v>0.20100000000000001</v>
      </c>
      <c r="Q1427">
        <v>0.86</v>
      </c>
      <c r="R1427">
        <v>0.82</v>
      </c>
    </row>
    <row r="1428" spans="1:19" x14ac:dyDescent="0.2">
      <c r="A1428" t="s">
        <v>2603</v>
      </c>
      <c r="B1428" t="s">
        <v>2604</v>
      </c>
      <c r="C1428">
        <v>2016</v>
      </c>
      <c r="D1428">
        <v>1</v>
      </c>
      <c r="E1428" t="s">
        <v>55</v>
      </c>
      <c r="F1428" t="s">
        <v>128</v>
      </c>
      <c r="G1428" t="s">
        <v>63</v>
      </c>
      <c r="H1428">
        <v>1</v>
      </c>
      <c r="I1428">
        <v>1.43474156</v>
      </c>
      <c r="J1428">
        <v>915</v>
      </c>
      <c r="K1428">
        <v>3.47</v>
      </c>
      <c r="M1428">
        <v>1.46</v>
      </c>
      <c r="O1428">
        <v>0.13</v>
      </c>
      <c r="Q1428">
        <v>1.01</v>
      </c>
      <c r="R1428">
        <v>1.03</v>
      </c>
    </row>
    <row r="1429" spans="1:19" x14ac:dyDescent="0.2">
      <c r="A1429" t="s">
        <v>2605</v>
      </c>
      <c r="B1429" t="s">
        <v>2606</v>
      </c>
      <c r="C1429">
        <v>2016</v>
      </c>
      <c r="D1429">
        <v>1</v>
      </c>
      <c r="E1429" t="s">
        <v>55</v>
      </c>
      <c r="F1429" t="s">
        <v>128</v>
      </c>
      <c r="G1429" t="s">
        <v>63</v>
      </c>
      <c r="H1429">
        <v>1</v>
      </c>
      <c r="I1429">
        <v>58.601792500000002</v>
      </c>
      <c r="J1429">
        <v>914</v>
      </c>
      <c r="K1429">
        <v>3.8</v>
      </c>
      <c r="M1429">
        <v>2.0699999999999998</v>
      </c>
      <c r="O1429">
        <v>0.185</v>
      </c>
      <c r="Q1429">
        <v>0.99</v>
      </c>
      <c r="R1429">
        <v>1</v>
      </c>
    </row>
    <row r="1430" spans="1:19" x14ac:dyDescent="0.2">
      <c r="A1430" t="s">
        <v>2607</v>
      </c>
      <c r="B1430" t="s">
        <v>2608</v>
      </c>
      <c r="C1430">
        <v>2016</v>
      </c>
      <c r="D1430">
        <v>1</v>
      </c>
      <c r="E1430" t="s">
        <v>55</v>
      </c>
      <c r="F1430" t="s">
        <v>128</v>
      </c>
      <c r="G1430" t="s">
        <v>63</v>
      </c>
      <c r="H1430">
        <v>2</v>
      </c>
      <c r="I1430">
        <v>25.082462599999999</v>
      </c>
      <c r="J1430">
        <v>848</v>
      </c>
      <c r="K1430">
        <v>2.95</v>
      </c>
      <c r="M1430">
        <v>1.95</v>
      </c>
      <c r="O1430">
        <v>0.17399999999999999</v>
      </c>
      <c r="Q1430">
        <v>1.1299999999999999</v>
      </c>
      <c r="R1430">
        <v>1.2</v>
      </c>
    </row>
    <row r="1431" spans="1:19" x14ac:dyDescent="0.2">
      <c r="A1431" t="s">
        <v>2607</v>
      </c>
      <c r="B1431" t="s">
        <v>2609</v>
      </c>
      <c r="C1431">
        <v>2016</v>
      </c>
      <c r="D1431">
        <v>1</v>
      </c>
      <c r="E1431" t="s">
        <v>55</v>
      </c>
      <c r="F1431" t="s">
        <v>128</v>
      </c>
      <c r="G1431" t="s">
        <v>63</v>
      </c>
      <c r="H1431">
        <v>2</v>
      </c>
      <c r="I1431">
        <v>89.722291999999996</v>
      </c>
      <c r="J1431">
        <v>848</v>
      </c>
      <c r="K1431">
        <v>2.95</v>
      </c>
      <c r="M1431">
        <v>1.96</v>
      </c>
      <c r="O1431">
        <v>0.17499999999999999</v>
      </c>
      <c r="Q1431">
        <v>1.1299999999999999</v>
      </c>
      <c r="R1431">
        <v>1.2</v>
      </c>
    </row>
    <row r="1432" spans="1:19" x14ac:dyDescent="0.2">
      <c r="A1432" t="s">
        <v>2610</v>
      </c>
      <c r="B1432" t="s">
        <v>2611</v>
      </c>
      <c r="C1432">
        <v>2016</v>
      </c>
      <c r="D1432">
        <v>1</v>
      </c>
      <c r="E1432" t="s">
        <v>55</v>
      </c>
      <c r="F1432" t="s">
        <v>128</v>
      </c>
      <c r="G1432" t="s">
        <v>63</v>
      </c>
      <c r="H1432">
        <v>1</v>
      </c>
      <c r="I1432">
        <v>78.100023100000001</v>
      </c>
      <c r="J1432">
        <v>1371</v>
      </c>
      <c r="K1432">
        <v>3.09</v>
      </c>
      <c r="M1432">
        <v>3.18</v>
      </c>
      <c r="O1432">
        <v>0.28399999999999997</v>
      </c>
      <c r="Q1432">
        <v>1.1399999999999999</v>
      </c>
      <c r="R1432">
        <v>1.21</v>
      </c>
    </row>
    <row r="1433" spans="1:19" x14ac:dyDescent="0.2">
      <c r="A1433" t="s">
        <v>2612</v>
      </c>
      <c r="B1433" t="s">
        <v>2613</v>
      </c>
      <c r="C1433">
        <v>2016</v>
      </c>
      <c r="D1433">
        <v>1</v>
      </c>
      <c r="E1433" t="s">
        <v>55</v>
      </c>
      <c r="F1433" t="s">
        <v>128</v>
      </c>
      <c r="G1433" t="s">
        <v>63</v>
      </c>
      <c r="H1433">
        <v>1</v>
      </c>
      <c r="I1433">
        <v>4.2710309100000003</v>
      </c>
      <c r="J1433">
        <v>758</v>
      </c>
      <c r="K1433">
        <v>4.47</v>
      </c>
      <c r="M1433">
        <v>1.21</v>
      </c>
      <c r="O1433">
        <v>0.108</v>
      </c>
      <c r="Q1433">
        <v>0.94</v>
      </c>
      <c r="R1433">
        <v>0.92</v>
      </c>
    </row>
    <row r="1434" spans="1:19" x14ac:dyDescent="0.2">
      <c r="A1434" t="s">
        <v>2614</v>
      </c>
      <c r="B1434" t="s">
        <v>2615</v>
      </c>
      <c r="C1434">
        <v>2016</v>
      </c>
      <c r="D1434">
        <v>1</v>
      </c>
      <c r="E1434" t="s">
        <v>55</v>
      </c>
      <c r="F1434" t="s">
        <v>128</v>
      </c>
      <c r="G1434" t="s">
        <v>63</v>
      </c>
      <c r="H1434">
        <v>1</v>
      </c>
      <c r="I1434">
        <v>2.89221751</v>
      </c>
      <c r="J1434">
        <v>344</v>
      </c>
      <c r="K1434">
        <v>3.8</v>
      </c>
      <c r="M1434">
        <v>1.24</v>
      </c>
      <c r="O1434">
        <v>0.111</v>
      </c>
      <c r="Q1434">
        <v>0.66</v>
      </c>
      <c r="R1434">
        <v>0.63</v>
      </c>
    </row>
    <row r="1435" spans="1:19" x14ac:dyDescent="0.2">
      <c r="A1435" t="s">
        <v>2616</v>
      </c>
      <c r="B1435" t="s">
        <v>2617</v>
      </c>
      <c r="C1435">
        <v>2016</v>
      </c>
      <c r="D1435">
        <v>1</v>
      </c>
      <c r="E1435" t="s">
        <v>55</v>
      </c>
      <c r="F1435" t="s">
        <v>128</v>
      </c>
      <c r="G1435" t="s">
        <v>63</v>
      </c>
      <c r="H1435">
        <v>1</v>
      </c>
      <c r="I1435">
        <v>187.747029</v>
      </c>
      <c r="J1435">
        <v>738</v>
      </c>
      <c r="K1435">
        <v>4.9000000000000004</v>
      </c>
      <c r="M1435">
        <v>3.26</v>
      </c>
      <c r="O1435">
        <v>0.29099999999999998</v>
      </c>
      <c r="Q1435">
        <v>0.82</v>
      </c>
      <c r="R1435">
        <v>0.79</v>
      </c>
    </row>
    <row r="1436" spans="1:19" x14ac:dyDescent="0.2">
      <c r="A1436" t="s">
        <v>2618</v>
      </c>
      <c r="B1436" t="s">
        <v>2619</v>
      </c>
      <c r="C1436">
        <v>2016</v>
      </c>
      <c r="D1436">
        <v>1</v>
      </c>
      <c r="E1436" t="s">
        <v>55</v>
      </c>
      <c r="F1436" t="s">
        <v>128</v>
      </c>
      <c r="G1436" t="s">
        <v>63</v>
      </c>
      <c r="H1436">
        <v>1</v>
      </c>
      <c r="I1436">
        <v>2.5430728600000001</v>
      </c>
      <c r="J1436">
        <v>876</v>
      </c>
      <c r="K1436">
        <v>3.98</v>
      </c>
      <c r="M1436">
        <v>1.3</v>
      </c>
      <c r="O1436">
        <v>0.11600000000000001</v>
      </c>
      <c r="Q1436">
        <v>0.99</v>
      </c>
      <c r="R1436">
        <v>0.99</v>
      </c>
    </row>
    <row r="1437" spans="1:19" x14ac:dyDescent="0.2">
      <c r="A1437" t="s">
        <v>2620</v>
      </c>
      <c r="B1437" t="s">
        <v>2621</v>
      </c>
      <c r="C1437">
        <v>2016</v>
      </c>
      <c r="D1437">
        <v>1</v>
      </c>
      <c r="E1437" t="s">
        <v>55</v>
      </c>
      <c r="F1437" t="s">
        <v>128</v>
      </c>
      <c r="G1437" t="s">
        <v>63</v>
      </c>
      <c r="H1437">
        <v>1</v>
      </c>
      <c r="I1437">
        <v>2.1684525899999998</v>
      </c>
      <c r="J1437">
        <v>1209</v>
      </c>
      <c r="K1437">
        <v>3.63</v>
      </c>
      <c r="M1437">
        <v>2.83</v>
      </c>
      <c r="O1437">
        <v>0.252</v>
      </c>
      <c r="Q1437">
        <v>1.01</v>
      </c>
      <c r="R1437">
        <v>1</v>
      </c>
    </row>
    <row r="1438" spans="1:19" x14ac:dyDescent="0.2">
      <c r="A1438" t="s">
        <v>2622</v>
      </c>
      <c r="B1438" t="s">
        <v>2623</v>
      </c>
      <c r="C1438">
        <v>2010</v>
      </c>
      <c r="D1438">
        <v>1</v>
      </c>
      <c r="E1438" t="s">
        <v>55</v>
      </c>
      <c r="F1438" t="s">
        <v>128</v>
      </c>
      <c r="G1438" t="s">
        <v>63</v>
      </c>
      <c r="H1438">
        <v>6</v>
      </c>
      <c r="I1438">
        <v>10.303900000000001</v>
      </c>
      <c r="J1438">
        <v>613</v>
      </c>
      <c r="K1438">
        <v>8.5</v>
      </c>
      <c r="L1438">
        <v>1.9</v>
      </c>
      <c r="M1438">
        <v>1.8</v>
      </c>
      <c r="N1438">
        <v>6.0000000000000001E-3</v>
      </c>
      <c r="O1438">
        <v>0.161</v>
      </c>
      <c r="P1438">
        <v>1.72</v>
      </c>
      <c r="Q1438">
        <v>0.96</v>
      </c>
      <c r="R1438">
        <v>1.06</v>
      </c>
      <c r="S1438">
        <v>1.1220000000000001</v>
      </c>
    </row>
    <row r="1439" spans="1:19" x14ac:dyDescent="0.2">
      <c r="A1439" t="s">
        <v>2622</v>
      </c>
      <c r="B1439" t="s">
        <v>2624</v>
      </c>
      <c r="C1439">
        <v>2010</v>
      </c>
      <c r="D1439">
        <v>1</v>
      </c>
      <c r="E1439" t="s">
        <v>55</v>
      </c>
      <c r="F1439" t="s">
        <v>128</v>
      </c>
      <c r="G1439" t="s">
        <v>63</v>
      </c>
      <c r="H1439">
        <v>6</v>
      </c>
      <c r="I1439">
        <v>13.024100000000001</v>
      </c>
      <c r="J1439">
        <v>613</v>
      </c>
      <c r="K1439">
        <v>8.5</v>
      </c>
      <c r="L1439">
        <v>2.9</v>
      </c>
      <c r="M1439">
        <v>2.87</v>
      </c>
      <c r="N1439">
        <v>8.9999999999999993E-3</v>
      </c>
      <c r="O1439">
        <v>0.25600000000000001</v>
      </c>
      <c r="P1439">
        <v>0.66</v>
      </c>
      <c r="Q1439">
        <v>0.96</v>
      </c>
      <c r="R1439">
        <v>1.06</v>
      </c>
      <c r="S1439">
        <v>1.1220000000000001</v>
      </c>
    </row>
    <row r="1440" spans="1:19" x14ac:dyDescent="0.2">
      <c r="A1440" t="s">
        <v>2622</v>
      </c>
      <c r="B1440" t="s">
        <v>2625</v>
      </c>
      <c r="C1440">
        <v>2010</v>
      </c>
      <c r="D1440">
        <v>1</v>
      </c>
      <c r="E1440" t="s">
        <v>55</v>
      </c>
      <c r="F1440" t="s">
        <v>128</v>
      </c>
      <c r="G1440" t="s">
        <v>63</v>
      </c>
      <c r="H1440">
        <v>6</v>
      </c>
      <c r="I1440">
        <v>22.6845</v>
      </c>
      <c r="J1440">
        <v>613</v>
      </c>
      <c r="K1440">
        <v>8.5</v>
      </c>
      <c r="L1440">
        <v>7.3</v>
      </c>
      <c r="M1440">
        <v>3.12</v>
      </c>
      <c r="N1440">
        <v>2.3E-2</v>
      </c>
      <c r="O1440">
        <v>0.27800000000000002</v>
      </c>
      <c r="P1440">
        <v>1.28</v>
      </c>
      <c r="Q1440">
        <v>0.96</v>
      </c>
      <c r="R1440">
        <v>1.06</v>
      </c>
      <c r="S1440">
        <v>1.1220000000000001</v>
      </c>
    </row>
    <row r="1441" spans="1:19" x14ac:dyDescent="0.2">
      <c r="A1441" t="s">
        <v>2622</v>
      </c>
      <c r="B1441" t="s">
        <v>2626</v>
      </c>
      <c r="C1441">
        <v>2010</v>
      </c>
      <c r="D1441">
        <v>1</v>
      </c>
      <c r="E1441" t="s">
        <v>55</v>
      </c>
      <c r="F1441" t="s">
        <v>128</v>
      </c>
      <c r="G1441" t="s">
        <v>63</v>
      </c>
      <c r="H1441">
        <v>6</v>
      </c>
      <c r="I1441">
        <v>31.999600000000001</v>
      </c>
      <c r="J1441">
        <v>613</v>
      </c>
      <c r="K1441">
        <v>8.5</v>
      </c>
      <c r="L1441">
        <v>8</v>
      </c>
      <c r="M1441">
        <v>4.1900000000000004</v>
      </c>
      <c r="N1441">
        <v>2.5000000000000001E-2</v>
      </c>
      <c r="O1441">
        <v>0.374</v>
      </c>
      <c r="P1441">
        <v>0.57999999999999996</v>
      </c>
      <c r="Q1441">
        <v>0.96</v>
      </c>
      <c r="R1441">
        <v>1.06</v>
      </c>
      <c r="S1441">
        <v>1.1220000000000001</v>
      </c>
    </row>
    <row r="1442" spans="1:19" x14ac:dyDescent="0.2">
      <c r="A1442" t="s">
        <v>2622</v>
      </c>
      <c r="B1442" t="s">
        <v>2627</v>
      </c>
      <c r="C1442">
        <v>2010</v>
      </c>
      <c r="D1442">
        <v>1</v>
      </c>
      <c r="E1442" t="s">
        <v>55</v>
      </c>
      <c r="F1442" t="s">
        <v>128</v>
      </c>
      <c r="G1442" t="s">
        <v>63</v>
      </c>
      <c r="H1442">
        <v>6</v>
      </c>
      <c r="I1442">
        <v>46.688800000000001</v>
      </c>
      <c r="J1442">
        <v>613</v>
      </c>
      <c r="K1442">
        <v>8.5</v>
      </c>
      <c r="L1442">
        <v>2</v>
      </c>
      <c r="M1442">
        <v>2.4900000000000002</v>
      </c>
      <c r="N1442">
        <v>6.0000000000000001E-3</v>
      </c>
      <c r="O1442">
        <v>0.222</v>
      </c>
      <c r="P1442">
        <v>0.69</v>
      </c>
      <c r="Q1442">
        <v>0.96</v>
      </c>
      <c r="R1442">
        <v>1.06</v>
      </c>
      <c r="S1442">
        <v>1.1220000000000001</v>
      </c>
    </row>
    <row r="1443" spans="1:19" x14ac:dyDescent="0.2">
      <c r="A1443" t="s">
        <v>2622</v>
      </c>
      <c r="B1443" t="s">
        <v>2628</v>
      </c>
      <c r="C1443">
        <v>2010</v>
      </c>
      <c r="D1443">
        <v>1</v>
      </c>
      <c r="E1443" t="s">
        <v>55</v>
      </c>
      <c r="F1443" t="s">
        <v>128</v>
      </c>
      <c r="G1443" t="s">
        <v>63</v>
      </c>
      <c r="H1443">
        <v>6</v>
      </c>
      <c r="I1443">
        <v>118.3807</v>
      </c>
      <c r="J1443">
        <v>613</v>
      </c>
      <c r="K1443">
        <v>8.5</v>
      </c>
      <c r="L1443">
        <v>25</v>
      </c>
      <c r="M1443">
        <v>3.33</v>
      </c>
      <c r="N1443">
        <v>7.9000000000000001E-2</v>
      </c>
      <c r="O1443">
        <v>0.29699999999999999</v>
      </c>
      <c r="P1443">
        <v>4</v>
      </c>
      <c r="Q1443">
        <v>0.96</v>
      </c>
      <c r="R1443">
        <v>1.06</v>
      </c>
      <c r="S1443">
        <v>1.1220000000000001</v>
      </c>
    </row>
    <row r="1444" spans="1:19" x14ac:dyDescent="0.2">
      <c r="A1444" t="s">
        <v>2629</v>
      </c>
      <c r="B1444" t="s">
        <v>2630</v>
      </c>
      <c r="C1444">
        <v>2014</v>
      </c>
      <c r="D1444">
        <v>1</v>
      </c>
      <c r="E1444" t="s">
        <v>55</v>
      </c>
      <c r="F1444" t="s">
        <v>128</v>
      </c>
      <c r="G1444" t="s">
        <v>63</v>
      </c>
      <c r="H1444">
        <v>2</v>
      </c>
      <c r="I1444">
        <v>12.691112</v>
      </c>
      <c r="J1444">
        <v>692</v>
      </c>
      <c r="M1444">
        <v>1.83</v>
      </c>
      <c r="O1444">
        <v>0.16300000000000001</v>
      </c>
      <c r="R1444">
        <v>1.1499999999999999</v>
      </c>
    </row>
    <row r="1445" spans="1:19" x14ac:dyDescent="0.2">
      <c r="A1445" t="s">
        <v>2629</v>
      </c>
      <c r="B1445" t="s">
        <v>2631</v>
      </c>
      <c r="C1445">
        <v>2014</v>
      </c>
      <c r="D1445">
        <v>1</v>
      </c>
      <c r="E1445" t="s">
        <v>55</v>
      </c>
      <c r="F1445" t="s">
        <v>128</v>
      </c>
      <c r="G1445" t="s">
        <v>63</v>
      </c>
      <c r="H1445">
        <v>2</v>
      </c>
      <c r="I1445">
        <v>31.719774999999998</v>
      </c>
      <c r="J1445">
        <v>692</v>
      </c>
      <c r="M1445">
        <v>2.21</v>
      </c>
      <c r="O1445">
        <v>0.19700000000000001</v>
      </c>
      <c r="R1445">
        <v>1.1499999999999999</v>
      </c>
    </row>
    <row r="1446" spans="1:19" x14ac:dyDescent="0.2">
      <c r="A1446" t="s">
        <v>2632</v>
      </c>
      <c r="B1446" t="s">
        <v>2633</v>
      </c>
      <c r="C1446">
        <v>2016</v>
      </c>
      <c r="D1446">
        <v>1</v>
      </c>
      <c r="E1446" t="s">
        <v>55</v>
      </c>
      <c r="F1446" t="s">
        <v>128</v>
      </c>
      <c r="G1446" t="s">
        <v>63</v>
      </c>
      <c r="H1446">
        <v>1</v>
      </c>
      <c r="I1446">
        <v>6.4220005799999997</v>
      </c>
      <c r="J1446">
        <v>940</v>
      </c>
      <c r="K1446">
        <v>2.69</v>
      </c>
      <c r="M1446">
        <v>1.75</v>
      </c>
      <c r="O1446">
        <v>0.156</v>
      </c>
      <c r="Q1446">
        <v>1.21</v>
      </c>
      <c r="R1446">
        <v>1.34</v>
      </c>
    </row>
    <row r="1447" spans="1:19" x14ac:dyDescent="0.2">
      <c r="A1447" t="s">
        <v>2634</v>
      </c>
      <c r="B1447" t="s">
        <v>2635</v>
      </c>
      <c r="C1447">
        <v>2016</v>
      </c>
      <c r="D1447">
        <v>1</v>
      </c>
      <c r="E1447" t="s">
        <v>55</v>
      </c>
      <c r="F1447" t="s">
        <v>128</v>
      </c>
      <c r="G1447" t="s">
        <v>63</v>
      </c>
      <c r="H1447">
        <v>1</v>
      </c>
      <c r="I1447">
        <v>81.315105900000006</v>
      </c>
      <c r="J1447">
        <v>897</v>
      </c>
      <c r="K1447">
        <v>4.2699999999999996</v>
      </c>
      <c r="M1447">
        <v>2.4700000000000002</v>
      </c>
      <c r="O1447">
        <v>0.22</v>
      </c>
      <c r="Q1447">
        <v>0.94</v>
      </c>
      <c r="R1447">
        <v>0.91</v>
      </c>
    </row>
    <row r="1448" spans="1:19" x14ac:dyDescent="0.2">
      <c r="A1448" t="s">
        <v>2636</v>
      </c>
      <c r="B1448" t="s">
        <v>2637</v>
      </c>
      <c r="C1448">
        <v>2016</v>
      </c>
      <c r="D1448">
        <v>1</v>
      </c>
      <c r="E1448" t="s">
        <v>55</v>
      </c>
      <c r="F1448" t="s">
        <v>128</v>
      </c>
      <c r="G1448" t="s">
        <v>63</v>
      </c>
      <c r="H1448">
        <v>1</v>
      </c>
      <c r="I1448">
        <v>51.328562300000002</v>
      </c>
      <c r="J1448">
        <v>986</v>
      </c>
      <c r="K1448">
        <v>4.37</v>
      </c>
      <c r="M1448">
        <v>2.66</v>
      </c>
      <c r="O1448">
        <v>0.23699999999999999</v>
      </c>
      <c r="Q1448">
        <v>0.96</v>
      </c>
      <c r="R1448">
        <v>0.94</v>
      </c>
    </row>
    <row r="1449" spans="1:19" x14ac:dyDescent="0.2">
      <c r="A1449" t="s">
        <v>2638</v>
      </c>
      <c r="B1449" t="s">
        <v>2639</v>
      </c>
      <c r="C1449">
        <v>2016</v>
      </c>
      <c r="D1449">
        <v>1</v>
      </c>
      <c r="E1449" t="s">
        <v>55</v>
      </c>
      <c r="F1449" t="s">
        <v>128</v>
      </c>
      <c r="G1449" t="s">
        <v>63</v>
      </c>
      <c r="H1449">
        <v>1</v>
      </c>
      <c r="I1449">
        <v>19.791919780000001</v>
      </c>
      <c r="J1449">
        <v>921</v>
      </c>
      <c r="K1449">
        <v>3.31</v>
      </c>
      <c r="M1449">
        <v>2.27</v>
      </c>
      <c r="O1449">
        <v>0.20300000000000001</v>
      </c>
      <c r="Q1449">
        <v>1.1100000000000001</v>
      </c>
      <c r="R1449">
        <v>1.1499999999999999</v>
      </c>
    </row>
    <row r="1450" spans="1:19" x14ac:dyDescent="0.2">
      <c r="A1450" t="s">
        <v>2640</v>
      </c>
      <c r="B1450" t="s">
        <v>2641</v>
      </c>
      <c r="C1450">
        <v>2016</v>
      </c>
      <c r="D1450">
        <v>1</v>
      </c>
      <c r="E1450" t="s">
        <v>55</v>
      </c>
      <c r="F1450" t="s">
        <v>128</v>
      </c>
      <c r="G1450" t="s">
        <v>63</v>
      </c>
      <c r="H1450">
        <v>1</v>
      </c>
      <c r="I1450">
        <v>5.03728015</v>
      </c>
      <c r="J1450">
        <v>516</v>
      </c>
      <c r="K1450">
        <v>2.04</v>
      </c>
      <c r="M1450">
        <v>1.23</v>
      </c>
      <c r="O1450">
        <v>0.11</v>
      </c>
      <c r="Q1450">
        <v>1.3</v>
      </c>
      <c r="R1450">
        <v>1.41</v>
      </c>
    </row>
    <row r="1451" spans="1:19" x14ac:dyDescent="0.2">
      <c r="A1451" t="s">
        <v>2642</v>
      </c>
      <c r="B1451" t="s">
        <v>2643</v>
      </c>
      <c r="C1451">
        <v>2016</v>
      </c>
      <c r="D1451">
        <v>1</v>
      </c>
      <c r="E1451" t="s">
        <v>55</v>
      </c>
      <c r="F1451" t="s">
        <v>128</v>
      </c>
      <c r="G1451" t="s">
        <v>63</v>
      </c>
      <c r="H1451">
        <v>1</v>
      </c>
      <c r="I1451">
        <v>4.4215721800000001</v>
      </c>
      <c r="J1451">
        <v>369</v>
      </c>
      <c r="K1451">
        <v>8.7100000000000009</v>
      </c>
      <c r="M1451">
        <v>2.0099999999999998</v>
      </c>
      <c r="O1451">
        <v>0.17899999999999999</v>
      </c>
      <c r="Q1451">
        <v>0.71</v>
      </c>
      <c r="R1451">
        <v>0.68</v>
      </c>
    </row>
    <row r="1452" spans="1:19" x14ac:dyDescent="0.2">
      <c r="A1452" t="s">
        <v>2644</v>
      </c>
      <c r="B1452" t="s">
        <v>2645</v>
      </c>
      <c r="C1452">
        <v>2016</v>
      </c>
      <c r="D1452">
        <v>1</v>
      </c>
      <c r="E1452" t="s">
        <v>55</v>
      </c>
      <c r="F1452" t="s">
        <v>128</v>
      </c>
      <c r="G1452" t="s">
        <v>63</v>
      </c>
      <c r="H1452">
        <v>1</v>
      </c>
      <c r="I1452">
        <v>1.2527521699999999</v>
      </c>
      <c r="J1452">
        <v>1168</v>
      </c>
      <c r="K1452">
        <v>3.09</v>
      </c>
      <c r="M1452">
        <v>1.65</v>
      </c>
      <c r="O1452">
        <v>0.14699999999999999</v>
      </c>
      <c r="Q1452">
        <v>1.1100000000000001</v>
      </c>
      <c r="R1452">
        <v>1.17</v>
      </c>
    </row>
    <row r="1453" spans="1:19" x14ac:dyDescent="0.2">
      <c r="A1453" t="s">
        <v>2646</v>
      </c>
      <c r="B1453" t="s">
        <v>2647</v>
      </c>
      <c r="C1453">
        <v>2016</v>
      </c>
      <c r="D1453">
        <v>1</v>
      </c>
      <c r="E1453" t="s">
        <v>55</v>
      </c>
      <c r="F1453" t="s">
        <v>128</v>
      </c>
      <c r="G1453" t="s">
        <v>63</v>
      </c>
      <c r="H1453">
        <v>1</v>
      </c>
      <c r="I1453">
        <v>0.57103851999999999</v>
      </c>
      <c r="J1453">
        <v>457</v>
      </c>
      <c r="K1453">
        <v>4.47</v>
      </c>
      <c r="M1453">
        <v>1.34</v>
      </c>
      <c r="O1453">
        <v>0.12</v>
      </c>
      <c r="Q1453">
        <v>0.86</v>
      </c>
      <c r="R1453">
        <v>0.82</v>
      </c>
    </row>
    <row r="1454" spans="1:19" x14ac:dyDescent="0.2">
      <c r="A1454" t="s">
        <v>2648</v>
      </c>
      <c r="B1454" t="s">
        <v>2649</v>
      </c>
      <c r="C1454">
        <v>2016</v>
      </c>
      <c r="D1454">
        <v>1</v>
      </c>
      <c r="E1454" t="s">
        <v>55</v>
      </c>
      <c r="F1454" t="s">
        <v>128</v>
      </c>
      <c r="G1454" t="s">
        <v>63</v>
      </c>
      <c r="H1454">
        <v>1</v>
      </c>
      <c r="I1454">
        <v>4.5100574800000004</v>
      </c>
      <c r="J1454">
        <v>764</v>
      </c>
      <c r="K1454">
        <v>4.17</v>
      </c>
      <c r="M1454">
        <v>1.46</v>
      </c>
      <c r="O1454">
        <v>0.13</v>
      </c>
      <c r="Q1454">
        <v>0.88</v>
      </c>
      <c r="R1454">
        <v>0.84</v>
      </c>
    </row>
    <row r="1455" spans="1:19" x14ac:dyDescent="0.2">
      <c r="A1455" t="s">
        <v>2650</v>
      </c>
      <c r="B1455" t="s">
        <v>2651</v>
      </c>
      <c r="C1455">
        <v>2016</v>
      </c>
      <c r="D1455">
        <v>1</v>
      </c>
      <c r="E1455" t="s">
        <v>55</v>
      </c>
      <c r="F1455" t="s">
        <v>128</v>
      </c>
      <c r="G1455" t="s">
        <v>63</v>
      </c>
      <c r="H1455">
        <v>1</v>
      </c>
      <c r="I1455">
        <v>37.646738399999997</v>
      </c>
      <c r="J1455">
        <v>797</v>
      </c>
      <c r="K1455">
        <v>3.8</v>
      </c>
      <c r="M1455">
        <v>2.19</v>
      </c>
      <c r="O1455">
        <v>0.19500000000000001</v>
      </c>
      <c r="Q1455">
        <v>1.05</v>
      </c>
      <c r="R1455">
        <v>1.06</v>
      </c>
    </row>
    <row r="1456" spans="1:19" x14ac:dyDescent="0.2">
      <c r="A1456" t="s">
        <v>2652</v>
      </c>
      <c r="B1456" t="s">
        <v>2653</v>
      </c>
      <c r="C1456">
        <v>2014</v>
      </c>
      <c r="D1456">
        <v>1</v>
      </c>
      <c r="E1456" t="s">
        <v>55</v>
      </c>
      <c r="F1456" t="s">
        <v>128</v>
      </c>
      <c r="G1456" t="s">
        <v>63</v>
      </c>
      <c r="H1456">
        <v>2</v>
      </c>
      <c r="I1456">
        <v>3.341815</v>
      </c>
      <c r="J1456">
        <v>698</v>
      </c>
      <c r="M1456">
        <v>1.58</v>
      </c>
      <c r="O1456">
        <v>0.14099999999999999</v>
      </c>
      <c r="R1456">
        <v>1.1599999999999999</v>
      </c>
    </row>
    <row r="1457" spans="1:18" x14ac:dyDescent="0.2">
      <c r="A1457" t="s">
        <v>2652</v>
      </c>
      <c r="B1457" t="s">
        <v>2654</v>
      </c>
      <c r="C1457">
        <v>2014</v>
      </c>
      <c r="D1457">
        <v>1</v>
      </c>
      <c r="E1457" t="s">
        <v>55</v>
      </c>
      <c r="F1457" t="s">
        <v>128</v>
      </c>
      <c r="G1457" t="s">
        <v>63</v>
      </c>
      <c r="H1457">
        <v>2</v>
      </c>
      <c r="I1457">
        <v>224.78460799999999</v>
      </c>
      <c r="J1457">
        <v>698</v>
      </c>
      <c r="M1457">
        <v>7.3</v>
      </c>
      <c r="O1457">
        <v>0.65100000000000002</v>
      </c>
      <c r="R1457">
        <v>1.1599999999999999</v>
      </c>
    </row>
    <row r="1458" spans="1:18" x14ac:dyDescent="0.2">
      <c r="A1458" t="s">
        <v>2655</v>
      </c>
      <c r="B1458" t="s">
        <v>2656</v>
      </c>
      <c r="C1458">
        <v>2016</v>
      </c>
      <c r="D1458">
        <v>1</v>
      </c>
      <c r="E1458" t="s">
        <v>55</v>
      </c>
      <c r="F1458" t="s">
        <v>128</v>
      </c>
      <c r="G1458" t="s">
        <v>63</v>
      </c>
      <c r="H1458">
        <v>1</v>
      </c>
      <c r="I1458">
        <v>9.6931203200000002</v>
      </c>
      <c r="J1458">
        <v>726</v>
      </c>
      <c r="K1458">
        <v>4.79</v>
      </c>
      <c r="M1458">
        <v>2.66</v>
      </c>
      <c r="O1458">
        <v>0.23699999999999999</v>
      </c>
      <c r="Q1458">
        <v>0.73</v>
      </c>
      <c r="R1458">
        <v>0.7</v>
      </c>
    </row>
    <row r="1459" spans="1:18" x14ac:dyDescent="0.2">
      <c r="A1459" t="s">
        <v>2657</v>
      </c>
      <c r="B1459" t="s">
        <v>2658</v>
      </c>
      <c r="C1459">
        <v>2016</v>
      </c>
      <c r="D1459">
        <v>1</v>
      </c>
      <c r="E1459" t="s">
        <v>55</v>
      </c>
      <c r="F1459" t="s">
        <v>128</v>
      </c>
      <c r="G1459" t="s">
        <v>63</v>
      </c>
      <c r="H1459">
        <v>1</v>
      </c>
      <c r="I1459">
        <v>8.79617863</v>
      </c>
      <c r="J1459">
        <v>1142</v>
      </c>
      <c r="K1459">
        <v>3.16</v>
      </c>
      <c r="M1459">
        <v>2</v>
      </c>
      <c r="O1459">
        <v>0.17799999999999999</v>
      </c>
      <c r="Q1459">
        <v>1.1000000000000001</v>
      </c>
      <c r="R1459">
        <v>1.1499999999999999</v>
      </c>
    </row>
    <row r="1460" spans="1:18" x14ac:dyDescent="0.2">
      <c r="A1460" t="s">
        <v>2659</v>
      </c>
      <c r="B1460" t="s">
        <v>2660</v>
      </c>
      <c r="C1460">
        <v>2016</v>
      </c>
      <c r="D1460">
        <v>1</v>
      </c>
      <c r="E1460" t="s">
        <v>55</v>
      </c>
      <c r="F1460" t="s">
        <v>128</v>
      </c>
      <c r="G1460" t="s">
        <v>63</v>
      </c>
      <c r="H1460">
        <v>1</v>
      </c>
      <c r="I1460">
        <v>14.36267939</v>
      </c>
      <c r="J1460">
        <v>1734</v>
      </c>
      <c r="K1460">
        <v>2.09</v>
      </c>
      <c r="M1460">
        <v>3.02</v>
      </c>
      <c r="O1460">
        <v>0.26900000000000002</v>
      </c>
      <c r="Q1460">
        <v>1.34</v>
      </c>
      <c r="R1460">
        <v>1.54</v>
      </c>
    </row>
    <row r="1461" spans="1:18" x14ac:dyDescent="0.2">
      <c r="A1461" t="s">
        <v>2661</v>
      </c>
      <c r="B1461" t="s">
        <v>2662</v>
      </c>
      <c r="C1461">
        <v>2016</v>
      </c>
      <c r="D1461">
        <v>1</v>
      </c>
      <c r="E1461" t="s">
        <v>55</v>
      </c>
      <c r="F1461" t="s">
        <v>128</v>
      </c>
      <c r="G1461" t="s">
        <v>63</v>
      </c>
      <c r="H1461">
        <v>1</v>
      </c>
      <c r="I1461">
        <v>42.300495400000003</v>
      </c>
      <c r="J1461">
        <v>1127</v>
      </c>
      <c r="K1461">
        <v>3.55</v>
      </c>
      <c r="M1461">
        <v>2.81</v>
      </c>
      <c r="O1461">
        <v>0.251</v>
      </c>
      <c r="Q1461">
        <v>1.1200000000000001</v>
      </c>
      <c r="R1461">
        <v>1.17</v>
      </c>
    </row>
    <row r="1462" spans="1:18" x14ac:dyDescent="0.2">
      <c r="A1462" t="s">
        <v>2663</v>
      </c>
      <c r="B1462" t="s">
        <v>2664</v>
      </c>
      <c r="C1462">
        <v>2016</v>
      </c>
      <c r="D1462">
        <v>1</v>
      </c>
      <c r="E1462" t="s">
        <v>55</v>
      </c>
      <c r="F1462" t="s">
        <v>128</v>
      </c>
      <c r="G1462" t="s">
        <v>63</v>
      </c>
      <c r="H1462">
        <v>1</v>
      </c>
      <c r="I1462">
        <v>14.97435694</v>
      </c>
      <c r="J1462">
        <v>427</v>
      </c>
      <c r="K1462">
        <v>4.2699999999999996</v>
      </c>
      <c r="M1462">
        <v>1.35</v>
      </c>
      <c r="O1462">
        <v>0.12</v>
      </c>
      <c r="Q1462">
        <v>0.87</v>
      </c>
      <c r="R1462">
        <v>0.83</v>
      </c>
    </row>
    <row r="1463" spans="1:18" x14ac:dyDescent="0.2">
      <c r="A1463" t="s">
        <v>2665</v>
      </c>
      <c r="B1463" t="s">
        <v>2666</v>
      </c>
      <c r="C1463">
        <v>2016</v>
      </c>
      <c r="D1463">
        <v>1</v>
      </c>
      <c r="E1463" t="s">
        <v>55</v>
      </c>
      <c r="F1463" t="s">
        <v>128</v>
      </c>
      <c r="G1463" t="s">
        <v>63</v>
      </c>
      <c r="H1463">
        <v>1</v>
      </c>
      <c r="I1463">
        <v>23.5540725</v>
      </c>
      <c r="J1463">
        <v>935</v>
      </c>
      <c r="K1463">
        <v>1.1200000000000001</v>
      </c>
      <c r="M1463">
        <v>1.7</v>
      </c>
      <c r="O1463">
        <v>0.152</v>
      </c>
      <c r="Q1463">
        <v>1.6</v>
      </c>
      <c r="R1463">
        <v>1.73</v>
      </c>
    </row>
    <row r="1464" spans="1:18" x14ac:dyDescent="0.2">
      <c r="A1464" t="s">
        <v>2667</v>
      </c>
      <c r="B1464" t="s">
        <v>2668</v>
      </c>
      <c r="C1464">
        <v>2016</v>
      </c>
      <c r="D1464">
        <v>1</v>
      </c>
      <c r="E1464" t="s">
        <v>55</v>
      </c>
      <c r="F1464" t="s">
        <v>128</v>
      </c>
      <c r="G1464" t="s">
        <v>63</v>
      </c>
      <c r="H1464">
        <v>1</v>
      </c>
      <c r="I1464">
        <v>41.697782699999998</v>
      </c>
      <c r="J1464">
        <v>1017</v>
      </c>
      <c r="K1464">
        <v>4.9000000000000004</v>
      </c>
      <c r="M1464">
        <v>2.54</v>
      </c>
      <c r="O1464">
        <v>0.22700000000000001</v>
      </c>
      <c r="Q1464">
        <v>0.95</v>
      </c>
      <c r="R1464">
        <v>0.93</v>
      </c>
    </row>
    <row r="1465" spans="1:18" x14ac:dyDescent="0.2">
      <c r="A1465" t="s">
        <v>2669</v>
      </c>
      <c r="B1465" t="s">
        <v>2670</v>
      </c>
      <c r="C1465">
        <v>2016</v>
      </c>
      <c r="D1465">
        <v>1</v>
      </c>
      <c r="E1465" t="s">
        <v>55</v>
      </c>
      <c r="F1465" t="s">
        <v>128</v>
      </c>
      <c r="G1465" t="s">
        <v>63</v>
      </c>
      <c r="H1465">
        <v>1</v>
      </c>
      <c r="I1465">
        <v>4.7902845899999997</v>
      </c>
      <c r="J1465">
        <v>619</v>
      </c>
      <c r="K1465">
        <v>4.2699999999999996</v>
      </c>
      <c r="M1465">
        <v>1.1100000000000001</v>
      </c>
      <c r="O1465">
        <v>9.9000000000000005E-2</v>
      </c>
      <c r="Q1465">
        <v>0.95</v>
      </c>
      <c r="R1465">
        <v>0.93</v>
      </c>
    </row>
    <row r="1466" spans="1:18" x14ac:dyDescent="0.2">
      <c r="A1466" t="s">
        <v>2671</v>
      </c>
      <c r="B1466" t="s">
        <v>2672</v>
      </c>
      <c r="C1466">
        <v>2016</v>
      </c>
      <c r="D1466">
        <v>1</v>
      </c>
      <c r="E1466" t="s">
        <v>55</v>
      </c>
      <c r="F1466" t="s">
        <v>128</v>
      </c>
      <c r="G1466" t="s">
        <v>63</v>
      </c>
      <c r="H1466">
        <v>1</v>
      </c>
      <c r="I1466">
        <v>38.671507499999997</v>
      </c>
      <c r="J1466">
        <v>818</v>
      </c>
      <c r="K1466">
        <v>4.07</v>
      </c>
      <c r="M1466">
        <v>2.74</v>
      </c>
      <c r="O1466">
        <v>0.24399999999999999</v>
      </c>
      <c r="Q1466">
        <v>0.96</v>
      </c>
      <c r="R1466">
        <v>0.97</v>
      </c>
    </row>
    <row r="1467" spans="1:18" x14ac:dyDescent="0.2">
      <c r="A1467" t="s">
        <v>2673</v>
      </c>
      <c r="B1467" t="s">
        <v>2674</v>
      </c>
      <c r="C1467">
        <v>2016</v>
      </c>
      <c r="D1467">
        <v>1</v>
      </c>
      <c r="E1467" t="s">
        <v>55</v>
      </c>
      <c r="F1467" t="s">
        <v>128</v>
      </c>
      <c r="G1467" t="s">
        <v>63</v>
      </c>
      <c r="H1467">
        <v>1</v>
      </c>
      <c r="I1467">
        <v>8.3265153000000005</v>
      </c>
      <c r="J1467">
        <v>1288</v>
      </c>
      <c r="K1467">
        <v>3.09</v>
      </c>
      <c r="M1467">
        <v>1.92</v>
      </c>
      <c r="O1467">
        <v>0.17100000000000001</v>
      </c>
      <c r="Q1467">
        <v>1.1100000000000001</v>
      </c>
      <c r="R1467">
        <v>1.17</v>
      </c>
    </row>
    <row r="1468" spans="1:18" x14ac:dyDescent="0.2">
      <c r="A1468" t="s">
        <v>2675</v>
      </c>
      <c r="B1468" t="s">
        <v>2676</v>
      </c>
      <c r="C1468">
        <v>2014</v>
      </c>
      <c r="D1468">
        <v>1</v>
      </c>
      <c r="E1468" t="s">
        <v>55</v>
      </c>
      <c r="F1468" t="s">
        <v>128</v>
      </c>
      <c r="G1468" t="s">
        <v>63</v>
      </c>
      <c r="H1468">
        <v>2</v>
      </c>
      <c r="I1468">
        <v>8.4088779999999996</v>
      </c>
      <c r="J1468">
        <v>499</v>
      </c>
      <c r="M1468">
        <v>2.36</v>
      </c>
      <c r="O1468">
        <v>0.21099999999999999</v>
      </c>
      <c r="R1468">
        <v>0.84</v>
      </c>
    </row>
    <row r="1469" spans="1:18" x14ac:dyDescent="0.2">
      <c r="A1469" t="s">
        <v>2675</v>
      </c>
      <c r="B1469" t="s">
        <v>2677</v>
      </c>
      <c r="C1469">
        <v>2014</v>
      </c>
      <c r="D1469">
        <v>1</v>
      </c>
      <c r="E1469" t="s">
        <v>55</v>
      </c>
      <c r="F1469" t="s">
        <v>128</v>
      </c>
      <c r="G1469" t="s">
        <v>63</v>
      </c>
      <c r="H1469">
        <v>2</v>
      </c>
      <c r="I1469">
        <v>28.574262999999998</v>
      </c>
      <c r="J1469">
        <v>499</v>
      </c>
      <c r="M1469">
        <v>2.4</v>
      </c>
      <c r="O1469">
        <v>0.214</v>
      </c>
      <c r="R1469">
        <v>0.84</v>
      </c>
    </row>
    <row r="1470" spans="1:18" x14ac:dyDescent="0.2">
      <c r="A1470" t="s">
        <v>2678</v>
      </c>
      <c r="B1470" t="s">
        <v>2679</v>
      </c>
      <c r="C1470">
        <v>2016</v>
      </c>
      <c r="D1470">
        <v>1</v>
      </c>
      <c r="E1470" t="s">
        <v>55</v>
      </c>
      <c r="F1470" t="s">
        <v>128</v>
      </c>
      <c r="G1470" t="s">
        <v>63</v>
      </c>
      <c r="H1470">
        <v>1</v>
      </c>
      <c r="I1470">
        <v>2.94902905</v>
      </c>
      <c r="J1470">
        <v>635</v>
      </c>
      <c r="K1470">
        <v>4.68</v>
      </c>
      <c r="M1470">
        <v>1.38</v>
      </c>
      <c r="O1470">
        <v>0.123</v>
      </c>
      <c r="Q1470">
        <v>0.78</v>
      </c>
      <c r="R1470">
        <v>0.74</v>
      </c>
    </row>
    <row r="1471" spans="1:18" x14ac:dyDescent="0.2">
      <c r="A1471" t="s">
        <v>2680</v>
      </c>
      <c r="B1471" t="s">
        <v>2681</v>
      </c>
      <c r="C1471">
        <v>2016</v>
      </c>
      <c r="D1471">
        <v>1</v>
      </c>
      <c r="E1471" t="s">
        <v>55</v>
      </c>
      <c r="F1471" t="s">
        <v>128</v>
      </c>
      <c r="G1471" t="s">
        <v>63</v>
      </c>
      <c r="H1471">
        <v>1</v>
      </c>
      <c r="I1471">
        <v>13.15141081</v>
      </c>
      <c r="J1471">
        <v>529</v>
      </c>
      <c r="K1471">
        <v>3.02</v>
      </c>
      <c r="M1471">
        <v>1.91</v>
      </c>
      <c r="O1471">
        <v>0.17</v>
      </c>
      <c r="Q1471">
        <v>1.29</v>
      </c>
      <c r="R1471">
        <v>1.59</v>
      </c>
    </row>
    <row r="1472" spans="1:18" x14ac:dyDescent="0.2">
      <c r="A1472" t="s">
        <v>2682</v>
      </c>
      <c r="B1472" t="s">
        <v>2683</v>
      </c>
      <c r="C1472">
        <v>2016</v>
      </c>
      <c r="D1472">
        <v>1</v>
      </c>
      <c r="E1472" t="s">
        <v>55</v>
      </c>
      <c r="F1472" t="s">
        <v>128</v>
      </c>
      <c r="G1472" t="s">
        <v>63</v>
      </c>
      <c r="H1472">
        <v>1</v>
      </c>
      <c r="I1472">
        <v>42.191735700000002</v>
      </c>
      <c r="J1472">
        <v>924</v>
      </c>
      <c r="K1472">
        <v>4.68</v>
      </c>
      <c r="M1472">
        <v>2.04</v>
      </c>
      <c r="O1472">
        <v>0.182</v>
      </c>
      <c r="Q1472">
        <v>0.92</v>
      </c>
      <c r="R1472">
        <v>0.89</v>
      </c>
    </row>
    <row r="1473" spans="1:19" x14ac:dyDescent="0.2">
      <c r="A1473" t="s">
        <v>2684</v>
      </c>
      <c r="B1473" t="s">
        <v>2685</v>
      </c>
      <c r="C1473">
        <v>2016</v>
      </c>
      <c r="D1473">
        <v>1</v>
      </c>
      <c r="E1473" t="s">
        <v>55</v>
      </c>
      <c r="F1473" t="s">
        <v>128</v>
      </c>
      <c r="G1473" t="s">
        <v>63</v>
      </c>
      <c r="H1473">
        <v>1</v>
      </c>
      <c r="I1473">
        <v>4.3394645399999998</v>
      </c>
      <c r="J1473">
        <v>796</v>
      </c>
      <c r="K1473">
        <v>5.13</v>
      </c>
      <c r="M1473">
        <v>1.67</v>
      </c>
      <c r="O1473">
        <v>0.14899999999999999</v>
      </c>
      <c r="Q1473">
        <v>0.93</v>
      </c>
      <c r="R1473">
        <v>0.9</v>
      </c>
    </row>
    <row r="1474" spans="1:19" x14ac:dyDescent="0.2">
      <c r="A1474" t="s">
        <v>2686</v>
      </c>
      <c r="B1474" t="s">
        <v>2687</v>
      </c>
      <c r="C1474">
        <v>2016</v>
      </c>
      <c r="D1474">
        <v>1</v>
      </c>
      <c r="E1474" t="s">
        <v>55</v>
      </c>
      <c r="F1474" t="s">
        <v>128</v>
      </c>
      <c r="G1474" t="s">
        <v>63</v>
      </c>
      <c r="H1474">
        <v>1</v>
      </c>
      <c r="I1474">
        <v>2.85234897</v>
      </c>
      <c r="J1474">
        <v>177</v>
      </c>
      <c r="K1474">
        <v>3.39</v>
      </c>
      <c r="M1474">
        <v>1.28</v>
      </c>
      <c r="O1474">
        <v>0.114</v>
      </c>
      <c r="Q1474">
        <v>0.35</v>
      </c>
      <c r="R1474">
        <v>0.34</v>
      </c>
    </row>
    <row r="1475" spans="1:19" x14ac:dyDescent="0.2">
      <c r="A1475" t="s">
        <v>2688</v>
      </c>
      <c r="B1475" t="s">
        <v>2689</v>
      </c>
      <c r="C1475">
        <v>2016</v>
      </c>
      <c r="D1475">
        <v>1</v>
      </c>
      <c r="E1475" t="s">
        <v>55</v>
      </c>
      <c r="F1475" t="s">
        <v>128</v>
      </c>
      <c r="G1475" t="s">
        <v>63</v>
      </c>
      <c r="H1475">
        <v>1</v>
      </c>
      <c r="I1475">
        <v>17.670064199999999</v>
      </c>
      <c r="J1475">
        <v>910</v>
      </c>
      <c r="K1475">
        <v>4.17</v>
      </c>
      <c r="M1475">
        <v>1.84</v>
      </c>
      <c r="O1475">
        <v>0.16400000000000001</v>
      </c>
      <c r="Q1475">
        <v>0.95</v>
      </c>
      <c r="R1475">
        <v>0.94</v>
      </c>
    </row>
    <row r="1476" spans="1:19" x14ac:dyDescent="0.2">
      <c r="A1476" t="s">
        <v>2690</v>
      </c>
      <c r="B1476" t="s">
        <v>2691</v>
      </c>
      <c r="C1476">
        <v>2016</v>
      </c>
      <c r="D1476">
        <v>1</v>
      </c>
      <c r="E1476" t="s">
        <v>55</v>
      </c>
      <c r="F1476" t="s">
        <v>128</v>
      </c>
      <c r="G1476" t="s">
        <v>63</v>
      </c>
      <c r="H1476">
        <v>1</v>
      </c>
      <c r="I1476">
        <v>108.593329</v>
      </c>
      <c r="J1476">
        <v>668</v>
      </c>
      <c r="K1476">
        <v>5.5</v>
      </c>
      <c r="M1476">
        <v>1.73</v>
      </c>
      <c r="O1476">
        <v>0.154</v>
      </c>
      <c r="Q1476">
        <v>0.92</v>
      </c>
      <c r="R1476">
        <v>0.93</v>
      </c>
    </row>
    <row r="1477" spans="1:19" x14ac:dyDescent="0.2">
      <c r="A1477" t="s">
        <v>2692</v>
      </c>
      <c r="B1477" t="s">
        <v>2693</v>
      </c>
      <c r="C1477">
        <v>2016</v>
      </c>
      <c r="D1477">
        <v>1</v>
      </c>
      <c r="E1477" t="s">
        <v>55</v>
      </c>
      <c r="F1477" t="s">
        <v>128</v>
      </c>
      <c r="G1477" t="s">
        <v>63</v>
      </c>
      <c r="H1477">
        <v>1</v>
      </c>
      <c r="I1477">
        <v>5.1233034699999997</v>
      </c>
      <c r="J1477">
        <v>996</v>
      </c>
      <c r="K1477">
        <v>4.37</v>
      </c>
      <c r="M1477">
        <v>1.96</v>
      </c>
      <c r="O1477">
        <v>0.17499999999999999</v>
      </c>
      <c r="Q1477">
        <v>0.97</v>
      </c>
      <c r="R1477">
        <v>0.95</v>
      </c>
    </row>
    <row r="1478" spans="1:19" x14ac:dyDescent="0.2">
      <c r="A1478" t="s">
        <v>2694</v>
      </c>
      <c r="B1478" t="s">
        <v>2695</v>
      </c>
      <c r="C1478">
        <v>2016</v>
      </c>
      <c r="D1478">
        <v>1</v>
      </c>
      <c r="E1478" t="s">
        <v>55</v>
      </c>
      <c r="F1478" t="s">
        <v>128</v>
      </c>
      <c r="G1478" t="s">
        <v>63</v>
      </c>
      <c r="H1478">
        <v>1</v>
      </c>
      <c r="I1478">
        <v>61.617816699999999</v>
      </c>
      <c r="J1478">
        <v>1163</v>
      </c>
      <c r="K1478">
        <v>4.57</v>
      </c>
      <c r="M1478">
        <v>3.65</v>
      </c>
      <c r="O1478">
        <v>0.32600000000000001</v>
      </c>
      <c r="Q1478">
        <v>0.94</v>
      </c>
      <c r="R1478">
        <v>0.91</v>
      </c>
    </row>
    <row r="1479" spans="1:19" x14ac:dyDescent="0.2">
      <c r="A1479" t="s">
        <v>2696</v>
      </c>
      <c r="B1479" t="s">
        <v>2697</v>
      </c>
      <c r="C1479">
        <v>2016</v>
      </c>
      <c r="D1479">
        <v>1</v>
      </c>
      <c r="E1479" t="s">
        <v>55</v>
      </c>
      <c r="F1479" t="s">
        <v>128</v>
      </c>
      <c r="G1479" t="s">
        <v>63</v>
      </c>
      <c r="H1479">
        <v>2</v>
      </c>
      <c r="I1479">
        <v>24.339780399999999</v>
      </c>
      <c r="J1479">
        <v>1258</v>
      </c>
      <c r="K1479">
        <v>4.07</v>
      </c>
      <c r="M1479">
        <v>2.96</v>
      </c>
      <c r="O1479">
        <v>0.26400000000000001</v>
      </c>
      <c r="Q1479">
        <v>1</v>
      </c>
      <c r="R1479">
        <v>1</v>
      </c>
    </row>
    <row r="1480" spans="1:19" x14ac:dyDescent="0.2">
      <c r="A1480" t="s">
        <v>2696</v>
      </c>
      <c r="B1480" t="s">
        <v>2698</v>
      </c>
      <c r="C1480">
        <v>2016</v>
      </c>
      <c r="D1480">
        <v>1</v>
      </c>
      <c r="E1480" t="s">
        <v>55</v>
      </c>
      <c r="F1480" t="s">
        <v>128</v>
      </c>
      <c r="G1480" t="s">
        <v>63</v>
      </c>
      <c r="H1480">
        <v>2</v>
      </c>
      <c r="I1480">
        <v>76.536958600000006</v>
      </c>
      <c r="J1480">
        <v>1258</v>
      </c>
      <c r="K1480">
        <v>4.07</v>
      </c>
      <c r="M1480">
        <v>2.73</v>
      </c>
      <c r="O1480">
        <v>0.24399999999999999</v>
      </c>
      <c r="Q1480">
        <v>1</v>
      </c>
      <c r="R1480">
        <v>1</v>
      </c>
    </row>
    <row r="1481" spans="1:19" x14ac:dyDescent="0.2">
      <c r="A1481" t="s">
        <v>2699</v>
      </c>
      <c r="B1481" t="s">
        <v>2700</v>
      </c>
      <c r="C1481">
        <v>2014</v>
      </c>
      <c r="D1481">
        <v>1</v>
      </c>
      <c r="E1481" t="s">
        <v>55</v>
      </c>
      <c r="F1481" t="s">
        <v>128</v>
      </c>
      <c r="G1481" t="s">
        <v>63</v>
      </c>
      <c r="H1481">
        <v>2</v>
      </c>
      <c r="I1481">
        <v>4.7539999999999996</v>
      </c>
      <c r="J1481">
        <v>255</v>
      </c>
      <c r="K1481">
        <v>6.89</v>
      </c>
      <c r="L1481">
        <v>11.7</v>
      </c>
      <c r="M1481">
        <v>1.82</v>
      </c>
      <c r="N1481">
        <v>3.6999999999999998E-2</v>
      </c>
      <c r="O1481">
        <v>0.16200000000000001</v>
      </c>
      <c r="P1481">
        <v>10.73</v>
      </c>
      <c r="Q1481">
        <v>0.75</v>
      </c>
      <c r="R1481">
        <v>0.69</v>
      </c>
      <c r="S1481">
        <v>2.71</v>
      </c>
    </row>
    <row r="1482" spans="1:19" x14ac:dyDescent="0.2">
      <c r="A1482" t="s">
        <v>2699</v>
      </c>
      <c r="B1482" t="s">
        <v>2701</v>
      </c>
      <c r="C1482">
        <v>2014</v>
      </c>
      <c r="D1482">
        <v>1</v>
      </c>
      <c r="E1482" t="s">
        <v>55</v>
      </c>
      <c r="F1482" t="s">
        <v>128</v>
      </c>
      <c r="G1482" t="s">
        <v>63</v>
      </c>
      <c r="H1482">
        <v>2</v>
      </c>
      <c r="I1482">
        <v>8.9250699999999998</v>
      </c>
      <c r="J1482">
        <v>255</v>
      </c>
      <c r="K1482">
        <v>6.89</v>
      </c>
      <c r="L1482">
        <v>8.6999999999999993</v>
      </c>
      <c r="M1482">
        <v>2.1800000000000002</v>
      </c>
      <c r="N1482">
        <v>2.7369999999999998E-2</v>
      </c>
      <c r="O1482">
        <v>0.19400000000000001</v>
      </c>
      <c r="Q1482">
        <v>0.75</v>
      </c>
      <c r="R1482">
        <v>0.69</v>
      </c>
      <c r="S1482">
        <v>2.71</v>
      </c>
    </row>
    <row r="1483" spans="1:19" x14ac:dyDescent="0.2">
      <c r="A1483" t="s">
        <v>2702</v>
      </c>
      <c r="B1483" t="s">
        <v>2703</v>
      </c>
      <c r="C1483">
        <v>2016</v>
      </c>
      <c r="D1483">
        <v>1</v>
      </c>
      <c r="E1483" t="s">
        <v>55</v>
      </c>
      <c r="F1483" t="s">
        <v>128</v>
      </c>
      <c r="G1483" t="s">
        <v>63</v>
      </c>
      <c r="H1483">
        <v>1</v>
      </c>
      <c r="I1483">
        <v>5.4529817500000002</v>
      </c>
      <c r="J1483">
        <v>234</v>
      </c>
      <c r="K1483">
        <v>1.58</v>
      </c>
      <c r="M1483">
        <v>0.8</v>
      </c>
      <c r="O1483">
        <v>7.0999999999999994E-2</v>
      </c>
      <c r="Q1483">
        <v>0.9</v>
      </c>
      <c r="R1483">
        <v>0.81</v>
      </c>
    </row>
    <row r="1484" spans="1:19" x14ac:dyDescent="0.2">
      <c r="A1484" t="s">
        <v>2704</v>
      </c>
      <c r="B1484" t="s">
        <v>2705</v>
      </c>
      <c r="C1484">
        <v>2016</v>
      </c>
      <c r="D1484">
        <v>1</v>
      </c>
      <c r="E1484" t="s">
        <v>55</v>
      </c>
      <c r="F1484" t="s">
        <v>128</v>
      </c>
      <c r="G1484" t="s">
        <v>63</v>
      </c>
      <c r="H1484">
        <v>1</v>
      </c>
      <c r="I1484">
        <v>3.5323244900000002</v>
      </c>
      <c r="J1484">
        <v>1109</v>
      </c>
      <c r="K1484">
        <v>4.17</v>
      </c>
      <c r="M1484">
        <v>1.59</v>
      </c>
      <c r="O1484">
        <v>0.14199999999999999</v>
      </c>
      <c r="Q1484">
        <v>1.03</v>
      </c>
      <c r="R1484">
        <v>1.04</v>
      </c>
    </row>
    <row r="1485" spans="1:19" x14ac:dyDescent="0.2">
      <c r="A1485" t="s">
        <v>2706</v>
      </c>
      <c r="B1485" t="s">
        <v>2707</v>
      </c>
      <c r="C1485">
        <v>2016</v>
      </c>
      <c r="D1485">
        <v>1</v>
      </c>
      <c r="E1485" t="s">
        <v>55</v>
      </c>
      <c r="F1485" t="s">
        <v>128</v>
      </c>
      <c r="G1485" t="s">
        <v>63</v>
      </c>
      <c r="H1485">
        <v>1</v>
      </c>
      <c r="I1485">
        <v>62.8916228</v>
      </c>
      <c r="J1485">
        <v>940</v>
      </c>
      <c r="K1485">
        <v>4.57</v>
      </c>
      <c r="M1485">
        <v>2.35</v>
      </c>
      <c r="O1485">
        <v>0.21</v>
      </c>
      <c r="Q1485">
        <v>0.87</v>
      </c>
      <c r="R1485">
        <v>0.83</v>
      </c>
    </row>
    <row r="1486" spans="1:19" x14ac:dyDescent="0.2">
      <c r="A1486" t="s">
        <v>2708</v>
      </c>
      <c r="B1486" t="s">
        <v>2709</v>
      </c>
      <c r="C1486">
        <v>2016</v>
      </c>
      <c r="D1486">
        <v>1</v>
      </c>
      <c r="E1486" t="s">
        <v>55</v>
      </c>
      <c r="F1486" t="s">
        <v>128</v>
      </c>
      <c r="G1486" t="s">
        <v>63</v>
      </c>
      <c r="H1486">
        <v>1</v>
      </c>
      <c r="I1486">
        <v>11.555623430000001</v>
      </c>
      <c r="J1486">
        <v>821</v>
      </c>
      <c r="K1486">
        <v>4.07</v>
      </c>
      <c r="M1486">
        <v>1.97</v>
      </c>
      <c r="O1486">
        <v>0.17599999999999999</v>
      </c>
      <c r="Q1486">
        <v>0.93</v>
      </c>
      <c r="R1486">
        <v>0.9</v>
      </c>
    </row>
    <row r="1487" spans="1:19" x14ac:dyDescent="0.2">
      <c r="A1487" t="s">
        <v>2710</v>
      </c>
      <c r="B1487" t="s">
        <v>2711</v>
      </c>
      <c r="C1487">
        <v>2016</v>
      </c>
      <c r="D1487">
        <v>1</v>
      </c>
      <c r="E1487" t="s">
        <v>55</v>
      </c>
      <c r="F1487" t="s">
        <v>128</v>
      </c>
      <c r="G1487" t="s">
        <v>63</v>
      </c>
      <c r="H1487">
        <v>1</v>
      </c>
      <c r="I1487">
        <v>17.13263989</v>
      </c>
      <c r="J1487">
        <v>997</v>
      </c>
      <c r="K1487">
        <v>4.9000000000000004</v>
      </c>
      <c r="M1487">
        <v>2.64</v>
      </c>
      <c r="O1487">
        <v>0.23599999999999999</v>
      </c>
      <c r="Q1487">
        <v>0.84</v>
      </c>
      <c r="R1487">
        <v>0.81</v>
      </c>
    </row>
    <row r="1488" spans="1:19" x14ac:dyDescent="0.2">
      <c r="A1488" t="s">
        <v>2712</v>
      </c>
      <c r="B1488" t="s">
        <v>2713</v>
      </c>
      <c r="C1488">
        <v>2016</v>
      </c>
      <c r="D1488">
        <v>1</v>
      </c>
      <c r="E1488" t="s">
        <v>55</v>
      </c>
      <c r="F1488" t="s">
        <v>128</v>
      </c>
      <c r="G1488" t="s">
        <v>63</v>
      </c>
      <c r="H1488">
        <v>1</v>
      </c>
      <c r="I1488">
        <v>76.957857000000004</v>
      </c>
      <c r="J1488">
        <v>728</v>
      </c>
      <c r="K1488">
        <v>4.47</v>
      </c>
      <c r="M1488">
        <v>1.85</v>
      </c>
      <c r="O1488">
        <v>0.16500000000000001</v>
      </c>
      <c r="Q1488">
        <v>0.96</v>
      </c>
      <c r="R1488">
        <v>0.94</v>
      </c>
    </row>
    <row r="1489" spans="1:18" x14ac:dyDescent="0.2">
      <c r="A1489" t="s">
        <v>2714</v>
      </c>
      <c r="B1489" t="s">
        <v>2715</v>
      </c>
      <c r="C1489">
        <v>2016</v>
      </c>
      <c r="D1489">
        <v>1</v>
      </c>
      <c r="E1489" t="s">
        <v>55</v>
      </c>
      <c r="F1489" t="s">
        <v>128</v>
      </c>
      <c r="G1489" t="s">
        <v>63</v>
      </c>
      <c r="H1489">
        <v>1</v>
      </c>
      <c r="I1489">
        <v>2.3617243299999999</v>
      </c>
      <c r="J1489">
        <v>545</v>
      </c>
      <c r="K1489">
        <v>3.24</v>
      </c>
      <c r="M1489">
        <v>1.64</v>
      </c>
      <c r="O1489">
        <v>0.14599999999999999</v>
      </c>
      <c r="Q1489">
        <v>0.72</v>
      </c>
      <c r="R1489">
        <v>0.68</v>
      </c>
    </row>
    <row r="1490" spans="1:18" x14ac:dyDescent="0.2">
      <c r="A1490" t="s">
        <v>2716</v>
      </c>
      <c r="B1490" t="s">
        <v>2717</v>
      </c>
      <c r="C1490">
        <v>2016</v>
      </c>
      <c r="D1490">
        <v>1</v>
      </c>
      <c r="E1490" t="s">
        <v>55</v>
      </c>
      <c r="F1490" t="s">
        <v>128</v>
      </c>
      <c r="G1490" t="s">
        <v>63</v>
      </c>
      <c r="H1490">
        <v>1</v>
      </c>
      <c r="I1490">
        <v>23.9210791</v>
      </c>
      <c r="J1490">
        <v>971</v>
      </c>
      <c r="K1490">
        <v>1.58</v>
      </c>
      <c r="M1490">
        <v>2.2000000000000002</v>
      </c>
      <c r="O1490">
        <v>0.19600000000000001</v>
      </c>
      <c r="Q1490">
        <v>1.5</v>
      </c>
      <c r="R1490">
        <v>1.84</v>
      </c>
    </row>
    <row r="1491" spans="1:18" x14ac:dyDescent="0.2">
      <c r="A1491" t="s">
        <v>2718</v>
      </c>
      <c r="B1491" t="s">
        <v>2719</v>
      </c>
      <c r="C1491">
        <v>2016</v>
      </c>
      <c r="D1491">
        <v>1</v>
      </c>
      <c r="E1491" t="s">
        <v>55</v>
      </c>
      <c r="F1491" t="s">
        <v>128</v>
      </c>
      <c r="G1491" t="s">
        <v>63</v>
      </c>
      <c r="H1491">
        <v>1</v>
      </c>
      <c r="I1491">
        <v>3.17060005</v>
      </c>
      <c r="J1491">
        <v>1101</v>
      </c>
      <c r="K1491">
        <v>4.37</v>
      </c>
      <c r="M1491">
        <v>1.7</v>
      </c>
      <c r="O1491">
        <v>0.152</v>
      </c>
      <c r="Q1491">
        <v>0.95</v>
      </c>
      <c r="R1491">
        <v>0.92</v>
      </c>
    </row>
    <row r="1492" spans="1:18" x14ac:dyDescent="0.2">
      <c r="A1492" t="s">
        <v>2720</v>
      </c>
      <c r="B1492" t="s">
        <v>2721</v>
      </c>
      <c r="C1492">
        <v>2016</v>
      </c>
      <c r="D1492">
        <v>1</v>
      </c>
      <c r="E1492" t="s">
        <v>55</v>
      </c>
      <c r="F1492" t="s">
        <v>128</v>
      </c>
      <c r="G1492" t="s">
        <v>63</v>
      </c>
      <c r="H1492">
        <v>1</v>
      </c>
      <c r="I1492">
        <v>0.81316672000000001</v>
      </c>
      <c r="J1492">
        <v>555</v>
      </c>
      <c r="K1492">
        <v>4.47</v>
      </c>
      <c r="M1492">
        <v>1.19</v>
      </c>
      <c r="O1492">
        <v>0.106</v>
      </c>
      <c r="Q1492">
        <v>0.94</v>
      </c>
      <c r="R1492">
        <v>0.91</v>
      </c>
    </row>
    <row r="1493" spans="1:18" x14ac:dyDescent="0.2">
      <c r="A1493" t="s">
        <v>2722</v>
      </c>
      <c r="B1493" t="s">
        <v>2723</v>
      </c>
      <c r="C1493">
        <v>2014</v>
      </c>
      <c r="D1493">
        <v>1</v>
      </c>
      <c r="E1493" t="s">
        <v>55</v>
      </c>
      <c r="F1493" t="s">
        <v>128</v>
      </c>
      <c r="G1493" t="s">
        <v>63</v>
      </c>
      <c r="H1493">
        <v>3</v>
      </c>
      <c r="I1493">
        <v>5.1885490000000001</v>
      </c>
      <c r="J1493">
        <v>255</v>
      </c>
      <c r="M1493">
        <v>1.26</v>
      </c>
      <c r="O1493">
        <v>0.112</v>
      </c>
      <c r="R1493">
        <v>0.67</v>
      </c>
    </row>
    <row r="1494" spans="1:18" x14ac:dyDescent="0.2">
      <c r="A1494" t="s">
        <v>2722</v>
      </c>
      <c r="B1494" t="s">
        <v>2724</v>
      </c>
      <c r="C1494">
        <v>2013</v>
      </c>
      <c r="D1494">
        <v>1</v>
      </c>
      <c r="E1494" t="s">
        <v>55</v>
      </c>
      <c r="F1494" t="s">
        <v>128</v>
      </c>
      <c r="G1494" t="s">
        <v>63</v>
      </c>
      <c r="H1494">
        <v>3</v>
      </c>
      <c r="I1494">
        <v>8.0410000000000004</v>
      </c>
      <c r="J1494">
        <v>255</v>
      </c>
      <c r="L1494">
        <v>2.8</v>
      </c>
      <c r="M1494">
        <v>1.6</v>
      </c>
      <c r="N1494">
        <v>8.9999999999999993E-3</v>
      </c>
      <c r="O1494">
        <v>0.14299999999999999</v>
      </c>
      <c r="R1494">
        <v>0.67</v>
      </c>
    </row>
    <row r="1495" spans="1:18" x14ac:dyDescent="0.2">
      <c r="A1495" t="s">
        <v>2722</v>
      </c>
      <c r="B1495" t="s">
        <v>2725</v>
      </c>
      <c r="C1495">
        <v>2013</v>
      </c>
      <c r="D1495">
        <v>1</v>
      </c>
      <c r="E1495" t="s">
        <v>55</v>
      </c>
      <c r="F1495" t="s">
        <v>128</v>
      </c>
      <c r="G1495" t="s">
        <v>63</v>
      </c>
      <c r="H1495">
        <v>3</v>
      </c>
      <c r="I1495">
        <v>11.776</v>
      </c>
      <c r="J1495">
        <v>255</v>
      </c>
      <c r="L1495">
        <v>3.9</v>
      </c>
      <c r="M1495">
        <v>2.5299999999999998</v>
      </c>
      <c r="N1495">
        <v>1.2E-2</v>
      </c>
      <c r="O1495">
        <v>0.22600000000000001</v>
      </c>
      <c r="R1495">
        <v>0.67</v>
      </c>
    </row>
    <row r="1496" spans="1:18" x14ac:dyDescent="0.2">
      <c r="A1496" t="s">
        <v>2726</v>
      </c>
      <c r="B1496" t="s">
        <v>2727</v>
      </c>
      <c r="C1496">
        <v>2016</v>
      </c>
      <c r="D1496">
        <v>1</v>
      </c>
      <c r="E1496" t="s">
        <v>55</v>
      </c>
      <c r="F1496" t="s">
        <v>128</v>
      </c>
      <c r="G1496" t="s">
        <v>63</v>
      </c>
      <c r="H1496">
        <v>1</v>
      </c>
      <c r="I1496">
        <v>24.0862707</v>
      </c>
      <c r="J1496">
        <v>657</v>
      </c>
      <c r="K1496">
        <v>5.01</v>
      </c>
      <c r="M1496">
        <v>2.77</v>
      </c>
      <c r="O1496">
        <v>0.247</v>
      </c>
      <c r="Q1496">
        <v>0.76</v>
      </c>
      <c r="R1496">
        <v>0.73</v>
      </c>
    </row>
    <row r="1497" spans="1:18" x14ac:dyDescent="0.2">
      <c r="A1497" t="s">
        <v>2728</v>
      </c>
      <c r="B1497" t="s">
        <v>2729</v>
      </c>
      <c r="C1497">
        <v>2016</v>
      </c>
      <c r="D1497">
        <v>1</v>
      </c>
      <c r="E1497" t="s">
        <v>55</v>
      </c>
      <c r="F1497" t="s">
        <v>128</v>
      </c>
      <c r="G1497" t="s">
        <v>63</v>
      </c>
      <c r="H1497">
        <v>1</v>
      </c>
      <c r="I1497">
        <v>2.3445119399999998</v>
      </c>
      <c r="J1497">
        <v>365</v>
      </c>
      <c r="K1497">
        <v>6.17</v>
      </c>
      <c r="M1497">
        <v>0.82</v>
      </c>
      <c r="O1497">
        <v>7.2999999999999995E-2</v>
      </c>
      <c r="Q1497">
        <v>1.01</v>
      </c>
      <c r="R1497">
        <v>1.07</v>
      </c>
    </row>
    <row r="1498" spans="1:18" x14ac:dyDescent="0.2">
      <c r="A1498" t="s">
        <v>2730</v>
      </c>
      <c r="B1498" t="s">
        <v>2731</v>
      </c>
      <c r="C1498">
        <v>2016</v>
      </c>
      <c r="D1498">
        <v>1</v>
      </c>
      <c r="E1498" t="s">
        <v>55</v>
      </c>
      <c r="F1498" t="s">
        <v>128</v>
      </c>
      <c r="G1498" t="s">
        <v>63</v>
      </c>
      <c r="H1498">
        <v>1</v>
      </c>
      <c r="I1498">
        <v>18.3027248</v>
      </c>
      <c r="J1498">
        <v>697</v>
      </c>
      <c r="K1498">
        <v>5.37</v>
      </c>
      <c r="M1498">
        <v>1.47</v>
      </c>
      <c r="O1498">
        <v>0.13100000000000001</v>
      </c>
      <c r="Q1498">
        <v>0.97</v>
      </c>
      <c r="R1498">
        <v>0.96</v>
      </c>
    </row>
    <row r="1499" spans="1:18" x14ac:dyDescent="0.2">
      <c r="A1499" t="s">
        <v>2732</v>
      </c>
      <c r="B1499" t="s">
        <v>2733</v>
      </c>
      <c r="C1499">
        <v>2016</v>
      </c>
      <c r="D1499">
        <v>1</v>
      </c>
      <c r="E1499" t="s">
        <v>55</v>
      </c>
      <c r="F1499" t="s">
        <v>128</v>
      </c>
      <c r="G1499" t="s">
        <v>63</v>
      </c>
      <c r="H1499">
        <v>2</v>
      </c>
      <c r="I1499">
        <v>2.8889048499999999</v>
      </c>
      <c r="J1499">
        <v>632</v>
      </c>
      <c r="K1499">
        <v>4.79</v>
      </c>
      <c r="M1499">
        <v>1.67</v>
      </c>
      <c r="O1499">
        <v>0.14899999999999999</v>
      </c>
      <c r="Q1499">
        <v>0.81</v>
      </c>
      <c r="R1499">
        <v>0.77</v>
      </c>
    </row>
    <row r="1500" spans="1:18" x14ac:dyDescent="0.2">
      <c r="A1500" t="s">
        <v>2732</v>
      </c>
      <c r="B1500" t="s">
        <v>2734</v>
      </c>
      <c r="C1500">
        <v>2016</v>
      </c>
      <c r="D1500">
        <v>1</v>
      </c>
      <c r="E1500" t="s">
        <v>55</v>
      </c>
      <c r="F1500" t="s">
        <v>128</v>
      </c>
      <c r="G1500" t="s">
        <v>63</v>
      </c>
      <c r="H1500">
        <v>2</v>
      </c>
      <c r="I1500">
        <v>210.63059100000001</v>
      </c>
      <c r="J1500">
        <v>632</v>
      </c>
      <c r="K1500">
        <v>4.79</v>
      </c>
      <c r="M1500">
        <v>3.6</v>
      </c>
      <c r="O1500">
        <v>0.32100000000000001</v>
      </c>
      <c r="Q1500">
        <v>0.81</v>
      </c>
      <c r="R1500">
        <v>0.77</v>
      </c>
    </row>
    <row r="1501" spans="1:18" x14ac:dyDescent="0.2">
      <c r="A1501" t="s">
        <v>2735</v>
      </c>
      <c r="B1501" t="s">
        <v>2736</v>
      </c>
      <c r="C1501">
        <v>2016</v>
      </c>
      <c r="D1501">
        <v>1</v>
      </c>
      <c r="E1501" t="s">
        <v>55</v>
      </c>
      <c r="F1501" t="s">
        <v>128</v>
      </c>
      <c r="G1501" t="s">
        <v>63</v>
      </c>
      <c r="H1501">
        <v>1</v>
      </c>
      <c r="I1501">
        <v>17.146473019999998</v>
      </c>
      <c r="J1501">
        <v>1012</v>
      </c>
      <c r="K1501">
        <v>3.98</v>
      </c>
      <c r="M1501">
        <v>1.99</v>
      </c>
      <c r="O1501">
        <v>0.17799999999999999</v>
      </c>
      <c r="Q1501">
        <v>0.98</v>
      </c>
      <c r="R1501">
        <v>0.96</v>
      </c>
    </row>
    <row r="1502" spans="1:18" x14ac:dyDescent="0.2">
      <c r="A1502" t="s">
        <v>2737</v>
      </c>
      <c r="B1502" t="s">
        <v>2738</v>
      </c>
      <c r="C1502">
        <v>2016</v>
      </c>
      <c r="D1502">
        <v>1</v>
      </c>
      <c r="E1502" t="s">
        <v>55</v>
      </c>
      <c r="F1502" t="s">
        <v>128</v>
      </c>
      <c r="G1502" t="s">
        <v>63</v>
      </c>
      <c r="H1502">
        <v>1</v>
      </c>
      <c r="I1502">
        <v>3.9707676599999999</v>
      </c>
      <c r="J1502">
        <v>714</v>
      </c>
      <c r="K1502">
        <v>4.79</v>
      </c>
      <c r="M1502">
        <v>1.4</v>
      </c>
      <c r="O1502">
        <v>0.125</v>
      </c>
      <c r="Q1502">
        <v>0.79</v>
      </c>
      <c r="R1502">
        <v>0.75</v>
      </c>
    </row>
    <row r="1503" spans="1:18" x14ac:dyDescent="0.2">
      <c r="A1503" t="s">
        <v>2739</v>
      </c>
      <c r="B1503" t="s">
        <v>2740</v>
      </c>
      <c r="C1503">
        <v>2016</v>
      </c>
      <c r="D1503">
        <v>1</v>
      </c>
      <c r="E1503" t="s">
        <v>55</v>
      </c>
      <c r="F1503" t="s">
        <v>128</v>
      </c>
      <c r="G1503" t="s">
        <v>63</v>
      </c>
      <c r="H1503">
        <v>1</v>
      </c>
      <c r="I1503">
        <v>2.3522658000000001</v>
      </c>
      <c r="J1503">
        <v>694</v>
      </c>
      <c r="K1503">
        <v>4.9000000000000004</v>
      </c>
      <c r="M1503">
        <v>1.23</v>
      </c>
      <c r="O1503">
        <v>0.11</v>
      </c>
      <c r="Q1503">
        <v>0.74</v>
      </c>
      <c r="R1503">
        <v>0.7</v>
      </c>
    </row>
    <row r="1504" spans="1:18" x14ac:dyDescent="0.2">
      <c r="A1504" t="s">
        <v>2741</v>
      </c>
      <c r="B1504" t="s">
        <v>2742</v>
      </c>
      <c r="C1504">
        <v>2016</v>
      </c>
      <c r="D1504">
        <v>1</v>
      </c>
      <c r="E1504" t="s">
        <v>55</v>
      </c>
      <c r="F1504" t="s">
        <v>128</v>
      </c>
      <c r="G1504" t="s">
        <v>63</v>
      </c>
      <c r="H1504">
        <v>1</v>
      </c>
      <c r="I1504">
        <v>10.62784997</v>
      </c>
      <c r="J1504">
        <v>1476</v>
      </c>
      <c r="K1504">
        <v>3.8</v>
      </c>
      <c r="M1504">
        <v>2.61</v>
      </c>
      <c r="O1504">
        <v>0.23300000000000001</v>
      </c>
      <c r="Q1504">
        <v>1.0900000000000001</v>
      </c>
      <c r="R1504">
        <v>1.1399999999999999</v>
      </c>
    </row>
    <row r="1505" spans="1:18" x14ac:dyDescent="0.2">
      <c r="A1505" t="s">
        <v>2743</v>
      </c>
      <c r="B1505" t="s">
        <v>2744</v>
      </c>
      <c r="C1505">
        <v>2016</v>
      </c>
      <c r="D1505">
        <v>1</v>
      </c>
      <c r="E1505" t="s">
        <v>55</v>
      </c>
      <c r="F1505" t="s">
        <v>128</v>
      </c>
      <c r="G1505" t="s">
        <v>63</v>
      </c>
      <c r="H1505">
        <v>1</v>
      </c>
      <c r="I1505">
        <v>1.10446351</v>
      </c>
      <c r="J1505">
        <v>682</v>
      </c>
      <c r="K1505">
        <v>4.57</v>
      </c>
      <c r="M1505">
        <v>1.69</v>
      </c>
      <c r="O1505">
        <v>0.151</v>
      </c>
      <c r="Q1505">
        <v>0.81</v>
      </c>
      <c r="R1505">
        <v>0.77</v>
      </c>
    </row>
    <row r="1506" spans="1:18" x14ac:dyDescent="0.2">
      <c r="A1506" t="s">
        <v>2745</v>
      </c>
      <c r="B1506" t="s">
        <v>2746</v>
      </c>
      <c r="C1506">
        <v>2016</v>
      </c>
      <c r="D1506">
        <v>1</v>
      </c>
      <c r="E1506" t="s">
        <v>55</v>
      </c>
      <c r="F1506" t="s">
        <v>128</v>
      </c>
      <c r="G1506" t="s">
        <v>63</v>
      </c>
      <c r="H1506">
        <v>1</v>
      </c>
      <c r="I1506">
        <v>3.7308989800000001</v>
      </c>
      <c r="J1506">
        <v>1023</v>
      </c>
      <c r="K1506">
        <v>3.98</v>
      </c>
      <c r="M1506">
        <v>1.44</v>
      </c>
      <c r="O1506">
        <v>0.128</v>
      </c>
      <c r="Q1506">
        <v>1.02</v>
      </c>
      <c r="R1506">
        <v>1.01</v>
      </c>
    </row>
    <row r="1507" spans="1:18" x14ac:dyDescent="0.2">
      <c r="A1507" t="s">
        <v>2747</v>
      </c>
      <c r="B1507" t="s">
        <v>2748</v>
      </c>
      <c r="C1507">
        <v>2014</v>
      </c>
      <c r="D1507">
        <v>1</v>
      </c>
      <c r="E1507" t="s">
        <v>55</v>
      </c>
      <c r="F1507" t="s">
        <v>128</v>
      </c>
      <c r="G1507" t="s">
        <v>63</v>
      </c>
      <c r="H1507">
        <v>2</v>
      </c>
      <c r="I1507">
        <v>2.4036789999999999</v>
      </c>
      <c r="J1507">
        <v>631</v>
      </c>
      <c r="M1507">
        <v>1.0900000000000001</v>
      </c>
      <c r="O1507">
        <v>9.7000000000000003E-2</v>
      </c>
      <c r="R1507">
        <v>1.21</v>
      </c>
    </row>
    <row r="1508" spans="1:18" x14ac:dyDescent="0.2">
      <c r="A1508" t="s">
        <v>2747</v>
      </c>
      <c r="B1508" t="s">
        <v>2749</v>
      </c>
      <c r="C1508">
        <v>2014</v>
      </c>
      <c r="D1508">
        <v>1</v>
      </c>
      <c r="E1508" t="s">
        <v>55</v>
      </c>
      <c r="F1508" t="s">
        <v>128</v>
      </c>
      <c r="G1508" t="s">
        <v>63</v>
      </c>
      <c r="H1508">
        <v>2</v>
      </c>
      <c r="I1508">
        <v>8.9908889999999992</v>
      </c>
      <c r="J1508">
        <v>631</v>
      </c>
      <c r="M1508">
        <v>2.6</v>
      </c>
      <c r="O1508">
        <v>0.23200000000000001</v>
      </c>
      <c r="R1508">
        <v>1.21</v>
      </c>
    </row>
    <row r="1509" spans="1:18" x14ac:dyDescent="0.2">
      <c r="A1509" t="s">
        <v>2750</v>
      </c>
      <c r="B1509" t="s">
        <v>2751</v>
      </c>
      <c r="C1509">
        <v>2016</v>
      </c>
      <c r="D1509">
        <v>1</v>
      </c>
      <c r="E1509" t="s">
        <v>55</v>
      </c>
      <c r="F1509" t="s">
        <v>128</v>
      </c>
      <c r="G1509" t="s">
        <v>63</v>
      </c>
      <c r="H1509">
        <v>1</v>
      </c>
      <c r="I1509">
        <v>2.7878683899999999</v>
      </c>
      <c r="J1509">
        <v>373</v>
      </c>
      <c r="K1509">
        <v>4.68</v>
      </c>
      <c r="M1509">
        <v>1.02</v>
      </c>
      <c r="O1509">
        <v>9.0999999999999998E-2</v>
      </c>
      <c r="Q1509">
        <v>0.76</v>
      </c>
      <c r="R1509">
        <v>0.72</v>
      </c>
    </row>
    <row r="1510" spans="1:18" x14ac:dyDescent="0.2">
      <c r="A1510" t="s">
        <v>2752</v>
      </c>
      <c r="B1510" t="s">
        <v>2753</v>
      </c>
      <c r="C1510">
        <v>2016</v>
      </c>
      <c r="D1510">
        <v>1</v>
      </c>
      <c r="E1510" t="s">
        <v>55</v>
      </c>
      <c r="F1510" t="s">
        <v>128</v>
      </c>
      <c r="G1510" t="s">
        <v>63</v>
      </c>
      <c r="H1510">
        <v>1</v>
      </c>
      <c r="I1510">
        <v>65.647842400000002</v>
      </c>
      <c r="J1510">
        <v>763</v>
      </c>
      <c r="K1510">
        <v>4.37</v>
      </c>
      <c r="M1510">
        <v>2.2200000000000002</v>
      </c>
      <c r="O1510">
        <v>0.19800000000000001</v>
      </c>
      <c r="Q1510">
        <v>0.88</v>
      </c>
      <c r="R1510">
        <v>0.85</v>
      </c>
    </row>
    <row r="1511" spans="1:18" x14ac:dyDescent="0.2">
      <c r="A1511" t="s">
        <v>2754</v>
      </c>
      <c r="B1511" t="s">
        <v>2755</v>
      </c>
      <c r="C1511">
        <v>2016</v>
      </c>
      <c r="D1511">
        <v>1</v>
      </c>
      <c r="E1511" t="s">
        <v>55</v>
      </c>
      <c r="F1511" t="s">
        <v>128</v>
      </c>
      <c r="G1511" t="s">
        <v>63</v>
      </c>
      <c r="H1511">
        <v>1</v>
      </c>
      <c r="I1511">
        <v>1.64680191</v>
      </c>
      <c r="J1511">
        <v>184</v>
      </c>
      <c r="K1511">
        <v>3.47</v>
      </c>
      <c r="M1511">
        <v>0.87</v>
      </c>
      <c r="O1511">
        <v>7.8E-2</v>
      </c>
      <c r="Q1511">
        <v>0.55000000000000004</v>
      </c>
      <c r="R1511">
        <v>0.53</v>
      </c>
    </row>
    <row r="1512" spans="1:18" x14ac:dyDescent="0.2">
      <c r="A1512" t="s">
        <v>2756</v>
      </c>
      <c r="B1512" t="s">
        <v>2757</v>
      </c>
      <c r="C1512">
        <v>2016</v>
      </c>
      <c r="D1512">
        <v>1</v>
      </c>
      <c r="E1512" t="s">
        <v>55</v>
      </c>
      <c r="F1512" t="s">
        <v>128</v>
      </c>
      <c r="G1512" t="s">
        <v>63</v>
      </c>
      <c r="H1512">
        <v>1</v>
      </c>
      <c r="I1512">
        <v>1.75583533</v>
      </c>
      <c r="J1512">
        <v>1185</v>
      </c>
      <c r="K1512">
        <v>4.57</v>
      </c>
      <c r="M1512">
        <v>1.73</v>
      </c>
      <c r="O1512">
        <v>0.154</v>
      </c>
      <c r="Q1512">
        <v>0.91</v>
      </c>
      <c r="R1512">
        <v>0.88</v>
      </c>
    </row>
    <row r="1513" spans="1:18" x14ac:dyDescent="0.2">
      <c r="A1513" t="s">
        <v>2758</v>
      </c>
      <c r="B1513" t="s">
        <v>2759</v>
      </c>
      <c r="C1513">
        <v>2016</v>
      </c>
      <c r="D1513">
        <v>1</v>
      </c>
      <c r="E1513" t="s">
        <v>55</v>
      </c>
      <c r="F1513" t="s">
        <v>128</v>
      </c>
      <c r="G1513" t="s">
        <v>63</v>
      </c>
      <c r="H1513">
        <v>2</v>
      </c>
      <c r="I1513">
        <v>5.1856141999999998</v>
      </c>
      <c r="J1513">
        <v>1531</v>
      </c>
      <c r="K1513">
        <v>2.29</v>
      </c>
      <c r="M1513">
        <v>2.34</v>
      </c>
      <c r="O1513">
        <v>0.20899999999999999</v>
      </c>
      <c r="Q1513">
        <v>1.26</v>
      </c>
      <c r="R1513">
        <v>1.43</v>
      </c>
    </row>
    <row r="1514" spans="1:18" x14ac:dyDescent="0.2">
      <c r="A1514" t="s">
        <v>2758</v>
      </c>
      <c r="B1514" t="s">
        <v>2760</v>
      </c>
      <c r="C1514">
        <v>2016</v>
      </c>
      <c r="D1514">
        <v>1</v>
      </c>
      <c r="E1514" t="s">
        <v>55</v>
      </c>
      <c r="F1514" t="s">
        <v>128</v>
      </c>
      <c r="G1514" t="s">
        <v>63</v>
      </c>
      <c r="H1514">
        <v>2</v>
      </c>
      <c r="I1514">
        <v>8.4580831199999995</v>
      </c>
      <c r="J1514">
        <v>1531</v>
      </c>
      <c r="K1514">
        <v>2.29</v>
      </c>
      <c r="M1514">
        <v>2.36</v>
      </c>
      <c r="O1514">
        <v>0.21099999999999999</v>
      </c>
      <c r="Q1514">
        <v>1.26</v>
      </c>
      <c r="R1514">
        <v>1.43</v>
      </c>
    </row>
    <row r="1515" spans="1:18" x14ac:dyDescent="0.2">
      <c r="A1515" t="s">
        <v>2761</v>
      </c>
      <c r="B1515" t="s">
        <v>2762</v>
      </c>
      <c r="C1515">
        <v>2016</v>
      </c>
      <c r="D1515">
        <v>1</v>
      </c>
      <c r="E1515" t="s">
        <v>55</v>
      </c>
      <c r="F1515" t="s">
        <v>128</v>
      </c>
      <c r="G1515" t="s">
        <v>63</v>
      </c>
      <c r="H1515">
        <v>1</v>
      </c>
      <c r="I1515">
        <v>33.469743000000001</v>
      </c>
      <c r="J1515">
        <v>987</v>
      </c>
      <c r="K1515">
        <v>3.72</v>
      </c>
      <c r="M1515">
        <v>2.0299999999999998</v>
      </c>
      <c r="O1515">
        <v>0.18099999999999999</v>
      </c>
      <c r="Q1515">
        <v>1.03</v>
      </c>
      <c r="R1515">
        <v>1.03</v>
      </c>
    </row>
    <row r="1516" spans="1:18" x14ac:dyDescent="0.2">
      <c r="A1516" t="s">
        <v>2763</v>
      </c>
      <c r="B1516" t="s">
        <v>2764</v>
      </c>
      <c r="C1516">
        <v>2016</v>
      </c>
      <c r="D1516">
        <v>1</v>
      </c>
      <c r="E1516" t="s">
        <v>55</v>
      </c>
      <c r="F1516" t="s">
        <v>128</v>
      </c>
      <c r="G1516" t="s">
        <v>63</v>
      </c>
      <c r="H1516">
        <v>1</v>
      </c>
      <c r="I1516">
        <v>11.895205109999999</v>
      </c>
      <c r="J1516">
        <v>759</v>
      </c>
      <c r="K1516">
        <v>4.47</v>
      </c>
      <c r="M1516">
        <v>1.32</v>
      </c>
      <c r="O1516">
        <v>0.11799999999999999</v>
      </c>
      <c r="Q1516">
        <v>1</v>
      </c>
      <c r="R1516">
        <v>1</v>
      </c>
    </row>
    <row r="1517" spans="1:18" x14ac:dyDescent="0.2">
      <c r="A1517" t="s">
        <v>2765</v>
      </c>
      <c r="B1517" t="s">
        <v>2766</v>
      </c>
      <c r="C1517">
        <v>2016</v>
      </c>
      <c r="D1517">
        <v>1</v>
      </c>
      <c r="E1517" t="s">
        <v>55</v>
      </c>
      <c r="F1517" t="s">
        <v>128</v>
      </c>
      <c r="G1517" t="s">
        <v>63</v>
      </c>
      <c r="H1517">
        <v>1</v>
      </c>
      <c r="I1517">
        <v>4.4574316400000003</v>
      </c>
      <c r="J1517">
        <v>346</v>
      </c>
      <c r="K1517">
        <v>3.39</v>
      </c>
      <c r="M1517">
        <v>1.0900000000000001</v>
      </c>
      <c r="O1517">
        <v>9.7000000000000003E-2</v>
      </c>
      <c r="Q1517">
        <v>0.76</v>
      </c>
      <c r="R1517">
        <v>0.71</v>
      </c>
    </row>
    <row r="1518" spans="1:18" x14ac:dyDescent="0.2">
      <c r="A1518" t="s">
        <v>2767</v>
      </c>
      <c r="B1518" t="s">
        <v>2768</v>
      </c>
      <c r="C1518">
        <v>2016</v>
      </c>
      <c r="D1518">
        <v>1</v>
      </c>
      <c r="E1518" t="s">
        <v>55</v>
      </c>
      <c r="F1518" t="s">
        <v>128</v>
      </c>
      <c r="G1518" t="s">
        <v>63</v>
      </c>
      <c r="H1518">
        <v>1</v>
      </c>
      <c r="I1518">
        <v>13.5396293</v>
      </c>
      <c r="J1518">
        <v>1258</v>
      </c>
      <c r="K1518">
        <v>2.88</v>
      </c>
      <c r="M1518">
        <v>2.34</v>
      </c>
      <c r="O1518">
        <v>0.20899999999999999</v>
      </c>
      <c r="Q1518">
        <v>1.41</v>
      </c>
      <c r="R1518">
        <v>1.95</v>
      </c>
    </row>
    <row r="1519" spans="1:18" x14ac:dyDescent="0.2">
      <c r="A1519" t="s">
        <v>2769</v>
      </c>
      <c r="B1519" t="s">
        <v>2770</v>
      </c>
      <c r="C1519">
        <v>2016</v>
      </c>
      <c r="D1519">
        <v>1</v>
      </c>
      <c r="E1519" t="s">
        <v>55</v>
      </c>
      <c r="F1519" t="s">
        <v>128</v>
      </c>
      <c r="G1519" t="s">
        <v>63</v>
      </c>
      <c r="H1519">
        <v>1</v>
      </c>
      <c r="I1519">
        <v>22.70816791</v>
      </c>
      <c r="J1519">
        <v>1238</v>
      </c>
      <c r="K1519">
        <v>2.75</v>
      </c>
      <c r="M1519">
        <v>2.37</v>
      </c>
      <c r="O1519">
        <v>0.21099999999999999</v>
      </c>
      <c r="Q1519">
        <v>1.19</v>
      </c>
      <c r="R1519">
        <v>1.28</v>
      </c>
    </row>
    <row r="1520" spans="1:18" x14ac:dyDescent="0.2">
      <c r="A1520" t="s">
        <v>2771</v>
      </c>
      <c r="B1520" t="s">
        <v>2772</v>
      </c>
      <c r="C1520">
        <v>2014</v>
      </c>
      <c r="D1520">
        <v>1</v>
      </c>
      <c r="E1520" t="s">
        <v>55</v>
      </c>
      <c r="F1520" t="s">
        <v>128</v>
      </c>
      <c r="G1520" t="s">
        <v>63</v>
      </c>
      <c r="H1520">
        <v>2</v>
      </c>
      <c r="I1520">
        <v>5.9687340000000004</v>
      </c>
      <c r="J1520">
        <v>987</v>
      </c>
      <c r="M1520">
        <v>3.42</v>
      </c>
      <c r="O1520">
        <v>0.30499999999999999</v>
      </c>
      <c r="R1520">
        <v>1.45</v>
      </c>
    </row>
    <row r="1521" spans="1:19" x14ac:dyDescent="0.2">
      <c r="A1521" t="s">
        <v>2771</v>
      </c>
      <c r="B1521" t="s">
        <v>2773</v>
      </c>
      <c r="C1521">
        <v>2014</v>
      </c>
      <c r="D1521">
        <v>1</v>
      </c>
      <c r="E1521" t="s">
        <v>55</v>
      </c>
      <c r="F1521" t="s">
        <v>128</v>
      </c>
      <c r="G1521" t="s">
        <v>63</v>
      </c>
      <c r="H1521">
        <v>2</v>
      </c>
      <c r="I1521">
        <v>13.071630000000001</v>
      </c>
      <c r="J1521">
        <v>987</v>
      </c>
      <c r="M1521">
        <v>2.2999999999999998</v>
      </c>
      <c r="O1521">
        <v>0.20499999999999999</v>
      </c>
      <c r="R1521">
        <v>1.45</v>
      </c>
    </row>
    <row r="1522" spans="1:19" x14ac:dyDescent="0.2">
      <c r="A1522" t="s">
        <v>2774</v>
      </c>
      <c r="B1522" t="s">
        <v>2775</v>
      </c>
      <c r="C1522">
        <v>2016</v>
      </c>
      <c r="D1522">
        <v>1</v>
      </c>
      <c r="E1522" t="s">
        <v>55</v>
      </c>
      <c r="F1522" t="s">
        <v>128</v>
      </c>
      <c r="G1522" t="s">
        <v>63</v>
      </c>
      <c r="H1522">
        <v>1</v>
      </c>
      <c r="I1522">
        <v>7.9703495799999997</v>
      </c>
      <c r="J1522">
        <v>1293</v>
      </c>
      <c r="K1522">
        <v>4.57</v>
      </c>
      <c r="M1522">
        <v>2.14</v>
      </c>
      <c r="O1522">
        <v>0.191</v>
      </c>
      <c r="Q1522">
        <v>0.92</v>
      </c>
      <c r="R1522">
        <v>0.89</v>
      </c>
    </row>
    <row r="1523" spans="1:19" x14ac:dyDescent="0.2">
      <c r="A1523" t="s">
        <v>2776</v>
      </c>
      <c r="B1523" t="s">
        <v>2777</v>
      </c>
      <c r="C1523">
        <v>2016</v>
      </c>
      <c r="D1523">
        <v>1</v>
      </c>
      <c r="E1523" t="s">
        <v>55</v>
      </c>
      <c r="F1523" t="s">
        <v>128</v>
      </c>
      <c r="G1523" t="s">
        <v>63</v>
      </c>
      <c r="H1523">
        <v>1</v>
      </c>
      <c r="I1523">
        <v>10.71252541</v>
      </c>
      <c r="J1523">
        <v>428</v>
      </c>
      <c r="K1523">
        <v>3.39</v>
      </c>
      <c r="M1523">
        <v>2.13</v>
      </c>
      <c r="O1523">
        <v>0.19</v>
      </c>
      <c r="Q1523">
        <v>0.59</v>
      </c>
      <c r="R1523">
        <v>0.56999999999999995</v>
      </c>
    </row>
    <row r="1524" spans="1:19" x14ac:dyDescent="0.2">
      <c r="A1524" t="s">
        <v>2778</v>
      </c>
      <c r="B1524" t="s">
        <v>2779</v>
      </c>
      <c r="C1524">
        <v>2016</v>
      </c>
      <c r="D1524">
        <v>1</v>
      </c>
      <c r="E1524" t="s">
        <v>55</v>
      </c>
      <c r="F1524" t="s">
        <v>128</v>
      </c>
      <c r="G1524" t="s">
        <v>63</v>
      </c>
      <c r="H1524">
        <v>1</v>
      </c>
      <c r="I1524">
        <v>32.5637069</v>
      </c>
      <c r="J1524">
        <v>989</v>
      </c>
      <c r="K1524">
        <v>4.37</v>
      </c>
      <c r="M1524">
        <v>2.21</v>
      </c>
      <c r="O1524">
        <v>0.19700000000000001</v>
      </c>
      <c r="Q1524">
        <v>0.89</v>
      </c>
      <c r="R1524">
        <v>0.84</v>
      </c>
    </row>
    <row r="1525" spans="1:19" x14ac:dyDescent="0.2">
      <c r="A1525" t="s">
        <v>2780</v>
      </c>
      <c r="B1525" t="s">
        <v>2781</v>
      </c>
      <c r="C1525">
        <v>2016</v>
      </c>
      <c r="D1525">
        <v>1</v>
      </c>
      <c r="E1525" t="s">
        <v>55</v>
      </c>
      <c r="F1525" t="s">
        <v>128</v>
      </c>
      <c r="G1525" t="s">
        <v>63</v>
      </c>
      <c r="H1525">
        <v>1</v>
      </c>
      <c r="I1525">
        <v>6.1178689799999999</v>
      </c>
      <c r="J1525">
        <v>487</v>
      </c>
      <c r="K1525">
        <v>2.88</v>
      </c>
      <c r="M1525">
        <v>1.03</v>
      </c>
      <c r="O1525">
        <v>9.1999999999999998E-2</v>
      </c>
      <c r="Q1525">
        <v>1.22</v>
      </c>
      <c r="R1525">
        <v>1.35</v>
      </c>
    </row>
    <row r="1526" spans="1:19" x14ac:dyDescent="0.2">
      <c r="A1526" t="s">
        <v>2782</v>
      </c>
      <c r="B1526" t="s">
        <v>2783</v>
      </c>
      <c r="C1526">
        <v>2016</v>
      </c>
      <c r="D1526">
        <v>1</v>
      </c>
      <c r="E1526" t="s">
        <v>55</v>
      </c>
      <c r="F1526" t="s">
        <v>128</v>
      </c>
      <c r="G1526" t="s">
        <v>63</v>
      </c>
      <c r="H1526">
        <v>1</v>
      </c>
      <c r="I1526">
        <v>3.9759976799999999</v>
      </c>
      <c r="J1526">
        <v>447</v>
      </c>
      <c r="K1526">
        <v>3.63</v>
      </c>
      <c r="M1526">
        <v>1.1200000000000001</v>
      </c>
      <c r="O1526">
        <v>0.1</v>
      </c>
      <c r="Q1526">
        <v>0.85</v>
      </c>
      <c r="R1526">
        <v>0.79</v>
      </c>
    </row>
    <row r="1527" spans="1:19" x14ac:dyDescent="0.2">
      <c r="A1527" t="s">
        <v>2784</v>
      </c>
      <c r="B1527" t="s">
        <v>2785</v>
      </c>
      <c r="C1527">
        <v>2016</v>
      </c>
      <c r="D1527">
        <v>1</v>
      </c>
      <c r="E1527" t="s">
        <v>55</v>
      </c>
      <c r="F1527" t="s">
        <v>128</v>
      </c>
      <c r="G1527" t="s">
        <v>63</v>
      </c>
      <c r="H1527">
        <v>1</v>
      </c>
      <c r="I1527">
        <v>9.4785219999999999</v>
      </c>
      <c r="J1527">
        <v>1081</v>
      </c>
      <c r="K1527">
        <v>3.24</v>
      </c>
      <c r="M1527">
        <v>1.55</v>
      </c>
      <c r="O1527">
        <v>0.13800000000000001</v>
      </c>
      <c r="Q1527">
        <v>1.1299999999999999</v>
      </c>
      <c r="R1527">
        <v>1.18</v>
      </c>
    </row>
    <row r="1528" spans="1:19" x14ac:dyDescent="0.2">
      <c r="A1528" t="s">
        <v>2786</v>
      </c>
      <c r="B1528" t="s">
        <v>2787</v>
      </c>
      <c r="C1528">
        <v>2016</v>
      </c>
      <c r="D1528">
        <v>1</v>
      </c>
      <c r="E1528" t="s">
        <v>55</v>
      </c>
      <c r="F1528" t="s">
        <v>128</v>
      </c>
      <c r="G1528" t="s">
        <v>63</v>
      </c>
      <c r="H1528">
        <v>1</v>
      </c>
      <c r="I1528">
        <v>33.240688200000001</v>
      </c>
      <c r="J1528">
        <v>648</v>
      </c>
      <c r="K1528">
        <v>4.9000000000000004</v>
      </c>
      <c r="M1528">
        <v>1.69</v>
      </c>
      <c r="O1528">
        <v>0.151</v>
      </c>
      <c r="Q1528">
        <v>0.9</v>
      </c>
      <c r="R1528">
        <v>0.86</v>
      </c>
    </row>
    <row r="1529" spans="1:19" x14ac:dyDescent="0.2">
      <c r="A1529" t="s">
        <v>2788</v>
      </c>
      <c r="B1529" t="s">
        <v>2789</v>
      </c>
      <c r="C1529">
        <v>2016</v>
      </c>
      <c r="D1529">
        <v>1</v>
      </c>
      <c r="E1529" t="s">
        <v>55</v>
      </c>
      <c r="F1529" t="s">
        <v>128</v>
      </c>
      <c r="G1529" t="s">
        <v>63</v>
      </c>
      <c r="H1529">
        <v>1</v>
      </c>
      <c r="I1529">
        <v>1.0039337399999999</v>
      </c>
      <c r="J1529">
        <v>811</v>
      </c>
      <c r="K1529">
        <v>4.2699999999999996</v>
      </c>
      <c r="M1529">
        <v>1.71</v>
      </c>
      <c r="O1529">
        <v>0.153</v>
      </c>
      <c r="Q1529">
        <v>0.79</v>
      </c>
      <c r="R1529">
        <v>0.75</v>
      </c>
    </row>
    <row r="1530" spans="1:19" x14ac:dyDescent="0.2">
      <c r="A1530" t="s">
        <v>2790</v>
      </c>
      <c r="B1530" t="s">
        <v>2791</v>
      </c>
      <c r="C1530">
        <v>2016</v>
      </c>
      <c r="D1530">
        <v>1</v>
      </c>
      <c r="E1530" t="s">
        <v>55</v>
      </c>
      <c r="F1530" t="s">
        <v>128</v>
      </c>
      <c r="G1530" t="s">
        <v>63</v>
      </c>
      <c r="H1530">
        <v>1</v>
      </c>
      <c r="I1530">
        <v>55.822653899999999</v>
      </c>
      <c r="J1530">
        <v>911</v>
      </c>
      <c r="K1530">
        <v>4.2699999999999996</v>
      </c>
      <c r="M1530">
        <v>2.5</v>
      </c>
      <c r="O1530">
        <v>0.223</v>
      </c>
      <c r="Q1530">
        <v>0.87</v>
      </c>
      <c r="R1530">
        <v>0.82</v>
      </c>
    </row>
    <row r="1531" spans="1:19" x14ac:dyDescent="0.2">
      <c r="A1531" t="s">
        <v>2792</v>
      </c>
      <c r="B1531" t="s">
        <v>2793</v>
      </c>
      <c r="C1531">
        <v>2016</v>
      </c>
      <c r="D1531">
        <v>1</v>
      </c>
      <c r="E1531" t="s">
        <v>55</v>
      </c>
      <c r="F1531" t="s">
        <v>128</v>
      </c>
      <c r="G1531" t="s">
        <v>63</v>
      </c>
      <c r="H1531">
        <v>1</v>
      </c>
      <c r="I1531">
        <v>6.1100913400000003</v>
      </c>
      <c r="J1531">
        <v>538</v>
      </c>
      <c r="K1531">
        <v>1.38</v>
      </c>
      <c r="M1531">
        <v>0.94</v>
      </c>
      <c r="O1531">
        <v>8.4000000000000005E-2</v>
      </c>
      <c r="Q1531">
        <v>1.24</v>
      </c>
      <c r="R1531">
        <v>1.23</v>
      </c>
    </row>
    <row r="1532" spans="1:19" x14ac:dyDescent="0.2">
      <c r="A1532" t="s">
        <v>2794</v>
      </c>
      <c r="B1532" t="s">
        <v>2795</v>
      </c>
      <c r="C1532">
        <v>2014</v>
      </c>
      <c r="D1532">
        <v>1</v>
      </c>
      <c r="E1532" t="s">
        <v>55</v>
      </c>
      <c r="F1532" t="s">
        <v>128</v>
      </c>
      <c r="G1532" t="s">
        <v>63</v>
      </c>
      <c r="H1532">
        <v>2</v>
      </c>
      <c r="I1532">
        <v>18.7959228</v>
      </c>
      <c r="J1532">
        <v>1430</v>
      </c>
      <c r="K1532">
        <v>5.3</v>
      </c>
      <c r="L1532">
        <v>29.875</v>
      </c>
      <c r="M1532">
        <v>8.0589999999999993</v>
      </c>
      <c r="N1532">
        <v>9.4E-2</v>
      </c>
      <c r="O1532">
        <v>0.71899999999999997</v>
      </c>
      <c r="P1532">
        <v>0.3</v>
      </c>
      <c r="Q1532">
        <v>1.1299999999999999</v>
      </c>
      <c r="R1532">
        <v>1.61</v>
      </c>
      <c r="S1532">
        <v>0.41</v>
      </c>
    </row>
    <row r="1533" spans="1:19" x14ac:dyDescent="0.2">
      <c r="A1533" t="s">
        <v>2794</v>
      </c>
      <c r="B1533" t="s">
        <v>2796</v>
      </c>
      <c r="C1533">
        <v>2014</v>
      </c>
      <c r="D1533">
        <v>1</v>
      </c>
      <c r="E1533" t="s">
        <v>55</v>
      </c>
      <c r="F1533" t="s">
        <v>128</v>
      </c>
      <c r="G1533" t="s">
        <v>63</v>
      </c>
      <c r="H1533">
        <v>2</v>
      </c>
      <c r="I1533">
        <v>50.790391</v>
      </c>
      <c r="J1533">
        <v>1430</v>
      </c>
      <c r="K1533">
        <v>5.3</v>
      </c>
      <c r="L1533">
        <v>584.78</v>
      </c>
      <c r="M1533">
        <v>12.340999999999999</v>
      </c>
      <c r="N1533">
        <v>1.84</v>
      </c>
      <c r="O1533">
        <v>1.101</v>
      </c>
      <c r="P1533">
        <v>1.74</v>
      </c>
      <c r="Q1533">
        <v>1.1299999999999999</v>
      </c>
      <c r="R1533">
        <v>1.61</v>
      </c>
      <c r="S1533">
        <v>0.41</v>
      </c>
    </row>
    <row r="1534" spans="1:19" x14ac:dyDescent="0.2">
      <c r="A1534" t="s">
        <v>2797</v>
      </c>
      <c r="B1534" t="s">
        <v>2798</v>
      </c>
      <c r="C1534">
        <v>2016</v>
      </c>
      <c r="D1534">
        <v>1</v>
      </c>
      <c r="E1534" t="s">
        <v>55</v>
      </c>
      <c r="F1534" t="s">
        <v>128</v>
      </c>
      <c r="G1534" t="s">
        <v>63</v>
      </c>
      <c r="H1534">
        <v>1</v>
      </c>
      <c r="I1534">
        <v>9.9896932700000001</v>
      </c>
      <c r="J1534">
        <v>911</v>
      </c>
      <c r="K1534">
        <v>4.9000000000000004</v>
      </c>
      <c r="M1534">
        <v>2.41</v>
      </c>
      <c r="O1534">
        <v>0.215</v>
      </c>
      <c r="Q1534">
        <v>0.8</v>
      </c>
      <c r="R1534">
        <v>0.76</v>
      </c>
    </row>
    <row r="1535" spans="1:19" x14ac:dyDescent="0.2">
      <c r="A1535" t="s">
        <v>2799</v>
      </c>
      <c r="B1535" t="s">
        <v>2800</v>
      </c>
      <c r="C1535">
        <v>2016</v>
      </c>
      <c r="D1535">
        <v>1</v>
      </c>
      <c r="E1535" t="s">
        <v>55</v>
      </c>
      <c r="F1535" t="s">
        <v>128</v>
      </c>
      <c r="G1535" t="s">
        <v>63</v>
      </c>
      <c r="H1535">
        <v>1</v>
      </c>
      <c r="I1535">
        <v>1.44259224</v>
      </c>
      <c r="J1535">
        <v>615</v>
      </c>
      <c r="K1535">
        <v>1.35</v>
      </c>
      <c r="M1535">
        <v>2.56</v>
      </c>
      <c r="O1535">
        <v>0.22800000000000001</v>
      </c>
      <c r="Q1535">
        <v>1.58</v>
      </c>
      <c r="R1535">
        <v>1.95</v>
      </c>
    </row>
    <row r="1536" spans="1:19" x14ac:dyDescent="0.2">
      <c r="A1536" t="s">
        <v>2801</v>
      </c>
      <c r="B1536" t="s">
        <v>2802</v>
      </c>
      <c r="C1536">
        <v>2016</v>
      </c>
      <c r="D1536">
        <v>1</v>
      </c>
      <c r="E1536" t="s">
        <v>55</v>
      </c>
      <c r="F1536" t="s">
        <v>128</v>
      </c>
      <c r="G1536" t="s">
        <v>63</v>
      </c>
      <c r="H1536">
        <v>1</v>
      </c>
      <c r="I1536">
        <v>26.020442299999999</v>
      </c>
      <c r="J1536">
        <v>1292</v>
      </c>
      <c r="K1536">
        <v>4.37</v>
      </c>
      <c r="M1536">
        <v>3.2</v>
      </c>
      <c r="O1536">
        <v>0.28499999999999998</v>
      </c>
      <c r="Q1536">
        <v>0.92</v>
      </c>
      <c r="R1536">
        <v>0.89</v>
      </c>
    </row>
    <row r="1537" spans="1:18" x14ac:dyDescent="0.2">
      <c r="A1537" t="s">
        <v>2803</v>
      </c>
      <c r="B1537" t="s">
        <v>2804</v>
      </c>
      <c r="C1537">
        <v>2016</v>
      </c>
      <c r="D1537">
        <v>1</v>
      </c>
      <c r="E1537" t="s">
        <v>55</v>
      </c>
      <c r="F1537" t="s">
        <v>128</v>
      </c>
      <c r="G1537" t="s">
        <v>63</v>
      </c>
      <c r="H1537">
        <v>1</v>
      </c>
      <c r="I1537">
        <v>0.76985360000000003</v>
      </c>
      <c r="J1537">
        <v>402</v>
      </c>
      <c r="K1537">
        <v>4.79</v>
      </c>
      <c r="M1537">
        <v>0.89</v>
      </c>
      <c r="O1537">
        <v>7.9000000000000001E-2</v>
      </c>
      <c r="Q1537">
        <v>0.86</v>
      </c>
      <c r="R1537">
        <v>0.82</v>
      </c>
    </row>
    <row r="1538" spans="1:18" x14ac:dyDescent="0.2">
      <c r="A1538" t="s">
        <v>2805</v>
      </c>
      <c r="B1538" t="s">
        <v>2806</v>
      </c>
      <c r="C1538">
        <v>2016</v>
      </c>
      <c r="D1538">
        <v>1</v>
      </c>
      <c r="E1538" t="s">
        <v>55</v>
      </c>
      <c r="F1538" t="s">
        <v>128</v>
      </c>
      <c r="G1538" t="s">
        <v>63</v>
      </c>
      <c r="H1538">
        <v>1</v>
      </c>
      <c r="I1538">
        <v>6.8922522300000004</v>
      </c>
      <c r="J1538">
        <v>829</v>
      </c>
      <c r="K1538">
        <v>3.55</v>
      </c>
      <c r="M1538">
        <v>1.59</v>
      </c>
      <c r="O1538">
        <v>0.14199999999999999</v>
      </c>
      <c r="Q1538">
        <v>1.04</v>
      </c>
      <c r="R1538">
        <v>1.04</v>
      </c>
    </row>
    <row r="1539" spans="1:18" x14ac:dyDescent="0.2">
      <c r="A1539" t="s">
        <v>2807</v>
      </c>
      <c r="B1539" t="s">
        <v>2808</v>
      </c>
      <c r="C1539">
        <v>2016</v>
      </c>
      <c r="D1539">
        <v>1</v>
      </c>
      <c r="E1539" t="s">
        <v>55</v>
      </c>
      <c r="F1539" t="s">
        <v>128</v>
      </c>
      <c r="G1539" t="s">
        <v>63</v>
      </c>
      <c r="H1539">
        <v>1</v>
      </c>
      <c r="I1539">
        <v>37.945630000000001</v>
      </c>
      <c r="J1539">
        <v>1244</v>
      </c>
      <c r="K1539">
        <v>4.17</v>
      </c>
      <c r="M1539">
        <v>2.99</v>
      </c>
      <c r="O1539">
        <v>0.26700000000000002</v>
      </c>
      <c r="Q1539">
        <v>0.9</v>
      </c>
      <c r="R1539">
        <v>0.86</v>
      </c>
    </row>
    <row r="1540" spans="1:18" x14ac:dyDescent="0.2">
      <c r="A1540" t="s">
        <v>2809</v>
      </c>
      <c r="B1540" t="s">
        <v>2810</v>
      </c>
      <c r="C1540">
        <v>2016</v>
      </c>
      <c r="D1540">
        <v>1</v>
      </c>
      <c r="E1540" t="s">
        <v>55</v>
      </c>
      <c r="F1540" t="s">
        <v>128</v>
      </c>
      <c r="G1540" t="s">
        <v>63</v>
      </c>
      <c r="H1540">
        <v>1</v>
      </c>
      <c r="I1540">
        <v>24.173857900000002</v>
      </c>
      <c r="J1540">
        <v>1023</v>
      </c>
      <c r="K1540">
        <v>3.8</v>
      </c>
      <c r="M1540">
        <v>2.4500000000000002</v>
      </c>
      <c r="O1540">
        <v>0.219</v>
      </c>
      <c r="Q1540">
        <v>1.01</v>
      </c>
      <c r="R1540">
        <v>1.02</v>
      </c>
    </row>
    <row r="1541" spans="1:18" x14ac:dyDescent="0.2">
      <c r="A1541" t="s">
        <v>2811</v>
      </c>
      <c r="B1541" t="s">
        <v>2812</v>
      </c>
      <c r="C1541">
        <v>2016</v>
      </c>
      <c r="D1541">
        <v>1</v>
      </c>
      <c r="E1541" t="s">
        <v>55</v>
      </c>
      <c r="F1541" t="s">
        <v>128</v>
      </c>
      <c r="G1541" t="s">
        <v>63</v>
      </c>
      <c r="H1541">
        <v>1</v>
      </c>
      <c r="I1541">
        <v>106.247547</v>
      </c>
      <c r="J1541">
        <v>829</v>
      </c>
      <c r="K1541">
        <v>4.47</v>
      </c>
      <c r="M1541">
        <v>1.9</v>
      </c>
      <c r="O1541">
        <v>0.17</v>
      </c>
      <c r="Q1541">
        <v>0.98</v>
      </c>
      <c r="R1541">
        <v>0.97</v>
      </c>
    </row>
    <row r="1542" spans="1:18" x14ac:dyDescent="0.2">
      <c r="A1542" t="s">
        <v>2813</v>
      </c>
      <c r="B1542" t="s">
        <v>2814</v>
      </c>
      <c r="C1542">
        <v>2016</v>
      </c>
      <c r="D1542">
        <v>1</v>
      </c>
      <c r="E1542" t="s">
        <v>55</v>
      </c>
      <c r="F1542" t="s">
        <v>128</v>
      </c>
      <c r="G1542" t="s">
        <v>63</v>
      </c>
      <c r="H1542">
        <v>1</v>
      </c>
      <c r="I1542">
        <v>31.806339999999999</v>
      </c>
      <c r="J1542">
        <v>336</v>
      </c>
      <c r="K1542">
        <v>4.68</v>
      </c>
      <c r="M1542">
        <v>1.07</v>
      </c>
      <c r="O1542">
        <v>9.5000000000000001E-2</v>
      </c>
      <c r="Q1542">
        <v>0.8</v>
      </c>
      <c r="R1542">
        <v>0.75</v>
      </c>
    </row>
    <row r="1543" spans="1:18" x14ac:dyDescent="0.2">
      <c r="A1543" t="s">
        <v>2815</v>
      </c>
      <c r="B1543" t="s">
        <v>2816</v>
      </c>
      <c r="C1543">
        <v>2016</v>
      </c>
      <c r="D1543">
        <v>1</v>
      </c>
      <c r="E1543" t="s">
        <v>55</v>
      </c>
      <c r="F1543" t="s">
        <v>128</v>
      </c>
      <c r="G1543" t="s">
        <v>63</v>
      </c>
      <c r="H1543">
        <v>1</v>
      </c>
      <c r="I1543">
        <v>2.6850574900000002</v>
      </c>
      <c r="J1543">
        <v>454</v>
      </c>
      <c r="K1543">
        <v>4.9000000000000004</v>
      </c>
      <c r="M1543">
        <v>1.32</v>
      </c>
      <c r="O1543">
        <v>0.11799999999999999</v>
      </c>
      <c r="Q1543">
        <v>0.84</v>
      </c>
      <c r="R1543">
        <v>0.81</v>
      </c>
    </row>
    <row r="1544" spans="1:18" x14ac:dyDescent="0.2">
      <c r="A1544" t="s">
        <v>2817</v>
      </c>
      <c r="B1544" t="s">
        <v>2818</v>
      </c>
      <c r="C1544">
        <v>2014</v>
      </c>
      <c r="D1544">
        <v>1</v>
      </c>
      <c r="E1544" t="s">
        <v>55</v>
      </c>
      <c r="F1544" t="s">
        <v>128</v>
      </c>
      <c r="G1544" t="s">
        <v>63</v>
      </c>
      <c r="H1544">
        <v>2</v>
      </c>
      <c r="I1544">
        <v>7.5184959999999998</v>
      </c>
      <c r="J1544">
        <v>577</v>
      </c>
      <c r="M1544">
        <v>1.96</v>
      </c>
      <c r="O1544">
        <v>0.17499999999999999</v>
      </c>
      <c r="R1544">
        <v>1.0900000000000001</v>
      </c>
    </row>
    <row r="1545" spans="1:18" x14ac:dyDescent="0.2">
      <c r="A1545" t="s">
        <v>2817</v>
      </c>
      <c r="B1545" t="s">
        <v>2819</v>
      </c>
      <c r="C1545">
        <v>2014</v>
      </c>
      <c r="D1545">
        <v>1</v>
      </c>
      <c r="E1545" t="s">
        <v>55</v>
      </c>
      <c r="F1545" t="s">
        <v>128</v>
      </c>
      <c r="G1545" t="s">
        <v>63</v>
      </c>
      <c r="H1545">
        <v>2</v>
      </c>
      <c r="I1545">
        <v>20.17202</v>
      </c>
      <c r="J1545">
        <v>577</v>
      </c>
      <c r="M1545">
        <v>7.68</v>
      </c>
      <c r="O1545">
        <v>0.68500000000000005</v>
      </c>
      <c r="R1545">
        <v>1.0900000000000001</v>
      </c>
    </row>
    <row r="1546" spans="1:18" x14ac:dyDescent="0.2">
      <c r="A1546" t="s">
        <v>2820</v>
      </c>
      <c r="B1546" t="s">
        <v>2821</v>
      </c>
      <c r="C1546">
        <v>2016</v>
      </c>
      <c r="D1546">
        <v>1</v>
      </c>
      <c r="E1546" t="s">
        <v>55</v>
      </c>
      <c r="F1546" t="s">
        <v>128</v>
      </c>
      <c r="G1546" t="s">
        <v>63</v>
      </c>
      <c r="H1546">
        <v>1</v>
      </c>
      <c r="I1546">
        <v>16.860128599999999</v>
      </c>
      <c r="J1546">
        <v>1284</v>
      </c>
      <c r="K1546">
        <v>3.09</v>
      </c>
      <c r="M1546">
        <v>1.99</v>
      </c>
      <c r="O1546">
        <v>0.17799999999999999</v>
      </c>
      <c r="Q1546">
        <v>1.0900000000000001</v>
      </c>
      <c r="R1546">
        <v>1.1399999999999999</v>
      </c>
    </row>
    <row r="1547" spans="1:18" x14ac:dyDescent="0.2">
      <c r="A1547" t="s">
        <v>2822</v>
      </c>
      <c r="B1547" t="s">
        <v>2823</v>
      </c>
      <c r="C1547">
        <v>2016</v>
      </c>
      <c r="D1547">
        <v>1</v>
      </c>
      <c r="E1547" t="s">
        <v>55</v>
      </c>
      <c r="F1547" t="s">
        <v>128</v>
      </c>
      <c r="G1547" t="s">
        <v>63</v>
      </c>
      <c r="H1547">
        <v>1</v>
      </c>
      <c r="I1547">
        <v>4.8933751900000004</v>
      </c>
      <c r="J1547">
        <v>867</v>
      </c>
      <c r="K1547">
        <v>3.24</v>
      </c>
      <c r="M1547">
        <v>1.57</v>
      </c>
      <c r="O1547">
        <v>0.14000000000000001</v>
      </c>
      <c r="Q1547">
        <v>1.17</v>
      </c>
      <c r="R1547">
        <v>1.3</v>
      </c>
    </row>
    <row r="1548" spans="1:18" x14ac:dyDescent="0.2">
      <c r="A1548" t="s">
        <v>2824</v>
      </c>
      <c r="B1548" t="s">
        <v>2825</v>
      </c>
      <c r="C1548">
        <v>2016</v>
      </c>
      <c r="D1548">
        <v>1</v>
      </c>
      <c r="E1548" t="s">
        <v>55</v>
      </c>
      <c r="F1548" t="s">
        <v>128</v>
      </c>
      <c r="G1548" t="s">
        <v>63</v>
      </c>
      <c r="H1548">
        <v>1</v>
      </c>
      <c r="I1548">
        <v>11.173946170000001</v>
      </c>
      <c r="J1548">
        <v>1258</v>
      </c>
      <c r="K1548">
        <v>3.39</v>
      </c>
      <c r="M1548">
        <v>2.41</v>
      </c>
      <c r="O1548">
        <v>0.215</v>
      </c>
      <c r="Q1548">
        <v>1.04</v>
      </c>
      <c r="R1548">
        <v>1.05</v>
      </c>
    </row>
    <row r="1549" spans="1:18" x14ac:dyDescent="0.2">
      <c r="A1549" t="s">
        <v>2826</v>
      </c>
      <c r="B1549" t="s">
        <v>2827</v>
      </c>
      <c r="C1549">
        <v>2016</v>
      </c>
      <c r="D1549">
        <v>1</v>
      </c>
      <c r="E1549" t="s">
        <v>55</v>
      </c>
      <c r="F1549" t="s">
        <v>128</v>
      </c>
      <c r="G1549" t="s">
        <v>63</v>
      </c>
      <c r="H1549">
        <v>1</v>
      </c>
      <c r="I1549">
        <v>28.505718900000002</v>
      </c>
      <c r="J1549">
        <v>1378</v>
      </c>
      <c r="K1549">
        <v>4.2699999999999996</v>
      </c>
      <c r="M1549">
        <v>2.82</v>
      </c>
      <c r="O1549">
        <v>0.252</v>
      </c>
      <c r="Q1549">
        <v>1</v>
      </c>
      <c r="R1549">
        <v>0.99</v>
      </c>
    </row>
    <row r="1550" spans="1:18" x14ac:dyDescent="0.2">
      <c r="A1550" t="s">
        <v>2828</v>
      </c>
      <c r="B1550" t="s">
        <v>2829</v>
      </c>
      <c r="C1550">
        <v>2016</v>
      </c>
      <c r="D1550">
        <v>1</v>
      </c>
      <c r="E1550" t="s">
        <v>55</v>
      </c>
      <c r="F1550" t="s">
        <v>128</v>
      </c>
      <c r="G1550" t="s">
        <v>63</v>
      </c>
      <c r="H1550">
        <v>1</v>
      </c>
      <c r="I1550">
        <v>53.599104400000002</v>
      </c>
      <c r="J1550">
        <v>1193</v>
      </c>
      <c r="K1550">
        <v>3.55</v>
      </c>
      <c r="M1550">
        <v>2.68</v>
      </c>
      <c r="O1550">
        <v>0.23899999999999999</v>
      </c>
      <c r="Q1550">
        <v>1.05</v>
      </c>
      <c r="R1550">
        <v>1.07</v>
      </c>
    </row>
    <row r="1551" spans="1:18" x14ac:dyDescent="0.2">
      <c r="A1551" t="s">
        <v>2830</v>
      </c>
      <c r="B1551" t="s">
        <v>2831</v>
      </c>
      <c r="C1551">
        <v>2016</v>
      </c>
      <c r="D1551">
        <v>1</v>
      </c>
      <c r="E1551" t="s">
        <v>55</v>
      </c>
      <c r="F1551" t="s">
        <v>128</v>
      </c>
      <c r="G1551" t="s">
        <v>63</v>
      </c>
      <c r="H1551">
        <v>1</v>
      </c>
      <c r="I1551">
        <v>104.3518976</v>
      </c>
      <c r="J1551">
        <v>296</v>
      </c>
      <c r="K1551">
        <v>1.55</v>
      </c>
      <c r="M1551">
        <v>1.33</v>
      </c>
      <c r="O1551">
        <v>0.11899999999999999</v>
      </c>
      <c r="Q1551">
        <v>0.96</v>
      </c>
      <c r="R1551">
        <v>0.87</v>
      </c>
    </row>
    <row r="1552" spans="1:18" x14ac:dyDescent="0.2">
      <c r="A1552" t="s">
        <v>2832</v>
      </c>
      <c r="B1552" t="s">
        <v>2833</v>
      </c>
      <c r="C1552">
        <v>2016</v>
      </c>
      <c r="D1552">
        <v>1</v>
      </c>
      <c r="E1552" t="s">
        <v>55</v>
      </c>
      <c r="F1552" t="s">
        <v>128</v>
      </c>
      <c r="G1552" t="s">
        <v>63</v>
      </c>
      <c r="H1552">
        <v>1</v>
      </c>
      <c r="I1552">
        <v>16.076776150000001</v>
      </c>
      <c r="J1552">
        <v>1112</v>
      </c>
      <c r="K1552">
        <v>4.47</v>
      </c>
      <c r="M1552">
        <v>2.23</v>
      </c>
      <c r="O1552">
        <v>0.19900000000000001</v>
      </c>
      <c r="Q1552">
        <v>0.95</v>
      </c>
      <c r="R1552">
        <v>0.93</v>
      </c>
    </row>
    <row r="1553" spans="1:18" x14ac:dyDescent="0.2">
      <c r="A1553" t="s">
        <v>2834</v>
      </c>
      <c r="B1553" t="s">
        <v>2835</v>
      </c>
      <c r="C1553">
        <v>2016</v>
      </c>
      <c r="D1553">
        <v>1</v>
      </c>
      <c r="E1553" t="s">
        <v>55</v>
      </c>
      <c r="F1553" t="s">
        <v>128</v>
      </c>
      <c r="G1553" t="s">
        <v>63</v>
      </c>
      <c r="H1553">
        <v>1</v>
      </c>
      <c r="I1553">
        <v>18.870640680000001</v>
      </c>
      <c r="J1553">
        <v>1029</v>
      </c>
      <c r="K1553">
        <v>3.39</v>
      </c>
      <c r="M1553">
        <v>2.61</v>
      </c>
      <c r="O1553">
        <v>0.23300000000000001</v>
      </c>
      <c r="Q1553">
        <v>1.06</v>
      </c>
      <c r="R1553">
        <v>1.0900000000000001</v>
      </c>
    </row>
    <row r="1554" spans="1:18" x14ac:dyDescent="0.2">
      <c r="A1554" t="s">
        <v>2836</v>
      </c>
      <c r="B1554" t="s">
        <v>2837</v>
      </c>
      <c r="C1554">
        <v>2016</v>
      </c>
      <c r="D1554">
        <v>1</v>
      </c>
      <c r="E1554" t="s">
        <v>55</v>
      </c>
      <c r="F1554" t="s">
        <v>128</v>
      </c>
      <c r="G1554" t="s">
        <v>63</v>
      </c>
      <c r="H1554">
        <v>1</v>
      </c>
      <c r="I1554">
        <v>17.136954299999999</v>
      </c>
      <c r="J1554">
        <v>1202</v>
      </c>
      <c r="K1554">
        <v>4.17</v>
      </c>
      <c r="M1554">
        <v>2.08</v>
      </c>
      <c r="O1554">
        <v>0.186</v>
      </c>
      <c r="Q1554">
        <v>1.04</v>
      </c>
      <c r="R1554">
        <v>1.06</v>
      </c>
    </row>
    <row r="1555" spans="1:18" x14ac:dyDescent="0.2">
      <c r="A1555" t="s">
        <v>2838</v>
      </c>
      <c r="B1555" t="s">
        <v>2839</v>
      </c>
      <c r="C1555">
        <v>2016</v>
      </c>
      <c r="D1555">
        <v>1</v>
      </c>
      <c r="E1555" t="s">
        <v>55</v>
      </c>
      <c r="F1555" t="s">
        <v>128</v>
      </c>
      <c r="G1555" t="s">
        <v>63</v>
      </c>
      <c r="H1555">
        <v>1</v>
      </c>
      <c r="I1555">
        <v>3.7885898199999999</v>
      </c>
      <c r="J1555">
        <v>883</v>
      </c>
      <c r="K1555">
        <v>3.39</v>
      </c>
      <c r="M1555">
        <v>1.77</v>
      </c>
      <c r="O1555">
        <v>0.158</v>
      </c>
      <c r="Q1555">
        <v>1.1100000000000001</v>
      </c>
      <c r="R1555">
        <v>1.1599999999999999</v>
      </c>
    </row>
    <row r="1556" spans="1:18" x14ac:dyDescent="0.2">
      <c r="A1556" t="s">
        <v>2840</v>
      </c>
      <c r="B1556" t="s">
        <v>2841</v>
      </c>
      <c r="C1556">
        <v>2014</v>
      </c>
      <c r="D1556">
        <v>1</v>
      </c>
      <c r="E1556" t="s">
        <v>55</v>
      </c>
      <c r="F1556" t="s">
        <v>128</v>
      </c>
      <c r="G1556" t="s">
        <v>63</v>
      </c>
      <c r="H1556">
        <v>2</v>
      </c>
      <c r="I1556">
        <v>2.4220820000000001</v>
      </c>
      <c r="J1556">
        <v>733</v>
      </c>
      <c r="M1556">
        <v>3.6</v>
      </c>
      <c r="O1556">
        <v>0.32100000000000001</v>
      </c>
      <c r="R1556">
        <v>0.84</v>
      </c>
    </row>
    <row r="1557" spans="1:18" x14ac:dyDescent="0.2">
      <c r="A1557" t="s">
        <v>2840</v>
      </c>
      <c r="B1557" t="s">
        <v>2842</v>
      </c>
      <c r="C1557">
        <v>2014</v>
      </c>
      <c r="D1557">
        <v>1</v>
      </c>
      <c r="E1557" t="s">
        <v>55</v>
      </c>
      <c r="F1557" t="s">
        <v>128</v>
      </c>
      <c r="G1557" t="s">
        <v>63</v>
      </c>
      <c r="H1557">
        <v>2</v>
      </c>
      <c r="I1557">
        <v>4.1251030000000002</v>
      </c>
      <c r="J1557">
        <v>733</v>
      </c>
      <c r="M1557">
        <v>0.92</v>
      </c>
      <c r="O1557">
        <v>8.2000000000000003E-2</v>
      </c>
      <c r="R1557">
        <v>0.84</v>
      </c>
    </row>
    <row r="1558" spans="1:18" x14ac:dyDescent="0.2">
      <c r="A1558" t="s">
        <v>2843</v>
      </c>
      <c r="B1558" t="s">
        <v>2844</v>
      </c>
      <c r="C1558">
        <v>2016</v>
      </c>
      <c r="D1558">
        <v>1</v>
      </c>
      <c r="E1558" t="s">
        <v>55</v>
      </c>
      <c r="F1558" t="s">
        <v>128</v>
      </c>
      <c r="G1558" t="s">
        <v>63</v>
      </c>
      <c r="H1558">
        <v>1</v>
      </c>
      <c r="I1558">
        <v>10.458434410000001</v>
      </c>
      <c r="J1558">
        <v>384</v>
      </c>
      <c r="K1558">
        <v>3.98</v>
      </c>
      <c r="M1558">
        <v>1.33</v>
      </c>
      <c r="O1558">
        <v>0.11899999999999999</v>
      </c>
      <c r="Q1558">
        <v>0.76</v>
      </c>
      <c r="R1558">
        <v>0.72</v>
      </c>
    </row>
    <row r="1559" spans="1:18" x14ac:dyDescent="0.2">
      <c r="A1559" t="s">
        <v>2845</v>
      </c>
      <c r="B1559" t="s">
        <v>2846</v>
      </c>
      <c r="C1559">
        <v>2016</v>
      </c>
      <c r="D1559">
        <v>1</v>
      </c>
      <c r="E1559" t="s">
        <v>55</v>
      </c>
      <c r="F1559" t="s">
        <v>128</v>
      </c>
      <c r="G1559" t="s">
        <v>63</v>
      </c>
      <c r="H1559">
        <v>1</v>
      </c>
      <c r="I1559">
        <v>5.6001485100000004</v>
      </c>
      <c r="J1559">
        <v>876</v>
      </c>
      <c r="K1559">
        <v>4.57</v>
      </c>
      <c r="M1559">
        <v>1.51</v>
      </c>
      <c r="O1559">
        <v>0.13500000000000001</v>
      </c>
      <c r="Q1559">
        <v>0.85</v>
      </c>
      <c r="R1559">
        <v>0.81</v>
      </c>
    </row>
    <row r="1560" spans="1:18" x14ac:dyDescent="0.2">
      <c r="A1560" t="s">
        <v>2847</v>
      </c>
      <c r="B1560" t="s">
        <v>2848</v>
      </c>
      <c r="C1560">
        <v>2016</v>
      </c>
      <c r="D1560">
        <v>1</v>
      </c>
      <c r="E1560" t="s">
        <v>55</v>
      </c>
      <c r="F1560" t="s">
        <v>128</v>
      </c>
      <c r="G1560" t="s">
        <v>63</v>
      </c>
      <c r="H1560">
        <v>1</v>
      </c>
      <c r="I1560">
        <v>25.203478700000002</v>
      </c>
      <c r="J1560">
        <v>1108</v>
      </c>
      <c r="K1560">
        <v>4.47</v>
      </c>
      <c r="M1560">
        <v>2.36</v>
      </c>
      <c r="O1560">
        <v>0.21099999999999999</v>
      </c>
      <c r="Q1560">
        <v>0.86</v>
      </c>
      <c r="R1560">
        <v>0.83</v>
      </c>
    </row>
    <row r="1561" spans="1:18" x14ac:dyDescent="0.2">
      <c r="A1561" t="s">
        <v>2849</v>
      </c>
      <c r="B1561" t="s">
        <v>2850</v>
      </c>
      <c r="C1561">
        <v>2016</v>
      </c>
      <c r="D1561">
        <v>1</v>
      </c>
      <c r="E1561" t="s">
        <v>55</v>
      </c>
      <c r="F1561" t="s">
        <v>128</v>
      </c>
      <c r="G1561" t="s">
        <v>63</v>
      </c>
      <c r="H1561">
        <v>1</v>
      </c>
      <c r="I1561">
        <v>2.83265213</v>
      </c>
      <c r="J1561">
        <v>695</v>
      </c>
      <c r="K1561">
        <v>5.01</v>
      </c>
      <c r="M1561">
        <v>1.32</v>
      </c>
      <c r="O1561">
        <v>0.11799999999999999</v>
      </c>
      <c r="Q1561">
        <v>1.08</v>
      </c>
      <c r="R1561">
        <v>1.21</v>
      </c>
    </row>
    <row r="1562" spans="1:18" x14ac:dyDescent="0.2">
      <c r="A1562" t="s">
        <v>2851</v>
      </c>
      <c r="B1562" t="s">
        <v>2852</v>
      </c>
      <c r="C1562">
        <v>2016</v>
      </c>
      <c r="D1562">
        <v>1</v>
      </c>
      <c r="E1562" t="s">
        <v>55</v>
      </c>
      <c r="F1562" t="s">
        <v>128</v>
      </c>
      <c r="G1562" t="s">
        <v>63</v>
      </c>
      <c r="H1562">
        <v>1</v>
      </c>
      <c r="I1562">
        <v>16.223713069999999</v>
      </c>
      <c r="J1562">
        <v>616</v>
      </c>
      <c r="K1562">
        <v>4.79</v>
      </c>
      <c r="M1562">
        <v>1.51</v>
      </c>
      <c r="O1562">
        <v>0.13500000000000001</v>
      </c>
      <c r="Q1562">
        <v>0.94</v>
      </c>
      <c r="R1562">
        <v>0.92</v>
      </c>
    </row>
    <row r="1563" spans="1:18" x14ac:dyDescent="0.2">
      <c r="A1563" t="s">
        <v>2853</v>
      </c>
      <c r="B1563" t="s">
        <v>2854</v>
      </c>
      <c r="C1563">
        <v>2016</v>
      </c>
      <c r="D1563">
        <v>1</v>
      </c>
      <c r="E1563" t="s">
        <v>55</v>
      </c>
      <c r="F1563" t="s">
        <v>128</v>
      </c>
      <c r="G1563" t="s">
        <v>63</v>
      </c>
      <c r="H1563">
        <v>1</v>
      </c>
      <c r="I1563">
        <v>8.4964224099999992</v>
      </c>
      <c r="J1563">
        <v>812</v>
      </c>
      <c r="K1563">
        <v>4.47</v>
      </c>
      <c r="M1563">
        <v>2.08</v>
      </c>
      <c r="O1563">
        <v>0.186</v>
      </c>
      <c r="Q1563">
        <v>0.74</v>
      </c>
      <c r="R1563">
        <v>0.71</v>
      </c>
    </row>
    <row r="1564" spans="1:18" x14ac:dyDescent="0.2">
      <c r="A1564" t="s">
        <v>2855</v>
      </c>
      <c r="B1564" t="s">
        <v>2856</v>
      </c>
      <c r="C1564">
        <v>2016</v>
      </c>
      <c r="D1564">
        <v>1</v>
      </c>
      <c r="E1564" t="s">
        <v>55</v>
      </c>
      <c r="F1564" t="s">
        <v>128</v>
      </c>
      <c r="G1564" t="s">
        <v>63</v>
      </c>
      <c r="H1564">
        <v>1</v>
      </c>
      <c r="I1564">
        <v>66.1849031</v>
      </c>
      <c r="J1564">
        <v>946</v>
      </c>
      <c r="K1564">
        <v>3.98</v>
      </c>
      <c r="M1564">
        <v>2.23</v>
      </c>
      <c r="O1564">
        <v>0.19900000000000001</v>
      </c>
      <c r="Q1564">
        <v>0.98</v>
      </c>
      <c r="R1564">
        <v>0.97</v>
      </c>
    </row>
    <row r="1565" spans="1:18" x14ac:dyDescent="0.2">
      <c r="A1565" t="s">
        <v>2857</v>
      </c>
      <c r="B1565" t="s">
        <v>2858</v>
      </c>
      <c r="C1565">
        <v>2016</v>
      </c>
      <c r="D1565">
        <v>1</v>
      </c>
      <c r="E1565" t="s">
        <v>55</v>
      </c>
      <c r="F1565" t="s">
        <v>128</v>
      </c>
      <c r="G1565" t="s">
        <v>63</v>
      </c>
      <c r="H1565">
        <v>1</v>
      </c>
      <c r="I1565">
        <v>2.03231845</v>
      </c>
      <c r="J1565">
        <v>505</v>
      </c>
      <c r="K1565">
        <v>2.69</v>
      </c>
      <c r="M1565">
        <v>1.25</v>
      </c>
      <c r="O1565">
        <v>0.112</v>
      </c>
      <c r="Q1565">
        <v>0.78</v>
      </c>
      <c r="R1565">
        <v>0.72</v>
      </c>
    </row>
    <row r="1566" spans="1:18" x14ac:dyDescent="0.2">
      <c r="A1566" t="s">
        <v>2859</v>
      </c>
      <c r="B1566" t="s">
        <v>2860</v>
      </c>
      <c r="C1566">
        <v>2016</v>
      </c>
      <c r="D1566">
        <v>1</v>
      </c>
      <c r="E1566" t="s">
        <v>55</v>
      </c>
      <c r="F1566" t="s">
        <v>128</v>
      </c>
      <c r="G1566" t="s">
        <v>63</v>
      </c>
      <c r="H1566">
        <v>1</v>
      </c>
      <c r="I1566">
        <v>7.6847716000000004</v>
      </c>
      <c r="J1566">
        <v>777</v>
      </c>
      <c r="K1566">
        <v>4.68</v>
      </c>
      <c r="M1566">
        <v>1.47</v>
      </c>
      <c r="O1566">
        <v>0.13100000000000001</v>
      </c>
      <c r="Q1566">
        <v>0.93</v>
      </c>
      <c r="R1566">
        <v>0.9</v>
      </c>
    </row>
    <row r="1567" spans="1:18" x14ac:dyDescent="0.2">
      <c r="A1567" t="s">
        <v>2861</v>
      </c>
      <c r="B1567" t="s">
        <v>2862</v>
      </c>
      <c r="C1567">
        <v>2016</v>
      </c>
      <c r="D1567">
        <v>1</v>
      </c>
      <c r="E1567" t="s">
        <v>55</v>
      </c>
      <c r="F1567" t="s">
        <v>128</v>
      </c>
      <c r="G1567" t="s">
        <v>63</v>
      </c>
      <c r="H1567">
        <v>1</v>
      </c>
      <c r="I1567">
        <v>15.044719799999999</v>
      </c>
      <c r="J1567">
        <v>540</v>
      </c>
      <c r="K1567">
        <v>7.76</v>
      </c>
      <c r="M1567">
        <v>1.1499999999999999</v>
      </c>
      <c r="O1567">
        <v>0.10299999999999999</v>
      </c>
      <c r="Q1567">
        <v>0.94</v>
      </c>
      <c r="R1567">
        <v>1.17</v>
      </c>
    </row>
    <row r="1568" spans="1:18" x14ac:dyDescent="0.2">
      <c r="A1568" t="s">
        <v>2863</v>
      </c>
      <c r="B1568" t="s">
        <v>2864</v>
      </c>
      <c r="C1568">
        <v>2011</v>
      </c>
      <c r="D1568">
        <v>1</v>
      </c>
      <c r="E1568" t="s">
        <v>55</v>
      </c>
      <c r="F1568" t="s">
        <v>128</v>
      </c>
      <c r="G1568" t="s">
        <v>63</v>
      </c>
      <c r="H1568">
        <v>1</v>
      </c>
      <c r="I1568">
        <v>4.4379628999999996</v>
      </c>
      <c r="J1568">
        <v>600</v>
      </c>
      <c r="L1568">
        <v>137.30256</v>
      </c>
      <c r="M1568">
        <v>19.661000000000001</v>
      </c>
      <c r="N1568">
        <v>0.432</v>
      </c>
      <c r="O1568">
        <v>1.754</v>
      </c>
      <c r="P1568">
        <v>0.11</v>
      </c>
      <c r="Q1568">
        <v>1.17</v>
      </c>
      <c r="R1568">
        <v>1.48</v>
      </c>
    </row>
    <row r="1569" spans="1:18" x14ac:dyDescent="0.2">
      <c r="A1569" t="s">
        <v>2865</v>
      </c>
      <c r="B1569" t="s">
        <v>2866</v>
      </c>
      <c r="C1569">
        <v>2014</v>
      </c>
      <c r="D1569">
        <v>1</v>
      </c>
      <c r="E1569" t="s">
        <v>55</v>
      </c>
      <c r="F1569" t="s">
        <v>128</v>
      </c>
      <c r="G1569" t="s">
        <v>63</v>
      </c>
      <c r="H1569">
        <v>2</v>
      </c>
      <c r="I1569">
        <v>6.3125010000000001</v>
      </c>
      <c r="J1569">
        <v>376</v>
      </c>
      <c r="M1569">
        <v>2.15</v>
      </c>
      <c r="O1569">
        <v>0.192</v>
      </c>
      <c r="R1569">
        <v>0.53</v>
      </c>
    </row>
    <row r="1570" spans="1:18" x14ac:dyDescent="0.2">
      <c r="A1570" t="s">
        <v>2865</v>
      </c>
      <c r="B1570" t="s">
        <v>2867</v>
      </c>
      <c r="C1570">
        <v>2014</v>
      </c>
      <c r="D1570">
        <v>1</v>
      </c>
      <c r="E1570" t="s">
        <v>55</v>
      </c>
      <c r="F1570" t="s">
        <v>128</v>
      </c>
      <c r="G1570" t="s">
        <v>63</v>
      </c>
      <c r="H1570">
        <v>2</v>
      </c>
      <c r="I1570">
        <v>12.794585</v>
      </c>
      <c r="J1570">
        <v>376</v>
      </c>
      <c r="M1570">
        <v>1.53</v>
      </c>
      <c r="O1570">
        <v>0.13600000000000001</v>
      </c>
      <c r="R1570">
        <v>0.53</v>
      </c>
    </row>
    <row r="1571" spans="1:18" x14ac:dyDescent="0.2">
      <c r="A1571" t="s">
        <v>2868</v>
      </c>
      <c r="B1571" t="s">
        <v>2869</v>
      </c>
      <c r="C1571">
        <v>2016</v>
      </c>
      <c r="D1571">
        <v>1</v>
      </c>
      <c r="E1571" t="s">
        <v>55</v>
      </c>
      <c r="F1571" t="s">
        <v>128</v>
      </c>
      <c r="G1571" t="s">
        <v>63</v>
      </c>
      <c r="H1571">
        <v>1</v>
      </c>
      <c r="I1571">
        <v>1.1185497200000001</v>
      </c>
      <c r="J1571">
        <v>579</v>
      </c>
      <c r="K1571">
        <v>3.02</v>
      </c>
      <c r="M1571">
        <v>1.06</v>
      </c>
      <c r="O1571">
        <v>9.5000000000000001E-2</v>
      </c>
      <c r="Q1571">
        <v>0.74</v>
      </c>
      <c r="R1571">
        <v>0.7</v>
      </c>
    </row>
    <row r="1572" spans="1:18" x14ac:dyDescent="0.2">
      <c r="A1572" t="s">
        <v>2870</v>
      </c>
      <c r="B1572" t="s">
        <v>2871</v>
      </c>
      <c r="C1572">
        <v>2016</v>
      </c>
      <c r="D1572">
        <v>1</v>
      </c>
      <c r="E1572" t="s">
        <v>55</v>
      </c>
      <c r="F1572" t="s">
        <v>128</v>
      </c>
      <c r="G1572" t="s">
        <v>63</v>
      </c>
      <c r="H1572">
        <v>1</v>
      </c>
      <c r="I1572">
        <v>15.187259320000001</v>
      </c>
      <c r="J1572">
        <v>1202</v>
      </c>
      <c r="K1572">
        <v>2.95</v>
      </c>
      <c r="M1572">
        <v>2.29</v>
      </c>
      <c r="O1572">
        <v>0.20399999999999999</v>
      </c>
      <c r="Q1572">
        <v>1.1499999999999999</v>
      </c>
      <c r="R1572">
        <v>1.24</v>
      </c>
    </row>
    <row r="1573" spans="1:18" x14ac:dyDescent="0.2">
      <c r="A1573" t="s">
        <v>2872</v>
      </c>
      <c r="B1573" t="s">
        <v>2873</v>
      </c>
      <c r="C1573">
        <v>2016</v>
      </c>
      <c r="D1573">
        <v>1</v>
      </c>
      <c r="E1573" t="s">
        <v>55</v>
      </c>
      <c r="F1573" t="s">
        <v>128</v>
      </c>
      <c r="G1573" t="s">
        <v>63</v>
      </c>
      <c r="H1573">
        <v>1</v>
      </c>
      <c r="I1573">
        <v>28.685132400000001</v>
      </c>
      <c r="J1573">
        <v>1393</v>
      </c>
      <c r="K1573">
        <v>4.17</v>
      </c>
      <c r="M1573">
        <v>2.94</v>
      </c>
      <c r="O1573">
        <v>0.26200000000000001</v>
      </c>
      <c r="Q1573">
        <v>1.03</v>
      </c>
      <c r="R1573">
        <v>1.04</v>
      </c>
    </row>
    <row r="1574" spans="1:18" x14ac:dyDescent="0.2">
      <c r="A1574" t="s">
        <v>2874</v>
      </c>
      <c r="B1574" t="s">
        <v>2875</v>
      </c>
      <c r="C1574">
        <v>2016</v>
      </c>
      <c r="D1574">
        <v>1</v>
      </c>
      <c r="E1574" t="s">
        <v>55</v>
      </c>
      <c r="F1574" t="s">
        <v>128</v>
      </c>
      <c r="G1574" t="s">
        <v>63</v>
      </c>
      <c r="H1574">
        <v>1</v>
      </c>
      <c r="I1574">
        <v>0.58800076000000001</v>
      </c>
      <c r="J1574">
        <v>269</v>
      </c>
      <c r="K1574">
        <v>3.47</v>
      </c>
      <c r="M1574">
        <v>1.06</v>
      </c>
      <c r="O1574">
        <v>9.5000000000000001E-2</v>
      </c>
      <c r="Q1574">
        <v>0.64</v>
      </c>
      <c r="R1574">
        <v>0.61</v>
      </c>
    </row>
    <row r="1575" spans="1:18" x14ac:dyDescent="0.2">
      <c r="A1575" t="s">
        <v>2876</v>
      </c>
      <c r="B1575" t="s">
        <v>2877</v>
      </c>
      <c r="C1575">
        <v>2016</v>
      </c>
      <c r="D1575">
        <v>1</v>
      </c>
      <c r="E1575" t="s">
        <v>55</v>
      </c>
      <c r="F1575" t="s">
        <v>128</v>
      </c>
      <c r="G1575" t="s">
        <v>63</v>
      </c>
      <c r="H1575">
        <v>1</v>
      </c>
      <c r="I1575">
        <v>85.735028499999999</v>
      </c>
      <c r="J1575">
        <v>1282</v>
      </c>
      <c r="K1575">
        <v>4.2699999999999996</v>
      </c>
      <c r="M1575">
        <v>3.05</v>
      </c>
      <c r="O1575">
        <v>0.27200000000000002</v>
      </c>
      <c r="Q1575">
        <v>1.03</v>
      </c>
      <c r="R1575">
        <v>1.03</v>
      </c>
    </row>
    <row r="1576" spans="1:18" x14ac:dyDescent="0.2">
      <c r="A1576" t="s">
        <v>2878</v>
      </c>
      <c r="B1576" t="s">
        <v>2879</v>
      </c>
      <c r="C1576">
        <v>2016</v>
      </c>
      <c r="D1576">
        <v>1</v>
      </c>
      <c r="E1576" t="s">
        <v>55</v>
      </c>
      <c r="F1576" t="s">
        <v>128</v>
      </c>
      <c r="G1576" t="s">
        <v>63</v>
      </c>
      <c r="H1576">
        <v>1</v>
      </c>
      <c r="I1576">
        <v>1.0783903500000001</v>
      </c>
      <c r="J1576">
        <v>766</v>
      </c>
      <c r="K1576">
        <v>4.9000000000000004</v>
      </c>
      <c r="M1576">
        <v>1.41</v>
      </c>
      <c r="O1576">
        <v>0.126</v>
      </c>
      <c r="Q1576">
        <v>0.84</v>
      </c>
      <c r="R1576">
        <v>0.81</v>
      </c>
    </row>
    <row r="1577" spans="1:18" x14ac:dyDescent="0.2">
      <c r="A1577" t="s">
        <v>2880</v>
      </c>
      <c r="B1577" t="s">
        <v>2881</v>
      </c>
      <c r="C1577">
        <v>2016</v>
      </c>
      <c r="D1577">
        <v>1</v>
      </c>
      <c r="E1577" t="s">
        <v>55</v>
      </c>
      <c r="F1577" t="s">
        <v>128</v>
      </c>
      <c r="G1577" t="s">
        <v>63</v>
      </c>
      <c r="H1577">
        <v>1</v>
      </c>
      <c r="I1577">
        <v>1.2169976600000001</v>
      </c>
      <c r="J1577">
        <v>807</v>
      </c>
      <c r="K1577">
        <v>3.55</v>
      </c>
      <c r="M1577">
        <v>1.64</v>
      </c>
      <c r="O1577">
        <v>0.14599999999999999</v>
      </c>
      <c r="Q1577">
        <v>0.8</v>
      </c>
      <c r="R1577">
        <v>0.75</v>
      </c>
    </row>
    <row r="1578" spans="1:18" x14ac:dyDescent="0.2">
      <c r="A1578" t="s">
        <v>2882</v>
      </c>
      <c r="B1578" t="s">
        <v>2883</v>
      </c>
      <c r="C1578">
        <v>2016</v>
      </c>
      <c r="D1578">
        <v>1</v>
      </c>
      <c r="E1578" t="s">
        <v>55</v>
      </c>
      <c r="F1578" t="s">
        <v>128</v>
      </c>
      <c r="G1578" t="s">
        <v>63</v>
      </c>
      <c r="H1578">
        <v>1</v>
      </c>
      <c r="I1578">
        <v>13.68237119</v>
      </c>
      <c r="J1578">
        <v>946</v>
      </c>
      <c r="K1578">
        <v>3.63</v>
      </c>
      <c r="M1578">
        <v>1.62</v>
      </c>
      <c r="O1578">
        <v>0.14499999999999999</v>
      </c>
      <c r="Q1578">
        <v>1.06</v>
      </c>
      <c r="R1578">
        <v>1.06</v>
      </c>
    </row>
    <row r="1579" spans="1:18" x14ac:dyDescent="0.2">
      <c r="A1579" t="s">
        <v>2884</v>
      </c>
      <c r="B1579" t="s">
        <v>2885</v>
      </c>
      <c r="C1579">
        <v>2016</v>
      </c>
      <c r="D1579">
        <v>1</v>
      </c>
      <c r="E1579" t="s">
        <v>55</v>
      </c>
      <c r="F1579" t="s">
        <v>128</v>
      </c>
      <c r="G1579" t="s">
        <v>63</v>
      </c>
      <c r="H1579">
        <v>1</v>
      </c>
      <c r="I1579">
        <v>11.085076369999999</v>
      </c>
      <c r="J1579">
        <v>877</v>
      </c>
      <c r="K1579">
        <v>4.47</v>
      </c>
      <c r="M1579">
        <v>2.3199999999999998</v>
      </c>
      <c r="O1579">
        <v>0.20699999999999999</v>
      </c>
      <c r="Q1579">
        <v>0.8</v>
      </c>
      <c r="R1579">
        <v>0.76</v>
      </c>
    </row>
    <row r="1580" spans="1:18" x14ac:dyDescent="0.2">
      <c r="A1580" t="s">
        <v>2886</v>
      </c>
      <c r="B1580" t="s">
        <v>2887</v>
      </c>
      <c r="C1580">
        <v>2016</v>
      </c>
      <c r="D1580">
        <v>1</v>
      </c>
      <c r="E1580" t="s">
        <v>55</v>
      </c>
      <c r="F1580" t="s">
        <v>128</v>
      </c>
      <c r="G1580" t="s">
        <v>63</v>
      </c>
      <c r="H1580">
        <v>1</v>
      </c>
      <c r="I1580">
        <v>25.369116000000002</v>
      </c>
      <c r="J1580">
        <v>558</v>
      </c>
      <c r="K1580">
        <v>3.09</v>
      </c>
      <c r="M1580">
        <v>1.51</v>
      </c>
      <c r="O1580">
        <v>0.13500000000000001</v>
      </c>
      <c r="Q1580">
        <v>1.23</v>
      </c>
      <c r="R1580">
        <v>1.38</v>
      </c>
    </row>
    <row r="1581" spans="1:18" x14ac:dyDescent="0.2">
      <c r="A1581" t="s">
        <v>2888</v>
      </c>
      <c r="B1581" t="s">
        <v>2889</v>
      </c>
      <c r="C1581">
        <v>2014</v>
      </c>
      <c r="D1581">
        <v>1</v>
      </c>
      <c r="E1581" t="s">
        <v>55</v>
      </c>
      <c r="F1581" t="s">
        <v>128</v>
      </c>
      <c r="G1581" t="s">
        <v>63</v>
      </c>
      <c r="H1581">
        <v>2</v>
      </c>
      <c r="I1581">
        <v>3.177422</v>
      </c>
      <c r="J1581">
        <v>622</v>
      </c>
      <c r="M1581">
        <v>2.34</v>
      </c>
      <c r="O1581">
        <v>0.20899999999999999</v>
      </c>
      <c r="R1581">
        <v>0.7</v>
      </c>
    </row>
    <row r="1582" spans="1:18" x14ac:dyDescent="0.2">
      <c r="A1582" t="s">
        <v>2888</v>
      </c>
      <c r="B1582" t="s">
        <v>2890</v>
      </c>
      <c r="C1582">
        <v>2014</v>
      </c>
      <c r="D1582">
        <v>1</v>
      </c>
      <c r="E1582" t="s">
        <v>55</v>
      </c>
      <c r="F1582" t="s">
        <v>128</v>
      </c>
      <c r="G1582" t="s">
        <v>63</v>
      </c>
      <c r="H1582">
        <v>2</v>
      </c>
      <c r="I1582">
        <v>41.008011000000003</v>
      </c>
      <c r="J1582">
        <v>622</v>
      </c>
      <c r="M1582">
        <v>2.27</v>
      </c>
      <c r="O1582">
        <v>0.20300000000000001</v>
      </c>
      <c r="R1582">
        <v>0.7</v>
      </c>
    </row>
    <row r="1583" spans="1:18" x14ac:dyDescent="0.2">
      <c r="A1583" t="s">
        <v>2891</v>
      </c>
      <c r="B1583" t="s">
        <v>2892</v>
      </c>
      <c r="C1583">
        <v>2016</v>
      </c>
      <c r="D1583">
        <v>1</v>
      </c>
      <c r="E1583" t="s">
        <v>55</v>
      </c>
      <c r="F1583" t="s">
        <v>128</v>
      </c>
      <c r="G1583" t="s">
        <v>63</v>
      </c>
      <c r="H1583">
        <v>1</v>
      </c>
      <c r="I1583">
        <v>8.0712407299999995</v>
      </c>
      <c r="J1583">
        <v>1155</v>
      </c>
      <c r="K1583">
        <v>5.13</v>
      </c>
      <c r="M1583">
        <v>1.7</v>
      </c>
      <c r="O1583">
        <v>0.152</v>
      </c>
      <c r="Q1583">
        <v>0.94</v>
      </c>
      <c r="R1583">
        <v>0.92</v>
      </c>
    </row>
    <row r="1584" spans="1:18" x14ac:dyDescent="0.2">
      <c r="A1584" t="s">
        <v>2893</v>
      </c>
      <c r="B1584" t="s">
        <v>2894</v>
      </c>
      <c r="C1584">
        <v>2016</v>
      </c>
      <c r="D1584">
        <v>1</v>
      </c>
      <c r="E1584" t="s">
        <v>55</v>
      </c>
      <c r="F1584" t="s">
        <v>128</v>
      </c>
      <c r="G1584" t="s">
        <v>63</v>
      </c>
      <c r="H1584">
        <v>1</v>
      </c>
      <c r="I1584">
        <v>11.018168360000001</v>
      </c>
      <c r="J1584">
        <v>1486</v>
      </c>
      <c r="K1584">
        <v>4.17</v>
      </c>
      <c r="M1584">
        <v>2.5499999999999998</v>
      </c>
      <c r="O1584">
        <v>0.22700000000000001</v>
      </c>
      <c r="Q1584">
        <v>0.96</v>
      </c>
      <c r="R1584">
        <v>0.94</v>
      </c>
    </row>
    <row r="1585" spans="1:18" x14ac:dyDescent="0.2">
      <c r="A1585" t="s">
        <v>2895</v>
      </c>
      <c r="B1585" t="s">
        <v>2896</v>
      </c>
      <c r="C1585">
        <v>2016</v>
      </c>
      <c r="D1585">
        <v>1</v>
      </c>
      <c r="E1585" t="s">
        <v>55</v>
      </c>
      <c r="F1585" t="s">
        <v>128</v>
      </c>
      <c r="G1585" t="s">
        <v>63</v>
      </c>
      <c r="H1585">
        <v>1</v>
      </c>
      <c r="I1585">
        <v>12.94130146</v>
      </c>
      <c r="J1585">
        <v>1304</v>
      </c>
      <c r="K1585">
        <v>3.24</v>
      </c>
      <c r="M1585">
        <v>2.14</v>
      </c>
      <c r="O1585">
        <v>0.191</v>
      </c>
      <c r="Q1585">
        <v>1.1000000000000001</v>
      </c>
      <c r="R1585">
        <v>1.1499999999999999</v>
      </c>
    </row>
    <row r="1586" spans="1:18" x14ac:dyDescent="0.2">
      <c r="A1586" t="s">
        <v>2897</v>
      </c>
      <c r="B1586" t="s">
        <v>2898</v>
      </c>
      <c r="C1586">
        <v>2016</v>
      </c>
      <c r="D1586">
        <v>1</v>
      </c>
      <c r="E1586" t="s">
        <v>55</v>
      </c>
      <c r="F1586" t="s">
        <v>128</v>
      </c>
      <c r="G1586" t="s">
        <v>63</v>
      </c>
      <c r="H1586">
        <v>1</v>
      </c>
      <c r="I1586">
        <v>5.3498241200000001</v>
      </c>
      <c r="J1586">
        <v>685</v>
      </c>
      <c r="K1586">
        <v>3.47</v>
      </c>
      <c r="M1586">
        <v>1.19</v>
      </c>
      <c r="O1586">
        <v>0.106</v>
      </c>
      <c r="Q1586">
        <v>1.1399999999999999</v>
      </c>
      <c r="R1586">
        <v>1.21</v>
      </c>
    </row>
    <row r="1587" spans="1:18" x14ac:dyDescent="0.2">
      <c r="A1587" t="s">
        <v>2899</v>
      </c>
      <c r="B1587" t="s">
        <v>2900</v>
      </c>
      <c r="C1587">
        <v>2016</v>
      </c>
      <c r="D1587">
        <v>1</v>
      </c>
      <c r="E1587" t="s">
        <v>55</v>
      </c>
      <c r="F1587" t="s">
        <v>128</v>
      </c>
      <c r="G1587" t="s">
        <v>63</v>
      </c>
      <c r="H1587">
        <v>1</v>
      </c>
      <c r="I1587">
        <v>18.82634264</v>
      </c>
      <c r="J1587">
        <v>757</v>
      </c>
      <c r="K1587">
        <v>4.68</v>
      </c>
      <c r="M1587">
        <v>2.36</v>
      </c>
      <c r="O1587">
        <v>0.21099999999999999</v>
      </c>
      <c r="Q1587">
        <v>0.85</v>
      </c>
      <c r="R1587">
        <v>0.8</v>
      </c>
    </row>
    <row r="1588" spans="1:18" x14ac:dyDescent="0.2">
      <c r="A1588" t="s">
        <v>2901</v>
      </c>
      <c r="B1588" t="s">
        <v>2902</v>
      </c>
      <c r="C1588">
        <v>2016</v>
      </c>
      <c r="D1588">
        <v>1</v>
      </c>
      <c r="E1588" t="s">
        <v>55</v>
      </c>
      <c r="F1588" t="s">
        <v>128</v>
      </c>
      <c r="G1588" t="s">
        <v>63</v>
      </c>
      <c r="H1588">
        <v>1</v>
      </c>
      <c r="I1588">
        <v>4.7670396300000002</v>
      </c>
      <c r="J1588">
        <v>701</v>
      </c>
      <c r="K1588">
        <v>4.79</v>
      </c>
      <c r="M1588">
        <v>1.22</v>
      </c>
      <c r="O1588">
        <v>0.109</v>
      </c>
      <c r="Q1588">
        <v>0.95</v>
      </c>
      <c r="R1588">
        <v>0.93</v>
      </c>
    </row>
    <row r="1589" spans="1:18" x14ac:dyDescent="0.2">
      <c r="A1589" t="s">
        <v>2903</v>
      </c>
      <c r="B1589" t="s">
        <v>2904</v>
      </c>
      <c r="C1589">
        <v>2016</v>
      </c>
      <c r="D1589">
        <v>1</v>
      </c>
      <c r="E1589" t="s">
        <v>55</v>
      </c>
      <c r="F1589" t="s">
        <v>128</v>
      </c>
      <c r="G1589" t="s">
        <v>63</v>
      </c>
      <c r="H1589">
        <v>1</v>
      </c>
      <c r="I1589">
        <v>4.37034536</v>
      </c>
      <c r="J1589">
        <v>1124</v>
      </c>
      <c r="K1589">
        <v>4.07</v>
      </c>
      <c r="M1589">
        <v>1.39</v>
      </c>
      <c r="O1589">
        <v>0.124</v>
      </c>
      <c r="Q1589">
        <v>0.99</v>
      </c>
      <c r="R1589">
        <v>0.98</v>
      </c>
    </row>
    <row r="1590" spans="1:18" x14ac:dyDescent="0.2">
      <c r="A1590" t="s">
        <v>2905</v>
      </c>
      <c r="B1590" t="s">
        <v>2906</v>
      </c>
      <c r="C1590">
        <v>2016</v>
      </c>
      <c r="D1590">
        <v>1</v>
      </c>
      <c r="E1590" t="s">
        <v>55</v>
      </c>
      <c r="F1590" t="s">
        <v>128</v>
      </c>
      <c r="G1590" t="s">
        <v>63</v>
      </c>
      <c r="H1590">
        <v>1</v>
      </c>
      <c r="I1590">
        <v>2.0323250700000002</v>
      </c>
      <c r="J1590">
        <v>1363</v>
      </c>
      <c r="K1590">
        <v>3.8</v>
      </c>
      <c r="M1590">
        <v>1.99</v>
      </c>
      <c r="O1590">
        <v>0.17799999999999999</v>
      </c>
      <c r="Q1590">
        <v>1.06</v>
      </c>
      <c r="R1590">
        <v>1.08</v>
      </c>
    </row>
    <row r="1591" spans="1:18" x14ac:dyDescent="0.2">
      <c r="A1591" t="s">
        <v>2907</v>
      </c>
      <c r="B1591" t="s">
        <v>2908</v>
      </c>
      <c r="C1591">
        <v>2016</v>
      </c>
      <c r="D1591">
        <v>1</v>
      </c>
      <c r="E1591" t="s">
        <v>55</v>
      </c>
      <c r="F1591" t="s">
        <v>128</v>
      </c>
      <c r="G1591" t="s">
        <v>63</v>
      </c>
      <c r="H1591">
        <v>1</v>
      </c>
      <c r="I1591">
        <v>22.922126599999999</v>
      </c>
      <c r="J1591">
        <v>667</v>
      </c>
      <c r="K1591">
        <v>3.8</v>
      </c>
      <c r="M1591">
        <v>1.44</v>
      </c>
      <c r="O1591">
        <v>0.128</v>
      </c>
      <c r="Q1591">
        <v>1.06</v>
      </c>
      <c r="R1591">
        <v>1.1000000000000001</v>
      </c>
    </row>
    <row r="1592" spans="1:18" x14ac:dyDescent="0.2">
      <c r="A1592" t="s">
        <v>2909</v>
      </c>
      <c r="B1592" t="s">
        <v>2910</v>
      </c>
      <c r="C1592">
        <v>2016</v>
      </c>
      <c r="D1592">
        <v>1</v>
      </c>
      <c r="E1592" t="s">
        <v>55</v>
      </c>
      <c r="F1592" t="s">
        <v>128</v>
      </c>
      <c r="G1592" t="s">
        <v>63</v>
      </c>
      <c r="H1592">
        <v>1</v>
      </c>
      <c r="I1592">
        <v>16.10467749</v>
      </c>
      <c r="J1592">
        <v>622</v>
      </c>
      <c r="K1592">
        <v>4.37</v>
      </c>
      <c r="M1592">
        <v>2.12</v>
      </c>
      <c r="O1592">
        <v>0.189</v>
      </c>
      <c r="Q1592">
        <v>1.25</v>
      </c>
      <c r="R1592">
        <v>1.94</v>
      </c>
    </row>
    <row r="1593" spans="1:18" x14ac:dyDescent="0.2">
      <c r="A1593" t="s">
        <v>2911</v>
      </c>
      <c r="B1593" t="s">
        <v>2912</v>
      </c>
      <c r="C1593">
        <v>2014</v>
      </c>
      <c r="D1593">
        <v>1</v>
      </c>
      <c r="E1593" t="s">
        <v>55</v>
      </c>
      <c r="F1593" t="s">
        <v>128</v>
      </c>
      <c r="G1593" t="s">
        <v>63</v>
      </c>
      <c r="H1593">
        <v>5</v>
      </c>
      <c r="I1593">
        <v>5.7661930000000003</v>
      </c>
      <c r="J1593">
        <v>946</v>
      </c>
      <c r="M1593">
        <v>2.34</v>
      </c>
      <c r="O1593">
        <v>0.20899999999999999</v>
      </c>
      <c r="R1593">
        <v>1.22</v>
      </c>
    </row>
    <row r="1594" spans="1:18" x14ac:dyDescent="0.2">
      <c r="A1594" t="s">
        <v>2911</v>
      </c>
      <c r="B1594" t="s">
        <v>2913</v>
      </c>
      <c r="C1594">
        <v>2014</v>
      </c>
      <c r="D1594">
        <v>1</v>
      </c>
      <c r="E1594" t="s">
        <v>55</v>
      </c>
      <c r="F1594" t="s">
        <v>128</v>
      </c>
      <c r="G1594" t="s">
        <v>63</v>
      </c>
      <c r="H1594">
        <v>5</v>
      </c>
      <c r="I1594">
        <v>12.465987999999999</v>
      </c>
      <c r="J1594">
        <v>946</v>
      </c>
      <c r="M1594">
        <v>5.87</v>
      </c>
      <c r="O1594">
        <v>0.52400000000000002</v>
      </c>
      <c r="R1594">
        <v>1.22</v>
      </c>
    </row>
    <row r="1595" spans="1:18" x14ac:dyDescent="0.2">
      <c r="A1595" t="s">
        <v>2911</v>
      </c>
      <c r="B1595" t="s">
        <v>2914</v>
      </c>
      <c r="C1595">
        <v>2014</v>
      </c>
      <c r="D1595">
        <v>1</v>
      </c>
      <c r="E1595" t="s">
        <v>55</v>
      </c>
      <c r="F1595" t="s">
        <v>128</v>
      </c>
      <c r="G1595" t="s">
        <v>63</v>
      </c>
      <c r="H1595">
        <v>5</v>
      </c>
      <c r="I1595">
        <v>21.587475000000001</v>
      </c>
      <c r="J1595">
        <v>946</v>
      </c>
      <c r="M1595">
        <v>2.2000000000000002</v>
      </c>
      <c r="O1595">
        <v>0.19600000000000001</v>
      </c>
      <c r="R1595">
        <v>1.22</v>
      </c>
    </row>
    <row r="1596" spans="1:18" x14ac:dyDescent="0.2">
      <c r="A1596" t="s">
        <v>2911</v>
      </c>
      <c r="B1596" t="s">
        <v>2915</v>
      </c>
      <c r="C1596">
        <v>2014</v>
      </c>
      <c r="D1596">
        <v>1</v>
      </c>
      <c r="E1596" t="s">
        <v>55</v>
      </c>
      <c r="F1596" t="s">
        <v>128</v>
      </c>
      <c r="G1596" t="s">
        <v>63</v>
      </c>
      <c r="H1596">
        <v>5</v>
      </c>
      <c r="I1596">
        <v>37.993273000000002</v>
      </c>
      <c r="J1596">
        <v>946</v>
      </c>
      <c r="M1596">
        <v>2.6</v>
      </c>
      <c r="O1596">
        <v>0.23200000000000001</v>
      </c>
      <c r="R1596">
        <v>1.22</v>
      </c>
    </row>
    <row r="1597" spans="1:18" x14ac:dyDescent="0.2">
      <c r="A1597" t="s">
        <v>2911</v>
      </c>
      <c r="B1597" t="s">
        <v>2916</v>
      </c>
      <c r="C1597">
        <v>2014</v>
      </c>
      <c r="D1597">
        <v>1</v>
      </c>
      <c r="E1597" t="s">
        <v>55</v>
      </c>
      <c r="F1597" t="s">
        <v>2343</v>
      </c>
      <c r="G1597" t="s">
        <v>63</v>
      </c>
      <c r="H1597">
        <v>5</v>
      </c>
      <c r="I1597">
        <v>56.268000000000001</v>
      </c>
      <c r="J1597">
        <v>946</v>
      </c>
      <c r="L1597">
        <v>36</v>
      </c>
      <c r="M1597">
        <v>1.75</v>
      </c>
      <c r="N1597">
        <v>0.113</v>
      </c>
      <c r="O1597">
        <v>0.156</v>
      </c>
      <c r="R1597">
        <v>1.22</v>
      </c>
    </row>
    <row r="1598" spans="1:18" x14ac:dyDescent="0.2">
      <c r="A1598" t="s">
        <v>2917</v>
      </c>
      <c r="B1598" t="s">
        <v>2918</v>
      </c>
      <c r="C1598">
        <v>2016</v>
      </c>
      <c r="D1598">
        <v>1</v>
      </c>
      <c r="E1598" t="s">
        <v>55</v>
      </c>
      <c r="F1598" t="s">
        <v>128</v>
      </c>
      <c r="G1598" t="s">
        <v>63</v>
      </c>
      <c r="H1598">
        <v>1</v>
      </c>
      <c r="I1598">
        <v>7.4269374099999999</v>
      </c>
      <c r="J1598">
        <v>958</v>
      </c>
      <c r="K1598">
        <v>3.63</v>
      </c>
      <c r="M1598">
        <v>1.52</v>
      </c>
      <c r="O1598">
        <v>0.13600000000000001</v>
      </c>
      <c r="Q1598">
        <v>1</v>
      </c>
      <c r="R1598">
        <v>0.99</v>
      </c>
    </row>
    <row r="1599" spans="1:18" x14ac:dyDescent="0.2">
      <c r="A1599" t="s">
        <v>2919</v>
      </c>
      <c r="B1599" t="s">
        <v>2920</v>
      </c>
      <c r="C1599">
        <v>2016</v>
      </c>
      <c r="D1599">
        <v>1</v>
      </c>
      <c r="E1599" t="s">
        <v>55</v>
      </c>
      <c r="F1599" t="s">
        <v>128</v>
      </c>
      <c r="G1599" t="s">
        <v>63</v>
      </c>
      <c r="H1599">
        <v>1</v>
      </c>
      <c r="I1599">
        <v>12.00096042</v>
      </c>
      <c r="J1599">
        <v>909</v>
      </c>
      <c r="K1599">
        <v>4.57</v>
      </c>
      <c r="M1599">
        <v>1.88</v>
      </c>
      <c r="O1599">
        <v>0.16800000000000001</v>
      </c>
      <c r="Q1599">
        <v>0.87</v>
      </c>
      <c r="R1599">
        <v>0.82</v>
      </c>
    </row>
    <row r="1600" spans="1:18" x14ac:dyDescent="0.2">
      <c r="A1600" t="s">
        <v>2921</v>
      </c>
      <c r="B1600" t="s">
        <v>2922</v>
      </c>
      <c r="C1600">
        <v>2016</v>
      </c>
      <c r="D1600">
        <v>1</v>
      </c>
      <c r="E1600" t="s">
        <v>55</v>
      </c>
      <c r="F1600" t="s">
        <v>128</v>
      </c>
      <c r="G1600" t="s">
        <v>63</v>
      </c>
      <c r="H1600">
        <v>1</v>
      </c>
      <c r="I1600">
        <v>1.91694425</v>
      </c>
      <c r="J1600">
        <v>455</v>
      </c>
      <c r="K1600">
        <v>4.37</v>
      </c>
      <c r="M1600">
        <v>0.79</v>
      </c>
      <c r="O1600">
        <v>7.0000000000000007E-2</v>
      </c>
      <c r="Q1600">
        <v>0.84</v>
      </c>
      <c r="R1600">
        <v>0.8</v>
      </c>
    </row>
    <row r="1601" spans="1:18" x14ac:dyDescent="0.2">
      <c r="A1601" t="s">
        <v>2923</v>
      </c>
      <c r="B1601" t="s">
        <v>2924</v>
      </c>
      <c r="C1601">
        <v>2016</v>
      </c>
      <c r="D1601">
        <v>1</v>
      </c>
      <c r="E1601" t="s">
        <v>55</v>
      </c>
      <c r="F1601" t="s">
        <v>128</v>
      </c>
      <c r="G1601" t="s">
        <v>63</v>
      </c>
      <c r="H1601">
        <v>1</v>
      </c>
      <c r="I1601">
        <v>16.301259000000002</v>
      </c>
      <c r="J1601">
        <v>455</v>
      </c>
      <c r="K1601">
        <v>3.63</v>
      </c>
      <c r="M1601">
        <v>1.22</v>
      </c>
      <c r="O1601">
        <v>0.109</v>
      </c>
      <c r="Q1601">
        <v>0.8</v>
      </c>
      <c r="R1601">
        <v>0.75</v>
      </c>
    </row>
    <row r="1602" spans="1:18" x14ac:dyDescent="0.2">
      <c r="A1602" t="s">
        <v>2925</v>
      </c>
      <c r="B1602" t="s">
        <v>2926</v>
      </c>
      <c r="C1602">
        <v>2016</v>
      </c>
      <c r="D1602">
        <v>1</v>
      </c>
      <c r="E1602" t="s">
        <v>55</v>
      </c>
      <c r="F1602" t="s">
        <v>128</v>
      </c>
      <c r="G1602" t="s">
        <v>63</v>
      </c>
      <c r="H1602">
        <v>1</v>
      </c>
      <c r="I1602">
        <v>13.323516010000001</v>
      </c>
      <c r="J1602">
        <v>578</v>
      </c>
      <c r="K1602">
        <v>2.34</v>
      </c>
      <c r="M1602">
        <v>1.33</v>
      </c>
      <c r="O1602">
        <v>0.11899999999999999</v>
      </c>
      <c r="Q1602">
        <v>1.18</v>
      </c>
      <c r="R1602">
        <v>1.22</v>
      </c>
    </row>
    <row r="1603" spans="1:18" x14ac:dyDescent="0.2">
      <c r="A1603" t="s">
        <v>2927</v>
      </c>
      <c r="B1603" t="s">
        <v>2928</v>
      </c>
      <c r="C1603">
        <v>2016</v>
      </c>
      <c r="D1603">
        <v>1</v>
      </c>
      <c r="E1603" t="s">
        <v>55</v>
      </c>
      <c r="F1603" t="s">
        <v>128</v>
      </c>
      <c r="G1603" t="s">
        <v>63</v>
      </c>
      <c r="H1603">
        <v>1</v>
      </c>
      <c r="I1603">
        <v>7.0107543400000001</v>
      </c>
      <c r="J1603">
        <v>1241</v>
      </c>
      <c r="K1603">
        <v>3.02</v>
      </c>
      <c r="M1603">
        <v>1.82</v>
      </c>
      <c r="O1603">
        <v>0.16200000000000001</v>
      </c>
      <c r="Q1603">
        <v>1.1299999999999999</v>
      </c>
      <c r="R1603">
        <v>1.19</v>
      </c>
    </row>
    <row r="1604" spans="1:18" x14ac:dyDescent="0.2">
      <c r="A1604" t="s">
        <v>2929</v>
      </c>
      <c r="B1604" t="s">
        <v>2930</v>
      </c>
      <c r="C1604">
        <v>2016</v>
      </c>
      <c r="D1604">
        <v>1</v>
      </c>
      <c r="E1604" t="s">
        <v>55</v>
      </c>
      <c r="F1604" t="s">
        <v>128</v>
      </c>
      <c r="G1604" t="s">
        <v>63</v>
      </c>
      <c r="H1604">
        <v>1</v>
      </c>
      <c r="I1604">
        <v>17.292345300000001</v>
      </c>
      <c r="J1604">
        <v>779</v>
      </c>
      <c r="K1604">
        <v>3.72</v>
      </c>
      <c r="M1604">
        <v>1.45</v>
      </c>
      <c r="O1604">
        <v>0.129</v>
      </c>
      <c r="Q1604">
        <v>1.02</v>
      </c>
      <c r="R1604">
        <v>1.02</v>
      </c>
    </row>
    <row r="1605" spans="1:18" x14ac:dyDescent="0.2">
      <c r="A1605" t="s">
        <v>2931</v>
      </c>
      <c r="B1605" t="s">
        <v>2932</v>
      </c>
      <c r="C1605">
        <v>2016</v>
      </c>
      <c r="D1605">
        <v>1</v>
      </c>
      <c r="E1605" t="s">
        <v>55</v>
      </c>
      <c r="F1605" t="s">
        <v>128</v>
      </c>
      <c r="G1605" t="s">
        <v>63</v>
      </c>
      <c r="H1605">
        <v>1</v>
      </c>
      <c r="I1605">
        <v>94.288757700000005</v>
      </c>
      <c r="J1605">
        <v>667</v>
      </c>
      <c r="K1605">
        <v>4.17</v>
      </c>
      <c r="M1605">
        <v>2.29</v>
      </c>
      <c r="O1605">
        <v>0.20399999999999999</v>
      </c>
      <c r="Q1605">
        <v>0.97</v>
      </c>
      <c r="R1605">
        <v>0.95</v>
      </c>
    </row>
    <row r="1606" spans="1:18" x14ac:dyDescent="0.2">
      <c r="A1606" t="s">
        <v>2933</v>
      </c>
      <c r="B1606" t="s">
        <v>2934</v>
      </c>
      <c r="C1606">
        <v>2016</v>
      </c>
      <c r="D1606">
        <v>1</v>
      </c>
      <c r="E1606" t="s">
        <v>55</v>
      </c>
      <c r="F1606" t="s">
        <v>128</v>
      </c>
      <c r="G1606" t="s">
        <v>63</v>
      </c>
      <c r="H1606">
        <v>1</v>
      </c>
      <c r="I1606">
        <v>0.57736958000000005</v>
      </c>
      <c r="J1606">
        <v>547</v>
      </c>
      <c r="K1606">
        <v>5.13</v>
      </c>
      <c r="M1606">
        <v>1.54</v>
      </c>
      <c r="O1606">
        <v>0.13700000000000001</v>
      </c>
      <c r="Q1606">
        <v>0.78</v>
      </c>
      <c r="R1606">
        <v>0.74</v>
      </c>
    </row>
    <row r="1607" spans="1:18" x14ac:dyDescent="0.2">
      <c r="A1607" t="s">
        <v>2935</v>
      </c>
      <c r="B1607" t="s">
        <v>2936</v>
      </c>
      <c r="C1607">
        <v>2016</v>
      </c>
      <c r="D1607">
        <v>1</v>
      </c>
      <c r="E1607" t="s">
        <v>55</v>
      </c>
      <c r="F1607" t="s">
        <v>128</v>
      </c>
      <c r="G1607" t="s">
        <v>63</v>
      </c>
      <c r="H1607">
        <v>1</v>
      </c>
      <c r="I1607">
        <v>86.828989000000007</v>
      </c>
      <c r="J1607">
        <v>236</v>
      </c>
      <c r="K1607">
        <v>3.72</v>
      </c>
      <c r="M1607">
        <v>1.4</v>
      </c>
      <c r="O1607">
        <v>0.125</v>
      </c>
      <c r="Q1607">
        <v>0.54</v>
      </c>
      <c r="R1607">
        <v>0.51</v>
      </c>
    </row>
    <row r="1608" spans="1:18" x14ac:dyDescent="0.2">
      <c r="A1608" t="s">
        <v>2937</v>
      </c>
      <c r="B1608" t="s">
        <v>2938</v>
      </c>
      <c r="C1608">
        <v>2014</v>
      </c>
      <c r="D1608">
        <v>1</v>
      </c>
      <c r="E1608" t="s">
        <v>55</v>
      </c>
      <c r="F1608" t="s">
        <v>128</v>
      </c>
      <c r="G1608" t="s">
        <v>63</v>
      </c>
      <c r="H1608">
        <v>2</v>
      </c>
      <c r="I1608">
        <v>17.232365999999999</v>
      </c>
      <c r="J1608">
        <v>934</v>
      </c>
      <c r="M1608">
        <v>2.94</v>
      </c>
      <c r="O1608">
        <v>0.26200000000000001</v>
      </c>
      <c r="R1608">
        <v>1.26</v>
      </c>
    </row>
    <row r="1609" spans="1:18" x14ac:dyDescent="0.2">
      <c r="A1609" t="s">
        <v>2937</v>
      </c>
      <c r="B1609" t="s">
        <v>2939</v>
      </c>
      <c r="C1609">
        <v>2014</v>
      </c>
      <c r="D1609">
        <v>1</v>
      </c>
      <c r="E1609" t="s">
        <v>55</v>
      </c>
      <c r="F1609" t="s">
        <v>128</v>
      </c>
      <c r="G1609" t="s">
        <v>63</v>
      </c>
      <c r="H1609">
        <v>2</v>
      </c>
      <c r="I1609">
        <v>26.695074000000002</v>
      </c>
      <c r="J1609">
        <v>934</v>
      </c>
      <c r="M1609">
        <v>1.48</v>
      </c>
      <c r="O1609">
        <v>0.13200000000000001</v>
      </c>
      <c r="R1609">
        <v>1.26</v>
      </c>
    </row>
    <row r="1610" spans="1:18" x14ac:dyDescent="0.2">
      <c r="A1610" t="s">
        <v>2940</v>
      </c>
      <c r="B1610" t="s">
        <v>2941</v>
      </c>
      <c r="C1610">
        <v>2016</v>
      </c>
      <c r="D1610">
        <v>1</v>
      </c>
      <c r="E1610" t="s">
        <v>55</v>
      </c>
      <c r="F1610" t="s">
        <v>128</v>
      </c>
      <c r="G1610" t="s">
        <v>63</v>
      </c>
      <c r="H1610">
        <v>1</v>
      </c>
      <c r="I1610">
        <v>9.9566153699999997</v>
      </c>
      <c r="J1610">
        <v>1433</v>
      </c>
      <c r="K1610">
        <v>3.47</v>
      </c>
      <c r="M1610">
        <v>2.71</v>
      </c>
      <c r="O1610">
        <v>0.24199999999999999</v>
      </c>
      <c r="Q1610">
        <v>1.06</v>
      </c>
      <c r="R1610">
        <v>1.08</v>
      </c>
    </row>
    <row r="1611" spans="1:18" x14ac:dyDescent="0.2">
      <c r="A1611" t="s">
        <v>2942</v>
      </c>
      <c r="B1611" t="s">
        <v>2943</v>
      </c>
      <c r="C1611">
        <v>2016</v>
      </c>
      <c r="D1611">
        <v>1</v>
      </c>
      <c r="E1611" t="s">
        <v>55</v>
      </c>
      <c r="F1611" t="s">
        <v>128</v>
      </c>
      <c r="G1611" t="s">
        <v>63</v>
      </c>
      <c r="H1611">
        <v>1</v>
      </c>
      <c r="I1611">
        <v>10.41725184</v>
      </c>
      <c r="J1611">
        <v>948</v>
      </c>
      <c r="K1611">
        <v>4.17</v>
      </c>
      <c r="M1611">
        <v>1.42</v>
      </c>
      <c r="O1611">
        <v>0.127</v>
      </c>
      <c r="Q1611">
        <v>1.01</v>
      </c>
      <c r="R1611">
        <v>1</v>
      </c>
    </row>
    <row r="1612" spans="1:18" x14ac:dyDescent="0.2">
      <c r="A1612" t="s">
        <v>2944</v>
      </c>
      <c r="B1612" t="s">
        <v>2945</v>
      </c>
      <c r="C1612">
        <v>2016</v>
      </c>
      <c r="D1612">
        <v>1</v>
      </c>
      <c r="E1612" t="s">
        <v>55</v>
      </c>
      <c r="F1612" t="s">
        <v>128</v>
      </c>
      <c r="G1612" t="s">
        <v>63</v>
      </c>
      <c r="H1612">
        <v>1</v>
      </c>
      <c r="I1612">
        <v>26.7839183</v>
      </c>
      <c r="J1612">
        <v>740</v>
      </c>
      <c r="K1612">
        <v>4.79</v>
      </c>
      <c r="M1612">
        <v>1.93</v>
      </c>
      <c r="O1612">
        <v>0.17199999999999999</v>
      </c>
      <c r="Q1612">
        <v>0.92</v>
      </c>
      <c r="R1612">
        <v>0.89</v>
      </c>
    </row>
    <row r="1613" spans="1:18" x14ac:dyDescent="0.2">
      <c r="A1613" t="s">
        <v>2946</v>
      </c>
      <c r="B1613" t="s">
        <v>2947</v>
      </c>
      <c r="C1613">
        <v>2016</v>
      </c>
      <c r="D1613">
        <v>1</v>
      </c>
      <c r="E1613" t="s">
        <v>55</v>
      </c>
      <c r="F1613" t="s">
        <v>128</v>
      </c>
      <c r="G1613" t="s">
        <v>63</v>
      </c>
      <c r="H1613">
        <v>1</v>
      </c>
      <c r="I1613">
        <v>45.1263042</v>
      </c>
      <c r="J1613">
        <v>1281</v>
      </c>
      <c r="K1613">
        <v>2.88</v>
      </c>
      <c r="M1613">
        <v>2.6</v>
      </c>
      <c r="O1613">
        <v>0.23200000000000001</v>
      </c>
      <c r="Q1613">
        <v>1.1599999999999999</v>
      </c>
      <c r="R1613">
        <v>1.25</v>
      </c>
    </row>
    <row r="1614" spans="1:18" x14ac:dyDescent="0.2">
      <c r="A1614" t="s">
        <v>2948</v>
      </c>
      <c r="B1614" t="s">
        <v>2949</v>
      </c>
      <c r="C1614">
        <v>2016</v>
      </c>
      <c r="D1614">
        <v>1</v>
      </c>
      <c r="E1614" t="s">
        <v>55</v>
      </c>
      <c r="F1614" t="s">
        <v>128</v>
      </c>
      <c r="G1614" t="s">
        <v>63</v>
      </c>
      <c r="H1614">
        <v>1</v>
      </c>
      <c r="I1614">
        <v>11.94014029</v>
      </c>
      <c r="J1614">
        <v>866</v>
      </c>
      <c r="K1614">
        <v>4.37</v>
      </c>
      <c r="M1614">
        <v>2.81</v>
      </c>
      <c r="O1614">
        <v>0.251</v>
      </c>
      <c r="Q1614">
        <v>0.8</v>
      </c>
      <c r="R1614">
        <v>0.76</v>
      </c>
    </row>
    <row r="1615" spans="1:18" x14ac:dyDescent="0.2">
      <c r="A1615" t="s">
        <v>2950</v>
      </c>
      <c r="B1615" t="s">
        <v>2951</v>
      </c>
      <c r="C1615">
        <v>2016</v>
      </c>
      <c r="D1615">
        <v>1</v>
      </c>
      <c r="E1615" t="s">
        <v>55</v>
      </c>
      <c r="F1615" t="s">
        <v>128</v>
      </c>
      <c r="G1615" t="s">
        <v>63</v>
      </c>
      <c r="H1615">
        <v>1</v>
      </c>
      <c r="I1615">
        <v>4.1605585600000001</v>
      </c>
      <c r="J1615">
        <v>533</v>
      </c>
      <c r="K1615">
        <v>4.57</v>
      </c>
      <c r="M1615">
        <v>0.79</v>
      </c>
      <c r="O1615">
        <v>7.0000000000000007E-2</v>
      </c>
      <c r="Q1615">
        <v>0.93</v>
      </c>
      <c r="R1615">
        <v>0.9</v>
      </c>
    </row>
    <row r="1616" spans="1:18" x14ac:dyDescent="0.2">
      <c r="A1616" t="s">
        <v>2952</v>
      </c>
      <c r="B1616" t="s">
        <v>2953</v>
      </c>
      <c r="C1616">
        <v>2016</v>
      </c>
      <c r="D1616">
        <v>1</v>
      </c>
      <c r="E1616" t="s">
        <v>55</v>
      </c>
      <c r="F1616" t="s">
        <v>128</v>
      </c>
      <c r="G1616" t="s">
        <v>63</v>
      </c>
      <c r="H1616">
        <v>1</v>
      </c>
      <c r="I1616">
        <v>31.057161799999999</v>
      </c>
      <c r="J1616">
        <v>1078</v>
      </c>
      <c r="K1616">
        <v>4.07</v>
      </c>
      <c r="M1616">
        <v>2.14</v>
      </c>
      <c r="O1616">
        <v>0.191</v>
      </c>
      <c r="Q1616">
        <v>0.86</v>
      </c>
      <c r="R1616">
        <v>0.82</v>
      </c>
    </row>
    <row r="1617" spans="1:18" x14ac:dyDescent="0.2">
      <c r="A1617" t="s">
        <v>2954</v>
      </c>
      <c r="B1617" t="s">
        <v>2955</v>
      </c>
      <c r="C1617">
        <v>2016</v>
      </c>
      <c r="D1617">
        <v>1</v>
      </c>
      <c r="E1617" t="s">
        <v>55</v>
      </c>
      <c r="F1617" t="s">
        <v>128</v>
      </c>
      <c r="G1617" t="s">
        <v>63</v>
      </c>
      <c r="H1617">
        <v>1</v>
      </c>
      <c r="I1617">
        <v>84.573322599999997</v>
      </c>
      <c r="J1617">
        <v>1121</v>
      </c>
      <c r="K1617">
        <v>4.57</v>
      </c>
      <c r="M1617">
        <v>2.86</v>
      </c>
      <c r="O1617">
        <v>0.255</v>
      </c>
      <c r="Q1617">
        <v>0.94</v>
      </c>
      <c r="R1617">
        <v>0.9</v>
      </c>
    </row>
    <row r="1618" spans="1:18" x14ac:dyDescent="0.2">
      <c r="A1618" t="s">
        <v>2956</v>
      </c>
      <c r="B1618" t="s">
        <v>2957</v>
      </c>
      <c r="C1618">
        <v>2016</v>
      </c>
      <c r="D1618">
        <v>1</v>
      </c>
      <c r="E1618" t="s">
        <v>55</v>
      </c>
      <c r="F1618" t="s">
        <v>128</v>
      </c>
      <c r="G1618" t="s">
        <v>63</v>
      </c>
      <c r="H1618">
        <v>1</v>
      </c>
      <c r="I1618">
        <v>4.1478755899999999</v>
      </c>
      <c r="J1618">
        <v>1533</v>
      </c>
      <c r="K1618">
        <v>2.14</v>
      </c>
      <c r="M1618">
        <v>1.93</v>
      </c>
      <c r="O1618">
        <v>0.17199999999999999</v>
      </c>
      <c r="Q1618">
        <v>1.3</v>
      </c>
      <c r="R1618">
        <v>1.48</v>
      </c>
    </row>
    <row r="1619" spans="1:18" x14ac:dyDescent="0.2">
      <c r="A1619" t="s">
        <v>2958</v>
      </c>
      <c r="B1619" t="s">
        <v>2959</v>
      </c>
      <c r="C1619">
        <v>2016</v>
      </c>
      <c r="D1619">
        <v>1</v>
      </c>
      <c r="E1619" t="s">
        <v>55</v>
      </c>
      <c r="F1619" t="s">
        <v>128</v>
      </c>
      <c r="G1619" t="s">
        <v>63</v>
      </c>
      <c r="H1619">
        <v>1</v>
      </c>
      <c r="I1619">
        <v>5.19104016</v>
      </c>
      <c r="J1619">
        <v>2511</v>
      </c>
      <c r="K1619">
        <v>1.62</v>
      </c>
      <c r="M1619">
        <v>2.9</v>
      </c>
      <c r="O1619">
        <v>0.25900000000000001</v>
      </c>
      <c r="Q1619">
        <v>1.4</v>
      </c>
      <c r="R1619">
        <v>1.57</v>
      </c>
    </row>
    <row r="1620" spans="1:18" x14ac:dyDescent="0.2">
      <c r="A1620" t="s">
        <v>2960</v>
      </c>
      <c r="B1620" t="s">
        <v>2961</v>
      </c>
      <c r="C1620">
        <v>2014</v>
      </c>
      <c r="D1620">
        <v>1</v>
      </c>
      <c r="E1620" t="s">
        <v>55</v>
      </c>
      <c r="F1620" t="s">
        <v>128</v>
      </c>
      <c r="G1620" t="s">
        <v>63</v>
      </c>
      <c r="H1620">
        <v>3</v>
      </c>
      <c r="I1620">
        <v>3.4104930000000002</v>
      </c>
      <c r="J1620">
        <v>383</v>
      </c>
      <c r="M1620">
        <v>0.73</v>
      </c>
      <c r="O1620">
        <v>6.5000000000000002E-2</v>
      </c>
      <c r="R1620">
        <v>0.64</v>
      </c>
    </row>
    <row r="1621" spans="1:18" x14ac:dyDescent="0.2">
      <c r="A1621" t="s">
        <v>2960</v>
      </c>
      <c r="B1621" t="s">
        <v>2962</v>
      </c>
      <c r="C1621">
        <v>2014</v>
      </c>
      <c r="D1621">
        <v>1</v>
      </c>
      <c r="E1621" t="s">
        <v>55</v>
      </c>
      <c r="F1621" t="s">
        <v>128</v>
      </c>
      <c r="G1621" t="s">
        <v>63</v>
      </c>
      <c r="H1621">
        <v>3</v>
      </c>
      <c r="I1621">
        <v>13.821375</v>
      </c>
      <c r="J1621">
        <v>383</v>
      </c>
      <c r="M1621">
        <v>1.75</v>
      </c>
      <c r="O1621">
        <v>0.156</v>
      </c>
      <c r="R1621">
        <v>0.64</v>
      </c>
    </row>
    <row r="1622" spans="1:18" x14ac:dyDescent="0.2">
      <c r="A1622" t="s">
        <v>2960</v>
      </c>
      <c r="B1622" t="s">
        <v>2963</v>
      </c>
      <c r="C1622">
        <v>2014</v>
      </c>
      <c r="D1622">
        <v>1</v>
      </c>
      <c r="E1622" t="s">
        <v>55</v>
      </c>
      <c r="F1622" t="s">
        <v>128</v>
      </c>
      <c r="G1622" t="s">
        <v>63</v>
      </c>
      <c r="H1622">
        <v>3</v>
      </c>
      <c r="I1622">
        <v>30.950851</v>
      </c>
      <c r="J1622">
        <v>383</v>
      </c>
      <c r="M1622">
        <v>1.1100000000000001</v>
      </c>
      <c r="O1622">
        <v>9.9000000000000005E-2</v>
      </c>
      <c r="R1622">
        <v>0.64</v>
      </c>
    </row>
    <row r="1623" spans="1:18" x14ac:dyDescent="0.2">
      <c r="A1623" t="s">
        <v>2964</v>
      </c>
      <c r="B1623" t="s">
        <v>2965</v>
      </c>
      <c r="C1623">
        <v>2016</v>
      </c>
      <c r="D1623">
        <v>1</v>
      </c>
      <c r="E1623" t="s">
        <v>55</v>
      </c>
      <c r="F1623" t="s">
        <v>128</v>
      </c>
      <c r="G1623" t="s">
        <v>63</v>
      </c>
      <c r="H1623">
        <v>1</v>
      </c>
      <c r="I1623">
        <v>4.8663815000000001</v>
      </c>
      <c r="J1623">
        <v>614</v>
      </c>
      <c r="K1623">
        <v>4.07</v>
      </c>
      <c r="M1623">
        <v>1.1499999999999999</v>
      </c>
      <c r="O1623">
        <v>0.10299999999999999</v>
      </c>
      <c r="Q1623">
        <v>0.98</v>
      </c>
      <c r="R1623">
        <v>0.96</v>
      </c>
    </row>
    <row r="1624" spans="1:18" x14ac:dyDescent="0.2">
      <c r="A1624" t="s">
        <v>2966</v>
      </c>
      <c r="B1624" t="s">
        <v>2967</v>
      </c>
      <c r="C1624">
        <v>2016</v>
      </c>
      <c r="D1624">
        <v>1</v>
      </c>
      <c r="E1624" t="s">
        <v>55</v>
      </c>
      <c r="F1624" t="s">
        <v>128</v>
      </c>
      <c r="G1624" t="s">
        <v>63</v>
      </c>
      <c r="H1624">
        <v>1</v>
      </c>
      <c r="I1624">
        <v>18.552570100000001</v>
      </c>
      <c r="J1624">
        <v>936</v>
      </c>
      <c r="K1624">
        <v>4.68</v>
      </c>
      <c r="M1624">
        <v>2.63</v>
      </c>
      <c r="O1624">
        <v>0.23499999999999999</v>
      </c>
      <c r="Q1624">
        <v>0.84</v>
      </c>
      <c r="R1624">
        <v>0.8</v>
      </c>
    </row>
    <row r="1625" spans="1:18" x14ac:dyDescent="0.2">
      <c r="A1625" t="s">
        <v>2968</v>
      </c>
      <c r="B1625" t="s">
        <v>2969</v>
      </c>
      <c r="C1625">
        <v>2016</v>
      </c>
      <c r="D1625">
        <v>1</v>
      </c>
      <c r="E1625" t="s">
        <v>55</v>
      </c>
      <c r="F1625" t="s">
        <v>128</v>
      </c>
      <c r="G1625" t="s">
        <v>63</v>
      </c>
      <c r="H1625">
        <v>1</v>
      </c>
      <c r="I1625">
        <v>13.627984319999999</v>
      </c>
      <c r="J1625">
        <v>682</v>
      </c>
      <c r="K1625">
        <v>5.62</v>
      </c>
      <c r="M1625">
        <v>2.2599999999999998</v>
      </c>
      <c r="O1625">
        <v>0.20200000000000001</v>
      </c>
      <c r="Q1625">
        <v>0.77</v>
      </c>
      <c r="R1625">
        <v>0.74</v>
      </c>
    </row>
    <row r="1626" spans="1:18" x14ac:dyDescent="0.2">
      <c r="A1626" t="s">
        <v>2970</v>
      </c>
      <c r="B1626" t="s">
        <v>2971</v>
      </c>
      <c r="C1626">
        <v>2016</v>
      </c>
      <c r="D1626">
        <v>1</v>
      </c>
      <c r="E1626" t="s">
        <v>55</v>
      </c>
      <c r="F1626" t="s">
        <v>128</v>
      </c>
      <c r="G1626" t="s">
        <v>63</v>
      </c>
      <c r="H1626">
        <v>1</v>
      </c>
      <c r="I1626">
        <v>16.8320729</v>
      </c>
      <c r="J1626">
        <v>877</v>
      </c>
      <c r="K1626">
        <v>4.37</v>
      </c>
      <c r="M1626">
        <v>1.75</v>
      </c>
      <c r="O1626">
        <v>0.156</v>
      </c>
      <c r="Q1626">
        <v>0.96</v>
      </c>
      <c r="R1626">
        <v>0.94</v>
      </c>
    </row>
    <row r="1627" spans="1:18" x14ac:dyDescent="0.2">
      <c r="A1627" t="s">
        <v>2972</v>
      </c>
      <c r="B1627" t="s">
        <v>2973</v>
      </c>
      <c r="C1627">
        <v>2016</v>
      </c>
      <c r="D1627">
        <v>1</v>
      </c>
      <c r="E1627" t="s">
        <v>55</v>
      </c>
      <c r="F1627" t="s">
        <v>128</v>
      </c>
      <c r="G1627" t="s">
        <v>63</v>
      </c>
      <c r="H1627">
        <v>1</v>
      </c>
      <c r="I1627">
        <v>3.70428172</v>
      </c>
      <c r="J1627">
        <v>764</v>
      </c>
      <c r="K1627">
        <v>1.7</v>
      </c>
      <c r="M1627">
        <v>1.35</v>
      </c>
      <c r="O1627">
        <v>0.12</v>
      </c>
      <c r="Q1627">
        <v>1.46</v>
      </c>
      <c r="R1627">
        <v>1.77</v>
      </c>
    </row>
    <row r="1628" spans="1:18" x14ac:dyDescent="0.2">
      <c r="A1628" t="s">
        <v>2974</v>
      </c>
      <c r="B1628" t="s">
        <v>2975</v>
      </c>
      <c r="C1628">
        <v>2016</v>
      </c>
      <c r="D1628">
        <v>1</v>
      </c>
      <c r="E1628" t="s">
        <v>55</v>
      </c>
      <c r="F1628" t="s">
        <v>128</v>
      </c>
      <c r="G1628" t="s">
        <v>63</v>
      </c>
      <c r="H1628">
        <v>2</v>
      </c>
      <c r="I1628">
        <v>4.3540930400000004</v>
      </c>
      <c r="J1628">
        <v>861</v>
      </c>
      <c r="K1628">
        <v>4.57</v>
      </c>
      <c r="M1628">
        <v>1.44</v>
      </c>
      <c r="O1628">
        <v>0.128</v>
      </c>
      <c r="Q1628">
        <v>0.86</v>
      </c>
      <c r="R1628">
        <v>0.83</v>
      </c>
    </row>
    <row r="1629" spans="1:18" x14ac:dyDescent="0.2">
      <c r="A1629" t="s">
        <v>2974</v>
      </c>
      <c r="B1629" t="s">
        <v>2976</v>
      </c>
      <c r="C1629">
        <v>2016</v>
      </c>
      <c r="D1629">
        <v>1</v>
      </c>
      <c r="E1629" t="s">
        <v>55</v>
      </c>
      <c r="F1629" t="s">
        <v>128</v>
      </c>
      <c r="G1629" t="s">
        <v>63</v>
      </c>
      <c r="H1629">
        <v>2</v>
      </c>
      <c r="I1629">
        <v>2.9365846800000002</v>
      </c>
      <c r="J1629">
        <v>861</v>
      </c>
      <c r="K1629">
        <v>4.57</v>
      </c>
      <c r="M1629">
        <v>1.44</v>
      </c>
      <c r="O1629">
        <v>0.128</v>
      </c>
      <c r="Q1629">
        <v>0.86</v>
      </c>
      <c r="R1629">
        <v>0.83</v>
      </c>
    </row>
    <row r="1630" spans="1:18" x14ac:dyDescent="0.2">
      <c r="A1630" t="s">
        <v>2977</v>
      </c>
      <c r="B1630" t="s">
        <v>2978</v>
      </c>
      <c r="C1630">
        <v>2016</v>
      </c>
      <c r="D1630">
        <v>1</v>
      </c>
      <c r="E1630" t="s">
        <v>55</v>
      </c>
      <c r="F1630" t="s">
        <v>128</v>
      </c>
      <c r="G1630" t="s">
        <v>63</v>
      </c>
      <c r="H1630">
        <v>1</v>
      </c>
      <c r="I1630">
        <v>11.322715130000001</v>
      </c>
      <c r="J1630">
        <v>435</v>
      </c>
      <c r="K1630">
        <v>3.89</v>
      </c>
      <c r="M1630">
        <v>1.36</v>
      </c>
      <c r="O1630">
        <v>0.121</v>
      </c>
      <c r="Q1630">
        <v>0.73</v>
      </c>
      <c r="R1630">
        <v>0.69</v>
      </c>
    </row>
    <row r="1631" spans="1:18" x14ac:dyDescent="0.2">
      <c r="A1631" t="s">
        <v>2979</v>
      </c>
      <c r="B1631" t="s">
        <v>2980</v>
      </c>
      <c r="C1631">
        <v>2016</v>
      </c>
      <c r="D1631">
        <v>1</v>
      </c>
      <c r="E1631" t="s">
        <v>55</v>
      </c>
      <c r="F1631" t="s">
        <v>128</v>
      </c>
      <c r="G1631" t="s">
        <v>63</v>
      </c>
      <c r="H1631">
        <v>1</v>
      </c>
      <c r="I1631">
        <v>13.71220213</v>
      </c>
      <c r="J1631">
        <v>1094</v>
      </c>
      <c r="K1631">
        <v>4.68</v>
      </c>
      <c r="M1631">
        <v>2.33</v>
      </c>
      <c r="O1631">
        <v>0.20799999999999999</v>
      </c>
      <c r="Q1631">
        <v>0.86</v>
      </c>
      <c r="R1631">
        <v>0.82</v>
      </c>
    </row>
    <row r="1632" spans="1:18" x14ac:dyDescent="0.2">
      <c r="A1632" t="s">
        <v>2981</v>
      </c>
      <c r="B1632" t="s">
        <v>2982</v>
      </c>
      <c r="C1632">
        <v>2016</v>
      </c>
      <c r="D1632">
        <v>1</v>
      </c>
      <c r="E1632" t="s">
        <v>55</v>
      </c>
      <c r="F1632" t="s">
        <v>128</v>
      </c>
      <c r="G1632" t="s">
        <v>63</v>
      </c>
      <c r="H1632">
        <v>1</v>
      </c>
      <c r="I1632">
        <v>7.4672540700000001</v>
      </c>
      <c r="J1632">
        <v>540</v>
      </c>
      <c r="K1632">
        <v>1.51</v>
      </c>
      <c r="M1632">
        <v>1.18</v>
      </c>
      <c r="O1632">
        <v>0.105</v>
      </c>
      <c r="Q1632">
        <v>1.21</v>
      </c>
      <c r="R1632">
        <v>1.21</v>
      </c>
    </row>
    <row r="1633" spans="1:18" x14ac:dyDescent="0.2">
      <c r="A1633" t="s">
        <v>2983</v>
      </c>
      <c r="B1633" t="s">
        <v>2984</v>
      </c>
      <c r="C1633">
        <v>2016</v>
      </c>
      <c r="D1633">
        <v>1</v>
      </c>
      <c r="E1633" t="s">
        <v>55</v>
      </c>
      <c r="F1633" t="s">
        <v>128</v>
      </c>
      <c r="G1633" t="s">
        <v>63</v>
      </c>
      <c r="H1633">
        <v>1</v>
      </c>
      <c r="I1633">
        <v>24.334712700000001</v>
      </c>
      <c r="J1633">
        <v>1674</v>
      </c>
      <c r="K1633">
        <v>2.82</v>
      </c>
      <c r="M1633">
        <v>2.38</v>
      </c>
      <c r="O1633">
        <v>0.21199999999999999</v>
      </c>
      <c r="Q1633">
        <v>1.19</v>
      </c>
      <c r="R1633">
        <v>1.28</v>
      </c>
    </row>
    <row r="1634" spans="1:18" x14ac:dyDescent="0.2">
      <c r="A1634" t="s">
        <v>2985</v>
      </c>
      <c r="B1634" t="s">
        <v>2986</v>
      </c>
      <c r="C1634">
        <v>2014</v>
      </c>
      <c r="D1634">
        <v>1</v>
      </c>
      <c r="E1634" t="s">
        <v>55</v>
      </c>
      <c r="F1634" t="s">
        <v>128</v>
      </c>
      <c r="G1634" t="s">
        <v>63</v>
      </c>
      <c r="H1634">
        <v>2</v>
      </c>
      <c r="I1634">
        <v>4.1643889999999999</v>
      </c>
      <c r="J1634">
        <v>171</v>
      </c>
      <c r="M1634">
        <v>2.37</v>
      </c>
      <c r="O1634">
        <v>0.21099999999999999</v>
      </c>
      <c r="R1634">
        <v>0.51</v>
      </c>
    </row>
    <row r="1635" spans="1:18" x14ac:dyDescent="0.2">
      <c r="A1635" t="s">
        <v>2985</v>
      </c>
      <c r="B1635" t="s">
        <v>2987</v>
      </c>
      <c r="C1635">
        <v>2014</v>
      </c>
      <c r="D1635">
        <v>1</v>
      </c>
      <c r="E1635" t="s">
        <v>55</v>
      </c>
      <c r="F1635" t="s">
        <v>128</v>
      </c>
      <c r="G1635" t="s">
        <v>63</v>
      </c>
      <c r="H1635">
        <v>2</v>
      </c>
      <c r="I1635">
        <v>5.774464</v>
      </c>
      <c r="J1635">
        <v>171</v>
      </c>
      <c r="M1635">
        <v>0.74</v>
      </c>
      <c r="O1635">
        <v>6.6000000000000003E-2</v>
      </c>
      <c r="R1635">
        <v>0.51</v>
      </c>
    </row>
    <row r="1636" spans="1:18" x14ac:dyDescent="0.2">
      <c r="A1636" t="s">
        <v>2988</v>
      </c>
      <c r="B1636" t="s">
        <v>2989</v>
      </c>
      <c r="C1636">
        <v>2016</v>
      </c>
      <c r="D1636">
        <v>1</v>
      </c>
      <c r="E1636" t="s">
        <v>55</v>
      </c>
      <c r="F1636" t="s">
        <v>128</v>
      </c>
      <c r="G1636" t="s">
        <v>63</v>
      </c>
      <c r="H1636">
        <v>1</v>
      </c>
      <c r="I1636">
        <v>2.60754383</v>
      </c>
      <c r="J1636">
        <v>1371</v>
      </c>
      <c r="K1636">
        <v>4.57</v>
      </c>
      <c r="M1636">
        <v>1.92</v>
      </c>
      <c r="O1636">
        <v>0.17100000000000001</v>
      </c>
      <c r="Q1636">
        <v>0.99</v>
      </c>
      <c r="R1636">
        <v>0.98</v>
      </c>
    </row>
    <row r="1637" spans="1:18" x14ac:dyDescent="0.2">
      <c r="A1637" t="s">
        <v>2990</v>
      </c>
      <c r="B1637" t="s">
        <v>2991</v>
      </c>
      <c r="C1637">
        <v>2016</v>
      </c>
      <c r="D1637">
        <v>1</v>
      </c>
      <c r="E1637" t="s">
        <v>55</v>
      </c>
      <c r="F1637" t="s">
        <v>128</v>
      </c>
      <c r="G1637" t="s">
        <v>63</v>
      </c>
      <c r="H1637">
        <v>1</v>
      </c>
      <c r="I1637">
        <v>45.090464300000001</v>
      </c>
      <c r="J1637">
        <v>863</v>
      </c>
      <c r="K1637">
        <v>4.79</v>
      </c>
      <c r="M1637">
        <v>1.84</v>
      </c>
      <c r="O1637">
        <v>0.16400000000000001</v>
      </c>
      <c r="Q1637">
        <v>0.92</v>
      </c>
      <c r="R1637">
        <v>0.89</v>
      </c>
    </row>
    <row r="1638" spans="1:18" x14ac:dyDescent="0.2">
      <c r="A1638" t="s">
        <v>2992</v>
      </c>
      <c r="B1638" t="s">
        <v>2993</v>
      </c>
      <c r="C1638">
        <v>2016</v>
      </c>
      <c r="D1638">
        <v>1</v>
      </c>
      <c r="E1638" t="s">
        <v>55</v>
      </c>
      <c r="F1638" t="s">
        <v>128</v>
      </c>
      <c r="G1638" t="s">
        <v>63</v>
      </c>
      <c r="H1638">
        <v>1</v>
      </c>
      <c r="I1638">
        <v>15.054032899999999</v>
      </c>
      <c r="J1638">
        <v>828</v>
      </c>
      <c r="K1638">
        <v>3.89</v>
      </c>
      <c r="M1638">
        <v>1.67</v>
      </c>
      <c r="O1638">
        <v>0.14899999999999999</v>
      </c>
      <c r="Q1638">
        <v>1.06</v>
      </c>
      <c r="R1638">
        <v>1.0900000000000001</v>
      </c>
    </row>
    <row r="1639" spans="1:18" x14ac:dyDescent="0.2">
      <c r="A1639" t="s">
        <v>2994</v>
      </c>
      <c r="B1639" t="s">
        <v>2995</v>
      </c>
      <c r="C1639">
        <v>2016</v>
      </c>
      <c r="D1639">
        <v>1</v>
      </c>
      <c r="E1639" t="s">
        <v>55</v>
      </c>
      <c r="F1639" t="s">
        <v>128</v>
      </c>
      <c r="G1639" t="s">
        <v>63</v>
      </c>
      <c r="H1639">
        <v>1</v>
      </c>
      <c r="I1639">
        <v>68.886191499999995</v>
      </c>
      <c r="J1639">
        <v>390</v>
      </c>
      <c r="K1639">
        <v>7.08</v>
      </c>
      <c r="M1639">
        <v>1.33</v>
      </c>
      <c r="O1639">
        <v>0.11899999999999999</v>
      </c>
      <c r="Q1639">
        <v>0.97</v>
      </c>
      <c r="R1639">
        <v>1.1000000000000001</v>
      </c>
    </row>
    <row r="1640" spans="1:18" x14ac:dyDescent="0.2">
      <c r="A1640" t="s">
        <v>2996</v>
      </c>
      <c r="B1640" t="s">
        <v>2997</v>
      </c>
      <c r="C1640">
        <v>2016</v>
      </c>
      <c r="D1640">
        <v>1</v>
      </c>
      <c r="E1640" t="s">
        <v>55</v>
      </c>
      <c r="F1640" t="s">
        <v>128</v>
      </c>
      <c r="G1640" t="s">
        <v>63</v>
      </c>
      <c r="H1640">
        <v>3</v>
      </c>
      <c r="I1640">
        <v>9.9911331299999997</v>
      </c>
      <c r="J1640">
        <v>676</v>
      </c>
      <c r="K1640">
        <v>5.62</v>
      </c>
      <c r="M1640">
        <v>1.55</v>
      </c>
      <c r="O1640">
        <v>0.13800000000000001</v>
      </c>
      <c r="Q1640">
        <v>0.78</v>
      </c>
      <c r="R1640">
        <v>0.75</v>
      </c>
    </row>
    <row r="1641" spans="1:18" x14ac:dyDescent="0.2">
      <c r="A1641" t="s">
        <v>2996</v>
      </c>
      <c r="B1641" t="s">
        <v>2998</v>
      </c>
      <c r="C1641">
        <v>2016</v>
      </c>
      <c r="D1641">
        <v>1</v>
      </c>
      <c r="E1641" t="s">
        <v>55</v>
      </c>
      <c r="F1641" t="s">
        <v>128</v>
      </c>
      <c r="G1641" t="s">
        <v>63</v>
      </c>
      <c r="H1641">
        <v>3</v>
      </c>
      <c r="I1641">
        <v>3.6008427599999999</v>
      </c>
      <c r="J1641">
        <v>676</v>
      </c>
      <c r="K1641">
        <v>5.62</v>
      </c>
      <c r="M1641">
        <v>1.3</v>
      </c>
      <c r="O1641">
        <v>0.11600000000000001</v>
      </c>
      <c r="Q1641">
        <v>0.78</v>
      </c>
      <c r="R1641">
        <v>0.75</v>
      </c>
    </row>
    <row r="1642" spans="1:18" x14ac:dyDescent="0.2">
      <c r="A1642" t="s">
        <v>2996</v>
      </c>
      <c r="B1642" t="s">
        <v>2999</v>
      </c>
      <c r="C1642">
        <v>2016</v>
      </c>
      <c r="D1642">
        <v>1</v>
      </c>
      <c r="E1642" t="s">
        <v>55</v>
      </c>
      <c r="F1642" t="s">
        <v>128</v>
      </c>
      <c r="G1642" t="s">
        <v>63</v>
      </c>
      <c r="H1642">
        <v>3</v>
      </c>
      <c r="I1642">
        <v>5.7271722599999997</v>
      </c>
      <c r="J1642">
        <v>676</v>
      </c>
      <c r="K1642">
        <v>5.62</v>
      </c>
      <c r="M1642">
        <v>1.31</v>
      </c>
      <c r="O1642">
        <v>0.11700000000000001</v>
      </c>
      <c r="Q1642">
        <v>0.78</v>
      </c>
      <c r="R1642">
        <v>0.75</v>
      </c>
    </row>
    <row r="1643" spans="1:18" x14ac:dyDescent="0.2">
      <c r="A1643" t="s">
        <v>3000</v>
      </c>
      <c r="B1643" t="s">
        <v>3001</v>
      </c>
      <c r="C1643">
        <v>2016</v>
      </c>
      <c r="D1643">
        <v>1</v>
      </c>
      <c r="E1643" t="s">
        <v>55</v>
      </c>
      <c r="F1643" t="s">
        <v>128</v>
      </c>
      <c r="G1643" t="s">
        <v>63</v>
      </c>
      <c r="H1643">
        <v>1</v>
      </c>
      <c r="I1643">
        <v>36.2919336</v>
      </c>
      <c r="J1643">
        <v>1344</v>
      </c>
      <c r="K1643">
        <v>3.55</v>
      </c>
      <c r="M1643">
        <v>2.3199999999999998</v>
      </c>
      <c r="O1643">
        <v>0.20699999999999999</v>
      </c>
      <c r="Q1643">
        <v>1.08</v>
      </c>
      <c r="R1643">
        <v>1.1200000000000001</v>
      </c>
    </row>
    <row r="1644" spans="1:18" x14ac:dyDescent="0.2">
      <c r="A1644" t="s">
        <v>3002</v>
      </c>
      <c r="B1644" t="s">
        <v>3003</v>
      </c>
      <c r="C1644">
        <v>2016</v>
      </c>
      <c r="D1644">
        <v>1</v>
      </c>
      <c r="E1644" t="s">
        <v>55</v>
      </c>
      <c r="F1644" t="s">
        <v>128</v>
      </c>
      <c r="G1644" t="s">
        <v>63</v>
      </c>
      <c r="H1644">
        <v>1</v>
      </c>
      <c r="I1644">
        <v>12.412775399999999</v>
      </c>
      <c r="J1644">
        <v>862</v>
      </c>
      <c r="K1644">
        <v>3.72</v>
      </c>
      <c r="M1644">
        <v>1.49</v>
      </c>
      <c r="O1644">
        <v>0.13300000000000001</v>
      </c>
      <c r="Q1644">
        <v>1.17</v>
      </c>
      <c r="R1644">
        <v>1.36</v>
      </c>
    </row>
    <row r="1645" spans="1:18" x14ac:dyDescent="0.2">
      <c r="A1645" t="s">
        <v>3004</v>
      </c>
      <c r="B1645" t="s">
        <v>3005</v>
      </c>
      <c r="C1645">
        <v>2016</v>
      </c>
      <c r="D1645">
        <v>1</v>
      </c>
      <c r="E1645" t="s">
        <v>55</v>
      </c>
      <c r="F1645" t="s">
        <v>128</v>
      </c>
      <c r="G1645" t="s">
        <v>63</v>
      </c>
      <c r="H1645">
        <v>1</v>
      </c>
      <c r="I1645">
        <v>2.6683137600000002</v>
      </c>
      <c r="J1645">
        <v>1081</v>
      </c>
      <c r="K1645">
        <v>4.37</v>
      </c>
      <c r="M1645">
        <v>1.52</v>
      </c>
      <c r="O1645">
        <v>0.13600000000000001</v>
      </c>
      <c r="Q1645">
        <v>0.9</v>
      </c>
      <c r="R1645">
        <v>0.87</v>
      </c>
    </row>
    <row r="1646" spans="1:18" x14ac:dyDescent="0.2">
      <c r="A1646" t="s">
        <v>3006</v>
      </c>
      <c r="B1646" t="s">
        <v>3007</v>
      </c>
      <c r="C1646">
        <v>2016</v>
      </c>
      <c r="D1646">
        <v>1</v>
      </c>
      <c r="E1646" t="s">
        <v>55</v>
      </c>
      <c r="F1646" t="s">
        <v>128</v>
      </c>
      <c r="G1646" t="s">
        <v>63</v>
      </c>
      <c r="H1646">
        <v>1</v>
      </c>
      <c r="I1646">
        <v>0.98494017</v>
      </c>
      <c r="J1646">
        <v>651</v>
      </c>
      <c r="K1646">
        <v>3.89</v>
      </c>
      <c r="M1646">
        <v>0.86</v>
      </c>
      <c r="O1646">
        <v>7.6999999999999999E-2</v>
      </c>
      <c r="Q1646">
        <v>0.99</v>
      </c>
      <c r="R1646">
        <v>0.99</v>
      </c>
    </row>
    <row r="1647" spans="1:18" x14ac:dyDescent="0.2">
      <c r="A1647" t="s">
        <v>3008</v>
      </c>
      <c r="B1647" t="s">
        <v>3009</v>
      </c>
      <c r="C1647">
        <v>2016</v>
      </c>
      <c r="D1647">
        <v>1</v>
      </c>
      <c r="E1647" t="s">
        <v>55</v>
      </c>
      <c r="F1647" t="s">
        <v>128</v>
      </c>
      <c r="G1647" t="s">
        <v>63</v>
      </c>
      <c r="H1647">
        <v>1</v>
      </c>
      <c r="I1647">
        <v>0.66308526000000001</v>
      </c>
      <c r="J1647">
        <v>704</v>
      </c>
      <c r="K1647">
        <v>5.25</v>
      </c>
      <c r="M1647">
        <v>1.43</v>
      </c>
      <c r="O1647">
        <v>0.128</v>
      </c>
      <c r="Q1647">
        <v>0.8</v>
      </c>
      <c r="R1647">
        <v>0.77</v>
      </c>
    </row>
    <row r="1648" spans="1:18" x14ac:dyDescent="0.2">
      <c r="A1648" t="s">
        <v>3010</v>
      </c>
      <c r="B1648" t="s">
        <v>3011</v>
      </c>
      <c r="C1648">
        <v>2014</v>
      </c>
      <c r="D1648">
        <v>1</v>
      </c>
      <c r="E1648" t="s">
        <v>55</v>
      </c>
      <c r="F1648" t="s">
        <v>128</v>
      </c>
      <c r="G1648" t="s">
        <v>63</v>
      </c>
      <c r="H1648">
        <v>3</v>
      </c>
      <c r="I1648">
        <v>10.495711</v>
      </c>
      <c r="J1648">
        <v>231</v>
      </c>
      <c r="M1648">
        <v>1.52</v>
      </c>
      <c r="O1648">
        <v>0.13600000000000001</v>
      </c>
      <c r="R1648">
        <v>1.36</v>
      </c>
    </row>
    <row r="1649" spans="1:18" x14ac:dyDescent="0.2">
      <c r="A1649" t="s">
        <v>3010</v>
      </c>
      <c r="B1649" t="s">
        <v>3012</v>
      </c>
      <c r="C1649">
        <v>2014</v>
      </c>
      <c r="D1649">
        <v>1</v>
      </c>
      <c r="E1649" t="s">
        <v>55</v>
      </c>
      <c r="F1649" t="s">
        <v>128</v>
      </c>
      <c r="G1649" t="s">
        <v>63</v>
      </c>
      <c r="H1649">
        <v>3</v>
      </c>
      <c r="I1649">
        <v>21.869741000000001</v>
      </c>
      <c r="J1649">
        <v>231</v>
      </c>
      <c r="M1649">
        <v>1.58</v>
      </c>
      <c r="O1649">
        <v>0.14099999999999999</v>
      </c>
      <c r="R1649">
        <v>1.36</v>
      </c>
    </row>
    <row r="1650" spans="1:18" x14ac:dyDescent="0.2">
      <c r="A1650" t="s">
        <v>3010</v>
      </c>
      <c r="B1650" t="s">
        <v>3013</v>
      </c>
      <c r="C1650">
        <v>2014</v>
      </c>
      <c r="D1650">
        <v>1</v>
      </c>
      <c r="E1650" t="s">
        <v>55</v>
      </c>
      <c r="F1650" t="s">
        <v>128</v>
      </c>
      <c r="G1650" t="s">
        <v>63</v>
      </c>
      <c r="H1650">
        <v>3</v>
      </c>
      <c r="I1650">
        <v>100.283134</v>
      </c>
      <c r="J1650">
        <v>231</v>
      </c>
      <c r="M1650">
        <v>2.5</v>
      </c>
      <c r="O1650">
        <v>0.223</v>
      </c>
      <c r="R1650">
        <v>1.36</v>
      </c>
    </row>
    <row r="1651" spans="1:18" x14ac:dyDescent="0.2">
      <c r="A1651" t="s">
        <v>3014</v>
      </c>
      <c r="B1651" t="s">
        <v>3015</v>
      </c>
      <c r="C1651">
        <v>2016</v>
      </c>
      <c r="D1651">
        <v>1</v>
      </c>
      <c r="E1651" t="s">
        <v>55</v>
      </c>
      <c r="F1651" t="s">
        <v>128</v>
      </c>
      <c r="G1651" t="s">
        <v>63</v>
      </c>
      <c r="H1651">
        <v>1</v>
      </c>
      <c r="I1651">
        <v>19.118775299999999</v>
      </c>
      <c r="J1651">
        <v>1041</v>
      </c>
      <c r="K1651">
        <v>3.8</v>
      </c>
      <c r="M1651">
        <v>1.77</v>
      </c>
      <c r="O1651">
        <v>0.158</v>
      </c>
      <c r="Q1651">
        <v>1.06</v>
      </c>
      <c r="R1651">
        <v>1.08</v>
      </c>
    </row>
    <row r="1652" spans="1:18" x14ac:dyDescent="0.2">
      <c r="A1652" t="s">
        <v>3016</v>
      </c>
      <c r="B1652" t="s">
        <v>3017</v>
      </c>
      <c r="C1652">
        <v>2016</v>
      </c>
      <c r="D1652">
        <v>1</v>
      </c>
      <c r="E1652" t="s">
        <v>55</v>
      </c>
      <c r="F1652" t="s">
        <v>128</v>
      </c>
      <c r="G1652" t="s">
        <v>63</v>
      </c>
      <c r="H1652">
        <v>1</v>
      </c>
      <c r="I1652">
        <v>48.430899099999998</v>
      </c>
      <c r="J1652">
        <v>795</v>
      </c>
      <c r="K1652">
        <v>4.47</v>
      </c>
      <c r="M1652">
        <v>2.2599999999999998</v>
      </c>
      <c r="O1652">
        <v>0.20200000000000001</v>
      </c>
      <c r="Q1652">
        <v>0.82</v>
      </c>
      <c r="R1652">
        <v>0.77</v>
      </c>
    </row>
    <row r="1653" spans="1:18" x14ac:dyDescent="0.2">
      <c r="A1653" t="s">
        <v>3018</v>
      </c>
      <c r="B1653" t="s">
        <v>3019</v>
      </c>
      <c r="C1653">
        <v>2016</v>
      </c>
      <c r="D1653">
        <v>1</v>
      </c>
      <c r="E1653" t="s">
        <v>55</v>
      </c>
      <c r="F1653" t="s">
        <v>128</v>
      </c>
      <c r="G1653" t="s">
        <v>63</v>
      </c>
      <c r="H1653">
        <v>1</v>
      </c>
      <c r="I1653">
        <v>8.6790024199999998</v>
      </c>
      <c r="J1653">
        <v>1153</v>
      </c>
      <c r="K1653">
        <v>4.2699999999999996</v>
      </c>
      <c r="M1653">
        <v>1.82</v>
      </c>
      <c r="O1653">
        <v>0.16200000000000001</v>
      </c>
      <c r="Q1653">
        <v>0.99</v>
      </c>
      <c r="R1653">
        <v>0.98</v>
      </c>
    </row>
    <row r="1654" spans="1:18" x14ac:dyDescent="0.2">
      <c r="A1654" t="s">
        <v>3020</v>
      </c>
      <c r="B1654" t="s">
        <v>3021</v>
      </c>
      <c r="C1654">
        <v>2016</v>
      </c>
      <c r="D1654">
        <v>1</v>
      </c>
      <c r="E1654" t="s">
        <v>55</v>
      </c>
      <c r="F1654" t="s">
        <v>128</v>
      </c>
      <c r="G1654" t="s">
        <v>63</v>
      </c>
      <c r="H1654">
        <v>1</v>
      </c>
      <c r="I1654">
        <v>4.5513996700000003</v>
      </c>
      <c r="J1654">
        <v>695</v>
      </c>
      <c r="K1654">
        <v>4.9000000000000004</v>
      </c>
      <c r="M1654">
        <v>1.1399999999999999</v>
      </c>
      <c r="O1654">
        <v>0.10199999999999999</v>
      </c>
      <c r="Q1654">
        <v>0.84</v>
      </c>
      <c r="R1654">
        <v>0.8</v>
      </c>
    </row>
    <row r="1655" spans="1:18" x14ac:dyDescent="0.2">
      <c r="A1655" t="s">
        <v>3022</v>
      </c>
      <c r="B1655" t="s">
        <v>3023</v>
      </c>
      <c r="C1655">
        <v>2016</v>
      </c>
      <c r="D1655">
        <v>1</v>
      </c>
      <c r="E1655" t="s">
        <v>55</v>
      </c>
      <c r="F1655" t="s">
        <v>128</v>
      </c>
      <c r="G1655" t="s">
        <v>63</v>
      </c>
      <c r="H1655">
        <v>1</v>
      </c>
      <c r="I1655">
        <v>0.96852601999999999</v>
      </c>
      <c r="J1655">
        <v>814</v>
      </c>
      <c r="K1655">
        <v>4.17</v>
      </c>
      <c r="M1655">
        <v>1.18</v>
      </c>
      <c r="O1655">
        <v>0.105</v>
      </c>
      <c r="Q1655">
        <v>0.99</v>
      </c>
      <c r="R1655">
        <v>0.98</v>
      </c>
    </row>
    <row r="1656" spans="1:18" x14ac:dyDescent="0.2">
      <c r="A1656" t="s">
        <v>3024</v>
      </c>
      <c r="B1656" t="s">
        <v>3025</v>
      </c>
      <c r="C1656">
        <v>2016</v>
      </c>
      <c r="D1656">
        <v>1</v>
      </c>
      <c r="E1656" t="s">
        <v>55</v>
      </c>
      <c r="F1656" t="s">
        <v>128</v>
      </c>
      <c r="G1656" t="s">
        <v>63</v>
      </c>
      <c r="H1656">
        <v>1</v>
      </c>
      <c r="I1656">
        <v>6.4944128900000004</v>
      </c>
      <c r="J1656">
        <v>581</v>
      </c>
      <c r="K1656">
        <v>5.25</v>
      </c>
      <c r="M1656">
        <v>1.35</v>
      </c>
      <c r="O1656">
        <v>0.12</v>
      </c>
      <c r="Q1656">
        <v>0.71</v>
      </c>
      <c r="R1656">
        <v>0.69</v>
      </c>
    </row>
    <row r="1657" spans="1:18" x14ac:dyDescent="0.2">
      <c r="A1657" t="s">
        <v>3026</v>
      </c>
      <c r="B1657" t="s">
        <v>3027</v>
      </c>
      <c r="C1657">
        <v>2016</v>
      </c>
      <c r="D1657">
        <v>1</v>
      </c>
      <c r="E1657" t="s">
        <v>55</v>
      </c>
      <c r="F1657" t="s">
        <v>128</v>
      </c>
      <c r="G1657" t="s">
        <v>63</v>
      </c>
      <c r="H1657">
        <v>1</v>
      </c>
      <c r="I1657">
        <v>28.474748000000002</v>
      </c>
      <c r="J1657">
        <v>901</v>
      </c>
      <c r="K1657">
        <v>5.13</v>
      </c>
      <c r="M1657">
        <v>2.58</v>
      </c>
      <c r="O1657">
        <v>0.23</v>
      </c>
      <c r="Q1657">
        <v>0.8</v>
      </c>
      <c r="R1657">
        <v>0.76</v>
      </c>
    </row>
    <row r="1658" spans="1:18" x14ac:dyDescent="0.2">
      <c r="A1658" t="s">
        <v>3028</v>
      </c>
      <c r="B1658" t="s">
        <v>3029</v>
      </c>
      <c r="C1658">
        <v>2016</v>
      </c>
      <c r="D1658">
        <v>1</v>
      </c>
      <c r="E1658" t="s">
        <v>55</v>
      </c>
      <c r="F1658" t="s">
        <v>128</v>
      </c>
      <c r="G1658" t="s">
        <v>63</v>
      </c>
      <c r="H1658">
        <v>1</v>
      </c>
      <c r="I1658">
        <v>13.031394499999999</v>
      </c>
      <c r="J1658">
        <v>1628</v>
      </c>
      <c r="K1658">
        <v>3.24</v>
      </c>
      <c r="M1658">
        <v>3.01</v>
      </c>
      <c r="O1658">
        <v>0.26900000000000002</v>
      </c>
      <c r="Q1658">
        <v>1.1499999999999999</v>
      </c>
      <c r="R1658">
        <v>1.2</v>
      </c>
    </row>
    <row r="1659" spans="1:18" x14ac:dyDescent="0.2">
      <c r="A1659" t="s">
        <v>3030</v>
      </c>
      <c r="B1659" t="s">
        <v>3031</v>
      </c>
      <c r="C1659">
        <v>2016</v>
      </c>
      <c r="D1659">
        <v>1</v>
      </c>
      <c r="E1659" t="s">
        <v>55</v>
      </c>
      <c r="F1659" t="s">
        <v>128</v>
      </c>
      <c r="G1659" t="s">
        <v>63</v>
      </c>
      <c r="H1659">
        <v>1</v>
      </c>
      <c r="I1659">
        <v>40.990398599999999</v>
      </c>
      <c r="J1659">
        <v>1406</v>
      </c>
      <c r="K1659">
        <v>4.2699999999999996</v>
      </c>
      <c r="M1659">
        <v>2.0299999999999998</v>
      </c>
      <c r="O1659">
        <v>0.18099999999999999</v>
      </c>
      <c r="Q1659">
        <v>1.06</v>
      </c>
      <c r="R1659">
        <v>1.0900000000000001</v>
      </c>
    </row>
    <row r="1660" spans="1:18" x14ac:dyDescent="0.2">
      <c r="A1660" t="s">
        <v>3032</v>
      </c>
      <c r="B1660" t="s">
        <v>3033</v>
      </c>
      <c r="C1660">
        <v>2016</v>
      </c>
      <c r="D1660">
        <v>1</v>
      </c>
      <c r="E1660" t="s">
        <v>55</v>
      </c>
      <c r="F1660" t="s">
        <v>128</v>
      </c>
      <c r="G1660" t="s">
        <v>63</v>
      </c>
      <c r="H1660">
        <v>1</v>
      </c>
      <c r="I1660">
        <v>37.333153600000003</v>
      </c>
      <c r="J1660">
        <v>710</v>
      </c>
      <c r="K1660">
        <v>3.55</v>
      </c>
      <c r="M1660">
        <v>1.63</v>
      </c>
      <c r="O1660">
        <v>0.14499999999999999</v>
      </c>
      <c r="Q1660">
        <v>1.1000000000000001</v>
      </c>
      <c r="R1660">
        <v>1.1499999999999999</v>
      </c>
    </row>
    <row r="1661" spans="1:18" x14ac:dyDescent="0.2">
      <c r="A1661" t="s">
        <v>3034</v>
      </c>
      <c r="B1661" t="s">
        <v>3035</v>
      </c>
      <c r="C1661">
        <v>2014</v>
      </c>
      <c r="D1661">
        <v>1</v>
      </c>
      <c r="E1661" t="s">
        <v>55</v>
      </c>
      <c r="F1661" t="s">
        <v>128</v>
      </c>
      <c r="G1661" t="s">
        <v>63</v>
      </c>
      <c r="H1661">
        <v>3</v>
      </c>
      <c r="I1661">
        <v>14.435889</v>
      </c>
      <c r="J1661">
        <v>353</v>
      </c>
      <c r="M1661">
        <v>1.4</v>
      </c>
      <c r="O1661">
        <v>0.125</v>
      </c>
      <c r="R1661">
        <v>1.36</v>
      </c>
    </row>
    <row r="1662" spans="1:18" x14ac:dyDescent="0.2">
      <c r="A1662" t="s">
        <v>3034</v>
      </c>
      <c r="B1662" t="s">
        <v>3036</v>
      </c>
      <c r="C1662">
        <v>2014</v>
      </c>
      <c r="D1662">
        <v>1</v>
      </c>
      <c r="E1662" t="s">
        <v>55</v>
      </c>
      <c r="F1662" t="s">
        <v>128</v>
      </c>
      <c r="G1662" t="s">
        <v>63</v>
      </c>
      <c r="H1662">
        <v>3</v>
      </c>
      <c r="I1662">
        <v>29.393194999999999</v>
      </c>
      <c r="J1662">
        <v>353</v>
      </c>
      <c r="M1662">
        <v>2.66</v>
      </c>
      <c r="O1662">
        <v>0.23699999999999999</v>
      </c>
      <c r="R1662">
        <v>1.36</v>
      </c>
    </row>
    <row r="1663" spans="1:18" x14ac:dyDescent="0.2">
      <c r="A1663" t="s">
        <v>3034</v>
      </c>
      <c r="B1663" t="s">
        <v>3037</v>
      </c>
      <c r="C1663">
        <v>2014</v>
      </c>
      <c r="D1663">
        <v>1</v>
      </c>
      <c r="E1663" t="s">
        <v>55</v>
      </c>
      <c r="F1663" t="s">
        <v>128</v>
      </c>
      <c r="G1663" t="s">
        <v>63</v>
      </c>
      <c r="H1663">
        <v>3</v>
      </c>
      <c r="I1663">
        <v>48.630408000000003</v>
      </c>
      <c r="J1663">
        <v>353</v>
      </c>
      <c r="M1663">
        <v>2.64</v>
      </c>
      <c r="O1663">
        <v>0.23599999999999999</v>
      </c>
      <c r="R1663">
        <v>1.36</v>
      </c>
    </row>
    <row r="1664" spans="1:18" x14ac:dyDescent="0.2">
      <c r="A1664" t="s">
        <v>3038</v>
      </c>
      <c r="B1664" t="s">
        <v>3039</v>
      </c>
      <c r="C1664">
        <v>2016</v>
      </c>
      <c r="D1664">
        <v>1</v>
      </c>
      <c r="E1664" t="s">
        <v>55</v>
      </c>
      <c r="F1664" t="s">
        <v>128</v>
      </c>
      <c r="G1664" t="s">
        <v>63</v>
      </c>
      <c r="H1664">
        <v>1</v>
      </c>
      <c r="I1664">
        <v>6.0335619600000001</v>
      </c>
      <c r="J1664">
        <v>1204</v>
      </c>
      <c r="K1664">
        <v>4.37</v>
      </c>
      <c r="M1664">
        <v>3.32</v>
      </c>
      <c r="O1664">
        <v>0.29599999999999999</v>
      </c>
      <c r="Q1664">
        <v>1.28</v>
      </c>
      <c r="R1664">
        <v>3.38</v>
      </c>
    </row>
    <row r="1665" spans="1:18" x14ac:dyDescent="0.2">
      <c r="A1665" t="s">
        <v>3040</v>
      </c>
      <c r="B1665" t="s">
        <v>3041</v>
      </c>
      <c r="C1665">
        <v>2016</v>
      </c>
      <c r="D1665">
        <v>1</v>
      </c>
      <c r="E1665" t="s">
        <v>55</v>
      </c>
      <c r="F1665" t="s">
        <v>128</v>
      </c>
      <c r="G1665" t="s">
        <v>63</v>
      </c>
      <c r="H1665">
        <v>1</v>
      </c>
      <c r="I1665">
        <v>3.0255955000000001</v>
      </c>
      <c r="J1665">
        <v>885</v>
      </c>
      <c r="K1665">
        <v>3.63</v>
      </c>
      <c r="M1665">
        <v>1.48</v>
      </c>
      <c r="O1665">
        <v>0.13200000000000001</v>
      </c>
      <c r="Q1665">
        <v>1.1299999999999999</v>
      </c>
      <c r="R1665">
        <v>1.23</v>
      </c>
    </row>
    <row r="1666" spans="1:18" x14ac:dyDescent="0.2">
      <c r="A1666" t="s">
        <v>3042</v>
      </c>
      <c r="B1666" t="s">
        <v>3043</v>
      </c>
      <c r="C1666">
        <v>2016</v>
      </c>
      <c r="D1666">
        <v>1</v>
      </c>
      <c r="E1666" t="s">
        <v>55</v>
      </c>
      <c r="F1666" t="s">
        <v>128</v>
      </c>
      <c r="G1666" t="s">
        <v>63</v>
      </c>
      <c r="H1666">
        <v>1</v>
      </c>
      <c r="I1666">
        <v>51.130970400000002</v>
      </c>
      <c r="J1666">
        <v>896</v>
      </c>
      <c r="K1666">
        <v>3.89</v>
      </c>
      <c r="M1666">
        <v>2.37</v>
      </c>
      <c r="O1666">
        <v>0.21099999999999999</v>
      </c>
      <c r="Q1666">
        <v>1.06</v>
      </c>
      <c r="R1666">
        <v>1.0900000000000001</v>
      </c>
    </row>
    <row r="1667" spans="1:18" x14ac:dyDescent="0.2">
      <c r="A1667" t="s">
        <v>3044</v>
      </c>
      <c r="B1667" t="s">
        <v>3045</v>
      </c>
      <c r="C1667">
        <v>2016</v>
      </c>
      <c r="D1667">
        <v>1</v>
      </c>
      <c r="E1667" t="s">
        <v>55</v>
      </c>
      <c r="F1667" t="s">
        <v>128</v>
      </c>
      <c r="G1667" t="s">
        <v>63</v>
      </c>
      <c r="H1667">
        <v>1</v>
      </c>
      <c r="I1667">
        <v>28.625653</v>
      </c>
      <c r="J1667">
        <v>1355</v>
      </c>
      <c r="K1667">
        <v>4.47</v>
      </c>
      <c r="M1667">
        <v>2.4900000000000002</v>
      </c>
      <c r="O1667">
        <v>0.222</v>
      </c>
      <c r="Q1667">
        <v>0.94</v>
      </c>
      <c r="R1667">
        <v>0.91</v>
      </c>
    </row>
    <row r="1668" spans="1:18" x14ac:dyDescent="0.2">
      <c r="A1668" t="s">
        <v>3046</v>
      </c>
      <c r="B1668" t="s">
        <v>3047</v>
      </c>
      <c r="C1668">
        <v>2016</v>
      </c>
      <c r="D1668">
        <v>1</v>
      </c>
      <c r="E1668" t="s">
        <v>55</v>
      </c>
      <c r="F1668" t="s">
        <v>128</v>
      </c>
      <c r="G1668" t="s">
        <v>63</v>
      </c>
      <c r="H1668">
        <v>1</v>
      </c>
      <c r="I1668">
        <v>6.9815270299999996</v>
      </c>
      <c r="J1668">
        <v>609</v>
      </c>
      <c r="K1668">
        <v>2.88</v>
      </c>
      <c r="M1668">
        <v>1.42</v>
      </c>
      <c r="O1668">
        <v>0.127</v>
      </c>
      <c r="Q1668">
        <v>1.45</v>
      </c>
      <c r="R1668">
        <v>2.17</v>
      </c>
    </row>
    <row r="1669" spans="1:18" x14ac:dyDescent="0.2">
      <c r="A1669" t="s">
        <v>3048</v>
      </c>
      <c r="B1669" t="s">
        <v>3049</v>
      </c>
      <c r="C1669">
        <v>2016</v>
      </c>
      <c r="D1669">
        <v>1</v>
      </c>
      <c r="E1669" t="s">
        <v>55</v>
      </c>
      <c r="F1669" t="s">
        <v>128</v>
      </c>
      <c r="G1669" t="s">
        <v>63</v>
      </c>
      <c r="H1669">
        <v>1</v>
      </c>
      <c r="I1669">
        <v>3.65691115</v>
      </c>
      <c r="J1669">
        <v>1280</v>
      </c>
      <c r="K1669">
        <v>2.5099999999999998</v>
      </c>
      <c r="M1669">
        <v>1.48</v>
      </c>
      <c r="O1669">
        <v>0.13200000000000001</v>
      </c>
      <c r="Q1669">
        <v>1.23</v>
      </c>
      <c r="R1669">
        <v>1.36</v>
      </c>
    </row>
    <row r="1670" spans="1:18" x14ac:dyDescent="0.2">
      <c r="A1670" t="s">
        <v>3050</v>
      </c>
      <c r="B1670" t="s">
        <v>3051</v>
      </c>
      <c r="C1670">
        <v>2016</v>
      </c>
      <c r="D1670">
        <v>1</v>
      </c>
      <c r="E1670" t="s">
        <v>55</v>
      </c>
      <c r="F1670" t="s">
        <v>128</v>
      </c>
      <c r="G1670" t="s">
        <v>63</v>
      </c>
      <c r="H1670">
        <v>1</v>
      </c>
      <c r="I1670">
        <v>12.5720095</v>
      </c>
      <c r="J1670">
        <v>587</v>
      </c>
      <c r="K1670">
        <v>3.09</v>
      </c>
      <c r="M1670">
        <v>1.19</v>
      </c>
      <c r="O1670">
        <v>0.106</v>
      </c>
      <c r="Q1670">
        <v>1.1399999999999999</v>
      </c>
      <c r="R1670">
        <v>1.21</v>
      </c>
    </row>
    <row r="1671" spans="1:18" x14ac:dyDescent="0.2">
      <c r="A1671" t="s">
        <v>3052</v>
      </c>
      <c r="B1671" t="s">
        <v>3053</v>
      </c>
      <c r="C1671">
        <v>2016</v>
      </c>
      <c r="D1671">
        <v>1</v>
      </c>
      <c r="E1671" t="s">
        <v>55</v>
      </c>
      <c r="F1671" t="s">
        <v>128</v>
      </c>
      <c r="G1671" t="s">
        <v>63</v>
      </c>
      <c r="H1671">
        <v>1</v>
      </c>
      <c r="I1671">
        <v>40.836501200000001</v>
      </c>
      <c r="J1671">
        <v>606</v>
      </c>
      <c r="K1671">
        <v>5.01</v>
      </c>
      <c r="M1671">
        <v>1.6</v>
      </c>
      <c r="O1671">
        <v>0.14299999999999999</v>
      </c>
      <c r="Q1671">
        <v>0.94</v>
      </c>
      <c r="R1671">
        <v>0.92</v>
      </c>
    </row>
    <row r="1672" spans="1:18" x14ac:dyDescent="0.2">
      <c r="A1672" t="s">
        <v>3054</v>
      </c>
      <c r="B1672" t="s">
        <v>3055</v>
      </c>
      <c r="C1672">
        <v>2016</v>
      </c>
      <c r="D1672">
        <v>1</v>
      </c>
      <c r="E1672" t="s">
        <v>55</v>
      </c>
      <c r="F1672" t="s">
        <v>128</v>
      </c>
      <c r="G1672" t="s">
        <v>63</v>
      </c>
      <c r="H1672">
        <v>1</v>
      </c>
      <c r="I1672">
        <v>3.2394134399999999</v>
      </c>
      <c r="J1672">
        <v>743</v>
      </c>
      <c r="K1672">
        <v>3.31</v>
      </c>
      <c r="M1672">
        <v>1.01</v>
      </c>
      <c r="O1672">
        <v>0.09</v>
      </c>
      <c r="Q1672">
        <v>1.1100000000000001</v>
      </c>
      <c r="R1672">
        <v>1.1599999999999999</v>
      </c>
    </row>
    <row r="1673" spans="1:18" x14ac:dyDescent="0.2">
      <c r="A1673" t="s">
        <v>3056</v>
      </c>
      <c r="B1673" t="s">
        <v>3057</v>
      </c>
      <c r="C1673">
        <v>2016</v>
      </c>
      <c r="D1673">
        <v>1</v>
      </c>
      <c r="E1673" t="s">
        <v>55</v>
      </c>
      <c r="F1673" t="s">
        <v>128</v>
      </c>
      <c r="G1673" t="s">
        <v>63</v>
      </c>
      <c r="H1673">
        <v>1</v>
      </c>
      <c r="I1673">
        <v>23.4774101</v>
      </c>
      <c r="J1673">
        <v>1017</v>
      </c>
      <c r="K1673">
        <v>2.82</v>
      </c>
      <c r="M1673">
        <v>1.75</v>
      </c>
      <c r="O1673">
        <v>0.156</v>
      </c>
      <c r="Q1673">
        <v>1.21</v>
      </c>
      <c r="R1673">
        <v>1.33</v>
      </c>
    </row>
    <row r="1674" spans="1:18" x14ac:dyDescent="0.2">
      <c r="A1674" t="s">
        <v>3058</v>
      </c>
      <c r="B1674" t="s">
        <v>3059</v>
      </c>
      <c r="C1674">
        <v>2013</v>
      </c>
      <c r="D1674">
        <v>1</v>
      </c>
      <c r="E1674" t="s">
        <v>55</v>
      </c>
      <c r="F1674" t="s">
        <v>128</v>
      </c>
      <c r="G1674" t="s">
        <v>63</v>
      </c>
      <c r="H1674">
        <v>2</v>
      </c>
      <c r="I1674">
        <v>15.09</v>
      </c>
      <c r="J1674">
        <v>399</v>
      </c>
      <c r="L1674">
        <v>30.7</v>
      </c>
      <c r="M1674">
        <v>1.1299999999999999</v>
      </c>
      <c r="N1674">
        <v>9.7000000000000003E-2</v>
      </c>
      <c r="O1674">
        <v>0.10100000000000001</v>
      </c>
      <c r="Q1674">
        <v>1.2</v>
      </c>
      <c r="R1674">
        <v>1.55</v>
      </c>
    </row>
    <row r="1675" spans="1:18" x14ac:dyDescent="0.2">
      <c r="A1675" t="s">
        <v>3058</v>
      </c>
      <c r="B1675" t="s">
        <v>3060</v>
      </c>
      <c r="C1675">
        <v>2013</v>
      </c>
      <c r="D1675">
        <v>1</v>
      </c>
      <c r="E1675" t="s">
        <v>55</v>
      </c>
      <c r="F1675" t="s">
        <v>128</v>
      </c>
      <c r="G1675" t="s">
        <v>63</v>
      </c>
      <c r="H1675">
        <v>2</v>
      </c>
      <c r="I1675">
        <v>22.803999999999998</v>
      </c>
      <c r="J1675">
        <v>399</v>
      </c>
      <c r="L1675">
        <v>33.299999999999997</v>
      </c>
      <c r="M1675">
        <v>1.1299999999999999</v>
      </c>
      <c r="N1675">
        <v>0.105</v>
      </c>
      <c r="O1675">
        <v>0.10100000000000001</v>
      </c>
      <c r="Q1675">
        <v>1.2</v>
      </c>
      <c r="R1675">
        <v>1.55</v>
      </c>
    </row>
    <row r="1676" spans="1:18" x14ac:dyDescent="0.2">
      <c r="A1676" t="s">
        <v>3061</v>
      </c>
      <c r="B1676" t="s">
        <v>3062</v>
      </c>
      <c r="C1676">
        <v>2016</v>
      </c>
      <c r="D1676">
        <v>1</v>
      </c>
      <c r="E1676" t="s">
        <v>55</v>
      </c>
      <c r="F1676" t="s">
        <v>128</v>
      </c>
      <c r="G1676" t="s">
        <v>63</v>
      </c>
      <c r="H1676">
        <v>1</v>
      </c>
      <c r="I1676">
        <v>66.557905700000006</v>
      </c>
      <c r="J1676">
        <v>1006</v>
      </c>
      <c r="K1676">
        <v>2.82</v>
      </c>
      <c r="M1676">
        <v>1.87</v>
      </c>
      <c r="O1676">
        <v>0.16700000000000001</v>
      </c>
      <c r="Q1676">
        <v>1.2</v>
      </c>
      <c r="R1676">
        <v>1.32</v>
      </c>
    </row>
    <row r="1677" spans="1:18" x14ac:dyDescent="0.2">
      <c r="A1677" t="s">
        <v>3063</v>
      </c>
      <c r="B1677" t="s">
        <v>3064</v>
      </c>
      <c r="C1677">
        <v>2016</v>
      </c>
      <c r="D1677">
        <v>1</v>
      </c>
      <c r="E1677" t="s">
        <v>55</v>
      </c>
      <c r="F1677" t="s">
        <v>128</v>
      </c>
      <c r="G1677" t="s">
        <v>63</v>
      </c>
      <c r="H1677">
        <v>1</v>
      </c>
      <c r="I1677">
        <v>3.1160279100000001</v>
      </c>
      <c r="J1677">
        <v>1090</v>
      </c>
      <c r="K1677">
        <v>4.37</v>
      </c>
      <c r="M1677">
        <v>1.64</v>
      </c>
      <c r="O1677">
        <v>0.14599999999999999</v>
      </c>
      <c r="Q1677">
        <v>0.87</v>
      </c>
      <c r="R1677">
        <v>0.83</v>
      </c>
    </row>
    <row r="1678" spans="1:18" x14ac:dyDescent="0.2">
      <c r="A1678" t="s">
        <v>3065</v>
      </c>
      <c r="B1678" t="s">
        <v>3066</v>
      </c>
      <c r="C1678">
        <v>2016</v>
      </c>
      <c r="D1678">
        <v>1</v>
      </c>
      <c r="E1678" t="s">
        <v>55</v>
      </c>
      <c r="F1678" t="s">
        <v>128</v>
      </c>
      <c r="G1678" t="s">
        <v>63</v>
      </c>
      <c r="H1678">
        <v>1</v>
      </c>
      <c r="I1678">
        <v>2.1319465100000001</v>
      </c>
      <c r="J1678">
        <v>1126</v>
      </c>
      <c r="K1678">
        <v>4.57</v>
      </c>
      <c r="M1678">
        <v>1.55</v>
      </c>
      <c r="O1678">
        <v>0.13800000000000001</v>
      </c>
      <c r="Q1678">
        <v>0.92</v>
      </c>
      <c r="R1678">
        <v>0.89</v>
      </c>
    </row>
    <row r="1679" spans="1:18" x14ac:dyDescent="0.2">
      <c r="A1679" t="s">
        <v>3067</v>
      </c>
      <c r="B1679" t="s">
        <v>3068</v>
      </c>
      <c r="C1679">
        <v>2016</v>
      </c>
      <c r="D1679">
        <v>1</v>
      </c>
      <c r="E1679" t="s">
        <v>55</v>
      </c>
      <c r="F1679" t="s">
        <v>128</v>
      </c>
      <c r="G1679" t="s">
        <v>63</v>
      </c>
      <c r="H1679">
        <v>1</v>
      </c>
      <c r="I1679">
        <v>12.9460978</v>
      </c>
      <c r="J1679">
        <v>1452</v>
      </c>
      <c r="K1679">
        <v>2.88</v>
      </c>
      <c r="M1679">
        <v>1.91</v>
      </c>
      <c r="O1679">
        <v>0.17</v>
      </c>
      <c r="Q1679">
        <v>1.1599999999999999</v>
      </c>
      <c r="R1679">
        <v>1.25</v>
      </c>
    </row>
    <row r="1680" spans="1:18" x14ac:dyDescent="0.2">
      <c r="A1680" t="s">
        <v>3069</v>
      </c>
      <c r="B1680" t="s">
        <v>3070</v>
      </c>
      <c r="C1680">
        <v>2016</v>
      </c>
      <c r="D1680">
        <v>1</v>
      </c>
      <c r="E1680" t="s">
        <v>55</v>
      </c>
      <c r="F1680" t="s">
        <v>128</v>
      </c>
      <c r="G1680" t="s">
        <v>63</v>
      </c>
      <c r="H1680">
        <v>1</v>
      </c>
      <c r="I1680">
        <v>0.66407380999999999</v>
      </c>
      <c r="J1680">
        <v>852</v>
      </c>
      <c r="K1680">
        <v>4.47</v>
      </c>
      <c r="M1680">
        <v>1.21</v>
      </c>
      <c r="O1680">
        <v>0.108</v>
      </c>
      <c r="Q1680">
        <v>0.84</v>
      </c>
      <c r="R1680">
        <v>0.79</v>
      </c>
    </row>
    <row r="1681" spans="1:18" x14ac:dyDescent="0.2">
      <c r="A1681" t="s">
        <v>3071</v>
      </c>
      <c r="B1681" t="s">
        <v>3072</v>
      </c>
      <c r="C1681">
        <v>2016</v>
      </c>
      <c r="D1681">
        <v>1</v>
      </c>
      <c r="E1681" t="s">
        <v>55</v>
      </c>
      <c r="F1681" t="s">
        <v>128</v>
      </c>
      <c r="G1681" t="s">
        <v>63</v>
      </c>
      <c r="H1681">
        <v>1</v>
      </c>
      <c r="I1681">
        <v>14.7967458</v>
      </c>
      <c r="J1681">
        <v>364</v>
      </c>
      <c r="K1681">
        <v>2.75</v>
      </c>
      <c r="M1681">
        <v>0.97</v>
      </c>
      <c r="O1681">
        <v>8.6999999999999994E-2</v>
      </c>
      <c r="Q1681">
        <v>1.2</v>
      </c>
      <c r="R1681">
        <v>1.28</v>
      </c>
    </row>
    <row r="1682" spans="1:18" x14ac:dyDescent="0.2">
      <c r="A1682" t="s">
        <v>3073</v>
      </c>
      <c r="B1682" t="s">
        <v>3074</v>
      </c>
      <c r="C1682">
        <v>2016</v>
      </c>
      <c r="D1682">
        <v>1</v>
      </c>
      <c r="E1682" t="s">
        <v>55</v>
      </c>
      <c r="F1682" t="s">
        <v>128</v>
      </c>
      <c r="G1682" t="s">
        <v>63</v>
      </c>
      <c r="H1682">
        <v>1</v>
      </c>
      <c r="I1682">
        <v>11.25402929</v>
      </c>
      <c r="J1682">
        <v>1150</v>
      </c>
      <c r="K1682">
        <v>4.17</v>
      </c>
      <c r="M1682">
        <v>2.15</v>
      </c>
      <c r="O1682">
        <v>0.192</v>
      </c>
      <c r="Q1682">
        <v>1</v>
      </c>
      <c r="R1682">
        <v>0.98</v>
      </c>
    </row>
    <row r="1683" spans="1:18" x14ac:dyDescent="0.2">
      <c r="A1683" t="s">
        <v>3075</v>
      </c>
      <c r="B1683" t="s">
        <v>3076</v>
      </c>
      <c r="C1683">
        <v>2016</v>
      </c>
      <c r="D1683">
        <v>1</v>
      </c>
      <c r="E1683" t="s">
        <v>55</v>
      </c>
      <c r="F1683" t="s">
        <v>128</v>
      </c>
      <c r="G1683" t="s">
        <v>63</v>
      </c>
      <c r="H1683">
        <v>1</v>
      </c>
      <c r="I1683">
        <v>11.47685909</v>
      </c>
      <c r="J1683">
        <v>1027</v>
      </c>
      <c r="K1683">
        <v>4.07</v>
      </c>
      <c r="M1683">
        <v>1.54</v>
      </c>
      <c r="O1683">
        <v>0.13700000000000001</v>
      </c>
      <c r="Q1683">
        <v>0.96</v>
      </c>
      <c r="R1683">
        <v>0.94</v>
      </c>
    </row>
    <row r="1684" spans="1:18" x14ac:dyDescent="0.2">
      <c r="A1684" t="s">
        <v>3077</v>
      </c>
      <c r="B1684" t="s">
        <v>3078</v>
      </c>
      <c r="C1684">
        <v>2016</v>
      </c>
      <c r="D1684">
        <v>1</v>
      </c>
      <c r="E1684" t="s">
        <v>55</v>
      </c>
      <c r="F1684" t="s">
        <v>128</v>
      </c>
      <c r="G1684" t="s">
        <v>63</v>
      </c>
      <c r="H1684">
        <v>1</v>
      </c>
      <c r="I1684">
        <v>2.76122421</v>
      </c>
      <c r="J1684">
        <v>715</v>
      </c>
      <c r="K1684">
        <v>2.88</v>
      </c>
      <c r="M1684">
        <v>1.1200000000000001</v>
      </c>
      <c r="O1684">
        <v>0.1</v>
      </c>
      <c r="Q1684">
        <v>1.2</v>
      </c>
      <c r="R1684">
        <v>1.29</v>
      </c>
    </row>
    <row r="1685" spans="1:18" x14ac:dyDescent="0.2">
      <c r="A1685" t="s">
        <v>3079</v>
      </c>
      <c r="B1685" t="s">
        <v>3080</v>
      </c>
      <c r="C1685">
        <v>2016</v>
      </c>
      <c r="D1685">
        <v>1</v>
      </c>
      <c r="E1685" t="s">
        <v>55</v>
      </c>
      <c r="F1685" t="s">
        <v>128</v>
      </c>
      <c r="G1685" t="s">
        <v>63</v>
      </c>
      <c r="H1685">
        <v>1</v>
      </c>
      <c r="I1685">
        <v>7.9901962700000002</v>
      </c>
      <c r="J1685">
        <v>1059</v>
      </c>
      <c r="K1685">
        <v>2.95</v>
      </c>
      <c r="M1685">
        <v>1.52</v>
      </c>
      <c r="O1685">
        <v>0.13600000000000001</v>
      </c>
      <c r="Q1685">
        <v>1.1000000000000001</v>
      </c>
      <c r="R1685">
        <v>1.17</v>
      </c>
    </row>
    <row r="1686" spans="1:18" x14ac:dyDescent="0.2">
      <c r="A1686" t="s">
        <v>3081</v>
      </c>
      <c r="B1686" t="s">
        <v>3082</v>
      </c>
      <c r="C1686">
        <v>2014</v>
      </c>
      <c r="D1686">
        <v>1</v>
      </c>
      <c r="E1686" t="s">
        <v>55</v>
      </c>
      <c r="F1686" t="s">
        <v>128</v>
      </c>
      <c r="G1686" t="s">
        <v>63</v>
      </c>
      <c r="H1686">
        <v>2</v>
      </c>
      <c r="I1686">
        <v>15.79186</v>
      </c>
      <c r="J1686">
        <v>371</v>
      </c>
      <c r="M1686">
        <v>2.37</v>
      </c>
      <c r="O1686">
        <v>0.21099999999999999</v>
      </c>
      <c r="R1686">
        <v>1.64</v>
      </c>
    </row>
    <row r="1687" spans="1:18" x14ac:dyDescent="0.2">
      <c r="A1687" t="s">
        <v>3081</v>
      </c>
      <c r="B1687" t="s">
        <v>3083</v>
      </c>
      <c r="C1687">
        <v>2014</v>
      </c>
      <c r="D1687">
        <v>1</v>
      </c>
      <c r="E1687" t="s">
        <v>55</v>
      </c>
      <c r="F1687" t="s">
        <v>128</v>
      </c>
      <c r="G1687" t="s">
        <v>63</v>
      </c>
      <c r="H1687">
        <v>2</v>
      </c>
      <c r="I1687">
        <v>82.20017</v>
      </c>
      <c r="J1687">
        <v>371</v>
      </c>
      <c r="M1687">
        <v>2.5499999999999998</v>
      </c>
      <c r="O1687">
        <v>0.22700000000000001</v>
      </c>
      <c r="R1687">
        <v>1.64</v>
      </c>
    </row>
    <row r="1688" spans="1:18" x14ac:dyDescent="0.2">
      <c r="A1688" t="s">
        <v>3084</v>
      </c>
      <c r="B1688" t="s">
        <v>3085</v>
      </c>
      <c r="C1688">
        <v>2016</v>
      </c>
      <c r="D1688">
        <v>1</v>
      </c>
      <c r="E1688" t="s">
        <v>55</v>
      </c>
      <c r="F1688" t="s">
        <v>128</v>
      </c>
      <c r="G1688" t="s">
        <v>63</v>
      </c>
      <c r="H1688">
        <v>1</v>
      </c>
      <c r="I1688">
        <v>4.6950013400000001</v>
      </c>
      <c r="J1688">
        <v>1321</v>
      </c>
      <c r="K1688">
        <v>4.07</v>
      </c>
      <c r="M1688">
        <v>1.42</v>
      </c>
      <c r="O1688">
        <v>0.127</v>
      </c>
      <c r="Q1688">
        <v>0.95</v>
      </c>
      <c r="R1688">
        <v>0.93</v>
      </c>
    </row>
    <row r="1689" spans="1:18" x14ac:dyDescent="0.2">
      <c r="A1689" t="s">
        <v>3086</v>
      </c>
      <c r="B1689" t="s">
        <v>3087</v>
      </c>
      <c r="C1689">
        <v>2016</v>
      </c>
      <c r="D1689">
        <v>1</v>
      </c>
      <c r="E1689" t="s">
        <v>55</v>
      </c>
      <c r="F1689" t="s">
        <v>128</v>
      </c>
      <c r="G1689" t="s">
        <v>63</v>
      </c>
      <c r="H1689">
        <v>1</v>
      </c>
      <c r="I1689">
        <v>8.6304327599999997</v>
      </c>
      <c r="J1689">
        <v>982</v>
      </c>
      <c r="K1689">
        <v>4.9000000000000004</v>
      </c>
      <c r="M1689">
        <v>1.66</v>
      </c>
      <c r="O1689">
        <v>0.14799999999999999</v>
      </c>
      <c r="Q1689">
        <v>0.84</v>
      </c>
      <c r="R1689">
        <v>0.8</v>
      </c>
    </row>
    <row r="1690" spans="1:18" x14ac:dyDescent="0.2">
      <c r="A1690" t="s">
        <v>3088</v>
      </c>
      <c r="B1690" t="s">
        <v>3089</v>
      </c>
      <c r="C1690">
        <v>2016</v>
      </c>
      <c r="D1690">
        <v>1</v>
      </c>
      <c r="E1690" t="s">
        <v>55</v>
      </c>
      <c r="F1690" t="s">
        <v>128</v>
      </c>
      <c r="G1690" t="s">
        <v>63</v>
      </c>
      <c r="H1690">
        <v>1</v>
      </c>
      <c r="I1690">
        <v>3.27646405</v>
      </c>
      <c r="J1690">
        <v>1406</v>
      </c>
      <c r="K1690">
        <v>4.68</v>
      </c>
      <c r="M1690">
        <v>1.82</v>
      </c>
      <c r="O1690">
        <v>0.16200000000000001</v>
      </c>
      <c r="Q1690">
        <v>0.95</v>
      </c>
      <c r="R1690">
        <v>0.93</v>
      </c>
    </row>
    <row r="1691" spans="1:18" x14ac:dyDescent="0.2">
      <c r="A1691" t="s">
        <v>3090</v>
      </c>
      <c r="B1691" t="s">
        <v>3091</v>
      </c>
      <c r="C1691">
        <v>2016</v>
      </c>
      <c r="D1691">
        <v>1</v>
      </c>
      <c r="E1691" t="s">
        <v>55</v>
      </c>
      <c r="F1691" t="s">
        <v>128</v>
      </c>
      <c r="G1691" t="s">
        <v>63</v>
      </c>
      <c r="H1691">
        <v>1</v>
      </c>
      <c r="I1691">
        <v>5.5765478399999999</v>
      </c>
      <c r="J1691">
        <v>770</v>
      </c>
      <c r="K1691">
        <v>2.82</v>
      </c>
      <c r="M1691">
        <v>0.97</v>
      </c>
      <c r="O1691">
        <v>8.6999999999999994E-2</v>
      </c>
      <c r="Q1691">
        <v>1.18</v>
      </c>
      <c r="R1691">
        <v>1.28</v>
      </c>
    </row>
    <row r="1692" spans="1:18" x14ac:dyDescent="0.2">
      <c r="A1692" t="s">
        <v>3092</v>
      </c>
      <c r="B1692" t="s">
        <v>3093</v>
      </c>
      <c r="C1692">
        <v>2016</v>
      </c>
      <c r="D1692">
        <v>1</v>
      </c>
      <c r="E1692" t="s">
        <v>55</v>
      </c>
      <c r="F1692" t="s">
        <v>128</v>
      </c>
      <c r="G1692" t="s">
        <v>63</v>
      </c>
      <c r="H1692">
        <v>1</v>
      </c>
      <c r="I1692">
        <v>115.6862258</v>
      </c>
      <c r="J1692">
        <v>1120</v>
      </c>
      <c r="K1692">
        <v>3.98</v>
      </c>
      <c r="M1692">
        <v>3.19</v>
      </c>
      <c r="O1692">
        <v>0.28499999999999998</v>
      </c>
      <c r="Q1692">
        <v>0.99</v>
      </c>
      <c r="R1692">
        <v>0.97</v>
      </c>
    </row>
    <row r="1693" spans="1:18" x14ac:dyDescent="0.2">
      <c r="A1693" t="s">
        <v>3094</v>
      </c>
      <c r="B1693" t="s">
        <v>3095</v>
      </c>
      <c r="C1693">
        <v>2016</v>
      </c>
      <c r="D1693">
        <v>1</v>
      </c>
      <c r="E1693" t="s">
        <v>55</v>
      </c>
      <c r="F1693" t="s">
        <v>128</v>
      </c>
      <c r="G1693" t="s">
        <v>63</v>
      </c>
      <c r="H1693">
        <v>1</v>
      </c>
      <c r="I1693">
        <v>3.8137197399999998</v>
      </c>
      <c r="J1693">
        <v>1257</v>
      </c>
      <c r="K1693">
        <v>4.68</v>
      </c>
      <c r="M1693">
        <v>1.55</v>
      </c>
      <c r="O1693">
        <v>0.13800000000000001</v>
      </c>
      <c r="Q1693">
        <v>0.92</v>
      </c>
      <c r="R1693">
        <v>0.89</v>
      </c>
    </row>
    <row r="1694" spans="1:18" x14ac:dyDescent="0.2">
      <c r="A1694" t="s">
        <v>3096</v>
      </c>
      <c r="B1694" t="s">
        <v>3097</v>
      </c>
      <c r="C1694">
        <v>2016</v>
      </c>
      <c r="D1694">
        <v>1</v>
      </c>
      <c r="E1694" t="s">
        <v>55</v>
      </c>
      <c r="F1694" t="s">
        <v>128</v>
      </c>
      <c r="G1694" t="s">
        <v>63</v>
      </c>
      <c r="H1694">
        <v>1</v>
      </c>
      <c r="I1694">
        <v>8.3839865000000007</v>
      </c>
      <c r="J1694">
        <v>631</v>
      </c>
      <c r="K1694">
        <v>4.17</v>
      </c>
      <c r="M1694">
        <v>0.91</v>
      </c>
      <c r="O1694">
        <v>8.1000000000000003E-2</v>
      </c>
      <c r="Q1694">
        <v>0.87</v>
      </c>
      <c r="R1694">
        <v>0.83</v>
      </c>
    </row>
    <row r="1695" spans="1:18" x14ac:dyDescent="0.2">
      <c r="A1695" t="s">
        <v>3098</v>
      </c>
      <c r="B1695" t="s">
        <v>3099</v>
      </c>
      <c r="C1695">
        <v>2016</v>
      </c>
      <c r="D1695">
        <v>1</v>
      </c>
      <c r="E1695" t="s">
        <v>55</v>
      </c>
      <c r="F1695" t="s">
        <v>128</v>
      </c>
      <c r="G1695" t="s">
        <v>63</v>
      </c>
      <c r="H1695">
        <v>1</v>
      </c>
      <c r="I1695">
        <v>1.68189002</v>
      </c>
      <c r="J1695">
        <v>996</v>
      </c>
      <c r="K1695">
        <v>4.17</v>
      </c>
      <c r="M1695">
        <v>0.97</v>
      </c>
      <c r="O1695">
        <v>8.6999999999999994E-2</v>
      </c>
      <c r="Q1695">
        <v>0.99</v>
      </c>
      <c r="R1695">
        <v>0.99</v>
      </c>
    </row>
    <row r="1696" spans="1:18" x14ac:dyDescent="0.2">
      <c r="A1696" t="s">
        <v>3100</v>
      </c>
      <c r="B1696" t="s">
        <v>3101</v>
      </c>
      <c r="C1696">
        <v>2016</v>
      </c>
      <c r="D1696">
        <v>1</v>
      </c>
      <c r="E1696" t="s">
        <v>55</v>
      </c>
      <c r="F1696" t="s">
        <v>128</v>
      </c>
      <c r="G1696" t="s">
        <v>63</v>
      </c>
      <c r="H1696">
        <v>1</v>
      </c>
      <c r="I1696">
        <v>7.1281192799999999</v>
      </c>
      <c r="J1696">
        <v>498</v>
      </c>
      <c r="K1696">
        <v>2.57</v>
      </c>
      <c r="M1696">
        <v>1.31</v>
      </c>
      <c r="O1696">
        <v>0.11700000000000001</v>
      </c>
      <c r="Q1696">
        <v>1.45</v>
      </c>
      <c r="R1696">
        <v>2</v>
      </c>
    </row>
    <row r="1697" spans="1:19" x14ac:dyDescent="0.2">
      <c r="A1697" t="s">
        <v>3102</v>
      </c>
      <c r="B1697" t="s">
        <v>3103</v>
      </c>
      <c r="C1697">
        <v>2016</v>
      </c>
      <c r="D1697">
        <v>1</v>
      </c>
      <c r="E1697" t="s">
        <v>55</v>
      </c>
      <c r="F1697" t="s">
        <v>128</v>
      </c>
      <c r="G1697" t="s">
        <v>63</v>
      </c>
      <c r="H1697">
        <v>1</v>
      </c>
      <c r="I1697">
        <v>19.940087399999999</v>
      </c>
      <c r="J1697">
        <v>1352</v>
      </c>
      <c r="K1697">
        <v>4.37</v>
      </c>
      <c r="M1697">
        <v>2.98</v>
      </c>
      <c r="O1697">
        <v>0.26600000000000001</v>
      </c>
      <c r="Q1697">
        <v>0.94</v>
      </c>
      <c r="R1697">
        <v>0.91</v>
      </c>
    </row>
    <row r="1698" spans="1:19" x14ac:dyDescent="0.2">
      <c r="A1698" t="s">
        <v>3104</v>
      </c>
      <c r="B1698" t="s">
        <v>3105</v>
      </c>
      <c r="C1698">
        <v>2014</v>
      </c>
      <c r="D1698">
        <v>1</v>
      </c>
      <c r="E1698" t="s">
        <v>55</v>
      </c>
      <c r="F1698" t="s">
        <v>128</v>
      </c>
      <c r="G1698" t="s">
        <v>63</v>
      </c>
      <c r="H1698">
        <v>3</v>
      </c>
      <c r="I1698">
        <v>8.4574580000000008</v>
      </c>
      <c r="J1698">
        <v>330</v>
      </c>
      <c r="M1698">
        <v>1.02</v>
      </c>
      <c r="O1698">
        <v>9.0999999999999998E-2</v>
      </c>
      <c r="R1698">
        <v>1.1299999999999999</v>
      </c>
    </row>
    <row r="1699" spans="1:19" x14ac:dyDescent="0.2">
      <c r="A1699" t="s">
        <v>3104</v>
      </c>
      <c r="B1699" t="s">
        <v>3106</v>
      </c>
      <c r="C1699">
        <v>2014</v>
      </c>
      <c r="D1699">
        <v>1</v>
      </c>
      <c r="E1699" t="s">
        <v>55</v>
      </c>
      <c r="F1699" t="s">
        <v>128</v>
      </c>
      <c r="G1699" t="s">
        <v>63</v>
      </c>
      <c r="H1699">
        <v>3</v>
      </c>
      <c r="I1699">
        <v>27.508679999999998</v>
      </c>
      <c r="J1699">
        <v>330</v>
      </c>
      <c r="M1699">
        <v>2.9</v>
      </c>
      <c r="O1699">
        <v>0.25900000000000001</v>
      </c>
      <c r="R1699">
        <v>1.1299999999999999</v>
      </c>
    </row>
    <row r="1700" spans="1:19" x14ac:dyDescent="0.2">
      <c r="A1700" t="s">
        <v>3104</v>
      </c>
      <c r="B1700" t="s">
        <v>3107</v>
      </c>
      <c r="C1700">
        <v>2014</v>
      </c>
      <c r="D1700">
        <v>1</v>
      </c>
      <c r="E1700" t="s">
        <v>55</v>
      </c>
      <c r="F1700" t="s">
        <v>128</v>
      </c>
      <c r="G1700" t="s">
        <v>63</v>
      </c>
      <c r="H1700">
        <v>3</v>
      </c>
      <c r="I1700">
        <v>87.517904999999999</v>
      </c>
      <c r="J1700">
        <v>330</v>
      </c>
      <c r="M1700">
        <v>1.64</v>
      </c>
      <c r="O1700">
        <v>0.14599999999999999</v>
      </c>
      <c r="R1700">
        <v>1.1299999999999999</v>
      </c>
    </row>
    <row r="1701" spans="1:19" x14ac:dyDescent="0.2">
      <c r="A1701" t="s">
        <v>3108</v>
      </c>
      <c r="B1701" t="s">
        <v>3109</v>
      </c>
      <c r="C1701">
        <v>2016</v>
      </c>
      <c r="D1701">
        <v>1</v>
      </c>
      <c r="E1701" t="s">
        <v>55</v>
      </c>
      <c r="F1701" t="s">
        <v>128</v>
      </c>
      <c r="G1701" t="s">
        <v>63</v>
      </c>
      <c r="H1701">
        <v>1</v>
      </c>
      <c r="I1701">
        <v>22.241909199999998</v>
      </c>
      <c r="J1701">
        <v>757</v>
      </c>
      <c r="K1701">
        <v>3.55</v>
      </c>
      <c r="M1701">
        <v>1.37</v>
      </c>
      <c r="O1701">
        <v>0.122</v>
      </c>
      <c r="Q1701">
        <v>1.29</v>
      </c>
      <c r="R1701">
        <v>1.79</v>
      </c>
    </row>
    <row r="1702" spans="1:19" x14ac:dyDescent="0.2">
      <c r="A1702" t="s">
        <v>3110</v>
      </c>
      <c r="B1702" t="s">
        <v>3111</v>
      </c>
      <c r="C1702">
        <v>2016</v>
      </c>
      <c r="D1702">
        <v>1</v>
      </c>
      <c r="E1702" t="s">
        <v>55</v>
      </c>
      <c r="F1702" t="s">
        <v>128</v>
      </c>
      <c r="G1702" t="s">
        <v>63</v>
      </c>
      <c r="H1702">
        <v>1</v>
      </c>
      <c r="I1702">
        <v>9.0823704599999999</v>
      </c>
      <c r="J1702">
        <v>816</v>
      </c>
      <c r="K1702">
        <v>4.9000000000000004</v>
      </c>
      <c r="M1702">
        <v>1.4</v>
      </c>
      <c r="O1702">
        <v>0.125</v>
      </c>
      <c r="Q1702">
        <v>0.85</v>
      </c>
      <c r="R1702">
        <v>0.81</v>
      </c>
    </row>
    <row r="1703" spans="1:19" x14ac:dyDescent="0.2">
      <c r="A1703" t="s">
        <v>3112</v>
      </c>
      <c r="B1703" t="s">
        <v>3113</v>
      </c>
      <c r="C1703">
        <v>2016</v>
      </c>
      <c r="D1703">
        <v>1</v>
      </c>
      <c r="E1703" t="s">
        <v>55</v>
      </c>
      <c r="F1703" t="s">
        <v>128</v>
      </c>
      <c r="G1703" t="s">
        <v>63</v>
      </c>
      <c r="H1703">
        <v>1</v>
      </c>
      <c r="I1703">
        <v>8.8392265900000009</v>
      </c>
      <c r="J1703">
        <v>727</v>
      </c>
      <c r="K1703">
        <v>4.68</v>
      </c>
      <c r="M1703">
        <v>1.43</v>
      </c>
      <c r="O1703">
        <v>0.128</v>
      </c>
      <c r="Q1703">
        <v>0.86</v>
      </c>
      <c r="R1703">
        <v>0.82</v>
      </c>
    </row>
    <row r="1704" spans="1:19" x14ac:dyDescent="0.2">
      <c r="A1704" t="s">
        <v>3114</v>
      </c>
      <c r="B1704" t="s">
        <v>3115</v>
      </c>
      <c r="C1704">
        <v>2016</v>
      </c>
      <c r="D1704">
        <v>1</v>
      </c>
      <c r="E1704" t="s">
        <v>55</v>
      </c>
      <c r="F1704" t="s">
        <v>128</v>
      </c>
      <c r="G1704" t="s">
        <v>63</v>
      </c>
      <c r="H1704">
        <v>1</v>
      </c>
      <c r="I1704">
        <v>7.5612722400000001</v>
      </c>
      <c r="J1704">
        <v>905</v>
      </c>
      <c r="K1704">
        <v>4.47</v>
      </c>
      <c r="M1704">
        <v>1.42</v>
      </c>
      <c r="O1704">
        <v>0.127</v>
      </c>
      <c r="Q1704">
        <v>1.01</v>
      </c>
      <c r="R1704">
        <v>1</v>
      </c>
    </row>
    <row r="1705" spans="1:19" x14ac:dyDescent="0.2">
      <c r="A1705" t="s">
        <v>3116</v>
      </c>
      <c r="B1705" t="s">
        <v>3117</v>
      </c>
      <c r="C1705">
        <v>2016</v>
      </c>
      <c r="D1705">
        <v>1</v>
      </c>
      <c r="E1705" t="s">
        <v>55</v>
      </c>
      <c r="F1705" t="s">
        <v>128</v>
      </c>
      <c r="G1705" t="s">
        <v>63</v>
      </c>
      <c r="H1705">
        <v>1</v>
      </c>
      <c r="I1705">
        <v>16.1288853</v>
      </c>
      <c r="J1705">
        <v>682</v>
      </c>
      <c r="K1705">
        <v>4.68</v>
      </c>
      <c r="M1705">
        <v>2.29</v>
      </c>
      <c r="O1705">
        <v>0.20399999999999999</v>
      </c>
      <c r="Q1705">
        <v>0.85</v>
      </c>
      <c r="R1705">
        <v>0.81</v>
      </c>
    </row>
    <row r="1706" spans="1:19" x14ac:dyDescent="0.2">
      <c r="A1706" t="s">
        <v>3118</v>
      </c>
      <c r="B1706" t="s">
        <v>3119</v>
      </c>
      <c r="C1706">
        <v>2016</v>
      </c>
      <c r="D1706">
        <v>1</v>
      </c>
      <c r="E1706" t="s">
        <v>55</v>
      </c>
      <c r="F1706" t="s">
        <v>128</v>
      </c>
      <c r="G1706" t="s">
        <v>63</v>
      </c>
      <c r="H1706">
        <v>1</v>
      </c>
      <c r="I1706">
        <v>13.5630972</v>
      </c>
      <c r="J1706">
        <v>1343</v>
      </c>
      <c r="K1706">
        <v>4.37</v>
      </c>
      <c r="M1706">
        <v>1.88</v>
      </c>
      <c r="O1706">
        <v>0.16800000000000001</v>
      </c>
      <c r="Q1706">
        <v>0.97</v>
      </c>
      <c r="R1706">
        <v>0.96</v>
      </c>
    </row>
    <row r="1707" spans="1:19" x14ac:dyDescent="0.2">
      <c r="A1707" t="s">
        <v>3120</v>
      </c>
      <c r="B1707" t="s">
        <v>3121</v>
      </c>
      <c r="C1707">
        <v>2016</v>
      </c>
      <c r="D1707">
        <v>1</v>
      </c>
      <c r="E1707" t="s">
        <v>55</v>
      </c>
      <c r="F1707" t="s">
        <v>128</v>
      </c>
      <c r="G1707" t="s">
        <v>63</v>
      </c>
      <c r="H1707">
        <v>1</v>
      </c>
      <c r="I1707">
        <v>16.295953820000001</v>
      </c>
      <c r="J1707">
        <v>1130</v>
      </c>
      <c r="K1707">
        <v>4.57</v>
      </c>
      <c r="M1707">
        <v>1.91</v>
      </c>
      <c r="O1707">
        <v>0.17</v>
      </c>
      <c r="Q1707">
        <v>0.98</v>
      </c>
      <c r="R1707">
        <v>0.97</v>
      </c>
    </row>
    <row r="1708" spans="1:19" x14ac:dyDescent="0.2">
      <c r="A1708" t="s">
        <v>3122</v>
      </c>
      <c r="B1708" t="s">
        <v>3123</v>
      </c>
      <c r="C1708">
        <v>2016</v>
      </c>
      <c r="D1708">
        <v>1</v>
      </c>
      <c r="E1708" t="s">
        <v>55</v>
      </c>
      <c r="F1708" t="s">
        <v>128</v>
      </c>
      <c r="G1708" t="s">
        <v>63</v>
      </c>
      <c r="H1708">
        <v>1</v>
      </c>
      <c r="I1708">
        <v>18.016210959999999</v>
      </c>
      <c r="J1708">
        <v>1396</v>
      </c>
      <c r="K1708">
        <v>4.07</v>
      </c>
      <c r="M1708">
        <v>2.4700000000000002</v>
      </c>
      <c r="O1708">
        <v>0.22</v>
      </c>
      <c r="Q1708">
        <v>1.06</v>
      </c>
      <c r="R1708">
        <v>1.08</v>
      </c>
    </row>
    <row r="1709" spans="1:19" x14ac:dyDescent="0.2">
      <c r="A1709" t="s">
        <v>3124</v>
      </c>
      <c r="B1709" t="s">
        <v>3125</v>
      </c>
      <c r="C1709">
        <v>2016</v>
      </c>
      <c r="D1709">
        <v>1</v>
      </c>
      <c r="E1709" t="s">
        <v>55</v>
      </c>
      <c r="F1709" t="s">
        <v>128</v>
      </c>
      <c r="G1709" t="s">
        <v>63</v>
      </c>
      <c r="H1709">
        <v>1</v>
      </c>
      <c r="I1709">
        <v>2.10433812</v>
      </c>
      <c r="J1709">
        <v>73</v>
      </c>
      <c r="K1709">
        <v>3.72</v>
      </c>
      <c r="M1709">
        <v>0.52</v>
      </c>
      <c r="O1709">
        <v>4.5999999999999999E-2</v>
      </c>
      <c r="Q1709">
        <v>0.35</v>
      </c>
      <c r="R1709">
        <v>0.34</v>
      </c>
    </row>
    <row r="1710" spans="1:19" x14ac:dyDescent="0.2">
      <c r="A1710" t="s">
        <v>3126</v>
      </c>
      <c r="B1710" t="s">
        <v>3127</v>
      </c>
      <c r="C1710">
        <v>2016</v>
      </c>
      <c r="D1710">
        <v>1</v>
      </c>
      <c r="E1710" t="s">
        <v>55</v>
      </c>
      <c r="F1710" t="s">
        <v>128</v>
      </c>
      <c r="G1710" t="s">
        <v>63</v>
      </c>
      <c r="H1710">
        <v>1</v>
      </c>
      <c r="I1710">
        <v>28.843264699999999</v>
      </c>
      <c r="J1710">
        <v>845</v>
      </c>
      <c r="K1710">
        <v>4.2699999999999996</v>
      </c>
      <c r="M1710">
        <v>2.37</v>
      </c>
      <c r="O1710">
        <v>0.21099999999999999</v>
      </c>
      <c r="Q1710">
        <v>0.85</v>
      </c>
      <c r="R1710">
        <v>0.8</v>
      </c>
    </row>
    <row r="1711" spans="1:19" x14ac:dyDescent="0.2">
      <c r="A1711" t="s">
        <v>3128</v>
      </c>
      <c r="B1711" t="s">
        <v>3129</v>
      </c>
      <c r="C1711">
        <v>2014</v>
      </c>
      <c r="D1711">
        <v>1</v>
      </c>
      <c r="E1711" t="s">
        <v>55</v>
      </c>
      <c r="F1711" t="s">
        <v>128</v>
      </c>
      <c r="G1711" t="s">
        <v>63</v>
      </c>
      <c r="H1711">
        <v>2</v>
      </c>
      <c r="I1711">
        <v>16.091999999999999</v>
      </c>
      <c r="J1711">
        <v>235</v>
      </c>
      <c r="K1711">
        <v>3.66</v>
      </c>
      <c r="L1711">
        <v>16.13</v>
      </c>
      <c r="M1711">
        <v>2.41</v>
      </c>
      <c r="N1711">
        <v>5.0999999999999997E-2</v>
      </c>
      <c r="O1711">
        <v>0.215</v>
      </c>
      <c r="P1711">
        <v>6</v>
      </c>
      <c r="Q1711">
        <v>1.02</v>
      </c>
      <c r="R1711">
        <v>1.03</v>
      </c>
      <c r="S1711">
        <v>1.44</v>
      </c>
    </row>
    <row r="1712" spans="1:19" x14ac:dyDescent="0.2">
      <c r="A1712" t="s">
        <v>3128</v>
      </c>
      <c r="B1712" t="s">
        <v>3130</v>
      </c>
      <c r="C1712">
        <v>2014</v>
      </c>
      <c r="D1712">
        <v>1</v>
      </c>
      <c r="E1712" t="s">
        <v>55</v>
      </c>
      <c r="F1712" t="s">
        <v>128</v>
      </c>
      <c r="G1712" t="s">
        <v>63</v>
      </c>
      <c r="H1712">
        <v>2</v>
      </c>
      <c r="I1712">
        <v>25.5169</v>
      </c>
      <c r="J1712">
        <v>235</v>
      </c>
      <c r="K1712">
        <v>3.66</v>
      </c>
      <c r="L1712">
        <v>8.25</v>
      </c>
      <c r="M1712">
        <v>0.84</v>
      </c>
      <c r="N1712">
        <v>2.5999999999999999E-2</v>
      </c>
      <c r="O1712">
        <v>7.4999999999999997E-2</v>
      </c>
      <c r="P1712">
        <v>77.7</v>
      </c>
      <c r="Q1712">
        <v>1.02</v>
      </c>
      <c r="R1712">
        <v>1.03</v>
      </c>
      <c r="S1712">
        <v>1.44</v>
      </c>
    </row>
    <row r="1713" spans="1:18" x14ac:dyDescent="0.2">
      <c r="A1713" t="s">
        <v>3131</v>
      </c>
      <c r="B1713" t="s">
        <v>3132</v>
      </c>
      <c r="C1713">
        <v>2016</v>
      </c>
      <c r="D1713">
        <v>1</v>
      </c>
      <c r="E1713" t="s">
        <v>55</v>
      </c>
      <c r="F1713" t="s">
        <v>128</v>
      </c>
      <c r="G1713" t="s">
        <v>63</v>
      </c>
      <c r="H1713">
        <v>1</v>
      </c>
      <c r="I1713">
        <v>0.67933626999999996</v>
      </c>
      <c r="J1713">
        <v>583</v>
      </c>
      <c r="K1713">
        <v>4.17</v>
      </c>
      <c r="M1713">
        <v>1.44</v>
      </c>
      <c r="O1713">
        <v>0.128</v>
      </c>
      <c r="Q1713">
        <v>0.91</v>
      </c>
      <c r="R1713">
        <v>0.88</v>
      </c>
    </row>
    <row r="1714" spans="1:18" x14ac:dyDescent="0.2">
      <c r="A1714" t="s">
        <v>3133</v>
      </c>
      <c r="B1714" t="s">
        <v>3134</v>
      </c>
      <c r="C1714">
        <v>2016</v>
      </c>
      <c r="D1714">
        <v>1</v>
      </c>
      <c r="E1714" t="s">
        <v>55</v>
      </c>
      <c r="F1714" t="s">
        <v>128</v>
      </c>
      <c r="G1714" t="s">
        <v>63</v>
      </c>
      <c r="H1714">
        <v>2</v>
      </c>
      <c r="I1714">
        <v>11.172699400000001</v>
      </c>
      <c r="J1714">
        <v>705</v>
      </c>
      <c r="K1714">
        <v>7.59</v>
      </c>
      <c r="M1714">
        <v>1.24</v>
      </c>
      <c r="O1714">
        <v>0.111</v>
      </c>
      <c r="Q1714">
        <v>1.05</v>
      </c>
      <c r="R1714">
        <v>1.4</v>
      </c>
    </row>
    <row r="1715" spans="1:18" x14ac:dyDescent="0.2">
      <c r="A1715" t="s">
        <v>3133</v>
      </c>
      <c r="B1715" t="s">
        <v>3135</v>
      </c>
      <c r="C1715">
        <v>2016</v>
      </c>
      <c r="D1715">
        <v>1</v>
      </c>
      <c r="E1715" t="s">
        <v>55</v>
      </c>
      <c r="F1715" t="s">
        <v>128</v>
      </c>
      <c r="G1715" t="s">
        <v>63</v>
      </c>
      <c r="H1715">
        <v>2</v>
      </c>
      <c r="I1715">
        <v>2.53573424</v>
      </c>
      <c r="J1715">
        <v>705</v>
      </c>
      <c r="K1715">
        <v>7.59</v>
      </c>
      <c r="M1715">
        <v>1.22</v>
      </c>
      <c r="O1715">
        <v>0.109</v>
      </c>
      <c r="Q1715">
        <v>1.05</v>
      </c>
      <c r="R1715">
        <v>1.4</v>
      </c>
    </row>
    <row r="1716" spans="1:18" x14ac:dyDescent="0.2">
      <c r="A1716" t="s">
        <v>3136</v>
      </c>
      <c r="B1716" t="s">
        <v>3137</v>
      </c>
      <c r="C1716">
        <v>2016</v>
      </c>
      <c r="D1716">
        <v>1</v>
      </c>
      <c r="E1716" t="s">
        <v>55</v>
      </c>
      <c r="F1716" t="s">
        <v>128</v>
      </c>
      <c r="G1716" t="s">
        <v>63</v>
      </c>
      <c r="H1716">
        <v>1</v>
      </c>
      <c r="I1716">
        <v>5.4483252899999997</v>
      </c>
      <c r="J1716">
        <v>305</v>
      </c>
      <c r="K1716">
        <v>2</v>
      </c>
      <c r="M1716">
        <v>2.1</v>
      </c>
      <c r="O1716">
        <v>0.187</v>
      </c>
      <c r="Q1716">
        <v>0.99</v>
      </c>
      <c r="R1716">
        <v>0.92</v>
      </c>
    </row>
    <row r="1717" spans="1:18" x14ac:dyDescent="0.2">
      <c r="A1717" t="s">
        <v>3138</v>
      </c>
      <c r="B1717" t="s">
        <v>3139</v>
      </c>
      <c r="C1717">
        <v>2016</v>
      </c>
      <c r="D1717">
        <v>1</v>
      </c>
      <c r="E1717" t="s">
        <v>55</v>
      </c>
      <c r="F1717" t="s">
        <v>128</v>
      </c>
      <c r="G1717" t="s">
        <v>63</v>
      </c>
      <c r="H1717">
        <v>1</v>
      </c>
      <c r="I1717">
        <v>3.8330911799999998</v>
      </c>
      <c r="J1717">
        <v>187</v>
      </c>
      <c r="K1717">
        <v>2.69</v>
      </c>
      <c r="M1717">
        <v>1.76</v>
      </c>
      <c r="O1717">
        <v>0.157</v>
      </c>
      <c r="Q1717">
        <v>0.92</v>
      </c>
      <c r="R1717">
        <v>0.85</v>
      </c>
    </row>
    <row r="1718" spans="1:18" x14ac:dyDescent="0.2">
      <c r="A1718" t="s">
        <v>3140</v>
      </c>
      <c r="B1718" t="s">
        <v>3141</v>
      </c>
      <c r="C1718">
        <v>2016</v>
      </c>
      <c r="D1718">
        <v>1</v>
      </c>
      <c r="E1718" t="s">
        <v>55</v>
      </c>
      <c r="F1718" t="s">
        <v>128</v>
      </c>
      <c r="G1718" t="s">
        <v>63</v>
      </c>
      <c r="H1718">
        <v>1</v>
      </c>
      <c r="I1718">
        <v>5.4247492800000003</v>
      </c>
      <c r="J1718">
        <v>462</v>
      </c>
      <c r="K1718">
        <v>6.03</v>
      </c>
      <c r="M1718">
        <v>5.1100000000000003</v>
      </c>
      <c r="O1718">
        <v>0.45600000000000002</v>
      </c>
      <c r="Q1718">
        <v>0.6</v>
      </c>
      <c r="R1718">
        <v>0.59</v>
      </c>
    </row>
    <row r="1719" spans="1:18" x14ac:dyDescent="0.2">
      <c r="A1719" t="s">
        <v>3142</v>
      </c>
      <c r="B1719" t="s">
        <v>3143</v>
      </c>
      <c r="C1719">
        <v>2016</v>
      </c>
      <c r="D1719">
        <v>1</v>
      </c>
      <c r="E1719" t="s">
        <v>55</v>
      </c>
      <c r="F1719" t="s">
        <v>128</v>
      </c>
      <c r="G1719" t="s">
        <v>63</v>
      </c>
      <c r="H1719">
        <v>1</v>
      </c>
      <c r="I1719">
        <v>0.84338011000000002</v>
      </c>
      <c r="J1719">
        <v>505</v>
      </c>
      <c r="K1719">
        <v>3.47</v>
      </c>
      <c r="M1719">
        <v>1.38</v>
      </c>
      <c r="O1719">
        <v>0.123</v>
      </c>
      <c r="Q1719">
        <v>0.8</v>
      </c>
      <c r="R1719">
        <v>0.75</v>
      </c>
    </row>
    <row r="1720" spans="1:18" x14ac:dyDescent="0.2">
      <c r="A1720" t="s">
        <v>3144</v>
      </c>
      <c r="B1720" t="s">
        <v>3145</v>
      </c>
      <c r="C1720">
        <v>2016</v>
      </c>
      <c r="D1720">
        <v>1</v>
      </c>
      <c r="E1720" t="s">
        <v>55</v>
      </c>
      <c r="F1720" t="s">
        <v>128</v>
      </c>
      <c r="G1720" t="s">
        <v>63</v>
      </c>
      <c r="H1720">
        <v>1</v>
      </c>
      <c r="I1720">
        <v>87.973213599999994</v>
      </c>
      <c r="J1720">
        <v>753</v>
      </c>
      <c r="K1720">
        <v>5.13</v>
      </c>
      <c r="M1720">
        <v>3.54</v>
      </c>
      <c r="O1720">
        <v>0.316</v>
      </c>
      <c r="Q1720">
        <v>1.04</v>
      </c>
      <c r="R1720">
        <v>1.1200000000000001</v>
      </c>
    </row>
    <row r="1721" spans="1:18" x14ac:dyDescent="0.2">
      <c r="A1721" t="s">
        <v>3146</v>
      </c>
      <c r="B1721" t="s">
        <v>3147</v>
      </c>
      <c r="C1721">
        <v>2016</v>
      </c>
      <c r="D1721">
        <v>1</v>
      </c>
      <c r="E1721" t="s">
        <v>55</v>
      </c>
      <c r="F1721" t="s">
        <v>128</v>
      </c>
      <c r="G1721" t="s">
        <v>63</v>
      </c>
      <c r="H1721">
        <v>1</v>
      </c>
      <c r="I1721">
        <v>0.56887443000000004</v>
      </c>
      <c r="J1721">
        <v>734</v>
      </c>
      <c r="K1721">
        <v>4.79</v>
      </c>
      <c r="M1721">
        <v>1.56</v>
      </c>
      <c r="O1721">
        <v>0.13900000000000001</v>
      </c>
      <c r="Q1721">
        <v>0.83</v>
      </c>
      <c r="R1721">
        <v>0.79</v>
      </c>
    </row>
    <row r="1722" spans="1:18" x14ac:dyDescent="0.2">
      <c r="A1722" t="s">
        <v>3148</v>
      </c>
      <c r="B1722" t="s">
        <v>3149</v>
      </c>
      <c r="C1722">
        <v>2016</v>
      </c>
      <c r="D1722">
        <v>1</v>
      </c>
      <c r="E1722" t="s">
        <v>55</v>
      </c>
      <c r="F1722" t="s">
        <v>128</v>
      </c>
      <c r="G1722" t="s">
        <v>63</v>
      </c>
      <c r="H1722">
        <v>1</v>
      </c>
      <c r="I1722">
        <v>213.25766300000001</v>
      </c>
      <c r="J1722">
        <v>475</v>
      </c>
      <c r="K1722">
        <v>4.57</v>
      </c>
      <c r="M1722">
        <v>3.11</v>
      </c>
      <c r="O1722">
        <v>0.27700000000000002</v>
      </c>
      <c r="Q1722">
        <v>0.73</v>
      </c>
      <c r="R1722">
        <v>0.7</v>
      </c>
    </row>
    <row r="1723" spans="1:18" x14ac:dyDescent="0.2">
      <c r="A1723" t="s">
        <v>3150</v>
      </c>
      <c r="B1723" t="s">
        <v>3151</v>
      </c>
      <c r="C1723">
        <v>2016</v>
      </c>
      <c r="D1723">
        <v>1</v>
      </c>
      <c r="E1723" t="s">
        <v>55</v>
      </c>
      <c r="F1723" t="s">
        <v>128</v>
      </c>
      <c r="G1723" t="s">
        <v>63</v>
      </c>
      <c r="H1723">
        <v>1</v>
      </c>
      <c r="I1723">
        <v>2.8867626500000001</v>
      </c>
      <c r="J1723">
        <v>114</v>
      </c>
      <c r="K1723">
        <v>5.37</v>
      </c>
      <c r="M1723">
        <v>1.34</v>
      </c>
      <c r="O1723">
        <v>0.12</v>
      </c>
      <c r="Q1723">
        <v>0.56000000000000005</v>
      </c>
      <c r="R1723">
        <v>0.54</v>
      </c>
    </row>
    <row r="1724" spans="1:18" x14ac:dyDescent="0.2">
      <c r="A1724" t="s">
        <v>3152</v>
      </c>
      <c r="B1724" t="s">
        <v>3153</v>
      </c>
      <c r="C1724">
        <v>2014</v>
      </c>
      <c r="D1724">
        <v>1</v>
      </c>
      <c r="E1724" t="s">
        <v>55</v>
      </c>
      <c r="F1724" t="s">
        <v>128</v>
      </c>
      <c r="G1724" t="s">
        <v>63</v>
      </c>
      <c r="H1724">
        <v>4</v>
      </c>
      <c r="I1724">
        <v>6.1781959999999998</v>
      </c>
      <c r="J1724">
        <v>303</v>
      </c>
      <c r="M1724">
        <v>1.21</v>
      </c>
      <c r="O1724">
        <v>0.108</v>
      </c>
      <c r="R1724">
        <v>1.18</v>
      </c>
    </row>
    <row r="1725" spans="1:18" x14ac:dyDescent="0.2">
      <c r="A1725" t="s">
        <v>3152</v>
      </c>
      <c r="B1725" t="s">
        <v>3154</v>
      </c>
      <c r="C1725">
        <v>2014</v>
      </c>
      <c r="D1725">
        <v>1</v>
      </c>
      <c r="E1725" t="s">
        <v>55</v>
      </c>
      <c r="F1725" t="s">
        <v>128</v>
      </c>
      <c r="G1725" t="s">
        <v>63</v>
      </c>
      <c r="H1725">
        <v>4</v>
      </c>
      <c r="I1725">
        <v>6.4149139999999996</v>
      </c>
      <c r="J1725">
        <v>303</v>
      </c>
      <c r="M1725">
        <v>1.28</v>
      </c>
      <c r="O1725">
        <v>0.114</v>
      </c>
      <c r="R1725">
        <v>1.18</v>
      </c>
    </row>
    <row r="1726" spans="1:18" x14ac:dyDescent="0.2">
      <c r="A1726" t="s">
        <v>3152</v>
      </c>
      <c r="B1726" t="s">
        <v>3155</v>
      </c>
      <c r="C1726">
        <v>2014</v>
      </c>
      <c r="D1726">
        <v>1</v>
      </c>
      <c r="E1726" t="s">
        <v>55</v>
      </c>
      <c r="F1726" t="s">
        <v>128</v>
      </c>
      <c r="G1726" t="s">
        <v>63</v>
      </c>
      <c r="H1726">
        <v>4</v>
      </c>
      <c r="I1726">
        <v>18.010199</v>
      </c>
      <c r="J1726">
        <v>303</v>
      </c>
      <c r="M1726">
        <v>1.55</v>
      </c>
      <c r="O1726">
        <v>0.13800000000000001</v>
      </c>
      <c r="R1726">
        <v>1.18</v>
      </c>
    </row>
    <row r="1727" spans="1:18" x14ac:dyDescent="0.2">
      <c r="A1727" t="s">
        <v>3152</v>
      </c>
      <c r="B1727" t="s">
        <v>3156</v>
      </c>
      <c r="C1727">
        <v>2016</v>
      </c>
      <c r="D1727">
        <v>1</v>
      </c>
      <c r="E1727" t="s">
        <v>55</v>
      </c>
      <c r="F1727" t="s">
        <v>128</v>
      </c>
      <c r="G1727" t="s">
        <v>63</v>
      </c>
      <c r="H1727">
        <v>4</v>
      </c>
      <c r="I1727">
        <v>110.2869374</v>
      </c>
      <c r="J1727">
        <v>303</v>
      </c>
      <c r="M1727">
        <v>1.18</v>
      </c>
      <c r="O1727">
        <v>0.105</v>
      </c>
      <c r="R1727">
        <v>1.18</v>
      </c>
    </row>
    <row r="1728" spans="1:18" x14ac:dyDescent="0.2">
      <c r="A1728" t="s">
        <v>3157</v>
      </c>
      <c r="B1728" t="s">
        <v>3158</v>
      </c>
      <c r="C1728">
        <v>2016</v>
      </c>
      <c r="D1728">
        <v>1</v>
      </c>
      <c r="E1728" t="s">
        <v>55</v>
      </c>
      <c r="F1728" t="s">
        <v>128</v>
      </c>
      <c r="G1728" t="s">
        <v>63</v>
      </c>
      <c r="H1728">
        <v>1</v>
      </c>
      <c r="I1728">
        <v>0.86838652999999999</v>
      </c>
      <c r="J1728">
        <v>771</v>
      </c>
      <c r="K1728">
        <v>3.16</v>
      </c>
      <c r="M1728">
        <v>1.7</v>
      </c>
      <c r="O1728">
        <v>0.152</v>
      </c>
      <c r="Q1728">
        <v>0.8</v>
      </c>
      <c r="R1728">
        <v>0.74</v>
      </c>
    </row>
    <row r="1729" spans="1:18" x14ac:dyDescent="0.2">
      <c r="A1729" t="s">
        <v>3159</v>
      </c>
      <c r="B1729" t="s">
        <v>3160</v>
      </c>
      <c r="C1729">
        <v>2016</v>
      </c>
      <c r="D1729">
        <v>1</v>
      </c>
      <c r="E1729" t="s">
        <v>55</v>
      </c>
      <c r="F1729" t="s">
        <v>128</v>
      </c>
      <c r="G1729" t="s">
        <v>63</v>
      </c>
      <c r="H1729">
        <v>2</v>
      </c>
      <c r="I1729">
        <v>11.12830484</v>
      </c>
      <c r="J1729">
        <v>547</v>
      </c>
      <c r="K1729">
        <v>4.17</v>
      </c>
      <c r="M1729">
        <v>4.92</v>
      </c>
      <c r="O1729">
        <v>0.439</v>
      </c>
      <c r="Q1729">
        <v>0.54</v>
      </c>
      <c r="R1729">
        <v>0.53</v>
      </c>
    </row>
    <row r="1730" spans="1:18" x14ac:dyDescent="0.2">
      <c r="A1730" t="s">
        <v>3159</v>
      </c>
      <c r="B1730" t="s">
        <v>3161</v>
      </c>
      <c r="C1730">
        <v>2016</v>
      </c>
      <c r="D1730">
        <v>1</v>
      </c>
      <c r="E1730" t="s">
        <v>55</v>
      </c>
      <c r="F1730" t="s">
        <v>128</v>
      </c>
      <c r="G1730" t="s">
        <v>63</v>
      </c>
      <c r="H1730">
        <v>2</v>
      </c>
      <c r="I1730">
        <v>2.2264910900000001</v>
      </c>
      <c r="J1730">
        <v>547</v>
      </c>
      <c r="K1730">
        <v>4.17</v>
      </c>
      <c r="M1730">
        <v>2.4</v>
      </c>
      <c r="O1730">
        <v>0.214</v>
      </c>
      <c r="Q1730">
        <v>0.54</v>
      </c>
      <c r="R1730">
        <v>0.53</v>
      </c>
    </row>
    <row r="1731" spans="1:18" x14ac:dyDescent="0.2">
      <c r="A1731" t="s">
        <v>3162</v>
      </c>
      <c r="B1731" t="s">
        <v>3163</v>
      </c>
      <c r="C1731">
        <v>2016</v>
      </c>
      <c r="D1731">
        <v>1</v>
      </c>
      <c r="E1731" t="s">
        <v>55</v>
      </c>
      <c r="F1731" t="s">
        <v>128</v>
      </c>
      <c r="G1731" t="s">
        <v>63</v>
      </c>
      <c r="H1731">
        <v>1</v>
      </c>
      <c r="I1731">
        <v>0.96286738000000005</v>
      </c>
      <c r="J1731">
        <v>1217</v>
      </c>
      <c r="K1731">
        <v>4.47</v>
      </c>
      <c r="M1731">
        <v>1.61</v>
      </c>
      <c r="O1731">
        <v>0.14399999999999999</v>
      </c>
      <c r="Q1731">
        <v>0.9</v>
      </c>
      <c r="R1731">
        <v>0.87</v>
      </c>
    </row>
    <row r="1732" spans="1:18" x14ac:dyDescent="0.2">
      <c r="A1732" t="s">
        <v>3164</v>
      </c>
      <c r="B1732" t="s">
        <v>3165</v>
      </c>
      <c r="C1732">
        <v>2016</v>
      </c>
      <c r="D1732">
        <v>1</v>
      </c>
      <c r="E1732" t="s">
        <v>55</v>
      </c>
      <c r="F1732" t="s">
        <v>128</v>
      </c>
      <c r="G1732" t="s">
        <v>63</v>
      </c>
      <c r="H1732">
        <v>1</v>
      </c>
      <c r="I1732">
        <v>0.92990667999999999</v>
      </c>
      <c r="J1732">
        <v>530</v>
      </c>
      <c r="K1732">
        <v>3.55</v>
      </c>
      <c r="M1732">
        <v>1.52</v>
      </c>
      <c r="O1732">
        <v>0.13600000000000001</v>
      </c>
      <c r="Q1732">
        <v>1.18</v>
      </c>
      <c r="R1732">
        <v>1.4</v>
      </c>
    </row>
    <row r="1733" spans="1:18" x14ac:dyDescent="0.2">
      <c r="A1733" t="s">
        <v>3166</v>
      </c>
      <c r="B1733" t="s">
        <v>3167</v>
      </c>
      <c r="C1733">
        <v>2016</v>
      </c>
      <c r="D1733">
        <v>1</v>
      </c>
      <c r="E1733" t="s">
        <v>55</v>
      </c>
      <c r="F1733" t="s">
        <v>128</v>
      </c>
      <c r="G1733" t="s">
        <v>63</v>
      </c>
      <c r="H1733">
        <v>1</v>
      </c>
      <c r="I1733">
        <v>4.1158446800000004</v>
      </c>
      <c r="J1733">
        <v>522</v>
      </c>
      <c r="K1733">
        <v>2.88</v>
      </c>
      <c r="M1733">
        <v>1.51</v>
      </c>
      <c r="O1733">
        <v>0.13500000000000001</v>
      </c>
      <c r="Q1733">
        <v>0.78</v>
      </c>
      <c r="R1733">
        <v>0.73</v>
      </c>
    </row>
    <row r="1734" spans="1:18" x14ac:dyDescent="0.2">
      <c r="A1734" t="s">
        <v>3168</v>
      </c>
      <c r="B1734" t="s">
        <v>3169</v>
      </c>
      <c r="C1734">
        <v>2016</v>
      </c>
      <c r="D1734">
        <v>1</v>
      </c>
      <c r="E1734" t="s">
        <v>55</v>
      </c>
      <c r="F1734" t="s">
        <v>128</v>
      </c>
      <c r="G1734" t="s">
        <v>63</v>
      </c>
      <c r="H1734">
        <v>1</v>
      </c>
      <c r="I1734">
        <v>33.878683799999997</v>
      </c>
      <c r="J1734">
        <v>955</v>
      </c>
      <c r="K1734">
        <v>4.79</v>
      </c>
      <c r="M1734">
        <v>2.86</v>
      </c>
      <c r="O1734">
        <v>0.255</v>
      </c>
      <c r="Q1734">
        <v>0.93</v>
      </c>
      <c r="R1734">
        <v>0.91</v>
      </c>
    </row>
    <row r="1735" spans="1:18" x14ac:dyDescent="0.2">
      <c r="A1735" t="s">
        <v>3170</v>
      </c>
      <c r="B1735" t="s">
        <v>3171</v>
      </c>
      <c r="C1735">
        <v>2016</v>
      </c>
      <c r="D1735">
        <v>1</v>
      </c>
      <c r="E1735" t="s">
        <v>55</v>
      </c>
      <c r="F1735" t="s">
        <v>128</v>
      </c>
      <c r="G1735" t="s">
        <v>63</v>
      </c>
      <c r="H1735">
        <v>1</v>
      </c>
      <c r="I1735">
        <v>42.351426699999998</v>
      </c>
      <c r="J1735">
        <v>910</v>
      </c>
      <c r="K1735">
        <v>1.7</v>
      </c>
      <c r="M1735">
        <v>4.18</v>
      </c>
      <c r="O1735">
        <v>0.373</v>
      </c>
      <c r="Q1735">
        <v>1.45</v>
      </c>
      <c r="R1735">
        <v>1.74</v>
      </c>
    </row>
    <row r="1736" spans="1:18" x14ac:dyDescent="0.2">
      <c r="A1736" t="s">
        <v>3172</v>
      </c>
      <c r="B1736" t="s">
        <v>3173</v>
      </c>
      <c r="C1736">
        <v>2016</v>
      </c>
      <c r="D1736">
        <v>1</v>
      </c>
      <c r="E1736" t="s">
        <v>55</v>
      </c>
      <c r="F1736" t="s">
        <v>128</v>
      </c>
      <c r="G1736" t="s">
        <v>63</v>
      </c>
      <c r="H1736">
        <v>1</v>
      </c>
      <c r="I1736">
        <v>14.888010980000001</v>
      </c>
      <c r="J1736">
        <v>688</v>
      </c>
      <c r="K1736">
        <v>4.07</v>
      </c>
      <c r="M1736">
        <v>1.8</v>
      </c>
      <c r="O1736">
        <v>0.161</v>
      </c>
      <c r="Q1736">
        <v>1.02</v>
      </c>
      <c r="R1736">
        <v>1.03</v>
      </c>
    </row>
    <row r="1737" spans="1:18" x14ac:dyDescent="0.2">
      <c r="A1737" t="s">
        <v>3174</v>
      </c>
      <c r="B1737" t="s">
        <v>3175</v>
      </c>
      <c r="C1737">
        <v>2016</v>
      </c>
      <c r="D1737">
        <v>1</v>
      </c>
      <c r="E1737" t="s">
        <v>55</v>
      </c>
      <c r="F1737" t="s">
        <v>128</v>
      </c>
      <c r="G1737" t="s">
        <v>63</v>
      </c>
      <c r="H1737">
        <v>1</v>
      </c>
      <c r="I1737">
        <v>4.5215888800000004</v>
      </c>
      <c r="J1737">
        <v>630</v>
      </c>
      <c r="K1737">
        <v>4.57</v>
      </c>
      <c r="M1737">
        <v>0.98</v>
      </c>
      <c r="O1737">
        <v>8.6999999999999994E-2</v>
      </c>
      <c r="Q1737">
        <v>1</v>
      </c>
      <c r="R1737">
        <v>0.99</v>
      </c>
    </row>
    <row r="1738" spans="1:18" x14ac:dyDescent="0.2">
      <c r="A1738" t="s">
        <v>3176</v>
      </c>
      <c r="B1738" t="s">
        <v>3177</v>
      </c>
      <c r="C1738">
        <v>2016</v>
      </c>
      <c r="D1738">
        <v>1</v>
      </c>
      <c r="E1738" t="s">
        <v>55</v>
      </c>
      <c r="F1738" t="s">
        <v>128</v>
      </c>
      <c r="G1738" t="s">
        <v>63</v>
      </c>
      <c r="H1738">
        <v>1</v>
      </c>
      <c r="I1738">
        <v>9.3364659400000001</v>
      </c>
      <c r="J1738">
        <v>624</v>
      </c>
      <c r="K1738">
        <v>5.62</v>
      </c>
      <c r="M1738">
        <v>2.17</v>
      </c>
      <c r="O1738">
        <v>0.19400000000000001</v>
      </c>
      <c r="Q1738">
        <v>0.72</v>
      </c>
      <c r="R1738">
        <v>0.69</v>
      </c>
    </row>
    <row r="1739" spans="1:18" x14ac:dyDescent="0.2">
      <c r="A1739" t="s">
        <v>3178</v>
      </c>
      <c r="B1739" t="s">
        <v>3179</v>
      </c>
      <c r="C1739">
        <v>2014</v>
      </c>
      <c r="D1739">
        <v>1</v>
      </c>
      <c r="E1739" t="s">
        <v>55</v>
      </c>
      <c r="F1739" t="s">
        <v>128</v>
      </c>
      <c r="G1739" t="s">
        <v>63</v>
      </c>
      <c r="H1739">
        <v>2</v>
      </c>
      <c r="I1739">
        <v>8.1299759999999992</v>
      </c>
      <c r="J1739">
        <v>530</v>
      </c>
      <c r="M1739">
        <v>1.76</v>
      </c>
      <c r="O1739">
        <v>0.157</v>
      </c>
      <c r="R1739">
        <v>1.43</v>
      </c>
    </row>
    <row r="1740" spans="1:18" x14ac:dyDescent="0.2">
      <c r="A1740" t="s">
        <v>3178</v>
      </c>
      <c r="B1740" t="s">
        <v>3180</v>
      </c>
      <c r="C1740">
        <v>2014</v>
      </c>
      <c r="D1740">
        <v>1</v>
      </c>
      <c r="E1740" t="s">
        <v>55</v>
      </c>
      <c r="F1740" t="s">
        <v>128</v>
      </c>
      <c r="G1740" t="s">
        <v>63</v>
      </c>
      <c r="H1740">
        <v>2</v>
      </c>
      <c r="I1740">
        <v>31.517586000000001</v>
      </c>
      <c r="J1740">
        <v>530</v>
      </c>
      <c r="M1740">
        <v>2.84</v>
      </c>
      <c r="O1740">
        <v>0.253</v>
      </c>
      <c r="R1740">
        <v>1.43</v>
      </c>
    </row>
    <row r="1741" spans="1:18" x14ac:dyDescent="0.2">
      <c r="A1741" t="s">
        <v>3181</v>
      </c>
      <c r="B1741" t="s">
        <v>3182</v>
      </c>
      <c r="C1741">
        <v>2016</v>
      </c>
      <c r="D1741">
        <v>1</v>
      </c>
      <c r="E1741" t="s">
        <v>55</v>
      </c>
      <c r="F1741" t="s">
        <v>128</v>
      </c>
      <c r="G1741" t="s">
        <v>63</v>
      </c>
      <c r="H1741">
        <v>1</v>
      </c>
      <c r="I1741">
        <v>10.107690679999999</v>
      </c>
      <c r="J1741">
        <v>939</v>
      </c>
      <c r="K1741">
        <v>4.9000000000000004</v>
      </c>
      <c r="M1741">
        <v>1.65</v>
      </c>
      <c r="O1741">
        <v>0.14699999999999999</v>
      </c>
      <c r="Q1741">
        <v>0.97</v>
      </c>
      <c r="R1741">
        <v>0.94</v>
      </c>
    </row>
    <row r="1742" spans="1:18" x14ac:dyDescent="0.2">
      <c r="A1742" t="s">
        <v>3183</v>
      </c>
      <c r="B1742" t="s">
        <v>3184</v>
      </c>
      <c r="C1742">
        <v>2016</v>
      </c>
      <c r="D1742">
        <v>1</v>
      </c>
      <c r="E1742" t="s">
        <v>55</v>
      </c>
      <c r="F1742" t="s">
        <v>128</v>
      </c>
      <c r="G1742" t="s">
        <v>63</v>
      </c>
      <c r="H1742">
        <v>1</v>
      </c>
      <c r="I1742">
        <v>0.78916165000000005</v>
      </c>
      <c r="J1742">
        <v>365</v>
      </c>
      <c r="K1742">
        <v>4.17</v>
      </c>
      <c r="M1742">
        <v>1.05</v>
      </c>
      <c r="O1742">
        <v>9.4E-2</v>
      </c>
      <c r="Q1742">
        <v>0.72</v>
      </c>
      <c r="R1742">
        <v>0.69</v>
      </c>
    </row>
    <row r="1743" spans="1:18" x14ac:dyDescent="0.2">
      <c r="A1743" t="s">
        <v>3185</v>
      </c>
      <c r="B1743" t="s">
        <v>3186</v>
      </c>
      <c r="C1743">
        <v>2016</v>
      </c>
      <c r="D1743">
        <v>1</v>
      </c>
      <c r="E1743" t="s">
        <v>55</v>
      </c>
      <c r="F1743" t="s">
        <v>128</v>
      </c>
      <c r="G1743" t="s">
        <v>63</v>
      </c>
      <c r="H1743">
        <v>1</v>
      </c>
      <c r="I1743">
        <v>11.87456832</v>
      </c>
      <c r="J1743">
        <v>515</v>
      </c>
      <c r="K1743">
        <v>3.24</v>
      </c>
      <c r="M1743">
        <v>1.37</v>
      </c>
      <c r="O1743">
        <v>0.122</v>
      </c>
      <c r="Q1743">
        <v>0.95</v>
      </c>
      <c r="R1743">
        <v>0.9</v>
      </c>
    </row>
    <row r="1744" spans="1:18" x14ac:dyDescent="0.2">
      <c r="A1744" t="s">
        <v>3187</v>
      </c>
      <c r="B1744" t="s">
        <v>3188</v>
      </c>
      <c r="C1744">
        <v>2016</v>
      </c>
      <c r="D1744">
        <v>1</v>
      </c>
      <c r="E1744" t="s">
        <v>55</v>
      </c>
      <c r="F1744" t="s">
        <v>128</v>
      </c>
      <c r="G1744" t="s">
        <v>63</v>
      </c>
      <c r="H1744">
        <v>1</v>
      </c>
      <c r="I1744">
        <v>109.6471842</v>
      </c>
      <c r="J1744">
        <v>958</v>
      </c>
      <c r="K1744">
        <v>4.57</v>
      </c>
      <c r="M1744">
        <v>2.81</v>
      </c>
      <c r="O1744">
        <v>0.251</v>
      </c>
      <c r="Q1744">
        <v>0.94</v>
      </c>
      <c r="R1744">
        <v>0.92</v>
      </c>
    </row>
    <row r="1745" spans="1:18" x14ac:dyDescent="0.2">
      <c r="A1745" t="s">
        <v>3189</v>
      </c>
      <c r="B1745" t="s">
        <v>3190</v>
      </c>
      <c r="C1745">
        <v>2016</v>
      </c>
      <c r="D1745">
        <v>1</v>
      </c>
      <c r="E1745" t="s">
        <v>55</v>
      </c>
      <c r="F1745" t="s">
        <v>128</v>
      </c>
      <c r="G1745" t="s">
        <v>63</v>
      </c>
      <c r="H1745">
        <v>1</v>
      </c>
      <c r="I1745">
        <v>15.645917130000001</v>
      </c>
      <c r="J1745">
        <v>1047</v>
      </c>
      <c r="K1745">
        <v>4.2699999999999996</v>
      </c>
      <c r="M1745">
        <v>2.29</v>
      </c>
      <c r="O1745">
        <v>0.20399999999999999</v>
      </c>
      <c r="Q1745">
        <v>0.94</v>
      </c>
      <c r="R1745">
        <v>0.91</v>
      </c>
    </row>
    <row r="1746" spans="1:18" x14ac:dyDescent="0.2">
      <c r="A1746" t="s">
        <v>3191</v>
      </c>
      <c r="B1746" t="s">
        <v>3192</v>
      </c>
      <c r="C1746">
        <v>2016</v>
      </c>
      <c r="D1746">
        <v>1</v>
      </c>
      <c r="E1746" t="s">
        <v>55</v>
      </c>
      <c r="F1746" t="s">
        <v>128</v>
      </c>
      <c r="G1746" t="s">
        <v>63</v>
      </c>
      <c r="H1746">
        <v>1</v>
      </c>
      <c r="I1746">
        <v>6.2640684599999998</v>
      </c>
      <c r="J1746">
        <v>628</v>
      </c>
      <c r="K1746">
        <v>4.9000000000000004</v>
      </c>
      <c r="M1746">
        <v>1.45</v>
      </c>
      <c r="O1746">
        <v>0.129</v>
      </c>
      <c r="Q1746">
        <v>0.77</v>
      </c>
      <c r="R1746">
        <v>0.74</v>
      </c>
    </row>
    <row r="1747" spans="1:18" x14ac:dyDescent="0.2">
      <c r="A1747" t="s">
        <v>3193</v>
      </c>
      <c r="B1747" t="s">
        <v>3194</v>
      </c>
      <c r="C1747">
        <v>2016</v>
      </c>
      <c r="D1747">
        <v>1</v>
      </c>
      <c r="E1747" t="s">
        <v>55</v>
      </c>
      <c r="F1747" t="s">
        <v>128</v>
      </c>
      <c r="G1747" t="s">
        <v>63</v>
      </c>
      <c r="H1747">
        <v>2</v>
      </c>
      <c r="I1747">
        <v>23.198681000000001</v>
      </c>
      <c r="J1747">
        <v>822</v>
      </c>
      <c r="K1747">
        <v>12.3</v>
      </c>
      <c r="M1747">
        <v>1.98</v>
      </c>
      <c r="O1747">
        <v>0.17699999999999999</v>
      </c>
      <c r="Q1747">
        <v>0.94</v>
      </c>
      <c r="R1747">
        <v>1.3</v>
      </c>
    </row>
    <row r="1748" spans="1:18" x14ac:dyDescent="0.2">
      <c r="A1748" t="s">
        <v>3193</v>
      </c>
      <c r="B1748" t="s">
        <v>3195</v>
      </c>
      <c r="C1748">
        <v>2016</v>
      </c>
      <c r="D1748">
        <v>1</v>
      </c>
      <c r="E1748" t="s">
        <v>55</v>
      </c>
      <c r="F1748" t="s">
        <v>128</v>
      </c>
      <c r="G1748" t="s">
        <v>63</v>
      </c>
      <c r="H1748">
        <v>2</v>
      </c>
      <c r="I1748">
        <v>5.7772121099999998</v>
      </c>
      <c r="J1748">
        <v>822</v>
      </c>
      <c r="K1748">
        <v>12.3</v>
      </c>
      <c r="M1748">
        <v>1.71</v>
      </c>
      <c r="O1748">
        <v>0.153</v>
      </c>
      <c r="Q1748">
        <v>0.94</v>
      </c>
      <c r="R1748">
        <v>1.3</v>
      </c>
    </row>
    <row r="1749" spans="1:18" x14ac:dyDescent="0.2">
      <c r="A1749" t="s">
        <v>3196</v>
      </c>
      <c r="B1749" t="s">
        <v>3197</v>
      </c>
      <c r="C1749">
        <v>2016</v>
      </c>
      <c r="D1749">
        <v>1</v>
      </c>
      <c r="E1749" t="s">
        <v>55</v>
      </c>
      <c r="F1749" t="s">
        <v>128</v>
      </c>
      <c r="G1749" t="s">
        <v>63</v>
      </c>
      <c r="H1749">
        <v>1</v>
      </c>
      <c r="I1749">
        <v>24.4002549</v>
      </c>
      <c r="J1749">
        <v>588</v>
      </c>
      <c r="K1749">
        <v>4.2699999999999996</v>
      </c>
      <c r="M1749">
        <v>2.41</v>
      </c>
      <c r="O1749">
        <v>0.215</v>
      </c>
      <c r="Q1749">
        <v>0.7</v>
      </c>
      <c r="R1749">
        <v>0.67</v>
      </c>
    </row>
    <row r="1750" spans="1:18" x14ac:dyDescent="0.2">
      <c r="A1750" t="s">
        <v>3198</v>
      </c>
      <c r="B1750" t="s">
        <v>3199</v>
      </c>
      <c r="C1750">
        <v>2016</v>
      </c>
      <c r="D1750">
        <v>1</v>
      </c>
      <c r="E1750" t="s">
        <v>55</v>
      </c>
      <c r="F1750" t="s">
        <v>128</v>
      </c>
      <c r="G1750" t="s">
        <v>63</v>
      </c>
      <c r="H1750">
        <v>1</v>
      </c>
      <c r="I1750">
        <v>0.93511805999999997</v>
      </c>
      <c r="J1750">
        <v>619</v>
      </c>
      <c r="K1750">
        <v>3.8</v>
      </c>
      <c r="M1750">
        <v>0.92</v>
      </c>
      <c r="O1750">
        <v>8.2000000000000003E-2</v>
      </c>
      <c r="Q1750">
        <v>1.04</v>
      </c>
      <c r="R1750">
        <v>1.05</v>
      </c>
    </row>
    <row r="1751" spans="1:18" x14ac:dyDescent="0.2">
      <c r="A1751" t="s">
        <v>3200</v>
      </c>
      <c r="B1751" t="s">
        <v>3201</v>
      </c>
      <c r="C1751">
        <v>2016</v>
      </c>
      <c r="D1751">
        <v>1</v>
      </c>
      <c r="E1751" t="s">
        <v>55</v>
      </c>
      <c r="F1751" t="s">
        <v>128</v>
      </c>
      <c r="G1751" t="s">
        <v>63</v>
      </c>
      <c r="H1751">
        <v>1</v>
      </c>
      <c r="I1751">
        <v>1.3415551299999999</v>
      </c>
      <c r="J1751">
        <v>267</v>
      </c>
      <c r="K1751">
        <v>5.62</v>
      </c>
      <c r="M1751">
        <v>0.71</v>
      </c>
      <c r="O1751">
        <v>6.3E-2</v>
      </c>
      <c r="Q1751">
        <v>0.94</v>
      </c>
      <c r="R1751">
        <v>0.93</v>
      </c>
    </row>
    <row r="1752" spans="1:18" x14ac:dyDescent="0.2">
      <c r="A1752" t="s">
        <v>3202</v>
      </c>
      <c r="B1752" t="s">
        <v>3203</v>
      </c>
      <c r="C1752">
        <v>2014</v>
      </c>
      <c r="D1752">
        <v>1</v>
      </c>
      <c r="E1752" t="s">
        <v>55</v>
      </c>
      <c r="F1752" t="s">
        <v>128</v>
      </c>
      <c r="G1752" t="s">
        <v>63</v>
      </c>
      <c r="H1752">
        <v>2</v>
      </c>
      <c r="I1752">
        <v>5.3174289999999997</v>
      </c>
      <c r="J1752">
        <v>369</v>
      </c>
      <c r="M1752">
        <v>2</v>
      </c>
      <c r="O1752">
        <v>0.17799999999999999</v>
      </c>
      <c r="R1752">
        <v>1.18</v>
      </c>
    </row>
    <row r="1753" spans="1:18" x14ac:dyDescent="0.2">
      <c r="A1753" t="s">
        <v>3202</v>
      </c>
      <c r="B1753" t="s">
        <v>3204</v>
      </c>
      <c r="C1753">
        <v>2014</v>
      </c>
      <c r="D1753">
        <v>1</v>
      </c>
      <c r="E1753" t="s">
        <v>55</v>
      </c>
      <c r="F1753" t="s">
        <v>128</v>
      </c>
      <c r="G1753" t="s">
        <v>63</v>
      </c>
      <c r="H1753">
        <v>2</v>
      </c>
      <c r="I1753">
        <v>10.105784999999999</v>
      </c>
      <c r="J1753">
        <v>369</v>
      </c>
      <c r="M1753">
        <v>1.26</v>
      </c>
      <c r="O1753">
        <v>0.112</v>
      </c>
      <c r="R1753">
        <v>1.18</v>
      </c>
    </row>
    <row r="1754" spans="1:18" x14ac:dyDescent="0.2">
      <c r="A1754" t="s">
        <v>3205</v>
      </c>
      <c r="B1754" t="s">
        <v>3206</v>
      </c>
      <c r="C1754">
        <v>2016</v>
      </c>
      <c r="D1754">
        <v>1</v>
      </c>
      <c r="E1754" t="s">
        <v>55</v>
      </c>
      <c r="F1754" t="s">
        <v>128</v>
      </c>
      <c r="G1754" t="s">
        <v>63</v>
      </c>
      <c r="H1754">
        <v>1</v>
      </c>
      <c r="I1754">
        <v>0.66502691999999997</v>
      </c>
      <c r="J1754">
        <v>1421</v>
      </c>
      <c r="K1754">
        <v>2.4</v>
      </c>
      <c r="M1754">
        <v>1.55</v>
      </c>
      <c r="O1754">
        <v>0.13800000000000001</v>
      </c>
      <c r="Q1754">
        <v>1.27</v>
      </c>
      <c r="R1754">
        <v>1.42</v>
      </c>
    </row>
    <row r="1755" spans="1:18" x14ac:dyDescent="0.2">
      <c r="A1755" t="s">
        <v>3207</v>
      </c>
      <c r="B1755" t="s">
        <v>3208</v>
      </c>
      <c r="C1755">
        <v>2016</v>
      </c>
      <c r="D1755">
        <v>1</v>
      </c>
      <c r="E1755" t="s">
        <v>55</v>
      </c>
      <c r="F1755" t="s">
        <v>128</v>
      </c>
      <c r="G1755" t="s">
        <v>63</v>
      </c>
      <c r="H1755">
        <v>1</v>
      </c>
      <c r="I1755">
        <v>132.9968322</v>
      </c>
      <c r="J1755">
        <v>466</v>
      </c>
      <c r="K1755">
        <v>1.82</v>
      </c>
      <c r="M1755">
        <v>2.99</v>
      </c>
      <c r="O1755">
        <v>0.26700000000000002</v>
      </c>
      <c r="Q1755">
        <v>0.79</v>
      </c>
      <c r="R1755">
        <v>0.72</v>
      </c>
    </row>
    <row r="1756" spans="1:18" x14ac:dyDescent="0.2">
      <c r="A1756" t="s">
        <v>3209</v>
      </c>
      <c r="B1756" t="s">
        <v>3210</v>
      </c>
      <c r="C1756">
        <v>2016</v>
      </c>
      <c r="D1756">
        <v>1</v>
      </c>
      <c r="E1756" t="s">
        <v>55</v>
      </c>
      <c r="F1756" t="s">
        <v>128</v>
      </c>
      <c r="G1756" t="s">
        <v>63</v>
      </c>
      <c r="H1756">
        <v>1</v>
      </c>
      <c r="I1756">
        <v>2.2157103600000001</v>
      </c>
      <c r="J1756">
        <v>941</v>
      </c>
      <c r="K1756">
        <v>4.37</v>
      </c>
      <c r="M1756">
        <v>1.66</v>
      </c>
      <c r="O1756">
        <v>0.14799999999999999</v>
      </c>
      <c r="Q1756">
        <v>0.93</v>
      </c>
      <c r="R1756">
        <v>0.9</v>
      </c>
    </row>
    <row r="1757" spans="1:18" x14ac:dyDescent="0.2">
      <c r="A1757" t="s">
        <v>3211</v>
      </c>
      <c r="B1757" t="s">
        <v>3212</v>
      </c>
      <c r="C1757">
        <v>2016</v>
      </c>
      <c r="D1757">
        <v>1</v>
      </c>
      <c r="E1757" t="s">
        <v>55</v>
      </c>
      <c r="F1757" t="s">
        <v>128</v>
      </c>
      <c r="G1757" t="s">
        <v>63</v>
      </c>
      <c r="H1757">
        <v>1</v>
      </c>
      <c r="I1757">
        <v>3.3518315799999998</v>
      </c>
      <c r="J1757">
        <v>1307</v>
      </c>
      <c r="K1757">
        <v>3.98</v>
      </c>
      <c r="M1757">
        <v>1.93</v>
      </c>
      <c r="O1757">
        <v>0.17199999999999999</v>
      </c>
      <c r="Q1757">
        <v>0.95</v>
      </c>
      <c r="R1757">
        <v>0.93</v>
      </c>
    </row>
    <row r="1758" spans="1:18" x14ac:dyDescent="0.2">
      <c r="A1758" t="s">
        <v>3213</v>
      </c>
      <c r="B1758" t="s">
        <v>3214</v>
      </c>
      <c r="C1758">
        <v>2016</v>
      </c>
      <c r="D1758">
        <v>1</v>
      </c>
      <c r="E1758" t="s">
        <v>55</v>
      </c>
      <c r="F1758" t="s">
        <v>128</v>
      </c>
      <c r="G1758" t="s">
        <v>63</v>
      </c>
      <c r="H1758">
        <v>1</v>
      </c>
      <c r="I1758">
        <v>4.7683049000000004</v>
      </c>
      <c r="J1758">
        <v>851</v>
      </c>
      <c r="K1758">
        <v>3.63</v>
      </c>
      <c r="M1758">
        <v>1.84</v>
      </c>
      <c r="O1758">
        <v>0.16400000000000001</v>
      </c>
      <c r="Q1758">
        <v>1.0900000000000001</v>
      </c>
      <c r="R1758">
        <v>1.1299999999999999</v>
      </c>
    </row>
    <row r="1759" spans="1:18" x14ac:dyDescent="0.2">
      <c r="A1759" t="s">
        <v>3215</v>
      </c>
      <c r="B1759" t="s">
        <v>3216</v>
      </c>
      <c r="C1759">
        <v>2016</v>
      </c>
      <c r="D1759">
        <v>1</v>
      </c>
      <c r="E1759" t="s">
        <v>55</v>
      </c>
      <c r="F1759" t="s">
        <v>128</v>
      </c>
      <c r="G1759" t="s">
        <v>63</v>
      </c>
      <c r="H1759">
        <v>1</v>
      </c>
      <c r="I1759">
        <v>44.616955699999998</v>
      </c>
      <c r="J1759">
        <v>1164</v>
      </c>
      <c r="K1759">
        <v>2.2400000000000002</v>
      </c>
      <c r="M1759">
        <v>2.36</v>
      </c>
      <c r="O1759">
        <v>0.21099999999999999</v>
      </c>
      <c r="Q1759">
        <v>1.32</v>
      </c>
      <c r="R1759">
        <v>1.55</v>
      </c>
    </row>
    <row r="1760" spans="1:18" x14ac:dyDescent="0.2">
      <c r="A1760" t="s">
        <v>3217</v>
      </c>
      <c r="B1760" t="s">
        <v>3218</v>
      </c>
      <c r="C1760">
        <v>2016</v>
      </c>
      <c r="D1760">
        <v>1</v>
      </c>
      <c r="E1760" t="s">
        <v>55</v>
      </c>
      <c r="F1760" t="s">
        <v>128</v>
      </c>
      <c r="G1760" t="s">
        <v>63</v>
      </c>
      <c r="H1760">
        <v>1</v>
      </c>
      <c r="I1760">
        <v>3.4016566799999999</v>
      </c>
      <c r="J1760">
        <v>1123</v>
      </c>
      <c r="K1760">
        <v>3.09</v>
      </c>
      <c r="M1760">
        <v>1.58</v>
      </c>
      <c r="O1760">
        <v>0.14099999999999999</v>
      </c>
      <c r="Q1760">
        <v>1.1399999999999999</v>
      </c>
      <c r="R1760">
        <v>1.21</v>
      </c>
    </row>
    <row r="1761" spans="1:18" x14ac:dyDescent="0.2">
      <c r="A1761" t="s">
        <v>3219</v>
      </c>
      <c r="B1761" t="s">
        <v>3220</v>
      </c>
      <c r="C1761">
        <v>2016</v>
      </c>
      <c r="D1761">
        <v>1</v>
      </c>
      <c r="E1761" t="s">
        <v>55</v>
      </c>
      <c r="F1761" t="s">
        <v>128</v>
      </c>
      <c r="G1761" t="s">
        <v>63</v>
      </c>
      <c r="H1761">
        <v>1</v>
      </c>
      <c r="I1761">
        <v>14.00947528</v>
      </c>
      <c r="J1761">
        <v>321</v>
      </c>
      <c r="K1761">
        <v>5.62</v>
      </c>
      <c r="M1761">
        <v>1.03</v>
      </c>
      <c r="O1761">
        <v>9.1999999999999998E-2</v>
      </c>
      <c r="Q1761">
        <v>0.82</v>
      </c>
      <c r="R1761">
        <v>0.79</v>
      </c>
    </row>
    <row r="1762" spans="1:18" x14ac:dyDescent="0.2">
      <c r="A1762" t="s">
        <v>3221</v>
      </c>
      <c r="B1762" t="s">
        <v>3222</v>
      </c>
      <c r="C1762">
        <v>2016</v>
      </c>
      <c r="D1762">
        <v>1</v>
      </c>
      <c r="E1762" t="s">
        <v>55</v>
      </c>
      <c r="F1762" t="s">
        <v>128</v>
      </c>
      <c r="G1762" t="s">
        <v>63</v>
      </c>
      <c r="H1762">
        <v>1</v>
      </c>
      <c r="I1762">
        <v>27.572274199999999</v>
      </c>
      <c r="J1762">
        <v>1033</v>
      </c>
      <c r="K1762">
        <v>3.72</v>
      </c>
      <c r="M1762">
        <v>1.94</v>
      </c>
      <c r="O1762">
        <v>0.17299999999999999</v>
      </c>
      <c r="Q1762">
        <v>1.04</v>
      </c>
      <c r="R1762">
        <v>1.04</v>
      </c>
    </row>
    <row r="1763" spans="1:18" x14ac:dyDescent="0.2">
      <c r="A1763" t="s">
        <v>3223</v>
      </c>
      <c r="B1763" t="s">
        <v>3224</v>
      </c>
      <c r="C1763">
        <v>2016</v>
      </c>
      <c r="D1763">
        <v>1</v>
      </c>
      <c r="E1763" t="s">
        <v>55</v>
      </c>
      <c r="F1763" t="s">
        <v>128</v>
      </c>
      <c r="G1763" t="s">
        <v>63</v>
      </c>
      <c r="H1763">
        <v>1</v>
      </c>
      <c r="I1763">
        <v>2.1282392799999998</v>
      </c>
      <c r="J1763">
        <v>260</v>
      </c>
      <c r="K1763">
        <v>2.88</v>
      </c>
      <c r="M1763">
        <v>0.7</v>
      </c>
      <c r="O1763">
        <v>6.2E-2</v>
      </c>
      <c r="Q1763">
        <v>1.1599999999999999</v>
      </c>
      <c r="R1763">
        <v>1.28</v>
      </c>
    </row>
    <row r="1764" spans="1:18" x14ac:dyDescent="0.2">
      <c r="A1764" t="s">
        <v>3225</v>
      </c>
      <c r="B1764" t="s">
        <v>3226</v>
      </c>
      <c r="C1764">
        <v>2014</v>
      </c>
      <c r="D1764">
        <v>1</v>
      </c>
      <c r="E1764" t="s">
        <v>55</v>
      </c>
      <c r="F1764" t="s">
        <v>128</v>
      </c>
      <c r="G1764" t="s">
        <v>63</v>
      </c>
      <c r="H1764">
        <v>2</v>
      </c>
      <c r="I1764">
        <v>6.0025300000000001</v>
      </c>
      <c r="J1764">
        <v>604</v>
      </c>
      <c r="M1764">
        <v>1.81</v>
      </c>
      <c r="O1764">
        <v>0.161</v>
      </c>
      <c r="R1764">
        <v>1.27</v>
      </c>
    </row>
    <row r="1765" spans="1:18" x14ac:dyDescent="0.2">
      <c r="A1765" t="s">
        <v>3225</v>
      </c>
      <c r="B1765" t="s">
        <v>3227</v>
      </c>
      <c r="C1765">
        <v>2014</v>
      </c>
      <c r="D1765">
        <v>1</v>
      </c>
      <c r="E1765" t="s">
        <v>55</v>
      </c>
      <c r="F1765" t="s">
        <v>128</v>
      </c>
      <c r="G1765" t="s">
        <v>63</v>
      </c>
      <c r="H1765">
        <v>2</v>
      </c>
      <c r="I1765">
        <v>11.448708</v>
      </c>
      <c r="J1765">
        <v>604</v>
      </c>
      <c r="M1765">
        <v>1.1599999999999999</v>
      </c>
      <c r="O1765">
        <v>0.10299999999999999</v>
      </c>
      <c r="R1765">
        <v>1.27</v>
      </c>
    </row>
    <row r="1766" spans="1:18" x14ac:dyDescent="0.2">
      <c r="A1766" t="s">
        <v>3228</v>
      </c>
      <c r="B1766" t="s">
        <v>3229</v>
      </c>
      <c r="C1766">
        <v>2016</v>
      </c>
      <c r="D1766">
        <v>1</v>
      </c>
      <c r="E1766" t="s">
        <v>55</v>
      </c>
      <c r="F1766" t="s">
        <v>128</v>
      </c>
      <c r="G1766" t="s">
        <v>63</v>
      </c>
      <c r="H1766">
        <v>2</v>
      </c>
      <c r="I1766">
        <v>4.4968604000000001</v>
      </c>
      <c r="J1766">
        <v>350</v>
      </c>
      <c r="K1766">
        <v>4.57</v>
      </c>
      <c r="M1766">
        <v>2.52</v>
      </c>
      <c r="O1766">
        <v>0.22500000000000001</v>
      </c>
      <c r="Q1766">
        <v>0.55000000000000004</v>
      </c>
      <c r="R1766">
        <v>0.53</v>
      </c>
    </row>
    <row r="1767" spans="1:18" x14ac:dyDescent="0.2">
      <c r="A1767" t="s">
        <v>3228</v>
      </c>
      <c r="B1767" t="s">
        <v>3230</v>
      </c>
      <c r="C1767">
        <v>2016</v>
      </c>
      <c r="D1767">
        <v>1</v>
      </c>
      <c r="E1767" t="s">
        <v>55</v>
      </c>
      <c r="F1767" t="s">
        <v>128</v>
      </c>
      <c r="G1767" t="s">
        <v>63</v>
      </c>
      <c r="H1767">
        <v>2</v>
      </c>
      <c r="I1767">
        <v>1.76678906</v>
      </c>
      <c r="J1767">
        <v>350</v>
      </c>
      <c r="K1767">
        <v>4.57</v>
      </c>
      <c r="M1767">
        <v>1.73</v>
      </c>
      <c r="O1767">
        <v>0.154</v>
      </c>
      <c r="Q1767">
        <v>0.55000000000000004</v>
      </c>
      <c r="R1767">
        <v>0.53</v>
      </c>
    </row>
    <row r="1768" spans="1:18" x14ac:dyDescent="0.2">
      <c r="A1768" t="s">
        <v>3231</v>
      </c>
      <c r="B1768" t="s">
        <v>3232</v>
      </c>
      <c r="C1768">
        <v>2016</v>
      </c>
      <c r="D1768">
        <v>1</v>
      </c>
      <c r="E1768" t="s">
        <v>55</v>
      </c>
      <c r="F1768" t="s">
        <v>128</v>
      </c>
      <c r="G1768" t="s">
        <v>63</v>
      </c>
      <c r="H1768">
        <v>1</v>
      </c>
      <c r="I1768">
        <v>0.91614077000000005</v>
      </c>
      <c r="J1768">
        <v>241</v>
      </c>
      <c r="K1768">
        <v>4.17</v>
      </c>
      <c r="M1768">
        <v>0.65</v>
      </c>
      <c r="O1768">
        <v>5.8000000000000003E-2</v>
      </c>
      <c r="Q1768">
        <v>0.7</v>
      </c>
      <c r="R1768">
        <v>0.67</v>
      </c>
    </row>
    <row r="1769" spans="1:18" x14ac:dyDescent="0.2">
      <c r="A1769" t="s">
        <v>3233</v>
      </c>
      <c r="B1769" t="s">
        <v>3234</v>
      </c>
      <c r="C1769">
        <v>2016</v>
      </c>
      <c r="D1769">
        <v>1</v>
      </c>
      <c r="E1769" t="s">
        <v>55</v>
      </c>
      <c r="F1769" t="s">
        <v>128</v>
      </c>
      <c r="G1769" t="s">
        <v>63</v>
      </c>
      <c r="H1769">
        <v>1</v>
      </c>
      <c r="I1769">
        <v>1.8778827499999999</v>
      </c>
      <c r="J1769">
        <v>637</v>
      </c>
      <c r="K1769">
        <v>3.16</v>
      </c>
      <c r="M1769">
        <v>0.89</v>
      </c>
      <c r="O1769">
        <v>7.9000000000000001E-2</v>
      </c>
      <c r="Q1769">
        <v>1.1100000000000001</v>
      </c>
      <c r="R1769">
        <v>1.1599999999999999</v>
      </c>
    </row>
    <row r="1770" spans="1:18" x14ac:dyDescent="0.2">
      <c r="A1770" t="s">
        <v>3235</v>
      </c>
      <c r="B1770" t="s">
        <v>3236</v>
      </c>
      <c r="C1770">
        <v>2016</v>
      </c>
      <c r="D1770">
        <v>1</v>
      </c>
      <c r="E1770" t="s">
        <v>55</v>
      </c>
      <c r="F1770" t="s">
        <v>128</v>
      </c>
      <c r="G1770" t="s">
        <v>63</v>
      </c>
      <c r="H1770">
        <v>1</v>
      </c>
      <c r="I1770">
        <v>24.7543966</v>
      </c>
      <c r="J1770">
        <v>596</v>
      </c>
      <c r="K1770">
        <v>4.68</v>
      </c>
      <c r="M1770">
        <v>1.8</v>
      </c>
      <c r="O1770">
        <v>0.161</v>
      </c>
      <c r="Q1770">
        <v>0.76</v>
      </c>
      <c r="R1770">
        <v>0.72</v>
      </c>
    </row>
    <row r="1771" spans="1:18" x14ac:dyDescent="0.2">
      <c r="A1771" t="s">
        <v>3237</v>
      </c>
      <c r="B1771" t="s">
        <v>3238</v>
      </c>
      <c r="C1771">
        <v>2016</v>
      </c>
      <c r="D1771">
        <v>1</v>
      </c>
      <c r="E1771" t="s">
        <v>55</v>
      </c>
      <c r="F1771" t="s">
        <v>128</v>
      </c>
      <c r="G1771" t="s">
        <v>63</v>
      </c>
      <c r="H1771">
        <v>1</v>
      </c>
      <c r="I1771">
        <v>76.613377</v>
      </c>
      <c r="J1771">
        <v>1057</v>
      </c>
      <c r="K1771">
        <v>2.95</v>
      </c>
      <c r="M1771">
        <v>2.97</v>
      </c>
      <c r="O1771">
        <v>0.26500000000000001</v>
      </c>
      <c r="Q1771">
        <v>1.1599999999999999</v>
      </c>
      <c r="R1771">
        <v>1.24</v>
      </c>
    </row>
    <row r="1772" spans="1:18" x14ac:dyDescent="0.2">
      <c r="A1772" t="s">
        <v>3239</v>
      </c>
      <c r="B1772" t="s">
        <v>3240</v>
      </c>
      <c r="C1772">
        <v>2016</v>
      </c>
      <c r="D1772">
        <v>1</v>
      </c>
      <c r="E1772" t="s">
        <v>55</v>
      </c>
      <c r="F1772" t="s">
        <v>128</v>
      </c>
      <c r="G1772" t="s">
        <v>63</v>
      </c>
      <c r="H1772">
        <v>1</v>
      </c>
      <c r="I1772">
        <v>1.28958811</v>
      </c>
      <c r="J1772">
        <v>963</v>
      </c>
      <c r="K1772">
        <v>4.2699999999999996</v>
      </c>
      <c r="M1772">
        <v>1.46</v>
      </c>
      <c r="O1772">
        <v>0.13</v>
      </c>
      <c r="Q1772">
        <v>0.88</v>
      </c>
      <c r="R1772">
        <v>0.83</v>
      </c>
    </row>
    <row r="1773" spans="1:18" x14ac:dyDescent="0.2">
      <c r="A1773" t="s">
        <v>3241</v>
      </c>
      <c r="B1773" t="s">
        <v>3242</v>
      </c>
      <c r="C1773">
        <v>2016</v>
      </c>
      <c r="D1773">
        <v>1</v>
      </c>
      <c r="E1773" t="s">
        <v>55</v>
      </c>
      <c r="F1773" t="s">
        <v>128</v>
      </c>
      <c r="G1773" t="s">
        <v>63</v>
      </c>
      <c r="H1773">
        <v>1</v>
      </c>
      <c r="I1773">
        <v>0.63400294000000001</v>
      </c>
      <c r="J1773">
        <v>881</v>
      </c>
      <c r="K1773">
        <v>4.9000000000000004</v>
      </c>
      <c r="M1773">
        <v>1.53</v>
      </c>
      <c r="O1773">
        <v>0.13600000000000001</v>
      </c>
      <c r="Q1773">
        <v>0.82</v>
      </c>
      <c r="R1773">
        <v>0.78</v>
      </c>
    </row>
    <row r="1774" spans="1:18" x14ac:dyDescent="0.2">
      <c r="A1774" t="s">
        <v>3243</v>
      </c>
      <c r="B1774" t="s">
        <v>3244</v>
      </c>
      <c r="C1774">
        <v>2016</v>
      </c>
      <c r="D1774">
        <v>1</v>
      </c>
      <c r="E1774" t="s">
        <v>55</v>
      </c>
      <c r="F1774" t="s">
        <v>128</v>
      </c>
      <c r="G1774" t="s">
        <v>63</v>
      </c>
      <c r="H1774">
        <v>1</v>
      </c>
      <c r="I1774">
        <v>3.0091323999999999</v>
      </c>
      <c r="J1774">
        <v>1026</v>
      </c>
      <c r="K1774">
        <v>4.57</v>
      </c>
      <c r="M1774">
        <v>1.28</v>
      </c>
      <c r="O1774">
        <v>0.114</v>
      </c>
      <c r="Q1774">
        <v>0.93</v>
      </c>
      <c r="R1774">
        <v>0.9</v>
      </c>
    </row>
    <row r="1775" spans="1:18" x14ac:dyDescent="0.2">
      <c r="A1775" t="s">
        <v>3245</v>
      </c>
      <c r="B1775" t="s">
        <v>3246</v>
      </c>
      <c r="C1775">
        <v>2016</v>
      </c>
      <c r="D1775">
        <v>1</v>
      </c>
      <c r="E1775" t="s">
        <v>55</v>
      </c>
      <c r="F1775" t="s">
        <v>128</v>
      </c>
      <c r="G1775" t="s">
        <v>63</v>
      </c>
      <c r="H1775">
        <v>1</v>
      </c>
      <c r="I1775">
        <v>7.0631734100000001</v>
      </c>
      <c r="J1775">
        <v>558</v>
      </c>
      <c r="K1775">
        <v>5.13</v>
      </c>
      <c r="M1775">
        <v>1.1200000000000001</v>
      </c>
      <c r="O1775">
        <v>0.1</v>
      </c>
      <c r="Q1775">
        <v>0.82</v>
      </c>
      <c r="R1775">
        <v>0.79</v>
      </c>
    </row>
    <row r="1776" spans="1:18" x14ac:dyDescent="0.2">
      <c r="A1776" t="s">
        <v>3247</v>
      </c>
      <c r="B1776" t="s">
        <v>3248</v>
      </c>
      <c r="C1776">
        <v>2016</v>
      </c>
      <c r="D1776">
        <v>1</v>
      </c>
      <c r="E1776" t="s">
        <v>55</v>
      </c>
      <c r="F1776" t="s">
        <v>128</v>
      </c>
      <c r="G1776" t="s">
        <v>63</v>
      </c>
      <c r="H1776">
        <v>1</v>
      </c>
      <c r="I1776">
        <v>59.497095199999997</v>
      </c>
      <c r="J1776">
        <v>669</v>
      </c>
      <c r="K1776">
        <v>2.34</v>
      </c>
      <c r="M1776">
        <v>2.83</v>
      </c>
      <c r="O1776">
        <v>0.252</v>
      </c>
      <c r="Q1776">
        <v>0.78</v>
      </c>
      <c r="R1776">
        <v>0.72</v>
      </c>
    </row>
    <row r="1777" spans="1:18" x14ac:dyDescent="0.2">
      <c r="A1777" t="s">
        <v>3249</v>
      </c>
      <c r="B1777" t="s">
        <v>3250</v>
      </c>
      <c r="C1777">
        <v>2014</v>
      </c>
      <c r="D1777">
        <v>1</v>
      </c>
      <c r="E1777" t="s">
        <v>55</v>
      </c>
      <c r="F1777" t="s">
        <v>128</v>
      </c>
      <c r="G1777" t="s">
        <v>63</v>
      </c>
      <c r="H1777">
        <v>2</v>
      </c>
      <c r="I1777">
        <v>11.578900000000001</v>
      </c>
      <c r="J1777">
        <v>366</v>
      </c>
      <c r="M1777">
        <v>2.0499999999999998</v>
      </c>
      <c r="O1777">
        <v>0.183</v>
      </c>
      <c r="R1777">
        <v>1.35</v>
      </c>
    </row>
    <row r="1778" spans="1:18" x14ac:dyDescent="0.2">
      <c r="A1778" t="s">
        <v>3249</v>
      </c>
      <c r="B1778" t="s">
        <v>3251</v>
      </c>
      <c r="C1778">
        <v>2014</v>
      </c>
      <c r="D1778">
        <v>1</v>
      </c>
      <c r="E1778" t="s">
        <v>55</v>
      </c>
      <c r="F1778" t="s">
        <v>128</v>
      </c>
      <c r="G1778" t="s">
        <v>63</v>
      </c>
      <c r="H1778">
        <v>2</v>
      </c>
      <c r="I1778">
        <v>16.399235000000001</v>
      </c>
      <c r="J1778">
        <v>366</v>
      </c>
      <c r="M1778">
        <v>1.99</v>
      </c>
      <c r="O1778">
        <v>0.17799999999999999</v>
      </c>
      <c r="R1778">
        <v>1.35</v>
      </c>
    </row>
    <row r="1779" spans="1:18" x14ac:dyDescent="0.2">
      <c r="A1779" t="s">
        <v>3252</v>
      </c>
      <c r="B1779" t="s">
        <v>3253</v>
      </c>
      <c r="C1779">
        <v>2016</v>
      </c>
      <c r="D1779">
        <v>1</v>
      </c>
      <c r="E1779" t="s">
        <v>55</v>
      </c>
      <c r="F1779" t="s">
        <v>128</v>
      </c>
      <c r="G1779" t="s">
        <v>63</v>
      </c>
      <c r="H1779">
        <v>1</v>
      </c>
      <c r="I1779">
        <v>40.528641299999997</v>
      </c>
      <c r="J1779">
        <v>1405</v>
      </c>
      <c r="K1779">
        <v>1.55</v>
      </c>
      <c r="M1779">
        <v>3.4</v>
      </c>
      <c r="O1779">
        <v>0.30299999999999999</v>
      </c>
      <c r="Q1779">
        <v>1.51</v>
      </c>
      <c r="R1779">
        <v>1.83</v>
      </c>
    </row>
    <row r="1780" spans="1:18" x14ac:dyDescent="0.2">
      <c r="A1780" t="s">
        <v>3254</v>
      </c>
      <c r="B1780" t="s">
        <v>3255</v>
      </c>
      <c r="C1780">
        <v>2016</v>
      </c>
      <c r="D1780">
        <v>1</v>
      </c>
      <c r="E1780" t="s">
        <v>55</v>
      </c>
      <c r="F1780" t="s">
        <v>128</v>
      </c>
      <c r="G1780" t="s">
        <v>63</v>
      </c>
      <c r="H1780">
        <v>1</v>
      </c>
      <c r="I1780">
        <v>3.5755495599999998</v>
      </c>
      <c r="J1780">
        <v>404</v>
      </c>
      <c r="K1780">
        <v>4.9000000000000004</v>
      </c>
      <c r="M1780">
        <v>0.86</v>
      </c>
      <c r="O1780">
        <v>7.6999999999999999E-2</v>
      </c>
      <c r="Q1780">
        <v>0.83</v>
      </c>
      <c r="R1780">
        <v>0.79</v>
      </c>
    </row>
    <row r="1781" spans="1:18" x14ac:dyDescent="0.2">
      <c r="A1781" t="s">
        <v>3256</v>
      </c>
      <c r="B1781" t="s">
        <v>3257</v>
      </c>
      <c r="C1781">
        <v>2016</v>
      </c>
      <c r="D1781">
        <v>1</v>
      </c>
      <c r="E1781" t="s">
        <v>55</v>
      </c>
      <c r="F1781" t="s">
        <v>128</v>
      </c>
      <c r="G1781" t="s">
        <v>63</v>
      </c>
      <c r="H1781">
        <v>1</v>
      </c>
      <c r="I1781">
        <v>136.205626</v>
      </c>
      <c r="J1781">
        <v>767</v>
      </c>
      <c r="K1781">
        <v>3.09</v>
      </c>
      <c r="M1781">
        <v>2.6</v>
      </c>
      <c r="O1781">
        <v>0.23200000000000001</v>
      </c>
      <c r="Q1781">
        <v>0.8</v>
      </c>
      <c r="R1781">
        <v>0.74</v>
      </c>
    </row>
    <row r="1782" spans="1:18" x14ac:dyDescent="0.2">
      <c r="A1782" t="s">
        <v>3258</v>
      </c>
      <c r="B1782" t="s">
        <v>3259</v>
      </c>
      <c r="C1782">
        <v>2016</v>
      </c>
      <c r="D1782">
        <v>1</v>
      </c>
      <c r="E1782" t="s">
        <v>55</v>
      </c>
      <c r="F1782" t="s">
        <v>128</v>
      </c>
      <c r="G1782" t="s">
        <v>63</v>
      </c>
      <c r="H1782">
        <v>1</v>
      </c>
      <c r="I1782">
        <v>2.9419409399999998</v>
      </c>
      <c r="J1782">
        <v>559</v>
      </c>
      <c r="K1782">
        <v>4.17</v>
      </c>
      <c r="M1782">
        <v>1.25</v>
      </c>
      <c r="O1782">
        <v>0.112</v>
      </c>
      <c r="Q1782">
        <v>0.76</v>
      </c>
      <c r="R1782">
        <v>0.72</v>
      </c>
    </row>
    <row r="1783" spans="1:18" x14ac:dyDescent="0.2">
      <c r="A1783" t="s">
        <v>3260</v>
      </c>
      <c r="B1783" t="s">
        <v>3261</v>
      </c>
      <c r="C1783">
        <v>2016</v>
      </c>
      <c r="D1783">
        <v>1</v>
      </c>
      <c r="E1783" t="s">
        <v>55</v>
      </c>
      <c r="F1783" t="s">
        <v>128</v>
      </c>
      <c r="G1783" t="s">
        <v>63</v>
      </c>
      <c r="H1783">
        <v>1</v>
      </c>
      <c r="I1783">
        <v>13.32196237</v>
      </c>
      <c r="J1783">
        <v>1149</v>
      </c>
      <c r="K1783">
        <v>1.58</v>
      </c>
      <c r="M1783">
        <v>2.15</v>
      </c>
      <c r="O1783">
        <v>0.192</v>
      </c>
      <c r="Q1783">
        <v>1.49</v>
      </c>
      <c r="R1783">
        <v>1.79</v>
      </c>
    </row>
    <row r="1784" spans="1:18" x14ac:dyDescent="0.2">
      <c r="A1784" t="s">
        <v>3262</v>
      </c>
      <c r="B1784" t="s">
        <v>3263</v>
      </c>
      <c r="C1784">
        <v>2016</v>
      </c>
      <c r="D1784">
        <v>1</v>
      </c>
      <c r="E1784" t="s">
        <v>55</v>
      </c>
      <c r="F1784" t="s">
        <v>128</v>
      </c>
      <c r="G1784" t="s">
        <v>63</v>
      </c>
      <c r="H1784">
        <v>2</v>
      </c>
      <c r="I1784">
        <v>7.69993485</v>
      </c>
      <c r="J1784">
        <v>541</v>
      </c>
      <c r="K1784">
        <v>6.03</v>
      </c>
      <c r="M1784">
        <v>0.92</v>
      </c>
      <c r="O1784">
        <v>8.2000000000000003E-2</v>
      </c>
      <c r="Q1784">
        <v>1</v>
      </c>
      <c r="R1784">
        <v>1.05</v>
      </c>
    </row>
    <row r="1785" spans="1:18" x14ac:dyDescent="0.2">
      <c r="A1785" t="s">
        <v>3262</v>
      </c>
      <c r="B1785" t="s">
        <v>3264</v>
      </c>
      <c r="C1785">
        <v>2016</v>
      </c>
      <c r="D1785">
        <v>1</v>
      </c>
      <c r="E1785" t="s">
        <v>55</v>
      </c>
      <c r="F1785" t="s">
        <v>128</v>
      </c>
      <c r="G1785" t="s">
        <v>63</v>
      </c>
      <c r="H1785">
        <v>2</v>
      </c>
      <c r="I1785">
        <v>4.7746800499999997</v>
      </c>
      <c r="J1785">
        <v>541</v>
      </c>
      <c r="K1785">
        <v>6.03</v>
      </c>
      <c r="M1785">
        <v>0.8</v>
      </c>
      <c r="O1785">
        <v>7.0999999999999994E-2</v>
      </c>
      <c r="Q1785">
        <v>1</v>
      </c>
      <c r="R1785">
        <v>1.05</v>
      </c>
    </row>
    <row r="1786" spans="1:18" x14ac:dyDescent="0.2">
      <c r="A1786" t="s">
        <v>3265</v>
      </c>
      <c r="B1786" t="s">
        <v>3266</v>
      </c>
      <c r="C1786">
        <v>2016</v>
      </c>
      <c r="D1786">
        <v>1</v>
      </c>
      <c r="E1786" t="s">
        <v>55</v>
      </c>
      <c r="F1786" t="s">
        <v>128</v>
      </c>
      <c r="G1786" t="s">
        <v>63</v>
      </c>
      <c r="H1786">
        <v>1</v>
      </c>
      <c r="I1786">
        <v>2.1645709700000002</v>
      </c>
      <c r="J1786">
        <v>395</v>
      </c>
      <c r="K1786">
        <v>3.98</v>
      </c>
      <c r="M1786">
        <v>1.43</v>
      </c>
      <c r="O1786">
        <v>0.128</v>
      </c>
      <c r="Q1786">
        <v>0.62</v>
      </c>
      <c r="R1786">
        <v>0.6</v>
      </c>
    </row>
    <row r="1787" spans="1:18" x14ac:dyDescent="0.2">
      <c r="A1787" t="s">
        <v>3267</v>
      </c>
      <c r="B1787" t="s">
        <v>3268</v>
      </c>
      <c r="C1787">
        <v>2016</v>
      </c>
      <c r="D1787">
        <v>1</v>
      </c>
      <c r="E1787" t="s">
        <v>55</v>
      </c>
      <c r="F1787" t="s">
        <v>128</v>
      </c>
      <c r="G1787" t="s">
        <v>63</v>
      </c>
      <c r="H1787">
        <v>1</v>
      </c>
      <c r="I1787">
        <v>1.5740902699999999</v>
      </c>
      <c r="J1787">
        <v>357</v>
      </c>
      <c r="K1787">
        <v>3.89</v>
      </c>
      <c r="M1787">
        <v>0.92</v>
      </c>
      <c r="O1787">
        <v>8.2000000000000003E-2</v>
      </c>
      <c r="Q1787">
        <v>0.62</v>
      </c>
      <c r="R1787">
        <v>0.6</v>
      </c>
    </row>
    <row r="1788" spans="1:18" x14ac:dyDescent="0.2">
      <c r="A1788" t="s">
        <v>3269</v>
      </c>
      <c r="B1788" t="s">
        <v>3270</v>
      </c>
      <c r="C1788">
        <v>2016</v>
      </c>
      <c r="D1788">
        <v>1</v>
      </c>
      <c r="E1788" t="s">
        <v>55</v>
      </c>
      <c r="F1788" t="s">
        <v>128</v>
      </c>
      <c r="G1788" t="s">
        <v>63</v>
      </c>
      <c r="H1788">
        <v>1</v>
      </c>
      <c r="I1788">
        <v>0.67564948999999996</v>
      </c>
      <c r="J1788">
        <v>1750</v>
      </c>
      <c r="K1788">
        <v>3.47</v>
      </c>
      <c r="M1788">
        <v>1.65</v>
      </c>
      <c r="O1788">
        <v>0.14699999999999999</v>
      </c>
      <c r="Q1788">
        <v>1.07</v>
      </c>
      <c r="R1788">
        <v>1.08</v>
      </c>
    </row>
    <row r="1789" spans="1:18" x14ac:dyDescent="0.2">
      <c r="A1789" t="s">
        <v>3271</v>
      </c>
      <c r="B1789" t="s">
        <v>3272</v>
      </c>
      <c r="C1789">
        <v>2016</v>
      </c>
      <c r="D1789">
        <v>1</v>
      </c>
      <c r="E1789" t="s">
        <v>55</v>
      </c>
      <c r="F1789" t="s">
        <v>128</v>
      </c>
      <c r="G1789" t="s">
        <v>63</v>
      </c>
      <c r="H1789">
        <v>1</v>
      </c>
      <c r="I1789">
        <v>25.873148</v>
      </c>
      <c r="J1789">
        <v>1236</v>
      </c>
      <c r="K1789">
        <v>4.07</v>
      </c>
      <c r="M1789">
        <v>2.69</v>
      </c>
      <c r="O1789">
        <v>0.24</v>
      </c>
      <c r="Q1789">
        <v>0.99</v>
      </c>
      <c r="R1789">
        <v>0.99</v>
      </c>
    </row>
    <row r="1790" spans="1:18" x14ac:dyDescent="0.2">
      <c r="A1790" t="s">
        <v>3273</v>
      </c>
      <c r="B1790" t="s">
        <v>3274</v>
      </c>
      <c r="C1790">
        <v>2014</v>
      </c>
      <c r="D1790">
        <v>1</v>
      </c>
      <c r="E1790" t="s">
        <v>55</v>
      </c>
      <c r="F1790" t="s">
        <v>128</v>
      </c>
      <c r="G1790" t="s">
        <v>63</v>
      </c>
      <c r="H1790">
        <v>2</v>
      </c>
      <c r="I1790">
        <v>8.4363869999999999</v>
      </c>
      <c r="J1790">
        <v>289</v>
      </c>
      <c r="M1790">
        <v>1.47</v>
      </c>
      <c r="O1790">
        <v>0.13100000000000001</v>
      </c>
      <c r="R1790">
        <v>0.8</v>
      </c>
    </row>
    <row r="1791" spans="1:18" x14ac:dyDescent="0.2">
      <c r="A1791" t="s">
        <v>3273</v>
      </c>
      <c r="B1791" t="s">
        <v>3275</v>
      </c>
      <c r="C1791">
        <v>2014</v>
      </c>
      <c r="D1791">
        <v>1</v>
      </c>
      <c r="E1791" t="s">
        <v>55</v>
      </c>
      <c r="F1791" t="s">
        <v>128</v>
      </c>
      <c r="G1791" t="s">
        <v>63</v>
      </c>
      <c r="H1791">
        <v>2</v>
      </c>
      <c r="I1791">
        <v>18.735752999999999</v>
      </c>
      <c r="J1791">
        <v>289</v>
      </c>
      <c r="M1791">
        <v>1.88</v>
      </c>
      <c r="O1791">
        <v>0.16800000000000001</v>
      </c>
      <c r="R1791">
        <v>0.8</v>
      </c>
    </row>
    <row r="1792" spans="1:18" x14ac:dyDescent="0.2">
      <c r="A1792" t="s">
        <v>3276</v>
      </c>
      <c r="B1792" t="s">
        <v>3277</v>
      </c>
      <c r="C1792">
        <v>2016</v>
      </c>
      <c r="D1792">
        <v>1</v>
      </c>
      <c r="E1792" t="s">
        <v>55</v>
      </c>
      <c r="F1792" t="s">
        <v>128</v>
      </c>
      <c r="G1792" t="s">
        <v>63</v>
      </c>
      <c r="H1792">
        <v>2</v>
      </c>
      <c r="I1792">
        <v>20.264168399999999</v>
      </c>
      <c r="J1792">
        <v>878</v>
      </c>
      <c r="K1792">
        <v>2.88</v>
      </c>
      <c r="M1792">
        <v>1.84</v>
      </c>
      <c r="O1792">
        <v>0.16400000000000001</v>
      </c>
      <c r="Q1792">
        <v>1.19</v>
      </c>
      <c r="R1792">
        <v>1.29</v>
      </c>
    </row>
    <row r="1793" spans="1:19" x14ac:dyDescent="0.2">
      <c r="A1793" t="s">
        <v>3276</v>
      </c>
      <c r="B1793" t="s">
        <v>3278</v>
      </c>
      <c r="C1793">
        <v>2016</v>
      </c>
      <c r="D1793">
        <v>1</v>
      </c>
      <c r="E1793" t="s">
        <v>55</v>
      </c>
      <c r="F1793" t="s">
        <v>128</v>
      </c>
      <c r="G1793" t="s">
        <v>63</v>
      </c>
      <c r="H1793">
        <v>2</v>
      </c>
      <c r="I1793">
        <v>7.4414211300000002</v>
      </c>
      <c r="J1793">
        <v>878</v>
      </c>
      <c r="K1793">
        <v>2.88</v>
      </c>
      <c r="M1793">
        <v>1.27</v>
      </c>
      <c r="O1793">
        <v>0.113</v>
      </c>
      <c r="Q1793">
        <v>1.19</v>
      </c>
      <c r="R1793">
        <v>1.29</v>
      </c>
    </row>
    <row r="1794" spans="1:19" x14ac:dyDescent="0.2">
      <c r="A1794" t="s">
        <v>3279</v>
      </c>
      <c r="B1794" t="s">
        <v>3280</v>
      </c>
      <c r="C1794">
        <v>2016</v>
      </c>
      <c r="D1794">
        <v>1</v>
      </c>
      <c r="E1794" t="s">
        <v>55</v>
      </c>
      <c r="F1794" t="s">
        <v>128</v>
      </c>
      <c r="G1794" t="s">
        <v>63</v>
      </c>
      <c r="H1794">
        <v>2</v>
      </c>
      <c r="I1794">
        <v>3.4462039</v>
      </c>
      <c r="J1794">
        <v>450</v>
      </c>
      <c r="K1794">
        <v>4.37</v>
      </c>
      <c r="M1794">
        <v>0.73</v>
      </c>
      <c r="O1794">
        <v>6.5000000000000002E-2</v>
      </c>
      <c r="Q1794">
        <v>0.87</v>
      </c>
      <c r="R1794">
        <v>0.83</v>
      </c>
    </row>
    <row r="1795" spans="1:19" x14ac:dyDescent="0.2">
      <c r="A1795" t="s">
        <v>3279</v>
      </c>
      <c r="B1795" t="s">
        <v>3281</v>
      </c>
      <c r="C1795">
        <v>2016</v>
      </c>
      <c r="D1795">
        <v>1</v>
      </c>
      <c r="E1795" t="s">
        <v>55</v>
      </c>
      <c r="F1795" t="s">
        <v>128</v>
      </c>
      <c r="G1795" t="s">
        <v>63</v>
      </c>
      <c r="H1795">
        <v>2</v>
      </c>
      <c r="I1795">
        <v>2.00541269</v>
      </c>
      <c r="J1795">
        <v>450</v>
      </c>
      <c r="K1795">
        <v>4.37</v>
      </c>
      <c r="M1795">
        <v>0.64</v>
      </c>
      <c r="O1795">
        <v>5.7000000000000002E-2</v>
      </c>
      <c r="Q1795">
        <v>0.87</v>
      </c>
      <c r="R1795">
        <v>0.83</v>
      </c>
    </row>
    <row r="1796" spans="1:19" x14ac:dyDescent="0.2">
      <c r="A1796" t="s">
        <v>3282</v>
      </c>
      <c r="B1796" t="s">
        <v>3283</v>
      </c>
      <c r="C1796">
        <v>2016</v>
      </c>
      <c r="D1796">
        <v>1</v>
      </c>
      <c r="E1796" t="s">
        <v>55</v>
      </c>
      <c r="F1796" t="s">
        <v>128</v>
      </c>
      <c r="G1796" t="s">
        <v>63</v>
      </c>
      <c r="H1796">
        <v>1</v>
      </c>
      <c r="I1796">
        <v>1.3115555699999999</v>
      </c>
      <c r="J1796">
        <v>1161</v>
      </c>
      <c r="K1796">
        <v>5.01</v>
      </c>
      <c r="M1796">
        <v>1.27</v>
      </c>
      <c r="O1796">
        <v>0.113</v>
      </c>
      <c r="Q1796">
        <v>0.98</v>
      </c>
      <c r="R1796">
        <v>0.97</v>
      </c>
    </row>
    <row r="1797" spans="1:19" x14ac:dyDescent="0.2">
      <c r="A1797" t="s">
        <v>3284</v>
      </c>
      <c r="B1797" t="s">
        <v>3285</v>
      </c>
      <c r="C1797">
        <v>2016</v>
      </c>
      <c r="D1797">
        <v>1</v>
      </c>
      <c r="E1797" t="s">
        <v>55</v>
      </c>
      <c r="F1797" t="s">
        <v>128</v>
      </c>
      <c r="G1797" t="s">
        <v>63</v>
      </c>
      <c r="H1797">
        <v>1</v>
      </c>
      <c r="I1797">
        <v>1.29123275</v>
      </c>
      <c r="J1797">
        <v>1112</v>
      </c>
      <c r="K1797">
        <v>2.5099999999999998</v>
      </c>
      <c r="M1797">
        <v>1.1599999999999999</v>
      </c>
      <c r="O1797">
        <v>0.10299999999999999</v>
      </c>
      <c r="Q1797">
        <v>1.22</v>
      </c>
      <c r="R1797">
        <v>1.33</v>
      </c>
    </row>
    <row r="1798" spans="1:19" x14ac:dyDescent="0.2">
      <c r="A1798" t="s">
        <v>3286</v>
      </c>
      <c r="B1798" t="s">
        <v>3287</v>
      </c>
      <c r="C1798">
        <v>2016</v>
      </c>
      <c r="D1798">
        <v>1</v>
      </c>
      <c r="E1798" t="s">
        <v>55</v>
      </c>
      <c r="F1798" t="s">
        <v>128</v>
      </c>
      <c r="G1798" t="s">
        <v>63</v>
      </c>
      <c r="H1798">
        <v>1</v>
      </c>
      <c r="I1798">
        <v>10.652767069999999</v>
      </c>
      <c r="J1798">
        <v>1135</v>
      </c>
      <c r="K1798">
        <v>4.47</v>
      </c>
      <c r="M1798">
        <v>2.29</v>
      </c>
      <c r="O1798">
        <v>0.20399999999999999</v>
      </c>
      <c r="Q1798">
        <v>0.85</v>
      </c>
      <c r="R1798">
        <v>0.81</v>
      </c>
    </row>
    <row r="1799" spans="1:19" x14ac:dyDescent="0.2">
      <c r="A1799" t="s">
        <v>3288</v>
      </c>
      <c r="B1799" t="s">
        <v>3289</v>
      </c>
      <c r="C1799">
        <v>2016</v>
      </c>
      <c r="D1799">
        <v>1</v>
      </c>
      <c r="E1799" t="s">
        <v>55</v>
      </c>
      <c r="F1799" t="s">
        <v>128</v>
      </c>
      <c r="G1799" t="s">
        <v>63</v>
      </c>
      <c r="H1799">
        <v>1</v>
      </c>
      <c r="I1799">
        <v>3.3004191999999999</v>
      </c>
      <c r="J1799">
        <v>1238</v>
      </c>
      <c r="K1799">
        <v>1.66</v>
      </c>
      <c r="M1799">
        <v>1.74</v>
      </c>
      <c r="O1799">
        <v>0.155</v>
      </c>
      <c r="Q1799">
        <v>1.47</v>
      </c>
      <c r="R1799">
        <v>1.78</v>
      </c>
    </row>
    <row r="1800" spans="1:19" x14ac:dyDescent="0.2">
      <c r="A1800" t="s">
        <v>3290</v>
      </c>
      <c r="B1800" t="s">
        <v>3291</v>
      </c>
      <c r="C1800">
        <v>2016</v>
      </c>
      <c r="D1800">
        <v>1</v>
      </c>
      <c r="E1800" t="s">
        <v>55</v>
      </c>
      <c r="F1800" t="s">
        <v>128</v>
      </c>
      <c r="G1800" t="s">
        <v>63</v>
      </c>
      <c r="H1800">
        <v>1</v>
      </c>
      <c r="I1800">
        <v>5.3088065599999998</v>
      </c>
      <c r="J1800">
        <v>864</v>
      </c>
      <c r="K1800">
        <v>4.68</v>
      </c>
      <c r="M1800">
        <v>1.05</v>
      </c>
      <c r="O1800">
        <v>9.4E-2</v>
      </c>
      <c r="Q1800">
        <v>0.98</v>
      </c>
      <c r="R1800">
        <v>0.97</v>
      </c>
    </row>
    <row r="1801" spans="1:19" x14ac:dyDescent="0.2">
      <c r="A1801" t="s">
        <v>3292</v>
      </c>
      <c r="B1801" t="s">
        <v>3293</v>
      </c>
      <c r="C1801">
        <v>2016</v>
      </c>
      <c r="D1801">
        <v>1</v>
      </c>
      <c r="E1801" t="s">
        <v>55</v>
      </c>
      <c r="F1801" t="s">
        <v>128</v>
      </c>
      <c r="G1801" t="s">
        <v>63</v>
      </c>
      <c r="H1801">
        <v>1</v>
      </c>
      <c r="I1801">
        <v>0.74092842000000003</v>
      </c>
      <c r="J1801">
        <v>1019</v>
      </c>
      <c r="K1801">
        <v>5.01</v>
      </c>
      <c r="M1801">
        <v>1.25</v>
      </c>
      <c r="O1801">
        <v>0.112</v>
      </c>
      <c r="Q1801">
        <v>0.86</v>
      </c>
      <c r="R1801">
        <v>0.82</v>
      </c>
    </row>
    <row r="1802" spans="1:19" x14ac:dyDescent="0.2">
      <c r="A1802" t="s">
        <v>3294</v>
      </c>
      <c r="B1802" t="s">
        <v>3295</v>
      </c>
      <c r="C1802">
        <v>2016</v>
      </c>
      <c r="D1802">
        <v>1</v>
      </c>
      <c r="E1802" t="s">
        <v>55</v>
      </c>
      <c r="F1802" t="s">
        <v>128</v>
      </c>
      <c r="G1802" t="s">
        <v>63</v>
      </c>
      <c r="H1802">
        <v>1</v>
      </c>
      <c r="I1802">
        <v>11.95398936</v>
      </c>
      <c r="J1802">
        <v>562</v>
      </c>
      <c r="K1802">
        <v>6.46</v>
      </c>
      <c r="M1802">
        <v>2.2000000000000002</v>
      </c>
      <c r="O1802">
        <v>0.19600000000000001</v>
      </c>
      <c r="Q1802">
        <v>0.7</v>
      </c>
      <c r="R1802">
        <v>0.67</v>
      </c>
    </row>
    <row r="1803" spans="1:19" x14ac:dyDescent="0.2">
      <c r="A1803" t="s">
        <v>3296</v>
      </c>
      <c r="B1803" t="s">
        <v>3297</v>
      </c>
      <c r="C1803">
        <v>2016</v>
      </c>
      <c r="D1803">
        <v>1</v>
      </c>
      <c r="E1803" t="s">
        <v>55</v>
      </c>
      <c r="F1803" t="s">
        <v>128</v>
      </c>
      <c r="G1803" t="s">
        <v>63</v>
      </c>
      <c r="H1803">
        <v>1</v>
      </c>
      <c r="I1803">
        <v>0.88184114999999996</v>
      </c>
      <c r="J1803">
        <v>951</v>
      </c>
      <c r="K1803">
        <v>5.01</v>
      </c>
      <c r="M1803">
        <v>1.3</v>
      </c>
      <c r="O1803">
        <v>0.11600000000000001</v>
      </c>
      <c r="Q1803">
        <v>0.83</v>
      </c>
      <c r="R1803">
        <v>0.79</v>
      </c>
    </row>
    <row r="1804" spans="1:19" x14ac:dyDescent="0.2">
      <c r="A1804" t="s">
        <v>3298</v>
      </c>
      <c r="B1804" t="s">
        <v>3299</v>
      </c>
      <c r="C1804">
        <v>2014</v>
      </c>
      <c r="D1804">
        <v>1</v>
      </c>
      <c r="E1804" t="s">
        <v>55</v>
      </c>
      <c r="F1804" t="s">
        <v>128</v>
      </c>
      <c r="G1804" t="s">
        <v>63</v>
      </c>
      <c r="H1804">
        <v>3</v>
      </c>
      <c r="I1804">
        <v>10.3126</v>
      </c>
      <c r="J1804">
        <v>52.4</v>
      </c>
      <c r="L1804">
        <v>6.6000000000000003E-2</v>
      </c>
      <c r="M1804">
        <v>0.52200000000000002</v>
      </c>
      <c r="N1804">
        <v>2.1000000000000001E-4</v>
      </c>
      <c r="O1804">
        <v>4.7E-2</v>
      </c>
      <c r="P1804">
        <v>2.6</v>
      </c>
      <c r="Q1804">
        <v>0.52</v>
      </c>
      <c r="R1804">
        <v>0.44</v>
      </c>
      <c r="S1804">
        <v>9.5</v>
      </c>
    </row>
    <row r="1805" spans="1:19" x14ac:dyDescent="0.2">
      <c r="A1805" t="s">
        <v>3298</v>
      </c>
      <c r="B1805" t="s">
        <v>3300</v>
      </c>
      <c r="C1805">
        <v>2014</v>
      </c>
      <c r="D1805">
        <v>1</v>
      </c>
      <c r="E1805" t="s">
        <v>55</v>
      </c>
      <c r="F1805" t="s">
        <v>128</v>
      </c>
      <c r="G1805" t="s">
        <v>63</v>
      </c>
      <c r="H1805">
        <v>3</v>
      </c>
      <c r="I1805">
        <v>13.7813</v>
      </c>
      <c r="J1805">
        <v>52.4</v>
      </c>
      <c r="L1805">
        <v>1.97</v>
      </c>
      <c r="M1805">
        <v>1.1970000000000001</v>
      </c>
      <c r="N1805">
        <v>6.1999999999999998E-3</v>
      </c>
      <c r="O1805">
        <v>0.107</v>
      </c>
      <c r="P1805">
        <v>6.2</v>
      </c>
      <c r="Q1805">
        <v>0.52</v>
      </c>
      <c r="R1805">
        <v>0.44</v>
      </c>
      <c r="S1805">
        <v>9.5</v>
      </c>
    </row>
    <row r="1806" spans="1:19" x14ac:dyDescent="0.2">
      <c r="A1806" t="s">
        <v>3298</v>
      </c>
      <c r="B1806" t="s">
        <v>3301</v>
      </c>
      <c r="C1806">
        <v>2014</v>
      </c>
      <c r="D1806">
        <v>1</v>
      </c>
      <c r="E1806" t="s">
        <v>55</v>
      </c>
      <c r="F1806" t="s">
        <v>128</v>
      </c>
      <c r="G1806" t="s">
        <v>63</v>
      </c>
      <c r="H1806">
        <v>3</v>
      </c>
      <c r="I1806">
        <v>23.088100000000001</v>
      </c>
      <c r="J1806">
        <v>52.4</v>
      </c>
      <c r="L1806">
        <v>0.64</v>
      </c>
      <c r="M1806">
        <v>1.212</v>
      </c>
      <c r="N1806">
        <v>2.0100000000000001E-3</v>
      </c>
      <c r="O1806">
        <v>0.108</v>
      </c>
      <c r="P1806">
        <v>2.1</v>
      </c>
      <c r="Q1806">
        <v>0.52</v>
      </c>
      <c r="R1806">
        <v>0.44</v>
      </c>
      <c r="S1806">
        <v>9.5</v>
      </c>
    </row>
    <row r="1807" spans="1:19" x14ac:dyDescent="0.2">
      <c r="A1807" t="s">
        <v>3302</v>
      </c>
      <c r="B1807" t="s">
        <v>3303</v>
      </c>
      <c r="C1807">
        <v>2016</v>
      </c>
      <c r="D1807">
        <v>1</v>
      </c>
      <c r="E1807" t="s">
        <v>55</v>
      </c>
      <c r="F1807" t="s">
        <v>128</v>
      </c>
      <c r="G1807" t="s">
        <v>63</v>
      </c>
      <c r="H1807">
        <v>1</v>
      </c>
      <c r="I1807">
        <v>10.310824500000001</v>
      </c>
      <c r="J1807">
        <v>1209</v>
      </c>
      <c r="K1807">
        <v>4.79</v>
      </c>
      <c r="M1807">
        <v>1.43</v>
      </c>
      <c r="O1807">
        <v>0.128</v>
      </c>
      <c r="Q1807">
        <v>0.96</v>
      </c>
      <c r="R1807">
        <v>0.94</v>
      </c>
    </row>
    <row r="1808" spans="1:19" x14ac:dyDescent="0.2">
      <c r="A1808" t="s">
        <v>3304</v>
      </c>
      <c r="B1808" t="s">
        <v>3305</v>
      </c>
      <c r="C1808">
        <v>2016</v>
      </c>
      <c r="D1808">
        <v>1</v>
      </c>
      <c r="E1808" t="s">
        <v>55</v>
      </c>
      <c r="F1808" t="s">
        <v>128</v>
      </c>
      <c r="G1808" t="s">
        <v>63</v>
      </c>
      <c r="H1808">
        <v>1</v>
      </c>
      <c r="I1808">
        <v>25.384268599999999</v>
      </c>
      <c r="J1808">
        <v>1306</v>
      </c>
      <c r="K1808">
        <v>4.07</v>
      </c>
      <c r="M1808">
        <v>2.25</v>
      </c>
      <c r="O1808">
        <v>0.20100000000000001</v>
      </c>
      <c r="Q1808">
        <v>0.96</v>
      </c>
      <c r="R1808">
        <v>0.94</v>
      </c>
    </row>
    <row r="1809" spans="1:18" x14ac:dyDescent="0.2">
      <c r="A1809" t="s">
        <v>3306</v>
      </c>
      <c r="B1809" t="s">
        <v>3307</v>
      </c>
      <c r="C1809">
        <v>2016</v>
      </c>
      <c r="D1809">
        <v>1</v>
      </c>
      <c r="E1809" t="s">
        <v>55</v>
      </c>
      <c r="F1809" t="s">
        <v>128</v>
      </c>
      <c r="G1809" t="s">
        <v>63</v>
      </c>
      <c r="H1809">
        <v>1</v>
      </c>
      <c r="I1809">
        <v>16.3583055</v>
      </c>
      <c r="J1809">
        <v>730</v>
      </c>
      <c r="K1809">
        <v>2.75</v>
      </c>
      <c r="M1809">
        <v>1.88</v>
      </c>
      <c r="O1809">
        <v>0.16800000000000001</v>
      </c>
      <c r="Q1809">
        <v>1.36</v>
      </c>
      <c r="R1809">
        <v>1.72</v>
      </c>
    </row>
    <row r="1810" spans="1:18" x14ac:dyDescent="0.2">
      <c r="A1810" t="s">
        <v>3308</v>
      </c>
      <c r="B1810" t="s">
        <v>3309</v>
      </c>
      <c r="C1810">
        <v>2016</v>
      </c>
      <c r="D1810">
        <v>1</v>
      </c>
      <c r="E1810" t="s">
        <v>55</v>
      </c>
      <c r="F1810" t="s">
        <v>128</v>
      </c>
      <c r="G1810" t="s">
        <v>63</v>
      </c>
      <c r="H1810">
        <v>1</v>
      </c>
      <c r="I1810">
        <v>13.909358299999999</v>
      </c>
      <c r="J1810">
        <v>961</v>
      </c>
      <c r="K1810">
        <v>2.2400000000000002</v>
      </c>
      <c r="M1810">
        <v>1.41</v>
      </c>
      <c r="O1810">
        <v>0.126</v>
      </c>
      <c r="Q1810">
        <v>1.26</v>
      </c>
      <c r="R1810">
        <v>1.44</v>
      </c>
    </row>
    <row r="1811" spans="1:18" x14ac:dyDescent="0.2">
      <c r="A1811" t="s">
        <v>3310</v>
      </c>
      <c r="B1811" t="s">
        <v>3311</v>
      </c>
      <c r="C1811">
        <v>2016</v>
      </c>
      <c r="D1811">
        <v>1</v>
      </c>
      <c r="E1811" t="s">
        <v>55</v>
      </c>
      <c r="F1811" t="s">
        <v>128</v>
      </c>
      <c r="G1811" t="s">
        <v>63</v>
      </c>
      <c r="H1811">
        <v>1</v>
      </c>
      <c r="I1811">
        <v>15.362627529999999</v>
      </c>
      <c r="J1811">
        <v>618</v>
      </c>
      <c r="K1811">
        <v>4.57</v>
      </c>
      <c r="M1811">
        <v>1.94</v>
      </c>
      <c r="O1811">
        <v>0.17299999999999999</v>
      </c>
      <c r="Q1811">
        <v>0.78</v>
      </c>
      <c r="R1811">
        <v>0.74</v>
      </c>
    </row>
    <row r="1812" spans="1:18" x14ac:dyDescent="0.2">
      <c r="A1812" t="s">
        <v>3312</v>
      </c>
      <c r="B1812" t="s">
        <v>3313</v>
      </c>
      <c r="C1812">
        <v>2016</v>
      </c>
      <c r="D1812">
        <v>1</v>
      </c>
      <c r="E1812" t="s">
        <v>55</v>
      </c>
      <c r="F1812" t="s">
        <v>128</v>
      </c>
      <c r="G1812" t="s">
        <v>63</v>
      </c>
      <c r="H1812">
        <v>1</v>
      </c>
      <c r="I1812">
        <v>2.8887986200000002</v>
      </c>
      <c r="J1812">
        <v>527</v>
      </c>
      <c r="K1812">
        <v>4.37</v>
      </c>
      <c r="M1812">
        <v>0.85</v>
      </c>
      <c r="O1812">
        <v>7.5999999999999998E-2</v>
      </c>
      <c r="Q1812">
        <v>1.1499999999999999</v>
      </c>
      <c r="R1812">
        <v>1.29</v>
      </c>
    </row>
    <row r="1813" spans="1:18" x14ac:dyDescent="0.2">
      <c r="A1813" t="s">
        <v>3314</v>
      </c>
      <c r="B1813" t="s">
        <v>3315</v>
      </c>
      <c r="C1813">
        <v>2016</v>
      </c>
      <c r="D1813">
        <v>1</v>
      </c>
      <c r="E1813" t="s">
        <v>55</v>
      </c>
      <c r="F1813" t="s">
        <v>128</v>
      </c>
      <c r="G1813" t="s">
        <v>63</v>
      </c>
      <c r="H1813">
        <v>1</v>
      </c>
      <c r="I1813">
        <v>6.7397238100000001</v>
      </c>
      <c r="J1813">
        <v>838</v>
      </c>
      <c r="K1813">
        <v>5.01</v>
      </c>
      <c r="M1813">
        <v>1.24</v>
      </c>
      <c r="O1813">
        <v>0.111</v>
      </c>
      <c r="Q1813">
        <v>1.02</v>
      </c>
      <c r="R1813">
        <v>1.03</v>
      </c>
    </row>
    <row r="1814" spans="1:18" x14ac:dyDescent="0.2">
      <c r="A1814" t="s">
        <v>3316</v>
      </c>
      <c r="B1814" t="s">
        <v>3317</v>
      </c>
      <c r="C1814">
        <v>2016</v>
      </c>
      <c r="D1814">
        <v>1</v>
      </c>
      <c r="E1814" t="s">
        <v>55</v>
      </c>
      <c r="F1814" t="s">
        <v>128</v>
      </c>
      <c r="G1814" t="s">
        <v>63</v>
      </c>
      <c r="H1814">
        <v>1</v>
      </c>
      <c r="I1814">
        <v>2.2795266600000001</v>
      </c>
      <c r="J1814">
        <v>491</v>
      </c>
      <c r="K1814">
        <v>4.37</v>
      </c>
      <c r="M1814">
        <v>0.93</v>
      </c>
      <c r="O1814">
        <v>8.3000000000000004E-2</v>
      </c>
      <c r="Q1814">
        <v>0.82</v>
      </c>
      <c r="R1814">
        <v>0.77</v>
      </c>
    </row>
    <row r="1815" spans="1:18" x14ac:dyDescent="0.2">
      <c r="A1815" t="s">
        <v>3318</v>
      </c>
      <c r="B1815" t="s">
        <v>3319</v>
      </c>
      <c r="C1815">
        <v>2016</v>
      </c>
      <c r="D1815">
        <v>1</v>
      </c>
      <c r="E1815" t="s">
        <v>55</v>
      </c>
      <c r="F1815" t="s">
        <v>128</v>
      </c>
      <c r="G1815" t="s">
        <v>63</v>
      </c>
      <c r="H1815">
        <v>4</v>
      </c>
      <c r="I1815">
        <v>12.2854603</v>
      </c>
      <c r="J1815">
        <v>492</v>
      </c>
      <c r="K1815">
        <v>4.47</v>
      </c>
      <c r="M1815">
        <v>2.59</v>
      </c>
      <c r="O1815">
        <v>0.23100000000000001</v>
      </c>
      <c r="Q1815">
        <v>0.63</v>
      </c>
      <c r="R1815">
        <v>0.61</v>
      </c>
    </row>
    <row r="1816" spans="1:18" x14ac:dyDescent="0.2">
      <c r="A1816" t="s">
        <v>3318</v>
      </c>
      <c r="B1816" t="s">
        <v>3320</v>
      </c>
      <c r="C1816">
        <v>2016</v>
      </c>
      <c r="D1816">
        <v>1</v>
      </c>
      <c r="E1816" t="s">
        <v>55</v>
      </c>
      <c r="F1816" t="s">
        <v>128</v>
      </c>
      <c r="G1816" t="s">
        <v>63</v>
      </c>
      <c r="H1816">
        <v>4</v>
      </c>
      <c r="I1816">
        <v>5.5360815099999998</v>
      </c>
      <c r="J1816">
        <v>492</v>
      </c>
      <c r="K1816">
        <v>4.47</v>
      </c>
      <c r="M1816">
        <v>2.2599999999999998</v>
      </c>
      <c r="O1816">
        <v>0.20200000000000001</v>
      </c>
      <c r="Q1816">
        <v>0.63</v>
      </c>
      <c r="R1816">
        <v>0.61</v>
      </c>
    </row>
    <row r="1817" spans="1:18" x14ac:dyDescent="0.2">
      <c r="A1817" t="s">
        <v>3318</v>
      </c>
      <c r="B1817" t="s">
        <v>3321</v>
      </c>
      <c r="C1817">
        <v>2016</v>
      </c>
      <c r="D1817">
        <v>1</v>
      </c>
      <c r="E1817" t="s">
        <v>55</v>
      </c>
      <c r="F1817" t="s">
        <v>128</v>
      </c>
      <c r="G1817" t="s">
        <v>63</v>
      </c>
      <c r="H1817">
        <v>4</v>
      </c>
      <c r="I1817">
        <v>20.956815800000001</v>
      </c>
      <c r="J1817">
        <v>492</v>
      </c>
      <c r="K1817">
        <v>4.47</v>
      </c>
      <c r="M1817">
        <v>2.86</v>
      </c>
      <c r="O1817">
        <v>0.255</v>
      </c>
      <c r="Q1817">
        <v>0.63</v>
      </c>
      <c r="R1817">
        <v>0.61</v>
      </c>
    </row>
    <row r="1818" spans="1:18" x14ac:dyDescent="0.2">
      <c r="A1818" t="s">
        <v>3318</v>
      </c>
      <c r="B1818" t="s">
        <v>3322</v>
      </c>
      <c r="C1818">
        <v>2016</v>
      </c>
      <c r="D1818">
        <v>1</v>
      </c>
      <c r="E1818" t="s">
        <v>55</v>
      </c>
      <c r="F1818" t="s">
        <v>128</v>
      </c>
      <c r="G1818" t="s">
        <v>63</v>
      </c>
      <c r="H1818">
        <v>4</v>
      </c>
      <c r="I1818">
        <v>37.632708399999999</v>
      </c>
      <c r="J1818">
        <v>492</v>
      </c>
      <c r="K1818">
        <v>4.47</v>
      </c>
      <c r="M1818">
        <v>2.46</v>
      </c>
      <c r="O1818">
        <v>0.219</v>
      </c>
      <c r="Q1818">
        <v>0.63</v>
      </c>
      <c r="R1818">
        <v>0.61</v>
      </c>
    </row>
    <row r="1819" spans="1:18" x14ac:dyDescent="0.2">
      <c r="A1819" t="s">
        <v>3323</v>
      </c>
      <c r="B1819" t="s">
        <v>3324</v>
      </c>
      <c r="C1819">
        <v>2016</v>
      </c>
      <c r="D1819">
        <v>1</v>
      </c>
      <c r="E1819" t="s">
        <v>55</v>
      </c>
      <c r="F1819" t="s">
        <v>128</v>
      </c>
      <c r="G1819" t="s">
        <v>63</v>
      </c>
      <c r="H1819">
        <v>1</v>
      </c>
      <c r="I1819">
        <v>99.253095099999996</v>
      </c>
      <c r="J1819">
        <v>521</v>
      </c>
      <c r="K1819">
        <v>2.09</v>
      </c>
      <c r="M1819">
        <v>1.77</v>
      </c>
      <c r="O1819">
        <v>0.158</v>
      </c>
      <c r="Q1819">
        <v>0.81</v>
      </c>
      <c r="R1819">
        <v>0.74</v>
      </c>
    </row>
    <row r="1820" spans="1:18" x14ac:dyDescent="0.2">
      <c r="A1820" t="s">
        <v>3325</v>
      </c>
      <c r="B1820" t="s">
        <v>3326</v>
      </c>
      <c r="C1820">
        <v>2014</v>
      </c>
      <c r="D1820">
        <v>1</v>
      </c>
      <c r="E1820" t="s">
        <v>55</v>
      </c>
      <c r="F1820" t="s">
        <v>128</v>
      </c>
      <c r="G1820" t="s">
        <v>63</v>
      </c>
      <c r="H1820">
        <v>2</v>
      </c>
      <c r="I1820">
        <v>15.771044</v>
      </c>
      <c r="J1820">
        <v>417</v>
      </c>
      <c r="M1820">
        <v>2.94</v>
      </c>
      <c r="O1820">
        <v>0.26200000000000001</v>
      </c>
      <c r="R1820">
        <v>1.3</v>
      </c>
    </row>
    <row r="1821" spans="1:18" x14ac:dyDescent="0.2">
      <c r="A1821" t="s">
        <v>3325</v>
      </c>
      <c r="B1821" t="s">
        <v>3327</v>
      </c>
      <c r="C1821">
        <v>2014</v>
      </c>
      <c r="D1821">
        <v>1</v>
      </c>
      <c r="E1821" t="s">
        <v>55</v>
      </c>
      <c r="F1821" t="s">
        <v>128</v>
      </c>
      <c r="G1821" t="s">
        <v>63</v>
      </c>
      <c r="H1821">
        <v>2</v>
      </c>
      <c r="I1821">
        <v>157.072878</v>
      </c>
      <c r="J1821">
        <v>417</v>
      </c>
      <c r="M1821">
        <v>3.38</v>
      </c>
      <c r="O1821">
        <v>0.30199999999999999</v>
      </c>
      <c r="R1821">
        <v>1.3</v>
      </c>
    </row>
    <row r="1822" spans="1:18" x14ac:dyDescent="0.2">
      <c r="A1822" t="s">
        <v>3328</v>
      </c>
      <c r="B1822" t="s">
        <v>3329</v>
      </c>
      <c r="C1822">
        <v>2016</v>
      </c>
      <c r="D1822">
        <v>1</v>
      </c>
      <c r="E1822" t="s">
        <v>55</v>
      </c>
      <c r="F1822" t="s">
        <v>128</v>
      </c>
      <c r="G1822" t="s">
        <v>63</v>
      </c>
      <c r="H1822">
        <v>1</v>
      </c>
      <c r="I1822">
        <v>6.4802167300000004</v>
      </c>
      <c r="J1822">
        <v>760</v>
      </c>
      <c r="K1822">
        <v>4.47</v>
      </c>
      <c r="M1822">
        <v>1.18</v>
      </c>
      <c r="O1822">
        <v>0.105</v>
      </c>
      <c r="Q1822">
        <v>0.98</v>
      </c>
      <c r="R1822">
        <v>0.98</v>
      </c>
    </row>
    <row r="1823" spans="1:18" x14ac:dyDescent="0.2">
      <c r="A1823" t="s">
        <v>3330</v>
      </c>
      <c r="B1823" t="s">
        <v>3331</v>
      </c>
      <c r="C1823">
        <v>2016</v>
      </c>
      <c r="D1823">
        <v>1</v>
      </c>
      <c r="E1823" t="s">
        <v>55</v>
      </c>
      <c r="F1823" t="s">
        <v>128</v>
      </c>
      <c r="G1823" t="s">
        <v>63</v>
      </c>
      <c r="H1823">
        <v>1</v>
      </c>
      <c r="I1823">
        <v>54.409233299999997</v>
      </c>
      <c r="J1823">
        <v>721</v>
      </c>
      <c r="K1823">
        <v>5.5</v>
      </c>
      <c r="M1823">
        <v>1.68</v>
      </c>
      <c r="O1823">
        <v>0.15</v>
      </c>
      <c r="Q1823">
        <v>1.03</v>
      </c>
      <c r="R1823">
        <v>1.1000000000000001</v>
      </c>
    </row>
    <row r="1824" spans="1:18" x14ac:dyDescent="0.2">
      <c r="A1824" t="s">
        <v>3332</v>
      </c>
      <c r="B1824" t="s">
        <v>3333</v>
      </c>
      <c r="C1824">
        <v>2016</v>
      </c>
      <c r="D1824">
        <v>1</v>
      </c>
      <c r="E1824" t="s">
        <v>55</v>
      </c>
      <c r="F1824" t="s">
        <v>128</v>
      </c>
      <c r="G1824" t="s">
        <v>63</v>
      </c>
      <c r="H1824">
        <v>1</v>
      </c>
      <c r="I1824">
        <v>15.1410397</v>
      </c>
      <c r="J1824">
        <v>1117</v>
      </c>
      <c r="K1824">
        <v>4.68</v>
      </c>
      <c r="M1824">
        <v>1.96</v>
      </c>
      <c r="O1824">
        <v>0.17499999999999999</v>
      </c>
      <c r="Q1824">
        <v>0.88</v>
      </c>
      <c r="R1824">
        <v>0.85</v>
      </c>
    </row>
    <row r="1825" spans="1:18" x14ac:dyDescent="0.2">
      <c r="A1825" t="s">
        <v>3334</v>
      </c>
      <c r="B1825" t="s">
        <v>3335</v>
      </c>
      <c r="C1825">
        <v>2016</v>
      </c>
      <c r="D1825">
        <v>1</v>
      </c>
      <c r="E1825" t="s">
        <v>55</v>
      </c>
      <c r="F1825" t="s">
        <v>128</v>
      </c>
      <c r="G1825" t="s">
        <v>63</v>
      </c>
      <c r="H1825">
        <v>1</v>
      </c>
      <c r="I1825">
        <v>2.4435781200000002</v>
      </c>
      <c r="J1825">
        <v>462</v>
      </c>
      <c r="K1825">
        <v>3.47</v>
      </c>
      <c r="M1825">
        <v>0.8</v>
      </c>
      <c r="O1825">
        <v>7.0999999999999994E-2</v>
      </c>
      <c r="Q1825">
        <v>0.95</v>
      </c>
      <c r="R1825">
        <v>0.92</v>
      </c>
    </row>
    <row r="1826" spans="1:18" x14ac:dyDescent="0.2">
      <c r="A1826" t="s">
        <v>3336</v>
      </c>
      <c r="B1826" t="s">
        <v>3337</v>
      </c>
      <c r="C1826">
        <v>2016</v>
      </c>
      <c r="D1826">
        <v>1</v>
      </c>
      <c r="E1826" t="s">
        <v>55</v>
      </c>
      <c r="F1826" t="s">
        <v>128</v>
      </c>
      <c r="G1826" t="s">
        <v>63</v>
      </c>
      <c r="H1826">
        <v>1</v>
      </c>
      <c r="I1826">
        <v>3.9376637300000001</v>
      </c>
      <c r="J1826">
        <v>820</v>
      </c>
      <c r="K1826">
        <v>1.91</v>
      </c>
      <c r="M1826">
        <v>1.39</v>
      </c>
      <c r="O1826">
        <v>0.124</v>
      </c>
      <c r="Q1826">
        <v>1.64</v>
      </c>
      <c r="R1826">
        <v>2.5499999999999998</v>
      </c>
    </row>
    <row r="1827" spans="1:18" x14ac:dyDescent="0.2">
      <c r="A1827" t="s">
        <v>3338</v>
      </c>
      <c r="B1827" t="s">
        <v>3339</v>
      </c>
      <c r="C1827">
        <v>2016</v>
      </c>
      <c r="D1827">
        <v>1</v>
      </c>
      <c r="E1827" t="s">
        <v>55</v>
      </c>
      <c r="F1827" t="s">
        <v>128</v>
      </c>
      <c r="G1827" t="s">
        <v>63</v>
      </c>
      <c r="H1827">
        <v>1</v>
      </c>
      <c r="I1827">
        <v>3.78470649</v>
      </c>
      <c r="J1827">
        <v>507</v>
      </c>
      <c r="K1827">
        <v>2.88</v>
      </c>
      <c r="M1827">
        <v>0.8</v>
      </c>
      <c r="O1827">
        <v>7.0999999999999994E-2</v>
      </c>
      <c r="Q1827">
        <v>1.17</v>
      </c>
      <c r="R1827">
        <v>1.23</v>
      </c>
    </row>
    <row r="1828" spans="1:18" x14ac:dyDescent="0.2">
      <c r="A1828" t="s">
        <v>3340</v>
      </c>
      <c r="B1828" t="s">
        <v>3341</v>
      </c>
      <c r="C1828">
        <v>2016</v>
      </c>
      <c r="D1828">
        <v>1</v>
      </c>
      <c r="E1828" t="s">
        <v>55</v>
      </c>
      <c r="F1828" t="s">
        <v>128</v>
      </c>
      <c r="G1828" t="s">
        <v>63</v>
      </c>
      <c r="H1828">
        <v>1</v>
      </c>
      <c r="I1828">
        <v>18.220642099999999</v>
      </c>
      <c r="J1828">
        <v>1236</v>
      </c>
      <c r="K1828">
        <v>2.75</v>
      </c>
      <c r="M1828">
        <v>2.0699999999999998</v>
      </c>
      <c r="O1828">
        <v>0.185</v>
      </c>
      <c r="Q1828">
        <v>1.18</v>
      </c>
      <c r="R1828">
        <v>1.27</v>
      </c>
    </row>
    <row r="1829" spans="1:18" x14ac:dyDescent="0.2">
      <c r="A1829" t="s">
        <v>3342</v>
      </c>
      <c r="B1829" t="s">
        <v>3343</v>
      </c>
      <c r="C1829">
        <v>2016</v>
      </c>
      <c r="D1829">
        <v>1</v>
      </c>
      <c r="E1829" t="s">
        <v>55</v>
      </c>
      <c r="F1829" t="s">
        <v>128</v>
      </c>
      <c r="G1829" t="s">
        <v>63</v>
      </c>
      <c r="H1829">
        <v>1</v>
      </c>
      <c r="I1829">
        <v>47.449955000000003</v>
      </c>
      <c r="J1829">
        <v>770</v>
      </c>
      <c r="K1829">
        <v>3.55</v>
      </c>
      <c r="M1829">
        <v>1.72</v>
      </c>
      <c r="O1829">
        <v>0.153</v>
      </c>
      <c r="Q1829">
        <v>1.0900000000000001</v>
      </c>
      <c r="R1829">
        <v>1.1200000000000001</v>
      </c>
    </row>
    <row r="1830" spans="1:18" x14ac:dyDescent="0.2">
      <c r="A1830" t="s">
        <v>3344</v>
      </c>
      <c r="B1830" t="s">
        <v>3345</v>
      </c>
      <c r="C1830">
        <v>2016</v>
      </c>
      <c r="D1830">
        <v>1</v>
      </c>
      <c r="E1830" t="s">
        <v>55</v>
      </c>
      <c r="F1830" t="s">
        <v>128</v>
      </c>
      <c r="G1830" t="s">
        <v>63</v>
      </c>
      <c r="H1830">
        <v>2</v>
      </c>
      <c r="I1830">
        <v>2.7881567899999999</v>
      </c>
      <c r="J1830">
        <v>793</v>
      </c>
      <c r="K1830">
        <v>3.09</v>
      </c>
      <c r="M1830">
        <v>0.9</v>
      </c>
      <c r="O1830">
        <v>0.08</v>
      </c>
      <c r="Q1830">
        <v>1.1299999999999999</v>
      </c>
      <c r="R1830">
        <v>1.18</v>
      </c>
    </row>
    <row r="1831" spans="1:18" x14ac:dyDescent="0.2">
      <c r="A1831" t="s">
        <v>3344</v>
      </c>
      <c r="B1831" t="s">
        <v>3346</v>
      </c>
      <c r="C1831">
        <v>2016</v>
      </c>
      <c r="D1831">
        <v>1</v>
      </c>
      <c r="E1831" t="s">
        <v>55</v>
      </c>
      <c r="F1831" t="s">
        <v>128</v>
      </c>
      <c r="G1831" t="s">
        <v>63</v>
      </c>
      <c r="H1831">
        <v>2</v>
      </c>
      <c r="I1831">
        <v>4.1382759499999997</v>
      </c>
      <c r="J1831">
        <v>793</v>
      </c>
      <c r="K1831">
        <v>3.09</v>
      </c>
      <c r="M1831">
        <v>1.03</v>
      </c>
      <c r="O1831">
        <v>9.1999999999999998E-2</v>
      </c>
      <c r="Q1831">
        <v>1.1299999999999999</v>
      </c>
      <c r="R1831">
        <v>1.18</v>
      </c>
    </row>
    <row r="1832" spans="1:18" x14ac:dyDescent="0.2">
      <c r="A1832" t="s">
        <v>3347</v>
      </c>
      <c r="B1832" t="s">
        <v>3348</v>
      </c>
      <c r="C1832">
        <v>2016</v>
      </c>
      <c r="D1832">
        <v>1</v>
      </c>
      <c r="E1832" t="s">
        <v>55</v>
      </c>
      <c r="F1832" t="s">
        <v>128</v>
      </c>
      <c r="G1832" t="s">
        <v>63</v>
      </c>
      <c r="H1832">
        <v>1</v>
      </c>
      <c r="I1832">
        <v>1.63865306</v>
      </c>
      <c r="J1832">
        <v>1256</v>
      </c>
      <c r="K1832">
        <v>4.37</v>
      </c>
      <c r="M1832">
        <v>1.25</v>
      </c>
      <c r="O1832">
        <v>0.112</v>
      </c>
      <c r="Q1832">
        <v>0.97</v>
      </c>
      <c r="R1832">
        <v>0.96</v>
      </c>
    </row>
    <row r="1833" spans="1:18" x14ac:dyDescent="0.2">
      <c r="A1833" t="s">
        <v>3349</v>
      </c>
      <c r="B1833" t="s">
        <v>3350</v>
      </c>
      <c r="C1833">
        <v>2011</v>
      </c>
      <c r="D1833">
        <v>1</v>
      </c>
      <c r="E1833" t="s">
        <v>55</v>
      </c>
      <c r="F1833" t="s">
        <v>128</v>
      </c>
      <c r="G1833" t="s">
        <v>63</v>
      </c>
      <c r="H1833">
        <v>1</v>
      </c>
      <c r="I1833">
        <v>6.7901230000000004</v>
      </c>
      <c r="J1833">
        <v>980</v>
      </c>
      <c r="K1833">
        <v>2.2000000000000002</v>
      </c>
      <c r="L1833">
        <v>2669.66</v>
      </c>
      <c r="M1833">
        <v>12.733000000000001</v>
      </c>
      <c r="N1833">
        <v>8.4</v>
      </c>
      <c r="O1833">
        <v>1.1359999999999999</v>
      </c>
      <c r="P1833">
        <v>7.1</v>
      </c>
      <c r="Q1833">
        <v>1.51</v>
      </c>
      <c r="R1833">
        <v>2.0499999999999998</v>
      </c>
    </row>
    <row r="1834" spans="1:18" x14ac:dyDescent="0.2">
      <c r="A1834" t="s">
        <v>3351</v>
      </c>
      <c r="B1834" t="s">
        <v>3352</v>
      </c>
      <c r="C1834">
        <v>2014</v>
      </c>
      <c r="D1834">
        <v>1</v>
      </c>
      <c r="E1834" t="s">
        <v>55</v>
      </c>
      <c r="F1834" t="s">
        <v>128</v>
      </c>
      <c r="G1834" t="s">
        <v>63</v>
      </c>
      <c r="H1834">
        <v>2</v>
      </c>
      <c r="I1834">
        <v>3.25427</v>
      </c>
      <c r="J1834">
        <v>572</v>
      </c>
      <c r="M1834">
        <v>1.61</v>
      </c>
      <c r="O1834">
        <v>0.14399999999999999</v>
      </c>
      <c r="R1834">
        <v>1.29</v>
      </c>
    </row>
    <row r="1835" spans="1:18" x14ac:dyDescent="0.2">
      <c r="A1835" t="s">
        <v>3351</v>
      </c>
      <c r="B1835" t="s">
        <v>3353</v>
      </c>
      <c r="C1835">
        <v>2014</v>
      </c>
      <c r="D1835">
        <v>1</v>
      </c>
      <c r="E1835" t="s">
        <v>55</v>
      </c>
      <c r="F1835" t="s">
        <v>128</v>
      </c>
      <c r="G1835" t="s">
        <v>63</v>
      </c>
      <c r="H1835">
        <v>2</v>
      </c>
      <c r="I1835">
        <v>91.353281999999993</v>
      </c>
      <c r="J1835">
        <v>572</v>
      </c>
      <c r="M1835">
        <v>1.8</v>
      </c>
      <c r="O1835">
        <v>0.161</v>
      </c>
      <c r="R1835">
        <v>1.29</v>
      </c>
    </row>
    <row r="1836" spans="1:18" x14ac:dyDescent="0.2">
      <c r="A1836" t="s">
        <v>3354</v>
      </c>
      <c r="B1836" t="s">
        <v>3355</v>
      </c>
      <c r="C1836">
        <v>2016</v>
      </c>
      <c r="D1836">
        <v>1</v>
      </c>
      <c r="E1836" t="s">
        <v>55</v>
      </c>
      <c r="F1836" t="s">
        <v>128</v>
      </c>
      <c r="G1836" t="s">
        <v>63</v>
      </c>
      <c r="H1836">
        <v>1</v>
      </c>
      <c r="I1836">
        <v>9.0668942099999992</v>
      </c>
      <c r="J1836">
        <v>879</v>
      </c>
      <c r="K1836">
        <v>4.57</v>
      </c>
      <c r="M1836">
        <v>1.62</v>
      </c>
      <c r="O1836">
        <v>0.14499999999999999</v>
      </c>
      <c r="Q1836">
        <v>0.83</v>
      </c>
      <c r="R1836">
        <v>0.78</v>
      </c>
    </row>
    <row r="1837" spans="1:18" x14ac:dyDescent="0.2">
      <c r="A1837" t="s">
        <v>3356</v>
      </c>
      <c r="B1837" t="s">
        <v>3357</v>
      </c>
      <c r="C1837">
        <v>2016</v>
      </c>
      <c r="D1837">
        <v>1</v>
      </c>
      <c r="E1837" t="s">
        <v>55</v>
      </c>
      <c r="F1837" t="s">
        <v>128</v>
      </c>
      <c r="G1837" t="s">
        <v>63</v>
      </c>
      <c r="H1837">
        <v>1</v>
      </c>
      <c r="I1837">
        <v>11.20066445</v>
      </c>
      <c r="J1837">
        <v>1242</v>
      </c>
      <c r="K1837">
        <v>3.55</v>
      </c>
      <c r="M1837">
        <v>1.68</v>
      </c>
      <c r="O1837">
        <v>0.15</v>
      </c>
      <c r="Q1837">
        <v>1.07</v>
      </c>
      <c r="R1837">
        <v>1.1000000000000001</v>
      </c>
    </row>
    <row r="1838" spans="1:18" x14ac:dyDescent="0.2">
      <c r="A1838" t="s">
        <v>3358</v>
      </c>
      <c r="B1838" t="s">
        <v>3359</v>
      </c>
      <c r="C1838">
        <v>2016</v>
      </c>
      <c r="D1838">
        <v>1</v>
      </c>
      <c r="E1838" t="s">
        <v>55</v>
      </c>
      <c r="F1838" t="s">
        <v>128</v>
      </c>
      <c r="G1838" t="s">
        <v>63</v>
      </c>
      <c r="H1838">
        <v>1</v>
      </c>
      <c r="I1838">
        <v>2.0338791399999998</v>
      </c>
      <c r="J1838">
        <v>681</v>
      </c>
      <c r="K1838">
        <v>4.57</v>
      </c>
      <c r="M1838">
        <v>0.76</v>
      </c>
      <c r="O1838">
        <v>6.8000000000000005E-2</v>
      </c>
      <c r="Q1838">
        <v>0.9</v>
      </c>
      <c r="R1838">
        <v>0.87</v>
      </c>
    </row>
    <row r="1839" spans="1:18" x14ac:dyDescent="0.2">
      <c r="A1839" t="s">
        <v>3360</v>
      </c>
      <c r="B1839" t="s">
        <v>3361</v>
      </c>
      <c r="C1839">
        <v>2016</v>
      </c>
      <c r="D1839">
        <v>1</v>
      </c>
      <c r="E1839" t="s">
        <v>55</v>
      </c>
      <c r="F1839" t="s">
        <v>128</v>
      </c>
      <c r="G1839" t="s">
        <v>63</v>
      </c>
      <c r="H1839">
        <v>1</v>
      </c>
      <c r="I1839">
        <v>5.1949220199999999</v>
      </c>
      <c r="J1839">
        <v>1801</v>
      </c>
      <c r="K1839">
        <v>3.31</v>
      </c>
      <c r="M1839">
        <v>2.14</v>
      </c>
      <c r="O1839">
        <v>0.191</v>
      </c>
      <c r="Q1839">
        <v>1.1100000000000001</v>
      </c>
      <c r="R1839">
        <v>1.1499999999999999</v>
      </c>
    </row>
    <row r="1840" spans="1:18" x14ac:dyDescent="0.2">
      <c r="A1840" t="s">
        <v>3362</v>
      </c>
      <c r="B1840" t="s">
        <v>3363</v>
      </c>
      <c r="C1840">
        <v>2016</v>
      </c>
      <c r="D1840">
        <v>1</v>
      </c>
      <c r="E1840" t="s">
        <v>55</v>
      </c>
      <c r="F1840" t="s">
        <v>128</v>
      </c>
      <c r="G1840" t="s">
        <v>63</v>
      </c>
      <c r="H1840">
        <v>1</v>
      </c>
      <c r="I1840">
        <v>15.9314739</v>
      </c>
      <c r="J1840">
        <v>946</v>
      </c>
      <c r="K1840">
        <v>4.57</v>
      </c>
      <c r="M1840">
        <v>2.0099999999999998</v>
      </c>
      <c r="O1840">
        <v>0.17899999999999999</v>
      </c>
      <c r="Q1840">
        <v>0.84</v>
      </c>
      <c r="R1840">
        <v>0.8</v>
      </c>
    </row>
    <row r="1841" spans="1:18" x14ac:dyDescent="0.2">
      <c r="A1841" t="s">
        <v>3364</v>
      </c>
      <c r="B1841" t="s">
        <v>3365</v>
      </c>
      <c r="C1841">
        <v>2016</v>
      </c>
      <c r="D1841">
        <v>1</v>
      </c>
      <c r="E1841" t="s">
        <v>55</v>
      </c>
      <c r="F1841" t="s">
        <v>128</v>
      </c>
      <c r="G1841" t="s">
        <v>63</v>
      </c>
      <c r="H1841">
        <v>1</v>
      </c>
      <c r="I1841">
        <v>28.227418400000001</v>
      </c>
      <c r="J1841">
        <v>1605</v>
      </c>
      <c r="K1841">
        <v>3.63</v>
      </c>
      <c r="M1841">
        <v>3.96</v>
      </c>
      <c r="O1841">
        <v>0.35299999999999998</v>
      </c>
      <c r="Q1841">
        <v>1.05</v>
      </c>
      <c r="R1841">
        <v>1.07</v>
      </c>
    </row>
    <row r="1842" spans="1:18" x14ac:dyDescent="0.2">
      <c r="A1842" t="s">
        <v>3366</v>
      </c>
      <c r="B1842" t="s">
        <v>3367</v>
      </c>
      <c r="C1842">
        <v>2016</v>
      </c>
      <c r="D1842">
        <v>1</v>
      </c>
      <c r="E1842" t="s">
        <v>55</v>
      </c>
      <c r="F1842" t="s">
        <v>128</v>
      </c>
      <c r="G1842" t="s">
        <v>63</v>
      </c>
      <c r="H1842">
        <v>1</v>
      </c>
      <c r="I1842">
        <v>11.629058280000001</v>
      </c>
      <c r="J1842">
        <v>587</v>
      </c>
      <c r="K1842">
        <v>5.01</v>
      </c>
      <c r="M1842">
        <v>1.1000000000000001</v>
      </c>
      <c r="O1842">
        <v>9.8000000000000004E-2</v>
      </c>
      <c r="Q1842">
        <v>1.05</v>
      </c>
      <c r="R1842">
        <v>1.1200000000000001</v>
      </c>
    </row>
    <row r="1843" spans="1:18" x14ac:dyDescent="0.2">
      <c r="A1843" t="s">
        <v>3368</v>
      </c>
      <c r="B1843" t="s">
        <v>3369</v>
      </c>
      <c r="C1843">
        <v>2016</v>
      </c>
      <c r="D1843">
        <v>1</v>
      </c>
      <c r="E1843" t="s">
        <v>55</v>
      </c>
      <c r="F1843" t="s">
        <v>128</v>
      </c>
      <c r="G1843" t="s">
        <v>63</v>
      </c>
      <c r="H1843">
        <v>1</v>
      </c>
      <c r="I1843">
        <v>20.071150400000001</v>
      </c>
      <c r="J1843">
        <v>1275</v>
      </c>
      <c r="K1843">
        <v>3.24</v>
      </c>
      <c r="M1843">
        <v>2.25</v>
      </c>
      <c r="O1843">
        <v>0.20100000000000001</v>
      </c>
      <c r="Q1843">
        <v>1.1000000000000001</v>
      </c>
      <c r="R1843">
        <v>1.1499999999999999</v>
      </c>
    </row>
    <row r="1844" spans="1:18" x14ac:dyDescent="0.2">
      <c r="A1844" t="s">
        <v>3370</v>
      </c>
      <c r="B1844" t="s">
        <v>3371</v>
      </c>
      <c r="C1844">
        <v>2016</v>
      </c>
      <c r="D1844">
        <v>1</v>
      </c>
      <c r="E1844" t="s">
        <v>55</v>
      </c>
      <c r="F1844" t="s">
        <v>128</v>
      </c>
      <c r="G1844" t="s">
        <v>63</v>
      </c>
      <c r="H1844">
        <v>1</v>
      </c>
      <c r="I1844">
        <v>2.9979319100000001</v>
      </c>
      <c r="J1844">
        <v>426</v>
      </c>
      <c r="K1844">
        <v>2.57</v>
      </c>
      <c r="M1844">
        <v>0.89</v>
      </c>
      <c r="O1844">
        <v>7.9000000000000001E-2</v>
      </c>
      <c r="Q1844">
        <v>1.21</v>
      </c>
      <c r="R1844">
        <v>1.35</v>
      </c>
    </row>
    <row r="1845" spans="1:18" x14ac:dyDescent="0.2">
      <c r="A1845" t="s">
        <v>3372</v>
      </c>
      <c r="B1845" t="s">
        <v>3373</v>
      </c>
      <c r="C1845">
        <v>2016</v>
      </c>
      <c r="D1845">
        <v>1</v>
      </c>
      <c r="E1845" t="s">
        <v>55</v>
      </c>
      <c r="F1845" t="s">
        <v>128</v>
      </c>
      <c r="G1845" t="s">
        <v>63</v>
      </c>
      <c r="H1845">
        <v>1</v>
      </c>
      <c r="I1845">
        <v>0.76486493</v>
      </c>
      <c r="J1845">
        <v>722</v>
      </c>
      <c r="K1845">
        <v>4.79</v>
      </c>
      <c r="M1845">
        <v>1.04</v>
      </c>
      <c r="O1845">
        <v>9.2999999999999999E-2</v>
      </c>
      <c r="Q1845">
        <v>0.83</v>
      </c>
      <c r="R1845">
        <v>0.79</v>
      </c>
    </row>
    <row r="1846" spans="1:18" x14ac:dyDescent="0.2">
      <c r="A1846" t="s">
        <v>3374</v>
      </c>
      <c r="B1846" t="s">
        <v>3375</v>
      </c>
      <c r="C1846">
        <v>2014</v>
      </c>
      <c r="D1846">
        <v>1</v>
      </c>
      <c r="E1846" t="s">
        <v>55</v>
      </c>
      <c r="F1846" t="s">
        <v>128</v>
      </c>
      <c r="G1846" t="s">
        <v>63</v>
      </c>
      <c r="H1846">
        <v>2</v>
      </c>
      <c r="I1846">
        <v>3.107675</v>
      </c>
      <c r="J1846">
        <v>301</v>
      </c>
      <c r="M1846">
        <v>0.69</v>
      </c>
      <c r="O1846">
        <v>6.2E-2</v>
      </c>
      <c r="R1846">
        <v>0.79</v>
      </c>
    </row>
    <row r="1847" spans="1:18" x14ac:dyDescent="0.2">
      <c r="A1847" t="s">
        <v>3374</v>
      </c>
      <c r="B1847" t="s">
        <v>3376</v>
      </c>
      <c r="C1847">
        <v>2014</v>
      </c>
      <c r="D1847">
        <v>1</v>
      </c>
      <c r="E1847" t="s">
        <v>55</v>
      </c>
      <c r="F1847" t="s">
        <v>128</v>
      </c>
      <c r="G1847" t="s">
        <v>63</v>
      </c>
      <c r="H1847">
        <v>2</v>
      </c>
      <c r="I1847">
        <v>7.0106060000000001</v>
      </c>
      <c r="J1847">
        <v>301</v>
      </c>
      <c r="M1847">
        <v>1.41</v>
      </c>
      <c r="O1847">
        <v>0.126</v>
      </c>
      <c r="R1847">
        <v>0.79</v>
      </c>
    </row>
    <row r="1848" spans="1:18" x14ac:dyDescent="0.2">
      <c r="A1848" t="s">
        <v>3377</v>
      </c>
      <c r="B1848" t="s">
        <v>3378</v>
      </c>
      <c r="C1848">
        <v>2016</v>
      </c>
      <c r="D1848">
        <v>1</v>
      </c>
      <c r="E1848" t="s">
        <v>55</v>
      </c>
      <c r="F1848" t="s">
        <v>128</v>
      </c>
      <c r="G1848" t="s">
        <v>63</v>
      </c>
      <c r="H1848">
        <v>1</v>
      </c>
      <c r="I1848">
        <v>60.866168000000002</v>
      </c>
      <c r="J1848">
        <v>367</v>
      </c>
      <c r="K1848">
        <v>4.07</v>
      </c>
      <c r="M1848">
        <v>1.78</v>
      </c>
      <c r="O1848">
        <v>0.159</v>
      </c>
      <c r="Q1848">
        <v>0.63</v>
      </c>
      <c r="R1848">
        <v>0.6</v>
      </c>
    </row>
    <row r="1849" spans="1:18" x14ac:dyDescent="0.2">
      <c r="A1849" t="s">
        <v>3379</v>
      </c>
      <c r="B1849" t="s">
        <v>3380</v>
      </c>
      <c r="C1849">
        <v>2016</v>
      </c>
      <c r="D1849">
        <v>1</v>
      </c>
      <c r="E1849" t="s">
        <v>55</v>
      </c>
      <c r="F1849" t="s">
        <v>128</v>
      </c>
      <c r="G1849" t="s">
        <v>63</v>
      </c>
      <c r="H1849">
        <v>1</v>
      </c>
      <c r="I1849">
        <v>86.115088799999995</v>
      </c>
      <c r="J1849">
        <v>1431</v>
      </c>
      <c r="K1849">
        <v>4.17</v>
      </c>
      <c r="M1849">
        <v>2.82</v>
      </c>
      <c r="O1849">
        <v>0.252</v>
      </c>
      <c r="Q1849">
        <v>0.95</v>
      </c>
      <c r="R1849">
        <v>0.92</v>
      </c>
    </row>
    <row r="1850" spans="1:18" x14ac:dyDescent="0.2">
      <c r="A1850" t="s">
        <v>3381</v>
      </c>
      <c r="B1850" t="s">
        <v>3382</v>
      </c>
      <c r="C1850">
        <v>2016</v>
      </c>
      <c r="D1850">
        <v>1</v>
      </c>
      <c r="E1850" t="s">
        <v>55</v>
      </c>
      <c r="F1850" t="s">
        <v>128</v>
      </c>
      <c r="G1850" t="s">
        <v>63</v>
      </c>
      <c r="H1850">
        <v>1</v>
      </c>
      <c r="I1850">
        <v>3.6146050999999999</v>
      </c>
      <c r="J1850">
        <v>639</v>
      </c>
      <c r="K1850">
        <v>6.31</v>
      </c>
      <c r="M1850">
        <v>0.83</v>
      </c>
      <c r="O1850">
        <v>7.3999999999999996E-2</v>
      </c>
      <c r="Q1850">
        <v>1.06</v>
      </c>
      <c r="R1850">
        <v>1.27</v>
      </c>
    </row>
    <row r="1851" spans="1:18" x14ac:dyDescent="0.2">
      <c r="A1851" t="s">
        <v>3383</v>
      </c>
      <c r="B1851" t="s">
        <v>3384</v>
      </c>
      <c r="C1851">
        <v>2016</v>
      </c>
      <c r="D1851">
        <v>1</v>
      </c>
      <c r="E1851" t="s">
        <v>55</v>
      </c>
      <c r="F1851" t="s">
        <v>128</v>
      </c>
      <c r="G1851" t="s">
        <v>63</v>
      </c>
      <c r="H1851">
        <v>1</v>
      </c>
      <c r="I1851">
        <v>13.182964200000001</v>
      </c>
      <c r="J1851">
        <v>1162</v>
      </c>
      <c r="K1851">
        <v>4.68</v>
      </c>
      <c r="M1851">
        <v>1.82</v>
      </c>
      <c r="O1851">
        <v>0.16200000000000001</v>
      </c>
      <c r="Q1851">
        <v>0.84</v>
      </c>
      <c r="R1851">
        <v>0.8</v>
      </c>
    </row>
    <row r="1852" spans="1:18" x14ac:dyDescent="0.2">
      <c r="A1852" t="s">
        <v>3385</v>
      </c>
      <c r="B1852" t="s">
        <v>3386</v>
      </c>
      <c r="C1852">
        <v>2016</v>
      </c>
      <c r="D1852">
        <v>1</v>
      </c>
      <c r="E1852" t="s">
        <v>55</v>
      </c>
      <c r="F1852" t="s">
        <v>128</v>
      </c>
      <c r="G1852" t="s">
        <v>63</v>
      </c>
      <c r="H1852">
        <v>1</v>
      </c>
      <c r="I1852">
        <v>3.5157631500000002</v>
      </c>
      <c r="J1852">
        <v>534</v>
      </c>
      <c r="K1852">
        <v>4.68</v>
      </c>
      <c r="M1852">
        <v>1.23</v>
      </c>
      <c r="O1852">
        <v>0.11</v>
      </c>
      <c r="Q1852">
        <v>0.8</v>
      </c>
      <c r="R1852">
        <v>0.75</v>
      </c>
    </row>
    <row r="1853" spans="1:18" x14ac:dyDescent="0.2">
      <c r="A1853" t="s">
        <v>3387</v>
      </c>
      <c r="B1853" t="s">
        <v>3388</v>
      </c>
      <c r="C1853">
        <v>2016</v>
      </c>
      <c r="D1853">
        <v>1</v>
      </c>
      <c r="E1853" t="s">
        <v>55</v>
      </c>
      <c r="F1853" t="s">
        <v>128</v>
      </c>
      <c r="G1853" t="s">
        <v>63</v>
      </c>
      <c r="H1853">
        <v>1</v>
      </c>
      <c r="I1853">
        <v>0.63642407999999995</v>
      </c>
      <c r="J1853">
        <v>1066</v>
      </c>
      <c r="K1853">
        <v>4.17</v>
      </c>
      <c r="M1853">
        <v>1.29</v>
      </c>
      <c r="O1853">
        <v>0.115</v>
      </c>
      <c r="Q1853">
        <v>0.89</v>
      </c>
      <c r="R1853">
        <v>0.84</v>
      </c>
    </row>
    <row r="1854" spans="1:18" x14ac:dyDescent="0.2">
      <c r="A1854" t="s">
        <v>3389</v>
      </c>
      <c r="B1854" t="s">
        <v>3390</v>
      </c>
      <c r="C1854">
        <v>2016</v>
      </c>
      <c r="D1854">
        <v>1</v>
      </c>
      <c r="E1854" t="s">
        <v>55</v>
      </c>
      <c r="F1854" t="s">
        <v>128</v>
      </c>
      <c r="G1854" t="s">
        <v>63</v>
      </c>
      <c r="H1854">
        <v>1</v>
      </c>
      <c r="I1854">
        <v>1.49514952</v>
      </c>
      <c r="J1854">
        <v>807</v>
      </c>
      <c r="K1854">
        <v>2.95</v>
      </c>
      <c r="M1854">
        <v>0.88</v>
      </c>
      <c r="O1854">
        <v>7.9000000000000001E-2</v>
      </c>
      <c r="Q1854">
        <v>1.0900000000000001</v>
      </c>
      <c r="R1854">
        <v>1.1499999999999999</v>
      </c>
    </row>
    <row r="1855" spans="1:18" x14ac:dyDescent="0.2">
      <c r="A1855" t="s">
        <v>3391</v>
      </c>
      <c r="B1855" t="s">
        <v>3392</v>
      </c>
      <c r="C1855">
        <v>2016</v>
      </c>
      <c r="D1855">
        <v>1</v>
      </c>
      <c r="E1855" t="s">
        <v>55</v>
      </c>
      <c r="F1855" t="s">
        <v>128</v>
      </c>
      <c r="G1855" t="s">
        <v>63</v>
      </c>
      <c r="H1855">
        <v>1</v>
      </c>
      <c r="I1855">
        <v>20.3505213</v>
      </c>
      <c r="J1855">
        <v>656</v>
      </c>
      <c r="K1855">
        <v>4.07</v>
      </c>
      <c r="M1855">
        <v>1</v>
      </c>
      <c r="O1855">
        <v>8.8999999999999996E-2</v>
      </c>
      <c r="Q1855">
        <v>1.02</v>
      </c>
      <c r="R1855">
        <v>1.02</v>
      </c>
    </row>
    <row r="1856" spans="1:18" x14ac:dyDescent="0.2">
      <c r="A1856" t="s">
        <v>3393</v>
      </c>
      <c r="B1856" t="s">
        <v>3394</v>
      </c>
      <c r="C1856">
        <v>2016</v>
      </c>
      <c r="D1856">
        <v>1</v>
      </c>
      <c r="E1856" t="s">
        <v>55</v>
      </c>
      <c r="F1856" t="s">
        <v>128</v>
      </c>
      <c r="G1856" t="s">
        <v>63</v>
      </c>
      <c r="H1856">
        <v>1</v>
      </c>
      <c r="I1856">
        <v>22.476442500000001</v>
      </c>
      <c r="J1856">
        <v>499</v>
      </c>
      <c r="K1856">
        <v>3.63</v>
      </c>
      <c r="M1856">
        <v>1.66</v>
      </c>
      <c r="O1856">
        <v>0.14799999999999999</v>
      </c>
      <c r="Q1856">
        <v>0.77</v>
      </c>
      <c r="R1856">
        <v>0.72</v>
      </c>
    </row>
    <row r="1857" spans="1:18" x14ac:dyDescent="0.2">
      <c r="A1857" t="s">
        <v>3395</v>
      </c>
      <c r="B1857" t="s">
        <v>3396</v>
      </c>
      <c r="C1857">
        <v>2016</v>
      </c>
      <c r="D1857">
        <v>1</v>
      </c>
      <c r="E1857" t="s">
        <v>55</v>
      </c>
      <c r="F1857" t="s">
        <v>128</v>
      </c>
      <c r="G1857" t="s">
        <v>63</v>
      </c>
      <c r="H1857">
        <v>1</v>
      </c>
      <c r="I1857">
        <v>42.521589499999997</v>
      </c>
      <c r="J1857">
        <v>1444</v>
      </c>
      <c r="K1857">
        <v>4.37</v>
      </c>
      <c r="M1857">
        <v>2.86</v>
      </c>
      <c r="O1857">
        <v>0.255</v>
      </c>
      <c r="Q1857">
        <v>1.01</v>
      </c>
      <c r="R1857">
        <v>1.01</v>
      </c>
    </row>
    <row r="1858" spans="1:18" x14ac:dyDescent="0.2">
      <c r="A1858" t="s">
        <v>3397</v>
      </c>
      <c r="B1858" t="s">
        <v>3398</v>
      </c>
      <c r="C1858">
        <v>2014</v>
      </c>
      <c r="D1858">
        <v>1</v>
      </c>
      <c r="E1858" t="s">
        <v>55</v>
      </c>
      <c r="F1858" t="s">
        <v>128</v>
      </c>
      <c r="G1858" t="s">
        <v>63</v>
      </c>
      <c r="H1858">
        <v>3</v>
      </c>
      <c r="I1858">
        <v>2.024152</v>
      </c>
      <c r="J1858">
        <v>583</v>
      </c>
      <c r="M1858">
        <v>1.99</v>
      </c>
      <c r="O1858">
        <v>0.17799999999999999</v>
      </c>
      <c r="R1858">
        <v>1.27</v>
      </c>
    </row>
    <row r="1859" spans="1:18" x14ac:dyDescent="0.2">
      <c r="A1859" t="s">
        <v>3397</v>
      </c>
      <c r="B1859" t="s">
        <v>3399</v>
      </c>
      <c r="C1859">
        <v>2014</v>
      </c>
      <c r="D1859">
        <v>1</v>
      </c>
      <c r="E1859" t="s">
        <v>55</v>
      </c>
      <c r="F1859" t="s">
        <v>128</v>
      </c>
      <c r="G1859" t="s">
        <v>63</v>
      </c>
      <c r="H1859">
        <v>3</v>
      </c>
      <c r="I1859">
        <v>4.7617019999999997</v>
      </c>
      <c r="J1859">
        <v>583</v>
      </c>
      <c r="M1859">
        <v>2.86</v>
      </c>
      <c r="O1859">
        <v>0.255</v>
      </c>
      <c r="R1859">
        <v>1.27</v>
      </c>
    </row>
    <row r="1860" spans="1:18" x14ac:dyDescent="0.2">
      <c r="A1860" t="s">
        <v>3397</v>
      </c>
      <c r="B1860" t="s">
        <v>3400</v>
      </c>
      <c r="C1860">
        <v>2014</v>
      </c>
      <c r="D1860">
        <v>1</v>
      </c>
      <c r="E1860" t="s">
        <v>55</v>
      </c>
      <c r="F1860" t="s">
        <v>128</v>
      </c>
      <c r="G1860" t="s">
        <v>63</v>
      </c>
      <c r="H1860">
        <v>3</v>
      </c>
      <c r="I1860">
        <v>41.809117999999998</v>
      </c>
      <c r="J1860">
        <v>583</v>
      </c>
      <c r="M1860">
        <v>2.16</v>
      </c>
      <c r="O1860">
        <v>0.193</v>
      </c>
      <c r="R1860">
        <v>1.27</v>
      </c>
    </row>
    <row r="1861" spans="1:18" x14ac:dyDescent="0.2">
      <c r="A1861" t="s">
        <v>3401</v>
      </c>
      <c r="B1861" t="s">
        <v>3402</v>
      </c>
      <c r="C1861">
        <v>2016</v>
      </c>
      <c r="D1861">
        <v>1</v>
      </c>
      <c r="E1861" t="s">
        <v>55</v>
      </c>
      <c r="F1861" t="s">
        <v>128</v>
      </c>
      <c r="G1861" t="s">
        <v>63</v>
      </c>
      <c r="H1861">
        <v>1</v>
      </c>
      <c r="I1861">
        <v>6.6996000599999999</v>
      </c>
      <c r="J1861">
        <v>923</v>
      </c>
      <c r="K1861">
        <v>4.9000000000000004</v>
      </c>
      <c r="M1861">
        <v>1.28</v>
      </c>
      <c r="O1861">
        <v>0.114</v>
      </c>
      <c r="Q1861">
        <v>0.82</v>
      </c>
      <c r="R1861">
        <v>0.79</v>
      </c>
    </row>
    <row r="1862" spans="1:18" x14ac:dyDescent="0.2">
      <c r="A1862" t="s">
        <v>3403</v>
      </c>
      <c r="B1862" t="s">
        <v>3404</v>
      </c>
      <c r="C1862">
        <v>2016</v>
      </c>
      <c r="D1862">
        <v>1</v>
      </c>
      <c r="E1862" t="s">
        <v>55</v>
      </c>
      <c r="F1862" t="s">
        <v>128</v>
      </c>
      <c r="G1862" t="s">
        <v>63</v>
      </c>
      <c r="H1862">
        <v>1</v>
      </c>
      <c r="I1862">
        <v>6.9131112000000003</v>
      </c>
      <c r="J1862">
        <v>675</v>
      </c>
      <c r="K1862">
        <v>2.75</v>
      </c>
      <c r="M1862">
        <v>0.93</v>
      </c>
      <c r="O1862">
        <v>8.3000000000000004E-2</v>
      </c>
      <c r="Q1862">
        <v>1.25</v>
      </c>
      <c r="R1862">
        <v>1.42</v>
      </c>
    </row>
    <row r="1863" spans="1:18" x14ac:dyDescent="0.2">
      <c r="A1863" t="s">
        <v>3405</v>
      </c>
      <c r="B1863" t="s">
        <v>3406</v>
      </c>
      <c r="C1863">
        <v>2016</v>
      </c>
      <c r="D1863">
        <v>1</v>
      </c>
      <c r="E1863" t="s">
        <v>55</v>
      </c>
      <c r="F1863" t="s">
        <v>128</v>
      </c>
      <c r="G1863" t="s">
        <v>63</v>
      </c>
      <c r="H1863">
        <v>1</v>
      </c>
      <c r="I1863">
        <v>18.6051942</v>
      </c>
      <c r="J1863">
        <v>2081</v>
      </c>
      <c r="K1863">
        <v>3.02</v>
      </c>
      <c r="M1863">
        <v>2.02</v>
      </c>
      <c r="O1863">
        <v>0.18</v>
      </c>
      <c r="Q1863">
        <v>1.1499999999999999</v>
      </c>
      <c r="R1863">
        <v>1.23</v>
      </c>
    </row>
    <row r="1864" spans="1:18" x14ac:dyDescent="0.2">
      <c r="A1864" t="s">
        <v>3407</v>
      </c>
      <c r="B1864" t="s">
        <v>3408</v>
      </c>
      <c r="C1864">
        <v>2016</v>
      </c>
      <c r="D1864">
        <v>1</v>
      </c>
      <c r="E1864" t="s">
        <v>55</v>
      </c>
      <c r="F1864" t="s">
        <v>128</v>
      </c>
      <c r="G1864" t="s">
        <v>63</v>
      </c>
      <c r="H1864">
        <v>1</v>
      </c>
      <c r="I1864">
        <v>23.955378</v>
      </c>
      <c r="J1864">
        <v>449</v>
      </c>
      <c r="K1864">
        <v>4.68</v>
      </c>
      <c r="M1864">
        <v>1.06</v>
      </c>
      <c r="O1864">
        <v>9.5000000000000001E-2</v>
      </c>
      <c r="Q1864">
        <v>0.79</v>
      </c>
      <c r="R1864">
        <v>0.75</v>
      </c>
    </row>
    <row r="1865" spans="1:18" x14ac:dyDescent="0.2">
      <c r="A1865" t="s">
        <v>3409</v>
      </c>
      <c r="B1865" t="s">
        <v>3410</v>
      </c>
      <c r="C1865">
        <v>2016</v>
      </c>
      <c r="D1865">
        <v>1</v>
      </c>
      <c r="E1865" t="s">
        <v>55</v>
      </c>
      <c r="F1865" t="s">
        <v>128</v>
      </c>
      <c r="G1865" t="s">
        <v>63</v>
      </c>
      <c r="H1865">
        <v>1</v>
      </c>
      <c r="I1865">
        <v>29.609174400000001</v>
      </c>
      <c r="J1865">
        <v>620</v>
      </c>
      <c r="K1865">
        <v>5.25</v>
      </c>
      <c r="M1865">
        <v>1.1599999999999999</v>
      </c>
      <c r="O1865">
        <v>0.10299999999999999</v>
      </c>
      <c r="Q1865">
        <v>1.02</v>
      </c>
      <c r="R1865">
        <v>1.07</v>
      </c>
    </row>
    <row r="1866" spans="1:18" x14ac:dyDescent="0.2">
      <c r="A1866" t="s">
        <v>3411</v>
      </c>
      <c r="B1866" t="s">
        <v>3412</v>
      </c>
      <c r="C1866">
        <v>2016</v>
      </c>
      <c r="D1866">
        <v>1</v>
      </c>
      <c r="E1866" t="s">
        <v>55</v>
      </c>
      <c r="F1866" t="s">
        <v>128</v>
      </c>
      <c r="G1866" t="s">
        <v>63</v>
      </c>
      <c r="H1866">
        <v>1</v>
      </c>
      <c r="I1866">
        <v>14.4541302</v>
      </c>
      <c r="J1866">
        <v>499</v>
      </c>
      <c r="K1866">
        <v>4.07</v>
      </c>
      <c r="M1866">
        <v>0.94</v>
      </c>
      <c r="O1866">
        <v>8.4000000000000005E-2</v>
      </c>
      <c r="Q1866">
        <v>0.97</v>
      </c>
      <c r="R1866">
        <v>0.95</v>
      </c>
    </row>
    <row r="1867" spans="1:18" x14ac:dyDescent="0.2">
      <c r="A1867" t="s">
        <v>3413</v>
      </c>
      <c r="B1867" t="s">
        <v>3414</v>
      </c>
      <c r="C1867">
        <v>2016</v>
      </c>
      <c r="D1867">
        <v>1</v>
      </c>
      <c r="E1867" t="s">
        <v>55</v>
      </c>
      <c r="F1867" t="s">
        <v>128</v>
      </c>
      <c r="G1867" t="s">
        <v>63</v>
      </c>
      <c r="H1867">
        <v>1</v>
      </c>
      <c r="I1867">
        <v>14.2563227</v>
      </c>
      <c r="J1867">
        <v>1211</v>
      </c>
      <c r="K1867">
        <v>4.07</v>
      </c>
      <c r="M1867">
        <v>1.56</v>
      </c>
      <c r="O1867">
        <v>0.13900000000000001</v>
      </c>
      <c r="Q1867">
        <v>1.02</v>
      </c>
      <c r="R1867">
        <v>1.02</v>
      </c>
    </row>
    <row r="1868" spans="1:18" x14ac:dyDescent="0.2">
      <c r="A1868" t="s">
        <v>3415</v>
      </c>
      <c r="B1868" t="s">
        <v>3416</v>
      </c>
      <c r="C1868">
        <v>2016</v>
      </c>
      <c r="D1868">
        <v>1</v>
      </c>
      <c r="E1868" t="s">
        <v>55</v>
      </c>
      <c r="F1868" t="s">
        <v>128</v>
      </c>
      <c r="G1868" t="s">
        <v>63</v>
      </c>
      <c r="H1868">
        <v>1</v>
      </c>
      <c r="I1868">
        <v>0.96897237999999997</v>
      </c>
      <c r="J1868">
        <v>1220</v>
      </c>
      <c r="K1868">
        <v>4.07</v>
      </c>
      <c r="M1868">
        <v>1.1000000000000001</v>
      </c>
      <c r="O1868">
        <v>9.8000000000000004E-2</v>
      </c>
      <c r="Q1868">
        <v>1.01</v>
      </c>
      <c r="R1868">
        <v>1.01</v>
      </c>
    </row>
    <row r="1869" spans="1:18" x14ac:dyDescent="0.2">
      <c r="A1869" t="s">
        <v>3417</v>
      </c>
      <c r="B1869" t="s">
        <v>3418</v>
      </c>
      <c r="C1869">
        <v>2016</v>
      </c>
      <c r="D1869">
        <v>1</v>
      </c>
      <c r="E1869" t="s">
        <v>55</v>
      </c>
      <c r="F1869" t="s">
        <v>128</v>
      </c>
      <c r="G1869" t="s">
        <v>63</v>
      </c>
      <c r="H1869">
        <v>1</v>
      </c>
      <c r="I1869">
        <v>10.676071690000001</v>
      </c>
      <c r="J1869">
        <v>802</v>
      </c>
      <c r="K1869">
        <v>2.04</v>
      </c>
      <c r="M1869">
        <v>1.64</v>
      </c>
      <c r="O1869">
        <v>0.14599999999999999</v>
      </c>
      <c r="Q1869">
        <v>1.28</v>
      </c>
      <c r="R1869">
        <v>1.36</v>
      </c>
    </row>
    <row r="1870" spans="1:18" x14ac:dyDescent="0.2">
      <c r="A1870" t="s">
        <v>3419</v>
      </c>
      <c r="B1870" t="s">
        <v>3420</v>
      </c>
      <c r="C1870">
        <v>2016</v>
      </c>
      <c r="D1870">
        <v>1</v>
      </c>
      <c r="E1870" t="s">
        <v>55</v>
      </c>
      <c r="F1870" t="s">
        <v>128</v>
      </c>
      <c r="G1870" t="s">
        <v>63</v>
      </c>
      <c r="H1870">
        <v>1</v>
      </c>
      <c r="I1870">
        <v>4.4848749300000001</v>
      </c>
      <c r="J1870">
        <v>1156</v>
      </c>
      <c r="K1870">
        <v>4.17</v>
      </c>
      <c r="M1870">
        <v>1.29</v>
      </c>
      <c r="O1870">
        <v>0.115</v>
      </c>
      <c r="Q1870">
        <v>1.05</v>
      </c>
      <c r="R1870">
        <v>1.07</v>
      </c>
    </row>
    <row r="1871" spans="1:18" x14ac:dyDescent="0.2">
      <c r="A1871" t="s">
        <v>3421</v>
      </c>
      <c r="B1871" t="s">
        <v>3422</v>
      </c>
      <c r="C1871">
        <v>2014</v>
      </c>
      <c r="D1871">
        <v>1</v>
      </c>
      <c r="E1871" t="s">
        <v>55</v>
      </c>
      <c r="F1871" t="s">
        <v>128</v>
      </c>
      <c r="G1871" t="s">
        <v>63</v>
      </c>
      <c r="H1871">
        <v>2</v>
      </c>
      <c r="I1871">
        <v>16.007583</v>
      </c>
      <c r="J1871">
        <v>746</v>
      </c>
      <c r="M1871">
        <v>2.41</v>
      </c>
      <c r="O1871">
        <v>0.215</v>
      </c>
      <c r="R1871">
        <v>1.36</v>
      </c>
    </row>
    <row r="1872" spans="1:18" x14ac:dyDescent="0.2">
      <c r="A1872" t="s">
        <v>3421</v>
      </c>
      <c r="B1872" t="s">
        <v>3423</v>
      </c>
      <c r="C1872">
        <v>2014</v>
      </c>
      <c r="D1872">
        <v>1</v>
      </c>
      <c r="E1872" t="s">
        <v>55</v>
      </c>
      <c r="F1872" t="s">
        <v>128</v>
      </c>
      <c r="G1872" t="s">
        <v>63</v>
      </c>
      <c r="H1872">
        <v>2</v>
      </c>
      <c r="I1872">
        <v>27.082511</v>
      </c>
      <c r="J1872">
        <v>746</v>
      </c>
      <c r="M1872">
        <v>3.37</v>
      </c>
      <c r="O1872">
        <v>0.30099999999999999</v>
      </c>
      <c r="R1872">
        <v>1.36</v>
      </c>
    </row>
    <row r="1873" spans="1:18" x14ac:dyDescent="0.2">
      <c r="A1873" t="s">
        <v>3424</v>
      </c>
      <c r="B1873" t="s">
        <v>3425</v>
      </c>
      <c r="C1873">
        <v>2016</v>
      </c>
      <c r="D1873">
        <v>1</v>
      </c>
      <c r="E1873" t="s">
        <v>55</v>
      </c>
      <c r="F1873" t="s">
        <v>128</v>
      </c>
      <c r="G1873" t="s">
        <v>63</v>
      </c>
      <c r="H1873">
        <v>1</v>
      </c>
      <c r="I1873">
        <v>2.4605099300000002</v>
      </c>
      <c r="J1873">
        <v>541</v>
      </c>
      <c r="K1873">
        <v>2.09</v>
      </c>
      <c r="M1873">
        <v>1.18</v>
      </c>
      <c r="O1873">
        <v>0.105</v>
      </c>
      <c r="Q1873">
        <v>0.77</v>
      </c>
      <c r="R1873">
        <v>0.72</v>
      </c>
    </row>
    <row r="1874" spans="1:18" x14ac:dyDescent="0.2">
      <c r="A1874" t="s">
        <v>3426</v>
      </c>
      <c r="B1874" t="s">
        <v>3427</v>
      </c>
      <c r="C1874">
        <v>2016</v>
      </c>
      <c r="D1874">
        <v>1</v>
      </c>
      <c r="E1874" t="s">
        <v>55</v>
      </c>
      <c r="F1874" t="s">
        <v>128</v>
      </c>
      <c r="G1874" t="s">
        <v>63</v>
      </c>
      <c r="H1874">
        <v>1</v>
      </c>
      <c r="I1874">
        <v>5.8660152600000002</v>
      </c>
      <c r="J1874">
        <v>1270</v>
      </c>
      <c r="K1874">
        <v>4.2699999999999996</v>
      </c>
      <c r="M1874">
        <v>1.47</v>
      </c>
      <c r="O1874">
        <v>0.13100000000000001</v>
      </c>
      <c r="Q1874">
        <v>1.03</v>
      </c>
      <c r="R1874">
        <v>1.03</v>
      </c>
    </row>
    <row r="1875" spans="1:18" x14ac:dyDescent="0.2">
      <c r="A1875" t="s">
        <v>3428</v>
      </c>
      <c r="B1875" t="s">
        <v>3429</v>
      </c>
      <c r="C1875">
        <v>2016</v>
      </c>
      <c r="D1875">
        <v>1</v>
      </c>
      <c r="E1875" t="s">
        <v>55</v>
      </c>
      <c r="F1875" t="s">
        <v>128</v>
      </c>
      <c r="G1875" t="s">
        <v>63</v>
      </c>
      <c r="H1875">
        <v>1</v>
      </c>
      <c r="I1875">
        <v>23.9109011</v>
      </c>
      <c r="J1875">
        <v>1552</v>
      </c>
      <c r="K1875">
        <v>3.47</v>
      </c>
      <c r="M1875">
        <v>2.2200000000000002</v>
      </c>
      <c r="O1875">
        <v>0.19800000000000001</v>
      </c>
      <c r="Q1875">
        <v>1.0900000000000001</v>
      </c>
      <c r="R1875">
        <v>1.1299999999999999</v>
      </c>
    </row>
    <row r="1876" spans="1:18" x14ac:dyDescent="0.2">
      <c r="A1876" t="s">
        <v>3430</v>
      </c>
      <c r="B1876" t="s">
        <v>3431</v>
      </c>
      <c r="C1876">
        <v>2016</v>
      </c>
      <c r="D1876">
        <v>1</v>
      </c>
      <c r="E1876" t="s">
        <v>55</v>
      </c>
      <c r="F1876" t="s">
        <v>128</v>
      </c>
      <c r="G1876" t="s">
        <v>63</v>
      </c>
      <c r="H1876">
        <v>1</v>
      </c>
      <c r="I1876">
        <v>4.13592271</v>
      </c>
      <c r="J1876">
        <v>1328</v>
      </c>
      <c r="K1876">
        <v>3.02</v>
      </c>
      <c r="M1876">
        <v>1.56</v>
      </c>
      <c r="O1876">
        <v>0.13900000000000001</v>
      </c>
      <c r="Q1876">
        <v>1.1399999999999999</v>
      </c>
      <c r="R1876">
        <v>1.19</v>
      </c>
    </row>
    <row r="1877" spans="1:18" x14ac:dyDescent="0.2">
      <c r="A1877" t="s">
        <v>3432</v>
      </c>
      <c r="B1877" t="s">
        <v>3433</v>
      </c>
      <c r="C1877">
        <v>2016</v>
      </c>
      <c r="D1877">
        <v>1</v>
      </c>
      <c r="E1877" t="s">
        <v>55</v>
      </c>
      <c r="F1877" t="s">
        <v>128</v>
      </c>
      <c r="G1877" t="s">
        <v>63</v>
      </c>
      <c r="H1877">
        <v>1</v>
      </c>
      <c r="I1877">
        <v>8.0533361800000005</v>
      </c>
      <c r="J1877">
        <v>680</v>
      </c>
      <c r="K1877">
        <v>2.57</v>
      </c>
      <c r="M1877">
        <v>1.1100000000000001</v>
      </c>
      <c r="O1877">
        <v>9.9000000000000005E-2</v>
      </c>
      <c r="Q1877">
        <v>1.47</v>
      </c>
      <c r="R1877">
        <v>2.04</v>
      </c>
    </row>
    <row r="1878" spans="1:18" x14ac:dyDescent="0.2">
      <c r="A1878" t="s">
        <v>3434</v>
      </c>
      <c r="B1878" t="s">
        <v>3435</v>
      </c>
      <c r="C1878">
        <v>2016</v>
      </c>
      <c r="D1878">
        <v>1</v>
      </c>
      <c r="E1878" t="s">
        <v>55</v>
      </c>
      <c r="F1878" t="s">
        <v>128</v>
      </c>
      <c r="G1878" t="s">
        <v>63</v>
      </c>
      <c r="H1878">
        <v>1</v>
      </c>
      <c r="I1878">
        <v>4.4534328099999998</v>
      </c>
      <c r="J1878">
        <v>681</v>
      </c>
      <c r="K1878">
        <v>2.63</v>
      </c>
      <c r="M1878">
        <v>0.86</v>
      </c>
      <c r="O1878">
        <v>7.6999999999999999E-2</v>
      </c>
      <c r="Q1878">
        <v>1.21</v>
      </c>
      <c r="R1878">
        <v>1.32</v>
      </c>
    </row>
    <row r="1879" spans="1:18" x14ac:dyDescent="0.2">
      <c r="A1879" t="s">
        <v>3436</v>
      </c>
      <c r="B1879" t="s">
        <v>3437</v>
      </c>
      <c r="C1879">
        <v>2016</v>
      </c>
      <c r="D1879">
        <v>1</v>
      </c>
      <c r="E1879" t="s">
        <v>55</v>
      </c>
      <c r="F1879" t="s">
        <v>128</v>
      </c>
      <c r="G1879" t="s">
        <v>63</v>
      </c>
      <c r="H1879">
        <v>1</v>
      </c>
      <c r="I1879">
        <v>9.7057160000000007</v>
      </c>
      <c r="J1879">
        <v>1142</v>
      </c>
      <c r="K1879">
        <v>3.8</v>
      </c>
      <c r="M1879">
        <v>1.31</v>
      </c>
      <c r="O1879">
        <v>0.11700000000000001</v>
      </c>
      <c r="Q1879">
        <v>1.06</v>
      </c>
      <c r="R1879">
        <v>1.0900000000000001</v>
      </c>
    </row>
    <row r="1880" spans="1:18" x14ac:dyDescent="0.2">
      <c r="A1880" t="s">
        <v>3438</v>
      </c>
      <c r="B1880" t="s">
        <v>3439</v>
      </c>
      <c r="C1880">
        <v>2016</v>
      </c>
      <c r="D1880">
        <v>1</v>
      </c>
      <c r="E1880" t="s">
        <v>55</v>
      </c>
      <c r="F1880" t="s">
        <v>128</v>
      </c>
      <c r="G1880" t="s">
        <v>63</v>
      </c>
      <c r="H1880">
        <v>1</v>
      </c>
      <c r="I1880">
        <v>10.9295461</v>
      </c>
      <c r="J1880">
        <v>1182</v>
      </c>
      <c r="K1880">
        <v>4.57</v>
      </c>
      <c r="M1880">
        <v>1.37</v>
      </c>
      <c r="O1880">
        <v>0.122</v>
      </c>
      <c r="Q1880">
        <v>0.93</v>
      </c>
      <c r="R1880">
        <v>0.9</v>
      </c>
    </row>
    <row r="1881" spans="1:18" x14ac:dyDescent="0.2">
      <c r="A1881" t="s">
        <v>3440</v>
      </c>
      <c r="B1881" t="s">
        <v>3441</v>
      </c>
      <c r="C1881">
        <v>2016</v>
      </c>
      <c r="D1881">
        <v>1</v>
      </c>
      <c r="E1881" t="s">
        <v>55</v>
      </c>
      <c r="F1881" t="s">
        <v>128</v>
      </c>
      <c r="G1881" t="s">
        <v>63</v>
      </c>
      <c r="H1881">
        <v>1</v>
      </c>
      <c r="I1881">
        <v>2.3194200899999999</v>
      </c>
      <c r="J1881">
        <v>866</v>
      </c>
      <c r="K1881">
        <v>5.37</v>
      </c>
      <c r="M1881">
        <v>0.94</v>
      </c>
      <c r="O1881">
        <v>8.4000000000000005E-2</v>
      </c>
      <c r="Q1881">
        <v>0.97</v>
      </c>
      <c r="R1881">
        <v>0.96</v>
      </c>
    </row>
    <row r="1882" spans="1:18" x14ac:dyDescent="0.2">
      <c r="A1882" t="s">
        <v>3442</v>
      </c>
      <c r="B1882" t="s">
        <v>3443</v>
      </c>
      <c r="C1882">
        <v>2016</v>
      </c>
      <c r="D1882">
        <v>1</v>
      </c>
      <c r="E1882" t="s">
        <v>55</v>
      </c>
      <c r="F1882" t="s">
        <v>128</v>
      </c>
      <c r="G1882" t="s">
        <v>63</v>
      </c>
      <c r="H1882">
        <v>1</v>
      </c>
      <c r="I1882">
        <v>8.0739284900000001</v>
      </c>
      <c r="J1882">
        <v>215</v>
      </c>
      <c r="K1882">
        <v>4.07</v>
      </c>
      <c r="M1882">
        <v>1.46</v>
      </c>
      <c r="O1882">
        <v>0.13</v>
      </c>
      <c r="Q1882">
        <v>0.46</v>
      </c>
      <c r="R1882">
        <v>0.43</v>
      </c>
    </row>
    <row r="1883" spans="1:18" x14ac:dyDescent="0.2">
      <c r="A1883" t="s">
        <v>3444</v>
      </c>
      <c r="B1883" t="s">
        <v>3445</v>
      </c>
      <c r="C1883">
        <v>2014</v>
      </c>
      <c r="D1883">
        <v>1</v>
      </c>
      <c r="E1883" t="s">
        <v>55</v>
      </c>
      <c r="F1883" t="s">
        <v>128</v>
      </c>
      <c r="G1883" t="s">
        <v>63</v>
      </c>
      <c r="H1883">
        <v>2</v>
      </c>
      <c r="I1883">
        <v>5.8852729999999998</v>
      </c>
      <c r="J1883">
        <v>487</v>
      </c>
      <c r="M1883">
        <v>1.33</v>
      </c>
      <c r="O1883">
        <v>0.11899999999999999</v>
      </c>
      <c r="R1883">
        <v>1.24</v>
      </c>
    </row>
    <row r="1884" spans="1:18" x14ac:dyDescent="0.2">
      <c r="A1884" t="s">
        <v>3444</v>
      </c>
      <c r="B1884" t="s">
        <v>3446</v>
      </c>
      <c r="C1884">
        <v>2014</v>
      </c>
      <c r="D1884">
        <v>1</v>
      </c>
      <c r="E1884" t="s">
        <v>55</v>
      </c>
      <c r="F1884" t="s">
        <v>128</v>
      </c>
      <c r="G1884" t="s">
        <v>63</v>
      </c>
      <c r="H1884">
        <v>2</v>
      </c>
      <c r="I1884">
        <v>10.104665000000001</v>
      </c>
      <c r="J1884">
        <v>487</v>
      </c>
      <c r="M1884">
        <v>1.35</v>
      </c>
      <c r="O1884">
        <v>0.12</v>
      </c>
      <c r="R1884">
        <v>1.24</v>
      </c>
    </row>
    <row r="1885" spans="1:18" x14ac:dyDescent="0.2">
      <c r="A1885" t="s">
        <v>3447</v>
      </c>
      <c r="B1885" t="s">
        <v>3448</v>
      </c>
      <c r="C1885">
        <v>2016</v>
      </c>
      <c r="D1885">
        <v>1</v>
      </c>
      <c r="E1885" t="s">
        <v>55</v>
      </c>
      <c r="F1885" t="s">
        <v>128</v>
      </c>
      <c r="G1885" t="s">
        <v>63</v>
      </c>
      <c r="H1885">
        <v>1</v>
      </c>
      <c r="I1885">
        <v>39.859484000000002</v>
      </c>
      <c r="J1885">
        <v>685</v>
      </c>
      <c r="K1885">
        <v>4.47</v>
      </c>
      <c r="M1885">
        <v>1.26</v>
      </c>
      <c r="O1885">
        <v>0.112</v>
      </c>
      <c r="Q1885">
        <v>0.98</v>
      </c>
      <c r="R1885">
        <v>0.96</v>
      </c>
    </row>
    <row r="1886" spans="1:18" x14ac:dyDescent="0.2">
      <c r="A1886" t="s">
        <v>3449</v>
      </c>
      <c r="B1886" t="s">
        <v>3450</v>
      </c>
      <c r="C1886">
        <v>2016</v>
      </c>
      <c r="D1886">
        <v>1</v>
      </c>
      <c r="E1886" t="s">
        <v>55</v>
      </c>
      <c r="F1886" t="s">
        <v>128</v>
      </c>
      <c r="G1886" t="s">
        <v>63</v>
      </c>
      <c r="H1886">
        <v>1</v>
      </c>
      <c r="I1886">
        <v>39.441983899999997</v>
      </c>
      <c r="J1886">
        <v>751</v>
      </c>
      <c r="K1886">
        <v>3.89</v>
      </c>
      <c r="M1886">
        <v>1.31</v>
      </c>
      <c r="O1886">
        <v>0.11700000000000001</v>
      </c>
      <c r="Q1886">
        <v>1</v>
      </c>
      <c r="R1886">
        <v>1</v>
      </c>
    </row>
    <row r="1887" spans="1:18" x14ac:dyDescent="0.2">
      <c r="A1887" t="s">
        <v>3451</v>
      </c>
      <c r="B1887" t="s">
        <v>3452</v>
      </c>
      <c r="C1887">
        <v>2016</v>
      </c>
      <c r="D1887">
        <v>1</v>
      </c>
      <c r="E1887" t="s">
        <v>55</v>
      </c>
      <c r="F1887" t="s">
        <v>128</v>
      </c>
      <c r="G1887" t="s">
        <v>63</v>
      </c>
      <c r="H1887">
        <v>1</v>
      </c>
      <c r="I1887">
        <v>81.416294100000002</v>
      </c>
      <c r="J1887">
        <v>525</v>
      </c>
      <c r="K1887">
        <v>1.7</v>
      </c>
      <c r="M1887">
        <v>3.93</v>
      </c>
      <c r="O1887">
        <v>0.35099999999999998</v>
      </c>
      <c r="Q1887">
        <v>1.34</v>
      </c>
      <c r="R1887">
        <v>1.44</v>
      </c>
    </row>
    <row r="1888" spans="1:18" x14ac:dyDescent="0.2">
      <c r="A1888" t="s">
        <v>3453</v>
      </c>
      <c r="B1888" t="s">
        <v>3454</v>
      </c>
      <c r="C1888">
        <v>2016</v>
      </c>
      <c r="D1888">
        <v>1</v>
      </c>
      <c r="E1888" t="s">
        <v>55</v>
      </c>
      <c r="F1888" t="s">
        <v>128</v>
      </c>
      <c r="G1888" t="s">
        <v>63</v>
      </c>
      <c r="H1888">
        <v>1</v>
      </c>
      <c r="I1888">
        <v>2.41811321</v>
      </c>
      <c r="J1888">
        <v>475</v>
      </c>
      <c r="K1888">
        <v>2.63</v>
      </c>
      <c r="M1888">
        <v>0.97</v>
      </c>
      <c r="O1888">
        <v>8.6999999999999994E-2</v>
      </c>
      <c r="Q1888">
        <v>1.19</v>
      </c>
      <c r="R1888">
        <v>1.27</v>
      </c>
    </row>
    <row r="1889" spans="1:18" x14ac:dyDescent="0.2">
      <c r="A1889" t="s">
        <v>3455</v>
      </c>
      <c r="B1889" t="s">
        <v>3456</v>
      </c>
      <c r="C1889">
        <v>2016</v>
      </c>
      <c r="D1889">
        <v>1</v>
      </c>
      <c r="E1889" t="s">
        <v>55</v>
      </c>
      <c r="F1889" t="s">
        <v>128</v>
      </c>
      <c r="G1889" t="s">
        <v>63</v>
      </c>
      <c r="H1889">
        <v>1</v>
      </c>
      <c r="I1889">
        <v>33.420350339999999</v>
      </c>
      <c r="J1889">
        <v>340</v>
      </c>
      <c r="K1889">
        <v>4.79</v>
      </c>
      <c r="M1889">
        <v>2.1800000000000002</v>
      </c>
      <c r="O1889">
        <v>0.19400000000000001</v>
      </c>
      <c r="Q1889">
        <v>1.03</v>
      </c>
      <c r="R1889">
        <v>1.05</v>
      </c>
    </row>
    <row r="1890" spans="1:18" x14ac:dyDescent="0.2">
      <c r="A1890" t="s">
        <v>3457</v>
      </c>
      <c r="B1890" t="s">
        <v>3458</v>
      </c>
      <c r="C1890">
        <v>2016</v>
      </c>
      <c r="D1890">
        <v>1</v>
      </c>
      <c r="E1890" t="s">
        <v>55</v>
      </c>
      <c r="F1890" t="s">
        <v>128</v>
      </c>
      <c r="G1890" t="s">
        <v>63</v>
      </c>
      <c r="H1890">
        <v>1</v>
      </c>
      <c r="I1890">
        <v>10.600522509999999</v>
      </c>
      <c r="J1890">
        <v>482</v>
      </c>
      <c r="K1890">
        <v>3.8</v>
      </c>
      <c r="M1890">
        <v>0.96</v>
      </c>
      <c r="O1890">
        <v>8.5999999999999993E-2</v>
      </c>
      <c r="Q1890">
        <v>1.1299999999999999</v>
      </c>
      <c r="R1890">
        <v>1.26</v>
      </c>
    </row>
    <row r="1891" spans="1:18" x14ac:dyDescent="0.2">
      <c r="A1891" t="s">
        <v>3459</v>
      </c>
      <c r="B1891" t="s">
        <v>3460</v>
      </c>
      <c r="C1891">
        <v>2016</v>
      </c>
      <c r="D1891">
        <v>1</v>
      </c>
      <c r="E1891" t="s">
        <v>55</v>
      </c>
      <c r="F1891" t="s">
        <v>128</v>
      </c>
      <c r="G1891" t="s">
        <v>63</v>
      </c>
      <c r="H1891">
        <v>1</v>
      </c>
      <c r="I1891">
        <v>0.68996782999999995</v>
      </c>
      <c r="J1891">
        <v>162</v>
      </c>
      <c r="K1891">
        <v>2.63</v>
      </c>
      <c r="M1891">
        <v>0.82</v>
      </c>
      <c r="O1891">
        <v>7.2999999999999995E-2</v>
      </c>
      <c r="Q1891">
        <v>0.81</v>
      </c>
      <c r="R1891">
        <v>0.75</v>
      </c>
    </row>
    <row r="1892" spans="1:18" x14ac:dyDescent="0.2">
      <c r="A1892" t="s">
        <v>3461</v>
      </c>
      <c r="B1892" t="s">
        <v>3462</v>
      </c>
      <c r="C1892">
        <v>2016</v>
      </c>
      <c r="D1892">
        <v>1</v>
      </c>
      <c r="E1892" t="s">
        <v>55</v>
      </c>
      <c r="F1892" t="s">
        <v>128</v>
      </c>
      <c r="G1892" t="s">
        <v>63</v>
      </c>
      <c r="H1892">
        <v>1</v>
      </c>
      <c r="I1892">
        <v>56.674728500000001</v>
      </c>
      <c r="J1892">
        <v>871</v>
      </c>
      <c r="K1892">
        <v>4.17</v>
      </c>
      <c r="M1892">
        <v>2.9</v>
      </c>
      <c r="O1892">
        <v>0.25900000000000001</v>
      </c>
      <c r="Q1892">
        <v>0.97</v>
      </c>
      <c r="R1892">
        <v>0.95</v>
      </c>
    </row>
    <row r="1893" spans="1:18" x14ac:dyDescent="0.2">
      <c r="A1893" t="s">
        <v>3463</v>
      </c>
      <c r="B1893" t="s">
        <v>3464</v>
      </c>
      <c r="C1893">
        <v>2016</v>
      </c>
      <c r="D1893">
        <v>1</v>
      </c>
      <c r="E1893" t="s">
        <v>55</v>
      </c>
      <c r="F1893" t="s">
        <v>128</v>
      </c>
      <c r="G1893" t="s">
        <v>63</v>
      </c>
      <c r="H1893">
        <v>1</v>
      </c>
      <c r="I1893">
        <v>12.27065865</v>
      </c>
      <c r="J1893">
        <v>786</v>
      </c>
      <c r="K1893">
        <v>3.55</v>
      </c>
      <c r="M1893">
        <v>1.61</v>
      </c>
      <c r="O1893">
        <v>0.14399999999999999</v>
      </c>
      <c r="Q1893">
        <v>0.95</v>
      </c>
      <c r="R1893">
        <v>0.93</v>
      </c>
    </row>
    <row r="1894" spans="1:18" x14ac:dyDescent="0.2">
      <c r="A1894" t="s">
        <v>3465</v>
      </c>
      <c r="B1894" t="s">
        <v>3466</v>
      </c>
      <c r="C1894">
        <v>2016</v>
      </c>
      <c r="D1894">
        <v>1</v>
      </c>
      <c r="E1894" t="s">
        <v>55</v>
      </c>
      <c r="F1894" t="s">
        <v>128</v>
      </c>
      <c r="G1894" t="s">
        <v>63</v>
      </c>
      <c r="H1894">
        <v>1</v>
      </c>
      <c r="I1894">
        <v>13.2274528</v>
      </c>
      <c r="J1894">
        <v>1321</v>
      </c>
      <c r="K1894">
        <v>3.47</v>
      </c>
      <c r="M1894">
        <v>1.68</v>
      </c>
      <c r="O1894">
        <v>0.15</v>
      </c>
      <c r="Q1894">
        <v>1.08</v>
      </c>
      <c r="R1894">
        <v>1.1000000000000001</v>
      </c>
    </row>
    <row r="1895" spans="1:18" x14ac:dyDescent="0.2">
      <c r="A1895" t="s">
        <v>3467</v>
      </c>
      <c r="B1895" t="s">
        <v>3468</v>
      </c>
      <c r="C1895">
        <v>2013</v>
      </c>
      <c r="D1895">
        <v>1</v>
      </c>
      <c r="E1895" t="s">
        <v>55</v>
      </c>
      <c r="F1895" t="s">
        <v>128</v>
      </c>
      <c r="G1895" t="s">
        <v>63</v>
      </c>
      <c r="H1895">
        <v>2</v>
      </c>
      <c r="I1895">
        <v>22.951000000000001</v>
      </c>
      <c r="J1895">
        <v>577</v>
      </c>
      <c r="L1895">
        <v>37.1</v>
      </c>
      <c r="M1895">
        <v>2.65</v>
      </c>
      <c r="N1895">
        <v>0.11700000000000001</v>
      </c>
      <c r="O1895">
        <v>0.23599999999999999</v>
      </c>
      <c r="Q1895">
        <v>1.28</v>
      </c>
      <c r="R1895">
        <v>1.98</v>
      </c>
    </row>
    <row r="1896" spans="1:18" x14ac:dyDescent="0.2">
      <c r="A1896" t="s">
        <v>3467</v>
      </c>
      <c r="B1896" t="s">
        <v>3469</v>
      </c>
      <c r="C1896">
        <v>2013</v>
      </c>
      <c r="D1896">
        <v>1</v>
      </c>
      <c r="E1896" t="s">
        <v>55</v>
      </c>
      <c r="F1896" t="s">
        <v>128</v>
      </c>
      <c r="G1896" t="s">
        <v>63</v>
      </c>
      <c r="H1896">
        <v>2</v>
      </c>
      <c r="I1896">
        <v>42.881999999999998</v>
      </c>
      <c r="J1896">
        <v>577</v>
      </c>
      <c r="L1896">
        <v>79.400000000000006</v>
      </c>
      <c r="M1896">
        <v>4.32</v>
      </c>
      <c r="N1896">
        <v>0.25</v>
      </c>
      <c r="O1896">
        <v>0.38500000000000001</v>
      </c>
      <c r="Q1896">
        <v>1.28</v>
      </c>
      <c r="R1896">
        <v>1.98</v>
      </c>
    </row>
    <row r="1897" spans="1:18" x14ac:dyDescent="0.2">
      <c r="A1897" t="s">
        <v>3470</v>
      </c>
      <c r="B1897" t="s">
        <v>3471</v>
      </c>
      <c r="C1897">
        <v>2016</v>
      </c>
      <c r="D1897">
        <v>1</v>
      </c>
      <c r="E1897" t="s">
        <v>55</v>
      </c>
      <c r="F1897" t="s">
        <v>128</v>
      </c>
      <c r="G1897" t="s">
        <v>63</v>
      </c>
      <c r="H1897">
        <v>1</v>
      </c>
      <c r="I1897">
        <v>54.509416600000002</v>
      </c>
      <c r="J1897">
        <v>490</v>
      </c>
      <c r="K1897">
        <v>4.37</v>
      </c>
      <c r="M1897">
        <v>1.71</v>
      </c>
      <c r="O1897">
        <v>0.153</v>
      </c>
      <c r="Q1897">
        <v>0.71</v>
      </c>
      <c r="R1897">
        <v>0.68</v>
      </c>
    </row>
    <row r="1898" spans="1:18" x14ac:dyDescent="0.2">
      <c r="A1898" t="s">
        <v>3472</v>
      </c>
      <c r="B1898" t="s">
        <v>3473</v>
      </c>
      <c r="C1898">
        <v>2016</v>
      </c>
      <c r="D1898">
        <v>1</v>
      </c>
      <c r="E1898" t="s">
        <v>55</v>
      </c>
      <c r="F1898" t="s">
        <v>128</v>
      </c>
      <c r="G1898" t="s">
        <v>63</v>
      </c>
      <c r="H1898">
        <v>1</v>
      </c>
      <c r="I1898">
        <v>35.622233000000001</v>
      </c>
      <c r="J1898">
        <v>1159</v>
      </c>
      <c r="K1898">
        <v>4.17</v>
      </c>
      <c r="M1898">
        <v>3.35</v>
      </c>
      <c r="O1898">
        <v>0.29899999999999999</v>
      </c>
      <c r="Q1898">
        <v>1</v>
      </c>
      <c r="R1898">
        <v>0.99</v>
      </c>
    </row>
    <row r="1899" spans="1:18" x14ac:dyDescent="0.2">
      <c r="A1899" t="s">
        <v>3474</v>
      </c>
      <c r="B1899" t="s">
        <v>3475</v>
      </c>
      <c r="C1899">
        <v>2016</v>
      </c>
      <c r="D1899">
        <v>1</v>
      </c>
      <c r="E1899" t="s">
        <v>55</v>
      </c>
      <c r="F1899" t="s">
        <v>128</v>
      </c>
      <c r="G1899" t="s">
        <v>63</v>
      </c>
      <c r="H1899">
        <v>1</v>
      </c>
      <c r="I1899">
        <v>42.913750999999998</v>
      </c>
      <c r="J1899">
        <v>974</v>
      </c>
      <c r="K1899">
        <v>3.24</v>
      </c>
      <c r="M1899">
        <v>2.7</v>
      </c>
      <c r="O1899">
        <v>0.24099999999999999</v>
      </c>
      <c r="Q1899">
        <v>1.41</v>
      </c>
      <c r="R1899">
        <v>2.06</v>
      </c>
    </row>
    <row r="1900" spans="1:18" x14ac:dyDescent="0.2">
      <c r="A1900" t="s">
        <v>3476</v>
      </c>
      <c r="B1900" t="s">
        <v>3477</v>
      </c>
      <c r="C1900">
        <v>2016</v>
      </c>
      <c r="D1900">
        <v>1</v>
      </c>
      <c r="E1900" t="s">
        <v>55</v>
      </c>
      <c r="F1900" t="s">
        <v>128</v>
      </c>
      <c r="G1900" t="s">
        <v>63</v>
      </c>
      <c r="H1900">
        <v>1</v>
      </c>
      <c r="I1900">
        <v>47.161169600000001</v>
      </c>
      <c r="J1900">
        <v>1284</v>
      </c>
      <c r="K1900">
        <v>4.2699999999999996</v>
      </c>
      <c r="M1900">
        <v>2.67</v>
      </c>
      <c r="O1900">
        <v>0.23799999999999999</v>
      </c>
      <c r="Q1900">
        <v>0.97</v>
      </c>
      <c r="R1900">
        <v>0.94</v>
      </c>
    </row>
    <row r="1901" spans="1:18" x14ac:dyDescent="0.2">
      <c r="A1901" t="s">
        <v>3478</v>
      </c>
      <c r="B1901" t="s">
        <v>3479</v>
      </c>
      <c r="C1901">
        <v>2016</v>
      </c>
      <c r="D1901">
        <v>1</v>
      </c>
      <c r="E1901" t="s">
        <v>55</v>
      </c>
      <c r="F1901" t="s">
        <v>128</v>
      </c>
      <c r="G1901" t="s">
        <v>63</v>
      </c>
      <c r="H1901">
        <v>1</v>
      </c>
      <c r="I1901">
        <v>47.031947899999999</v>
      </c>
      <c r="J1901">
        <v>795</v>
      </c>
      <c r="K1901">
        <v>4.57</v>
      </c>
      <c r="M1901">
        <v>1.88</v>
      </c>
      <c r="O1901">
        <v>0.16800000000000001</v>
      </c>
      <c r="Q1901">
        <v>0.9</v>
      </c>
      <c r="R1901">
        <v>0.86</v>
      </c>
    </row>
    <row r="1902" spans="1:18" x14ac:dyDescent="0.2">
      <c r="A1902" t="s">
        <v>3480</v>
      </c>
      <c r="B1902" t="s">
        <v>3481</v>
      </c>
      <c r="C1902">
        <v>2016</v>
      </c>
      <c r="D1902">
        <v>1</v>
      </c>
      <c r="E1902" t="s">
        <v>55</v>
      </c>
      <c r="F1902" t="s">
        <v>128</v>
      </c>
      <c r="G1902" t="s">
        <v>63</v>
      </c>
      <c r="H1902">
        <v>1</v>
      </c>
      <c r="I1902">
        <v>49.276764</v>
      </c>
      <c r="J1902">
        <v>392</v>
      </c>
      <c r="K1902">
        <v>4.17</v>
      </c>
      <c r="M1902">
        <v>2.16</v>
      </c>
      <c r="O1902">
        <v>0.193</v>
      </c>
      <c r="Q1902">
        <v>0.62</v>
      </c>
      <c r="R1902">
        <v>0.6</v>
      </c>
    </row>
    <row r="1903" spans="1:18" x14ac:dyDescent="0.2">
      <c r="A1903" t="s">
        <v>3482</v>
      </c>
      <c r="B1903" t="s">
        <v>3483</v>
      </c>
      <c r="C1903">
        <v>2016</v>
      </c>
      <c r="D1903">
        <v>1</v>
      </c>
      <c r="E1903" t="s">
        <v>55</v>
      </c>
      <c r="F1903" t="s">
        <v>128</v>
      </c>
      <c r="G1903" t="s">
        <v>63</v>
      </c>
      <c r="H1903">
        <v>1</v>
      </c>
      <c r="I1903">
        <v>18.137382899999999</v>
      </c>
      <c r="J1903">
        <v>379</v>
      </c>
      <c r="K1903">
        <v>3.72</v>
      </c>
      <c r="M1903">
        <v>1.1399999999999999</v>
      </c>
      <c r="O1903">
        <v>0.10199999999999999</v>
      </c>
      <c r="Q1903">
        <v>0.64</v>
      </c>
      <c r="R1903">
        <v>0.62</v>
      </c>
    </row>
    <row r="1904" spans="1:18" x14ac:dyDescent="0.2">
      <c r="A1904" t="s">
        <v>3484</v>
      </c>
      <c r="B1904" t="s">
        <v>3485</v>
      </c>
      <c r="C1904">
        <v>2016</v>
      </c>
      <c r="D1904">
        <v>1</v>
      </c>
      <c r="E1904" t="s">
        <v>55</v>
      </c>
      <c r="F1904" t="s">
        <v>128</v>
      </c>
      <c r="G1904" t="s">
        <v>63</v>
      </c>
      <c r="H1904">
        <v>1</v>
      </c>
      <c r="I1904">
        <v>51.111024299999997</v>
      </c>
      <c r="J1904">
        <v>728</v>
      </c>
      <c r="K1904">
        <v>3.72</v>
      </c>
      <c r="M1904">
        <v>1.99</v>
      </c>
      <c r="O1904">
        <v>0.17799999999999999</v>
      </c>
      <c r="Q1904">
        <v>1.01</v>
      </c>
      <c r="R1904">
        <v>1.01</v>
      </c>
    </row>
    <row r="1905" spans="1:18" x14ac:dyDescent="0.2">
      <c r="A1905" t="s">
        <v>3486</v>
      </c>
      <c r="B1905" t="s">
        <v>3487</v>
      </c>
      <c r="C1905">
        <v>2016</v>
      </c>
      <c r="D1905">
        <v>1</v>
      </c>
      <c r="E1905" t="s">
        <v>55</v>
      </c>
      <c r="F1905" t="s">
        <v>128</v>
      </c>
      <c r="G1905" t="s">
        <v>63</v>
      </c>
      <c r="H1905">
        <v>1</v>
      </c>
      <c r="I1905">
        <v>47.987276399999999</v>
      </c>
      <c r="J1905">
        <v>642</v>
      </c>
      <c r="K1905">
        <v>4.17</v>
      </c>
      <c r="M1905">
        <v>2.76</v>
      </c>
      <c r="O1905">
        <v>0.246</v>
      </c>
      <c r="Q1905">
        <v>0.96</v>
      </c>
      <c r="R1905">
        <v>0.94</v>
      </c>
    </row>
    <row r="1906" spans="1:18" x14ac:dyDescent="0.2">
      <c r="A1906" t="s">
        <v>3488</v>
      </c>
      <c r="B1906" t="s">
        <v>3489</v>
      </c>
      <c r="C1906">
        <v>2016</v>
      </c>
      <c r="D1906">
        <v>1</v>
      </c>
      <c r="E1906" t="s">
        <v>55</v>
      </c>
      <c r="F1906" t="s">
        <v>128</v>
      </c>
      <c r="G1906" t="s">
        <v>63</v>
      </c>
      <c r="H1906">
        <v>1</v>
      </c>
      <c r="I1906">
        <v>62.869161099999999</v>
      </c>
      <c r="J1906">
        <v>435</v>
      </c>
      <c r="K1906">
        <v>3.89</v>
      </c>
      <c r="M1906">
        <v>1.36</v>
      </c>
      <c r="O1906">
        <v>0.121</v>
      </c>
      <c r="Q1906">
        <v>0.78</v>
      </c>
      <c r="R1906">
        <v>0.74</v>
      </c>
    </row>
    <row r="1907" spans="1:18" x14ac:dyDescent="0.2">
      <c r="A1907" t="s">
        <v>3490</v>
      </c>
      <c r="B1907" t="s">
        <v>3491</v>
      </c>
      <c r="C1907">
        <v>2014</v>
      </c>
      <c r="D1907">
        <v>1</v>
      </c>
      <c r="E1907" t="s">
        <v>55</v>
      </c>
      <c r="F1907" t="s">
        <v>128</v>
      </c>
      <c r="G1907" t="s">
        <v>63</v>
      </c>
      <c r="H1907">
        <v>2</v>
      </c>
      <c r="I1907">
        <v>31.158798999999998</v>
      </c>
      <c r="J1907">
        <v>799</v>
      </c>
      <c r="M1907">
        <v>3.71</v>
      </c>
      <c r="O1907">
        <v>0.33100000000000002</v>
      </c>
      <c r="R1907">
        <v>1.21</v>
      </c>
    </row>
    <row r="1908" spans="1:18" x14ac:dyDescent="0.2">
      <c r="A1908" t="s">
        <v>3490</v>
      </c>
      <c r="B1908" t="s">
        <v>3492</v>
      </c>
      <c r="C1908">
        <v>2014</v>
      </c>
      <c r="D1908">
        <v>1</v>
      </c>
      <c r="E1908" t="s">
        <v>55</v>
      </c>
      <c r="F1908" t="s">
        <v>128</v>
      </c>
      <c r="G1908" t="s">
        <v>63</v>
      </c>
      <c r="H1908">
        <v>2</v>
      </c>
      <c r="I1908">
        <v>76.732170999999994</v>
      </c>
      <c r="J1908">
        <v>799</v>
      </c>
      <c r="M1908">
        <v>3.13</v>
      </c>
      <c r="O1908">
        <v>0.27900000000000003</v>
      </c>
      <c r="R1908">
        <v>1.21</v>
      </c>
    </row>
    <row r="1909" spans="1:18" x14ac:dyDescent="0.2">
      <c r="A1909" t="s">
        <v>3493</v>
      </c>
      <c r="B1909" t="s">
        <v>3494</v>
      </c>
      <c r="C1909">
        <v>2016</v>
      </c>
      <c r="D1909">
        <v>1</v>
      </c>
      <c r="E1909" t="s">
        <v>55</v>
      </c>
      <c r="F1909" t="s">
        <v>128</v>
      </c>
      <c r="G1909" t="s">
        <v>63</v>
      </c>
      <c r="H1909">
        <v>1</v>
      </c>
      <c r="I1909">
        <v>29.963324700000001</v>
      </c>
      <c r="J1909">
        <v>574</v>
      </c>
      <c r="K1909">
        <v>3.98</v>
      </c>
      <c r="M1909">
        <v>1.96</v>
      </c>
      <c r="O1909">
        <v>0.17499999999999999</v>
      </c>
      <c r="Q1909">
        <v>0.7</v>
      </c>
      <c r="R1909">
        <v>0.67</v>
      </c>
    </row>
    <row r="1910" spans="1:18" x14ac:dyDescent="0.2">
      <c r="A1910" t="s">
        <v>3495</v>
      </c>
      <c r="B1910" t="s">
        <v>3496</v>
      </c>
      <c r="C1910">
        <v>2016</v>
      </c>
      <c r="D1910">
        <v>1</v>
      </c>
      <c r="E1910" t="s">
        <v>55</v>
      </c>
      <c r="F1910" t="s">
        <v>128</v>
      </c>
      <c r="G1910" t="s">
        <v>63</v>
      </c>
      <c r="H1910">
        <v>1</v>
      </c>
      <c r="I1910">
        <v>29.349477499999999</v>
      </c>
      <c r="J1910">
        <v>752</v>
      </c>
      <c r="K1910">
        <v>3.24</v>
      </c>
      <c r="M1910">
        <v>2.0299999999999998</v>
      </c>
      <c r="O1910">
        <v>0.18099999999999999</v>
      </c>
      <c r="Q1910">
        <v>0.79</v>
      </c>
      <c r="R1910">
        <v>0.74</v>
      </c>
    </row>
    <row r="1911" spans="1:18" x14ac:dyDescent="0.2">
      <c r="A1911" t="s">
        <v>3497</v>
      </c>
      <c r="B1911" t="s">
        <v>3498</v>
      </c>
      <c r="C1911">
        <v>2016</v>
      </c>
      <c r="D1911">
        <v>1</v>
      </c>
      <c r="E1911" t="s">
        <v>55</v>
      </c>
      <c r="F1911" t="s">
        <v>128</v>
      </c>
      <c r="G1911" t="s">
        <v>63</v>
      </c>
      <c r="H1911">
        <v>1</v>
      </c>
      <c r="I1911">
        <v>65.648834100000002</v>
      </c>
      <c r="J1911">
        <v>1368</v>
      </c>
      <c r="K1911">
        <v>4.07</v>
      </c>
      <c r="M1911">
        <v>3.82</v>
      </c>
      <c r="O1911">
        <v>0.34100000000000003</v>
      </c>
      <c r="Q1911">
        <v>1</v>
      </c>
      <c r="R1911">
        <v>1</v>
      </c>
    </row>
    <row r="1912" spans="1:18" x14ac:dyDescent="0.2">
      <c r="A1912" t="s">
        <v>3499</v>
      </c>
      <c r="B1912" t="s">
        <v>3500</v>
      </c>
      <c r="C1912">
        <v>2016</v>
      </c>
      <c r="D1912">
        <v>1</v>
      </c>
      <c r="E1912" t="s">
        <v>55</v>
      </c>
      <c r="F1912" t="s">
        <v>128</v>
      </c>
      <c r="G1912" t="s">
        <v>63</v>
      </c>
      <c r="H1912">
        <v>1</v>
      </c>
      <c r="I1912">
        <v>25.158639999999998</v>
      </c>
      <c r="J1912">
        <v>1341</v>
      </c>
      <c r="K1912">
        <v>4.79</v>
      </c>
      <c r="M1912">
        <v>1.86</v>
      </c>
      <c r="O1912">
        <v>0.16600000000000001</v>
      </c>
      <c r="Q1912">
        <v>0.96</v>
      </c>
      <c r="R1912">
        <v>0.95</v>
      </c>
    </row>
    <row r="1913" spans="1:18" x14ac:dyDescent="0.2">
      <c r="A1913" t="s">
        <v>3501</v>
      </c>
      <c r="B1913" t="s">
        <v>3502</v>
      </c>
      <c r="C1913">
        <v>2016</v>
      </c>
      <c r="D1913">
        <v>1</v>
      </c>
      <c r="E1913" t="s">
        <v>55</v>
      </c>
      <c r="F1913" t="s">
        <v>128</v>
      </c>
      <c r="G1913" t="s">
        <v>63</v>
      </c>
      <c r="H1913">
        <v>2</v>
      </c>
      <c r="I1913">
        <v>31.778590099999999</v>
      </c>
      <c r="J1913">
        <v>692</v>
      </c>
      <c r="K1913">
        <v>3.89</v>
      </c>
      <c r="M1913">
        <v>1.66</v>
      </c>
      <c r="O1913">
        <v>0.14799999999999999</v>
      </c>
      <c r="Q1913">
        <v>1.02</v>
      </c>
      <c r="R1913">
        <v>1.01</v>
      </c>
    </row>
    <row r="1914" spans="1:18" x14ac:dyDescent="0.2">
      <c r="A1914" t="s">
        <v>3501</v>
      </c>
      <c r="B1914" t="s">
        <v>3503</v>
      </c>
      <c r="C1914">
        <v>2016</v>
      </c>
      <c r="D1914">
        <v>1</v>
      </c>
      <c r="E1914" t="s">
        <v>55</v>
      </c>
      <c r="F1914" t="s">
        <v>128</v>
      </c>
      <c r="G1914" t="s">
        <v>63</v>
      </c>
      <c r="H1914">
        <v>2</v>
      </c>
      <c r="I1914">
        <v>5.3278629200000003</v>
      </c>
      <c r="J1914">
        <v>692</v>
      </c>
      <c r="K1914">
        <v>3.89</v>
      </c>
      <c r="M1914">
        <v>1</v>
      </c>
      <c r="O1914">
        <v>8.8999999999999996E-2</v>
      </c>
      <c r="Q1914">
        <v>1.02</v>
      </c>
      <c r="R1914">
        <v>1.01</v>
      </c>
    </row>
    <row r="1915" spans="1:18" x14ac:dyDescent="0.2">
      <c r="A1915" t="s">
        <v>3504</v>
      </c>
      <c r="B1915" t="s">
        <v>3505</v>
      </c>
      <c r="C1915">
        <v>2016</v>
      </c>
      <c r="D1915">
        <v>1</v>
      </c>
      <c r="E1915" t="s">
        <v>55</v>
      </c>
      <c r="F1915" t="s">
        <v>128</v>
      </c>
      <c r="G1915" t="s">
        <v>63</v>
      </c>
      <c r="H1915">
        <v>1</v>
      </c>
      <c r="I1915">
        <v>31.827711099999998</v>
      </c>
      <c r="J1915">
        <v>350</v>
      </c>
      <c r="K1915">
        <v>3.72</v>
      </c>
      <c r="M1915">
        <v>1.77</v>
      </c>
      <c r="O1915">
        <v>0.158</v>
      </c>
      <c r="Q1915">
        <v>0.75</v>
      </c>
      <c r="R1915">
        <v>0.71</v>
      </c>
    </row>
    <row r="1916" spans="1:18" x14ac:dyDescent="0.2">
      <c r="A1916" t="s">
        <v>3506</v>
      </c>
      <c r="B1916" t="s">
        <v>3507</v>
      </c>
      <c r="C1916">
        <v>2016</v>
      </c>
      <c r="D1916">
        <v>1</v>
      </c>
      <c r="E1916" t="s">
        <v>55</v>
      </c>
      <c r="F1916" t="s">
        <v>128</v>
      </c>
      <c r="G1916" t="s">
        <v>63</v>
      </c>
      <c r="H1916">
        <v>1</v>
      </c>
      <c r="I1916">
        <v>31.175044799999998</v>
      </c>
      <c r="J1916">
        <v>686</v>
      </c>
      <c r="K1916">
        <v>3.89</v>
      </c>
      <c r="M1916">
        <v>1.55</v>
      </c>
      <c r="O1916">
        <v>0.13800000000000001</v>
      </c>
      <c r="Q1916">
        <v>1.01</v>
      </c>
      <c r="R1916">
        <v>1.02</v>
      </c>
    </row>
    <row r="1917" spans="1:18" x14ac:dyDescent="0.2">
      <c r="A1917" t="s">
        <v>3508</v>
      </c>
      <c r="B1917" t="s">
        <v>3509</v>
      </c>
      <c r="C1917">
        <v>2016</v>
      </c>
      <c r="D1917">
        <v>1</v>
      </c>
      <c r="E1917" t="s">
        <v>55</v>
      </c>
      <c r="F1917" t="s">
        <v>128</v>
      </c>
      <c r="G1917" t="s">
        <v>63</v>
      </c>
      <c r="H1917">
        <v>1</v>
      </c>
      <c r="I1917">
        <v>47.056904299999999</v>
      </c>
      <c r="J1917">
        <v>890</v>
      </c>
      <c r="K1917">
        <v>4.37</v>
      </c>
      <c r="M1917">
        <v>3.3</v>
      </c>
      <c r="O1917">
        <v>0.29399999999999998</v>
      </c>
      <c r="Q1917">
        <v>0.86</v>
      </c>
      <c r="R1917">
        <v>0.82</v>
      </c>
    </row>
    <row r="1918" spans="1:18" x14ac:dyDescent="0.2">
      <c r="A1918" t="s">
        <v>3510</v>
      </c>
      <c r="B1918" t="s">
        <v>3511</v>
      </c>
      <c r="C1918">
        <v>2016</v>
      </c>
      <c r="D1918">
        <v>1</v>
      </c>
      <c r="E1918" t="s">
        <v>55</v>
      </c>
      <c r="F1918" t="s">
        <v>128</v>
      </c>
      <c r="G1918" t="s">
        <v>63</v>
      </c>
      <c r="H1918">
        <v>2</v>
      </c>
      <c r="I1918">
        <v>8.2398486900000005</v>
      </c>
      <c r="J1918">
        <v>1130</v>
      </c>
      <c r="K1918">
        <v>3.55</v>
      </c>
      <c r="M1918">
        <v>1.73</v>
      </c>
      <c r="O1918">
        <v>0.154</v>
      </c>
      <c r="Q1918">
        <v>1.04</v>
      </c>
      <c r="R1918">
        <v>1.05</v>
      </c>
    </row>
    <row r="1919" spans="1:18" x14ac:dyDescent="0.2">
      <c r="A1919" t="s">
        <v>3510</v>
      </c>
      <c r="B1919" t="s">
        <v>3512</v>
      </c>
      <c r="C1919">
        <v>2016</v>
      </c>
      <c r="D1919">
        <v>1</v>
      </c>
      <c r="E1919" t="s">
        <v>55</v>
      </c>
      <c r="F1919" t="s">
        <v>128</v>
      </c>
      <c r="G1919" t="s">
        <v>63</v>
      </c>
      <c r="H1919">
        <v>2</v>
      </c>
      <c r="I1919">
        <v>3.5455302099999999</v>
      </c>
      <c r="J1919">
        <v>1130</v>
      </c>
      <c r="K1919">
        <v>3.55</v>
      </c>
      <c r="M1919">
        <v>1.1499999999999999</v>
      </c>
      <c r="O1919">
        <v>0.10299999999999999</v>
      </c>
      <c r="Q1919">
        <v>1.04</v>
      </c>
      <c r="R1919">
        <v>1.05</v>
      </c>
    </row>
    <row r="1920" spans="1:18" x14ac:dyDescent="0.2">
      <c r="A1920" t="s">
        <v>3513</v>
      </c>
      <c r="B1920" t="s">
        <v>3514</v>
      </c>
      <c r="C1920">
        <v>2016</v>
      </c>
      <c r="D1920">
        <v>1</v>
      </c>
      <c r="E1920" t="s">
        <v>55</v>
      </c>
      <c r="F1920" t="s">
        <v>128</v>
      </c>
      <c r="G1920" t="s">
        <v>63</v>
      </c>
      <c r="H1920">
        <v>1</v>
      </c>
      <c r="I1920">
        <v>21.863530099999998</v>
      </c>
      <c r="J1920">
        <v>1255</v>
      </c>
      <c r="K1920">
        <v>4.47</v>
      </c>
      <c r="M1920">
        <v>2.8</v>
      </c>
      <c r="O1920">
        <v>0.25</v>
      </c>
      <c r="Q1920">
        <v>0.92</v>
      </c>
      <c r="R1920">
        <v>0.89</v>
      </c>
    </row>
    <row r="1921" spans="1:18" x14ac:dyDescent="0.2">
      <c r="A1921" t="s">
        <v>3515</v>
      </c>
      <c r="B1921" t="s">
        <v>3516</v>
      </c>
      <c r="C1921">
        <v>2014</v>
      </c>
      <c r="D1921">
        <v>1</v>
      </c>
      <c r="E1921" t="s">
        <v>55</v>
      </c>
      <c r="F1921" t="s">
        <v>128</v>
      </c>
      <c r="G1921" t="s">
        <v>63</v>
      </c>
      <c r="H1921">
        <v>2</v>
      </c>
      <c r="I1921">
        <v>12.610583999999999</v>
      </c>
      <c r="J1921">
        <v>902</v>
      </c>
      <c r="M1921">
        <v>1.53</v>
      </c>
      <c r="O1921">
        <v>0.13600000000000001</v>
      </c>
      <c r="R1921">
        <v>1.47</v>
      </c>
    </row>
    <row r="1922" spans="1:18" x14ac:dyDescent="0.2">
      <c r="A1922" t="s">
        <v>3515</v>
      </c>
      <c r="B1922" t="s">
        <v>3517</v>
      </c>
      <c r="C1922">
        <v>2014</v>
      </c>
      <c r="D1922">
        <v>1</v>
      </c>
      <c r="E1922" t="s">
        <v>55</v>
      </c>
      <c r="F1922" t="s">
        <v>128</v>
      </c>
      <c r="G1922" t="s">
        <v>63</v>
      </c>
      <c r="H1922">
        <v>2</v>
      </c>
      <c r="I1922">
        <v>33.416423000000002</v>
      </c>
      <c r="J1922">
        <v>902</v>
      </c>
      <c r="M1922">
        <v>2.4300000000000002</v>
      </c>
      <c r="O1922">
        <v>0.217</v>
      </c>
      <c r="R1922">
        <v>1.47</v>
      </c>
    </row>
    <row r="1923" spans="1:18" x14ac:dyDescent="0.2">
      <c r="A1923" t="s">
        <v>3518</v>
      </c>
      <c r="B1923" t="s">
        <v>3519</v>
      </c>
      <c r="C1923">
        <v>2016</v>
      </c>
      <c r="D1923">
        <v>1</v>
      </c>
      <c r="E1923" t="s">
        <v>55</v>
      </c>
      <c r="F1923" t="s">
        <v>128</v>
      </c>
      <c r="G1923" t="s">
        <v>63</v>
      </c>
      <c r="H1923">
        <v>1</v>
      </c>
      <c r="I1923">
        <v>16.295090299999998</v>
      </c>
      <c r="J1923">
        <v>569</v>
      </c>
      <c r="K1923">
        <v>4.57</v>
      </c>
      <c r="M1923">
        <v>1.07</v>
      </c>
      <c r="O1923">
        <v>9.5000000000000001E-2</v>
      </c>
      <c r="Q1923">
        <v>0.8</v>
      </c>
      <c r="R1923">
        <v>0.76</v>
      </c>
    </row>
    <row r="1924" spans="1:18" x14ac:dyDescent="0.2">
      <c r="A1924" t="s">
        <v>3520</v>
      </c>
      <c r="B1924" t="s">
        <v>3521</v>
      </c>
      <c r="C1924">
        <v>2016</v>
      </c>
      <c r="D1924">
        <v>1</v>
      </c>
      <c r="E1924" t="s">
        <v>55</v>
      </c>
      <c r="F1924" t="s">
        <v>128</v>
      </c>
      <c r="G1924" t="s">
        <v>63</v>
      </c>
      <c r="H1924">
        <v>1</v>
      </c>
      <c r="I1924">
        <v>3.63899398</v>
      </c>
      <c r="J1924">
        <v>1059</v>
      </c>
      <c r="K1924">
        <v>4.57</v>
      </c>
      <c r="M1924">
        <v>1.41</v>
      </c>
      <c r="O1924">
        <v>0.126</v>
      </c>
      <c r="Q1924">
        <v>0.95</v>
      </c>
      <c r="R1924">
        <v>0.93</v>
      </c>
    </row>
    <row r="1925" spans="1:18" x14ac:dyDescent="0.2">
      <c r="A1925" t="s">
        <v>3522</v>
      </c>
      <c r="B1925" t="s">
        <v>3523</v>
      </c>
      <c r="C1925">
        <v>2016</v>
      </c>
      <c r="D1925">
        <v>1</v>
      </c>
      <c r="E1925" t="s">
        <v>55</v>
      </c>
      <c r="F1925" t="s">
        <v>128</v>
      </c>
      <c r="G1925" t="s">
        <v>63</v>
      </c>
      <c r="H1925">
        <v>1</v>
      </c>
      <c r="I1925">
        <v>38.131283099999997</v>
      </c>
      <c r="J1925">
        <v>1269</v>
      </c>
      <c r="K1925">
        <v>3.09</v>
      </c>
      <c r="M1925">
        <v>1.9</v>
      </c>
      <c r="O1925">
        <v>0.17</v>
      </c>
      <c r="Q1925">
        <v>1.1599999999999999</v>
      </c>
      <c r="R1925">
        <v>1.25</v>
      </c>
    </row>
    <row r="1926" spans="1:18" x14ac:dyDescent="0.2">
      <c r="A1926" t="s">
        <v>3524</v>
      </c>
      <c r="B1926" t="s">
        <v>3525</v>
      </c>
      <c r="C1926">
        <v>2016</v>
      </c>
      <c r="D1926">
        <v>1</v>
      </c>
      <c r="E1926" t="s">
        <v>55</v>
      </c>
      <c r="F1926" t="s">
        <v>128</v>
      </c>
      <c r="G1926" t="s">
        <v>63</v>
      </c>
      <c r="H1926">
        <v>1</v>
      </c>
      <c r="I1926">
        <v>14.4273551</v>
      </c>
      <c r="J1926">
        <v>625</v>
      </c>
      <c r="K1926">
        <v>2.63</v>
      </c>
      <c r="M1926">
        <v>1.19</v>
      </c>
      <c r="O1926">
        <v>0.106</v>
      </c>
      <c r="Q1926">
        <v>1.0900000000000001</v>
      </c>
      <c r="R1926">
        <v>1.0900000000000001</v>
      </c>
    </row>
    <row r="1927" spans="1:18" x14ac:dyDescent="0.2">
      <c r="A1927" t="s">
        <v>3526</v>
      </c>
      <c r="B1927" t="s">
        <v>3527</v>
      </c>
      <c r="C1927">
        <v>2016</v>
      </c>
      <c r="D1927">
        <v>1</v>
      </c>
      <c r="E1927" t="s">
        <v>55</v>
      </c>
      <c r="F1927" t="s">
        <v>128</v>
      </c>
      <c r="G1927" t="s">
        <v>63</v>
      </c>
      <c r="H1927">
        <v>1</v>
      </c>
      <c r="I1927">
        <v>36.433345199999998</v>
      </c>
      <c r="J1927">
        <v>1214</v>
      </c>
      <c r="K1927">
        <v>3.8</v>
      </c>
      <c r="M1927">
        <v>2.16</v>
      </c>
      <c r="O1927">
        <v>0.193</v>
      </c>
      <c r="Q1927">
        <v>1.04</v>
      </c>
      <c r="R1927">
        <v>1.04</v>
      </c>
    </row>
    <row r="1928" spans="1:18" x14ac:dyDescent="0.2">
      <c r="A1928" t="s">
        <v>3528</v>
      </c>
      <c r="B1928" t="s">
        <v>3529</v>
      </c>
      <c r="C1928">
        <v>2016</v>
      </c>
      <c r="D1928">
        <v>1</v>
      </c>
      <c r="E1928" t="s">
        <v>55</v>
      </c>
      <c r="F1928" t="s">
        <v>128</v>
      </c>
      <c r="G1928" t="s">
        <v>63</v>
      </c>
      <c r="H1928">
        <v>1</v>
      </c>
      <c r="I1928">
        <v>82.177374</v>
      </c>
      <c r="J1928">
        <v>1714</v>
      </c>
      <c r="K1928">
        <v>2.82</v>
      </c>
      <c r="M1928">
        <v>2.92</v>
      </c>
      <c r="O1928">
        <v>0.26100000000000001</v>
      </c>
      <c r="Q1928">
        <v>1.18</v>
      </c>
      <c r="R1928">
        <v>1.28</v>
      </c>
    </row>
    <row r="1929" spans="1:18" x14ac:dyDescent="0.2">
      <c r="A1929" t="s">
        <v>3530</v>
      </c>
      <c r="B1929" t="s">
        <v>3531</v>
      </c>
      <c r="C1929">
        <v>2016</v>
      </c>
      <c r="D1929">
        <v>1</v>
      </c>
      <c r="E1929" t="s">
        <v>55</v>
      </c>
      <c r="F1929" t="s">
        <v>128</v>
      </c>
      <c r="G1929" t="s">
        <v>63</v>
      </c>
      <c r="H1929">
        <v>1</v>
      </c>
      <c r="I1929">
        <v>10.35863224</v>
      </c>
      <c r="J1929">
        <v>1218</v>
      </c>
      <c r="K1929">
        <v>4.57</v>
      </c>
      <c r="M1929">
        <v>1.67</v>
      </c>
      <c r="O1929">
        <v>0.14899999999999999</v>
      </c>
      <c r="Q1929">
        <v>0.98</v>
      </c>
      <c r="R1929">
        <v>0.96</v>
      </c>
    </row>
    <row r="1930" spans="1:18" x14ac:dyDescent="0.2">
      <c r="A1930" t="s">
        <v>3532</v>
      </c>
      <c r="B1930" t="s">
        <v>3533</v>
      </c>
      <c r="C1930">
        <v>2016</v>
      </c>
      <c r="D1930">
        <v>1</v>
      </c>
      <c r="E1930" t="s">
        <v>55</v>
      </c>
      <c r="F1930" t="s">
        <v>128</v>
      </c>
      <c r="G1930" t="s">
        <v>63</v>
      </c>
      <c r="H1930">
        <v>1</v>
      </c>
      <c r="I1930">
        <v>11.55530021</v>
      </c>
      <c r="J1930">
        <v>525</v>
      </c>
      <c r="K1930">
        <v>4.68</v>
      </c>
      <c r="M1930">
        <v>1.18</v>
      </c>
      <c r="O1930">
        <v>0.105</v>
      </c>
      <c r="Q1930">
        <v>0.81</v>
      </c>
      <c r="R1930">
        <v>0.78</v>
      </c>
    </row>
    <row r="1931" spans="1:18" x14ac:dyDescent="0.2">
      <c r="A1931" t="s">
        <v>3534</v>
      </c>
      <c r="B1931" t="s">
        <v>3535</v>
      </c>
      <c r="C1931">
        <v>2016</v>
      </c>
      <c r="D1931">
        <v>1</v>
      </c>
      <c r="E1931" t="s">
        <v>55</v>
      </c>
      <c r="F1931" t="s">
        <v>128</v>
      </c>
      <c r="G1931" t="s">
        <v>63</v>
      </c>
      <c r="H1931">
        <v>1</v>
      </c>
      <c r="I1931">
        <v>26.084059400000001</v>
      </c>
      <c r="J1931">
        <v>1405</v>
      </c>
      <c r="K1931">
        <v>3.98</v>
      </c>
      <c r="M1931">
        <v>1.73</v>
      </c>
      <c r="O1931">
        <v>0.154</v>
      </c>
      <c r="Q1931">
        <v>1.04</v>
      </c>
      <c r="R1931">
        <v>1.06</v>
      </c>
    </row>
    <row r="1932" spans="1:18" x14ac:dyDescent="0.2">
      <c r="A1932" t="s">
        <v>3536</v>
      </c>
      <c r="B1932" t="s">
        <v>3537</v>
      </c>
      <c r="C1932">
        <v>2016</v>
      </c>
      <c r="D1932">
        <v>1</v>
      </c>
      <c r="E1932" t="s">
        <v>55</v>
      </c>
      <c r="F1932" t="s">
        <v>128</v>
      </c>
      <c r="G1932" t="s">
        <v>63</v>
      </c>
      <c r="H1932">
        <v>1</v>
      </c>
      <c r="I1932">
        <v>14.532613619999999</v>
      </c>
      <c r="J1932">
        <v>619</v>
      </c>
      <c r="K1932">
        <v>4.2699999999999996</v>
      </c>
      <c r="M1932">
        <v>1.83</v>
      </c>
      <c r="O1932">
        <v>0.16300000000000001</v>
      </c>
      <c r="Q1932">
        <v>0.99</v>
      </c>
      <c r="R1932">
        <v>0.98</v>
      </c>
    </row>
    <row r="1933" spans="1:18" x14ac:dyDescent="0.2">
      <c r="A1933" t="s">
        <v>3538</v>
      </c>
      <c r="B1933" t="s">
        <v>3539</v>
      </c>
      <c r="C1933">
        <v>2014</v>
      </c>
      <c r="D1933">
        <v>1</v>
      </c>
      <c r="E1933" t="s">
        <v>55</v>
      </c>
      <c r="F1933" t="s">
        <v>128</v>
      </c>
      <c r="G1933" t="s">
        <v>63</v>
      </c>
      <c r="H1933">
        <v>3</v>
      </c>
      <c r="I1933">
        <v>1.729366</v>
      </c>
      <c r="J1933">
        <v>796</v>
      </c>
      <c r="M1933">
        <v>1.8</v>
      </c>
      <c r="O1933">
        <v>0.161</v>
      </c>
      <c r="R1933">
        <v>0.85</v>
      </c>
    </row>
    <row r="1934" spans="1:18" x14ac:dyDescent="0.2">
      <c r="A1934" t="s">
        <v>3538</v>
      </c>
      <c r="B1934" t="s">
        <v>3540</v>
      </c>
      <c r="C1934">
        <v>2014</v>
      </c>
      <c r="D1934">
        <v>1</v>
      </c>
      <c r="E1934" t="s">
        <v>55</v>
      </c>
      <c r="F1934" t="s">
        <v>128</v>
      </c>
      <c r="G1934" t="s">
        <v>63</v>
      </c>
      <c r="H1934">
        <v>3</v>
      </c>
      <c r="I1934">
        <v>4.1800430000000004</v>
      </c>
      <c r="J1934">
        <v>796</v>
      </c>
      <c r="M1934">
        <v>3.6</v>
      </c>
      <c r="O1934">
        <v>0.32100000000000001</v>
      </c>
      <c r="R1934">
        <v>0.85</v>
      </c>
    </row>
    <row r="1935" spans="1:18" x14ac:dyDescent="0.2">
      <c r="A1935" t="s">
        <v>3538</v>
      </c>
      <c r="B1935" t="s">
        <v>3541</v>
      </c>
      <c r="C1935">
        <v>2016</v>
      </c>
      <c r="D1935">
        <v>1</v>
      </c>
      <c r="E1935" t="s">
        <v>55</v>
      </c>
      <c r="F1935" t="s">
        <v>128</v>
      </c>
      <c r="G1935" t="s">
        <v>63</v>
      </c>
      <c r="H1935">
        <v>3</v>
      </c>
      <c r="I1935">
        <v>51.846885749999998</v>
      </c>
      <c r="J1935">
        <v>796</v>
      </c>
      <c r="M1935">
        <v>8.68</v>
      </c>
      <c r="O1935">
        <v>0.77400000000000002</v>
      </c>
      <c r="R1935">
        <v>0.85</v>
      </c>
    </row>
    <row r="1936" spans="1:18" x14ac:dyDescent="0.2">
      <c r="A1936" t="s">
        <v>3542</v>
      </c>
      <c r="B1936" t="s">
        <v>3543</v>
      </c>
      <c r="C1936">
        <v>2016</v>
      </c>
      <c r="D1936">
        <v>1</v>
      </c>
      <c r="E1936" t="s">
        <v>55</v>
      </c>
      <c r="F1936" t="s">
        <v>128</v>
      </c>
      <c r="G1936" t="s">
        <v>63</v>
      </c>
      <c r="H1936">
        <v>1</v>
      </c>
      <c r="I1936">
        <v>22.126799479999999</v>
      </c>
      <c r="J1936">
        <v>540</v>
      </c>
      <c r="K1936">
        <v>4.79</v>
      </c>
      <c r="M1936">
        <v>1.67</v>
      </c>
      <c r="O1936">
        <v>0.14899999999999999</v>
      </c>
      <c r="Q1936">
        <v>0.85</v>
      </c>
      <c r="R1936">
        <v>0.81</v>
      </c>
    </row>
    <row r="1937" spans="1:18" x14ac:dyDescent="0.2">
      <c r="A1937" t="s">
        <v>3544</v>
      </c>
      <c r="B1937" t="s">
        <v>3545</v>
      </c>
      <c r="C1937">
        <v>2016</v>
      </c>
      <c r="D1937">
        <v>1</v>
      </c>
      <c r="E1937" t="s">
        <v>55</v>
      </c>
      <c r="F1937" t="s">
        <v>128</v>
      </c>
      <c r="G1937" t="s">
        <v>63</v>
      </c>
      <c r="H1937">
        <v>1</v>
      </c>
      <c r="I1937">
        <v>5.9422099800000003</v>
      </c>
      <c r="J1937">
        <v>493</v>
      </c>
      <c r="K1937">
        <v>3.89</v>
      </c>
      <c r="M1937">
        <v>1.23</v>
      </c>
      <c r="O1937">
        <v>0.11</v>
      </c>
      <c r="Q1937">
        <v>0.8</v>
      </c>
      <c r="R1937">
        <v>0.75</v>
      </c>
    </row>
    <row r="1938" spans="1:18" x14ac:dyDescent="0.2">
      <c r="A1938" t="s">
        <v>3546</v>
      </c>
      <c r="B1938" t="s">
        <v>3547</v>
      </c>
      <c r="C1938">
        <v>2016</v>
      </c>
      <c r="D1938">
        <v>1</v>
      </c>
      <c r="E1938" t="s">
        <v>55</v>
      </c>
      <c r="F1938" t="s">
        <v>128</v>
      </c>
      <c r="G1938" t="s">
        <v>63</v>
      </c>
      <c r="H1938">
        <v>1</v>
      </c>
      <c r="I1938">
        <v>12.253832170000001</v>
      </c>
      <c r="J1938">
        <v>442</v>
      </c>
      <c r="K1938">
        <v>4.47</v>
      </c>
      <c r="M1938">
        <v>1.01</v>
      </c>
      <c r="O1938">
        <v>0.09</v>
      </c>
      <c r="Q1938">
        <v>0.88</v>
      </c>
      <c r="R1938">
        <v>0.84</v>
      </c>
    </row>
    <row r="1939" spans="1:18" x14ac:dyDescent="0.2">
      <c r="A1939" t="s">
        <v>3548</v>
      </c>
      <c r="B1939" t="s">
        <v>3549</v>
      </c>
      <c r="C1939">
        <v>2016</v>
      </c>
      <c r="D1939">
        <v>1</v>
      </c>
      <c r="E1939" t="s">
        <v>55</v>
      </c>
      <c r="F1939" t="s">
        <v>128</v>
      </c>
      <c r="G1939" t="s">
        <v>63</v>
      </c>
      <c r="H1939">
        <v>1</v>
      </c>
      <c r="I1939">
        <v>9.5085156000000008</v>
      </c>
      <c r="J1939">
        <v>1327</v>
      </c>
      <c r="K1939">
        <v>2.4</v>
      </c>
      <c r="M1939">
        <v>1.52</v>
      </c>
      <c r="O1939">
        <v>0.13600000000000001</v>
      </c>
      <c r="Q1939">
        <v>1.25</v>
      </c>
      <c r="R1939">
        <v>1.4</v>
      </c>
    </row>
    <row r="1940" spans="1:18" x14ac:dyDescent="0.2">
      <c r="A1940" t="s">
        <v>3550</v>
      </c>
      <c r="B1940" t="s">
        <v>3551</v>
      </c>
      <c r="C1940">
        <v>2016</v>
      </c>
      <c r="D1940">
        <v>1</v>
      </c>
      <c r="E1940" t="s">
        <v>55</v>
      </c>
      <c r="F1940" t="s">
        <v>128</v>
      </c>
      <c r="G1940" t="s">
        <v>63</v>
      </c>
      <c r="H1940">
        <v>1</v>
      </c>
      <c r="I1940">
        <v>30.454913600000001</v>
      </c>
      <c r="J1940">
        <v>1095</v>
      </c>
      <c r="K1940">
        <v>3.98</v>
      </c>
      <c r="M1940">
        <v>2.11</v>
      </c>
      <c r="O1940">
        <v>0.188</v>
      </c>
      <c r="Q1940">
        <v>0.94</v>
      </c>
      <c r="R1940">
        <v>0.92</v>
      </c>
    </row>
    <row r="1941" spans="1:18" x14ac:dyDescent="0.2">
      <c r="A1941" t="s">
        <v>3552</v>
      </c>
      <c r="B1941" t="s">
        <v>3553</v>
      </c>
      <c r="C1941">
        <v>2016</v>
      </c>
      <c r="D1941">
        <v>1</v>
      </c>
      <c r="E1941" t="s">
        <v>55</v>
      </c>
      <c r="F1941" t="s">
        <v>128</v>
      </c>
      <c r="G1941" t="s">
        <v>63</v>
      </c>
      <c r="H1941">
        <v>1</v>
      </c>
      <c r="I1941">
        <v>19.915772499999999</v>
      </c>
      <c r="J1941">
        <v>550</v>
      </c>
      <c r="K1941">
        <v>2.5099999999999998</v>
      </c>
      <c r="M1941">
        <v>1.47</v>
      </c>
      <c r="O1941">
        <v>0.13100000000000001</v>
      </c>
      <c r="Q1941">
        <v>1.1100000000000001</v>
      </c>
      <c r="R1941">
        <v>1.1200000000000001</v>
      </c>
    </row>
    <row r="1942" spans="1:18" x14ac:dyDescent="0.2">
      <c r="A1942" t="s">
        <v>3554</v>
      </c>
      <c r="B1942" t="s">
        <v>3555</v>
      </c>
      <c r="C1942">
        <v>2016</v>
      </c>
      <c r="D1942">
        <v>1</v>
      </c>
      <c r="E1942" t="s">
        <v>55</v>
      </c>
      <c r="F1942" t="s">
        <v>128</v>
      </c>
      <c r="G1942" t="s">
        <v>63</v>
      </c>
      <c r="H1942">
        <v>1</v>
      </c>
      <c r="I1942">
        <v>54.649575900000002</v>
      </c>
      <c r="J1942">
        <v>1465</v>
      </c>
      <c r="K1942">
        <v>3.55</v>
      </c>
      <c r="M1942">
        <v>2.3199999999999998</v>
      </c>
      <c r="O1942">
        <v>0.20699999999999999</v>
      </c>
      <c r="Q1942">
        <v>1.08</v>
      </c>
      <c r="R1942">
        <v>1.1200000000000001</v>
      </c>
    </row>
    <row r="1943" spans="1:18" x14ac:dyDescent="0.2">
      <c r="A1943" t="s">
        <v>3556</v>
      </c>
      <c r="B1943" t="s">
        <v>3557</v>
      </c>
      <c r="C1943">
        <v>2016</v>
      </c>
      <c r="D1943">
        <v>1</v>
      </c>
      <c r="E1943" t="s">
        <v>55</v>
      </c>
      <c r="F1943" t="s">
        <v>128</v>
      </c>
      <c r="G1943" t="s">
        <v>63</v>
      </c>
      <c r="H1943">
        <v>1</v>
      </c>
      <c r="I1943">
        <v>7.3194636300000004</v>
      </c>
      <c r="J1943">
        <v>1094</v>
      </c>
      <c r="K1943">
        <v>1.95</v>
      </c>
      <c r="M1943">
        <v>2.13</v>
      </c>
      <c r="O1943">
        <v>0.19</v>
      </c>
      <c r="Q1943">
        <v>1.38</v>
      </c>
      <c r="R1943">
        <v>1.63</v>
      </c>
    </row>
    <row r="1944" spans="1:18" x14ac:dyDescent="0.2">
      <c r="A1944" t="s">
        <v>3558</v>
      </c>
      <c r="B1944" t="s">
        <v>3559</v>
      </c>
      <c r="C1944">
        <v>2016</v>
      </c>
      <c r="D1944">
        <v>1</v>
      </c>
      <c r="E1944" t="s">
        <v>55</v>
      </c>
      <c r="F1944" t="s">
        <v>128</v>
      </c>
      <c r="G1944" t="s">
        <v>63</v>
      </c>
      <c r="H1944">
        <v>1</v>
      </c>
      <c r="I1944">
        <v>39.818993200000001</v>
      </c>
      <c r="J1944">
        <v>618</v>
      </c>
      <c r="K1944">
        <v>6.92</v>
      </c>
      <c r="M1944">
        <v>1.86</v>
      </c>
      <c r="O1944">
        <v>0.16600000000000001</v>
      </c>
      <c r="Q1944">
        <v>1.05</v>
      </c>
      <c r="R1944">
        <v>1.31</v>
      </c>
    </row>
    <row r="1945" spans="1:18" x14ac:dyDescent="0.2">
      <c r="A1945" t="s">
        <v>3560</v>
      </c>
      <c r="B1945" t="s">
        <v>3561</v>
      </c>
      <c r="C1945">
        <v>2016</v>
      </c>
      <c r="D1945">
        <v>1</v>
      </c>
      <c r="E1945" t="s">
        <v>55</v>
      </c>
      <c r="F1945" t="s">
        <v>128</v>
      </c>
      <c r="G1945" t="s">
        <v>63</v>
      </c>
      <c r="H1945">
        <v>1</v>
      </c>
      <c r="I1945">
        <v>82.294751000000005</v>
      </c>
      <c r="J1945">
        <v>870</v>
      </c>
      <c r="K1945">
        <v>4.07</v>
      </c>
      <c r="M1945">
        <v>1.77</v>
      </c>
      <c r="O1945">
        <v>0.158</v>
      </c>
      <c r="Q1945">
        <v>0.93</v>
      </c>
      <c r="R1945">
        <v>0.9</v>
      </c>
    </row>
    <row r="1946" spans="1:18" x14ac:dyDescent="0.2">
      <c r="A1946" t="s">
        <v>3562</v>
      </c>
      <c r="B1946" t="s">
        <v>3563</v>
      </c>
      <c r="C1946">
        <v>2014</v>
      </c>
      <c r="D1946">
        <v>1</v>
      </c>
      <c r="E1946" t="s">
        <v>55</v>
      </c>
      <c r="F1946" t="s">
        <v>128</v>
      </c>
      <c r="G1946" t="s">
        <v>63</v>
      </c>
      <c r="H1946">
        <v>3</v>
      </c>
      <c r="I1946">
        <v>29.198943</v>
      </c>
      <c r="J1946">
        <v>521</v>
      </c>
      <c r="M1946">
        <v>4.21</v>
      </c>
      <c r="O1946">
        <v>0.376</v>
      </c>
      <c r="R1946">
        <v>0.95</v>
      </c>
    </row>
    <row r="1947" spans="1:18" x14ac:dyDescent="0.2">
      <c r="A1947" t="s">
        <v>3562</v>
      </c>
      <c r="B1947" t="s">
        <v>3564</v>
      </c>
      <c r="C1947">
        <v>2014</v>
      </c>
      <c r="D1947">
        <v>1</v>
      </c>
      <c r="E1947" t="s">
        <v>55</v>
      </c>
      <c r="F1947" t="s">
        <v>128</v>
      </c>
      <c r="G1947" t="s">
        <v>63</v>
      </c>
      <c r="H1947">
        <v>3</v>
      </c>
      <c r="I1947">
        <v>55.328327999999999</v>
      </c>
      <c r="J1947">
        <v>521</v>
      </c>
      <c r="M1947">
        <v>1.61</v>
      </c>
      <c r="O1947">
        <v>0.14399999999999999</v>
      </c>
      <c r="R1947">
        <v>0.95</v>
      </c>
    </row>
    <row r="1948" spans="1:18" x14ac:dyDescent="0.2">
      <c r="A1948" t="s">
        <v>3562</v>
      </c>
      <c r="B1948" t="s">
        <v>3565</v>
      </c>
      <c r="C1948">
        <v>2014</v>
      </c>
      <c r="D1948">
        <v>1</v>
      </c>
      <c r="E1948" t="s">
        <v>55</v>
      </c>
      <c r="F1948" t="s">
        <v>128</v>
      </c>
      <c r="G1948" t="s">
        <v>63</v>
      </c>
      <c r="H1948">
        <v>3</v>
      </c>
      <c r="I1948">
        <v>160.01803200000001</v>
      </c>
      <c r="J1948">
        <v>521</v>
      </c>
      <c r="M1948">
        <v>3.96</v>
      </c>
      <c r="O1948">
        <v>0.35299999999999998</v>
      </c>
      <c r="R1948">
        <v>0.95</v>
      </c>
    </row>
    <row r="1949" spans="1:18" x14ac:dyDescent="0.2">
      <c r="A1949" t="s">
        <v>3566</v>
      </c>
      <c r="B1949" t="s">
        <v>3567</v>
      </c>
      <c r="C1949">
        <v>2016</v>
      </c>
      <c r="D1949">
        <v>1</v>
      </c>
      <c r="E1949" t="s">
        <v>55</v>
      </c>
      <c r="F1949" t="s">
        <v>128</v>
      </c>
      <c r="G1949" t="s">
        <v>63</v>
      </c>
      <c r="H1949">
        <v>1</v>
      </c>
      <c r="I1949">
        <v>92.436297300000007</v>
      </c>
      <c r="J1949">
        <v>968</v>
      </c>
      <c r="K1949">
        <v>4.57</v>
      </c>
      <c r="M1949">
        <v>3.04</v>
      </c>
      <c r="O1949">
        <v>0.27100000000000002</v>
      </c>
      <c r="Q1949">
        <v>0.9</v>
      </c>
      <c r="R1949">
        <v>0.87</v>
      </c>
    </row>
    <row r="1950" spans="1:18" x14ac:dyDescent="0.2">
      <c r="A1950" t="s">
        <v>3568</v>
      </c>
      <c r="B1950" t="s">
        <v>3569</v>
      </c>
      <c r="C1950">
        <v>2016</v>
      </c>
      <c r="D1950">
        <v>1</v>
      </c>
      <c r="E1950" t="s">
        <v>55</v>
      </c>
      <c r="F1950" t="s">
        <v>128</v>
      </c>
      <c r="G1950" t="s">
        <v>63</v>
      </c>
      <c r="H1950">
        <v>1</v>
      </c>
      <c r="I1950">
        <v>16.586176200000001</v>
      </c>
      <c r="J1950">
        <v>1312</v>
      </c>
      <c r="K1950">
        <v>4.57</v>
      </c>
      <c r="M1950">
        <v>1.51</v>
      </c>
      <c r="O1950">
        <v>0.13500000000000001</v>
      </c>
      <c r="Q1950">
        <v>1</v>
      </c>
      <c r="R1950">
        <v>0.99</v>
      </c>
    </row>
    <row r="1951" spans="1:18" x14ac:dyDescent="0.2">
      <c r="A1951" t="s">
        <v>3570</v>
      </c>
      <c r="B1951" t="s">
        <v>3571</v>
      </c>
      <c r="C1951">
        <v>2016</v>
      </c>
      <c r="D1951">
        <v>1</v>
      </c>
      <c r="E1951" t="s">
        <v>55</v>
      </c>
      <c r="F1951" t="s">
        <v>128</v>
      </c>
      <c r="G1951" t="s">
        <v>63</v>
      </c>
      <c r="H1951">
        <v>1</v>
      </c>
      <c r="I1951">
        <v>16.752550070000002</v>
      </c>
      <c r="J1951">
        <v>371</v>
      </c>
      <c r="K1951">
        <v>2.82</v>
      </c>
      <c r="M1951">
        <v>1.49</v>
      </c>
      <c r="O1951">
        <v>0.13300000000000001</v>
      </c>
      <c r="Q1951">
        <v>0.77</v>
      </c>
      <c r="R1951">
        <v>0.72</v>
      </c>
    </row>
    <row r="1952" spans="1:18" x14ac:dyDescent="0.2">
      <c r="A1952" t="s">
        <v>3572</v>
      </c>
      <c r="B1952" t="s">
        <v>3573</v>
      </c>
      <c r="C1952">
        <v>2016</v>
      </c>
      <c r="D1952">
        <v>1</v>
      </c>
      <c r="E1952" t="s">
        <v>55</v>
      </c>
      <c r="F1952" t="s">
        <v>128</v>
      </c>
      <c r="G1952" t="s">
        <v>63</v>
      </c>
      <c r="H1952">
        <v>1</v>
      </c>
      <c r="I1952">
        <v>15.0217983</v>
      </c>
      <c r="J1952">
        <v>572</v>
      </c>
      <c r="K1952">
        <v>6.46</v>
      </c>
      <c r="M1952">
        <v>1.41</v>
      </c>
      <c r="O1952">
        <v>0.126</v>
      </c>
      <c r="Q1952">
        <v>1.06</v>
      </c>
      <c r="R1952">
        <v>1.29</v>
      </c>
    </row>
    <row r="1953" spans="1:19" x14ac:dyDescent="0.2">
      <c r="A1953" t="s">
        <v>3574</v>
      </c>
      <c r="B1953" t="s">
        <v>3575</v>
      </c>
      <c r="C1953">
        <v>2016</v>
      </c>
      <c r="D1953">
        <v>1</v>
      </c>
      <c r="E1953" t="s">
        <v>55</v>
      </c>
      <c r="F1953" t="s">
        <v>128</v>
      </c>
      <c r="G1953" t="s">
        <v>63</v>
      </c>
      <c r="H1953">
        <v>1</v>
      </c>
      <c r="I1953">
        <v>91.080482000000003</v>
      </c>
      <c r="J1953">
        <v>1059</v>
      </c>
      <c r="K1953">
        <v>4.37</v>
      </c>
      <c r="M1953">
        <v>3.07</v>
      </c>
      <c r="O1953">
        <v>0.27400000000000002</v>
      </c>
      <c r="Q1953">
        <v>0.96</v>
      </c>
      <c r="R1953">
        <v>0.94</v>
      </c>
    </row>
    <row r="1954" spans="1:19" x14ac:dyDescent="0.2">
      <c r="A1954" t="s">
        <v>3576</v>
      </c>
      <c r="B1954" t="s">
        <v>3577</v>
      </c>
      <c r="C1954">
        <v>2016</v>
      </c>
      <c r="D1954">
        <v>1</v>
      </c>
      <c r="E1954" t="s">
        <v>55</v>
      </c>
      <c r="F1954" t="s">
        <v>128</v>
      </c>
      <c r="G1954" t="s">
        <v>63</v>
      </c>
      <c r="H1954">
        <v>1</v>
      </c>
      <c r="I1954">
        <v>85.273256000000003</v>
      </c>
      <c r="J1954">
        <v>1307</v>
      </c>
      <c r="K1954">
        <v>4.17</v>
      </c>
      <c r="M1954">
        <v>2.94</v>
      </c>
      <c r="O1954">
        <v>0.26200000000000001</v>
      </c>
      <c r="Q1954">
        <v>1.03</v>
      </c>
      <c r="R1954">
        <v>1.04</v>
      </c>
    </row>
    <row r="1955" spans="1:19" x14ac:dyDescent="0.2">
      <c r="A1955" t="s">
        <v>3578</v>
      </c>
      <c r="B1955" t="s">
        <v>3579</v>
      </c>
      <c r="C1955">
        <v>2016</v>
      </c>
      <c r="D1955">
        <v>1</v>
      </c>
      <c r="E1955" t="s">
        <v>55</v>
      </c>
      <c r="F1955" t="s">
        <v>128</v>
      </c>
      <c r="G1955" t="s">
        <v>63</v>
      </c>
      <c r="H1955">
        <v>1</v>
      </c>
      <c r="I1955">
        <v>64.658801699999998</v>
      </c>
      <c r="J1955">
        <v>1293</v>
      </c>
      <c r="K1955">
        <v>2.95</v>
      </c>
      <c r="M1955">
        <v>2.2200000000000002</v>
      </c>
      <c r="O1955">
        <v>0.19800000000000001</v>
      </c>
      <c r="Q1955">
        <v>1.18</v>
      </c>
      <c r="R1955">
        <v>1.27</v>
      </c>
    </row>
    <row r="1956" spans="1:19" x14ac:dyDescent="0.2">
      <c r="A1956" t="s">
        <v>3580</v>
      </c>
      <c r="B1956" t="s">
        <v>3581</v>
      </c>
      <c r="C1956">
        <v>2016</v>
      </c>
      <c r="D1956">
        <v>1</v>
      </c>
      <c r="E1956" t="s">
        <v>55</v>
      </c>
      <c r="F1956" t="s">
        <v>128</v>
      </c>
      <c r="G1956" t="s">
        <v>63</v>
      </c>
      <c r="H1956">
        <v>1</v>
      </c>
      <c r="I1956">
        <v>8.7419977200000005</v>
      </c>
      <c r="J1956">
        <v>1122</v>
      </c>
      <c r="K1956">
        <v>4.2699999999999996</v>
      </c>
      <c r="M1956">
        <v>1.66</v>
      </c>
      <c r="O1956">
        <v>0.14799999999999999</v>
      </c>
      <c r="Q1956">
        <v>0.96</v>
      </c>
      <c r="R1956">
        <v>0.95</v>
      </c>
    </row>
    <row r="1957" spans="1:19" x14ac:dyDescent="0.2">
      <c r="A1957" t="s">
        <v>3582</v>
      </c>
      <c r="B1957" t="s">
        <v>3583</v>
      </c>
      <c r="C1957">
        <v>2016</v>
      </c>
      <c r="D1957">
        <v>1</v>
      </c>
      <c r="E1957" t="s">
        <v>55</v>
      </c>
      <c r="F1957" t="s">
        <v>128</v>
      </c>
      <c r="G1957" t="s">
        <v>63</v>
      </c>
      <c r="H1957">
        <v>1</v>
      </c>
      <c r="I1957">
        <v>48.051405000000003</v>
      </c>
      <c r="J1957">
        <v>740</v>
      </c>
      <c r="K1957">
        <v>4.17</v>
      </c>
      <c r="M1957">
        <v>1.33</v>
      </c>
      <c r="O1957">
        <v>0.11899999999999999</v>
      </c>
      <c r="Q1957">
        <v>0.86</v>
      </c>
      <c r="R1957">
        <v>0.81</v>
      </c>
    </row>
    <row r="1958" spans="1:19" x14ac:dyDescent="0.2">
      <c r="A1958" t="s">
        <v>3584</v>
      </c>
      <c r="B1958" t="s">
        <v>3585</v>
      </c>
      <c r="C1958">
        <v>2016</v>
      </c>
      <c r="D1958">
        <v>1</v>
      </c>
      <c r="E1958" t="s">
        <v>55</v>
      </c>
      <c r="F1958" t="s">
        <v>128</v>
      </c>
      <c r="G1958" t="s">
        <v>63</v>
      </c>
      <c r="H1958">
        <v>1</v>
      </c>
      <c r="I1958">
        <v>44.200800000000001</v>
      </c>
      <c r="J1958">
        <v>310</v>
      </c>
      <c r="K1958">
        <v>4.68</v>
      </c>
      <c r="M1958">
        <v>1.19</v>
      </c>
      <c r="O1958">
        <v>0.106</v>
      </c>
      <c r="Q1958">
        <v>0.82</v>
      </c>
      <c r="R1958">
        <v>0.78</v>
      </c>
    </row>
    <row r="1959" spans="1:19" x14ac:dyDescent="0.2">
      <c r="A1959" t="s">
        <v>3586</v>
      </c>
      <c r="B1959" t="s">
        <v>3587</v>
      </c>
      <c r="C1959">
        <v>2011</v>
      </c>
      <c r="D1959">
        <v>1</v>
      </c>
      <c r="E1959" t="s">
        <v>55</v>
      </c>
      <c r="F1959" t="s">
        <v>128</v>
      </c>
      <c r="G1959" t="s">
        <v>63</v>
      </c>
      <c r="H1959">
        <v>1</v>
      </c>
      <c r="I1959">
        <v>4.9427820000000002</v>
      </c>
      <c r="J1959">
        <v>598</v>
      </c>
      <c r="K1959">
        <v>3.7</v>
      </c>
      <c r="L1959">
        <v>209.76</v>
      </c>
      <c r="M1959">
        <v>10.76</v>
      </c>
      <c r="N1959">
        <v>0.66</v>
      </c>
      <c r="O1959">
        <v>0.96</v>
      </c>
      <c r="P1959">
        <v>0.93</v>
      </c>
      <c r="Q1959">
        <v>1.02</v>
      </c>
      <c r="R1959">
        <v>0.99</v>
      </c>
      <c r="S1959">
        <v>1.47</v>
      </c>
    </row>
    <row r="1960" spans="1:19" x14ac:dyDescent="0.2">
      <c r="A1960" t="s">
        <v>3588</v>
      </c>
      <c r="B1960" t="s">
        <v>3589</v>
      </c>
      <c r="C1960">
        <v>2014</v>
      </c>
      <c r="D1960">
        <v>1</v>
      </c>
      <c r="E1960" t="s">
        <v>55</v>
      </c>
      <c r="F1960" t="s">
        <v>128</v>
      </c>
      <c r="G1960" t="s">
        <v>63</v>
      </c>
      <c r="H1960">
        <v>5</v>
      </c>
      <c r="I1960">
        <v>3.4280539999999999</v>
      </c>
      <c r="J1960">
        <v>927</v>
      </c>
      <c r="M1960">
        <v>1.25</v>
      </c>
      <c r="O1960">
        <v>0.112</v>
      </c>
      <c r="R1960">
        <v>0.94</v>
      </c>
    </row>
    <row r="1961" spans="1:19" x14ac:dyDescent="0.2">
      <c r="A1961" t="s">
        <v>3588</v>
      </c>
      <c r="B1961" t="s">
        <v>3590</v>
      </c>
      <c r="C1961">
        <v>2014</v>
      </c>
      <c r="D1961">
        <v>1</v>
      </c>
      <c r="E1961" t="s">
        <v>55</v>
      </c>
      <c r="F1961" t="s">
        <v>128</v>
      </c>
      <c r="G1961" t="s">
        <v>63</v>
      </c>
      <c r="H1961">
        <v>5</v>
      </c>
      <c r="I1961">
        <v>7.3819980000000003</v>
      </c>
      <c r="J1961">
        <v>927</v>
      </c>
      <c r="M1961">
        <v>3.69</v>
      </c>
      <c r="O1961">
        <v>0.32900000000000001</v>
      </c>
      <c r="R1961">
        <v>0.94</v>
      </c>
    </row>
    <row r="1962" spans="1:19" x14ac:dyDescent="0.2">
      <c r="A1962" t="s">
        <v>3588</v>
      </c>
      <c r="B1962" t="s">
        <v>3591</v>
      </c>
      <c r="C1962">
        <v>2014</v>
      </c>
      <c r="D1962">
        <v>1</v>
      </c>
      <c r="E1962" t="s">
        <v>55</v>
      </c>
      <c r="F1962" t="s">
        <v>128</v>
      </c>
      <c r="G1962" t="s">
        <v>63</v>
      </c>
      <c r="H1962">
        <v>5</v>
      </c>
      <c r="I1962">
        <v>12.560930000000001</v>
      </c>
      <c r="J1962">
        <v>927</v>
      </c>
      <c r="M1962">
        <v>2.79</v>
      </c>
      <c r="O1962">
        <v>0.249</v>
      </c>
      <c r="R1962">
        <v>0.94</v>
      </c>
    </row>
    <row r="1963" spans="1:19" x14ac:dyDescent="0.2">
      <c r="A1963" t="s">
        <v>3588</v>
      </c>
      <c r="B1963" t="s">
        <v>3592</v>
      </c>
      <c r="C1963">
        <v>2014</v>
      </c>
      <c r="D1963">
        <v>1</v>
      </c>
      <c r="E1963" t="s">
        <v>55</v>
      </c>
      <c r="F1963" t="s">
        <v>128</v>
      </c>
      <c r="G1963" t="s">
        <v>63</v>
      </c>
      <c r="H1963">
        <v>5</v>
      </c>
      <c r="I1963">
        <v>30.826557000000001</v>
      </c>
      <c r="J1963">
        <v>927</v>
      </c>
      <c r="M1963">
        <v>3.12</v>
      </c>
      <c r="O1963">
        <v>0.27800000000000002</v>
      </c>
      <c r="R1963">
        <v>0.94</v>
      </c>
    </row>
    <row r="1964" spans="1:19" x14ac:dyDescent="0.2">
      <c r="A1964" t="s">
        <v>3588</v>
      </c>
      <c r="B1964" t="s">
        <v>3593</v>
      </c>
      <c r="C1964">
        <v>2017</v>
      </c>
      <c r="D1964">
        <v>1</v>
      </c>
      <c r="E1964" t="s">
        <v>55</v>
      </c>
      <c r="F1964" t="s">
        <v>128</v>
      </c>
      <c r="G1964" t="s">
        <v>63</v>
      </c>
      <c r="H1964">
        <v>5</v>
      </c>
      <c r="I1964">
        <v>637.20929999999998</v>
      </c>
      <c r="J1964">
        <v>927</v>
      </c>
      <c r="M1964">
        <v>3.64</v>
      </c>
      <c r="O1964">
        <v>0.32500000000000001</v>
      </c>
      <c r="R1964">
        <v>0.94</v>
      </c>
    </row>
    <row r="1965" spans="1:19" x14ac:dyDescent="0.2">
      <c r="A1965" t="s">
        <v>3594</v>
      </c>
      <c r="B1965" t="s">
        <v>3595</v>
      </c>
      <c r="C1965">
        <v>2016</v>
      </c>
      <c r="D1965">
        <v>1</v>
      </c>
      <c r="E1965" t="s">
        <v>55</v>
      </c>
      <c r="F1965" t="s">
        <v>128</v>
      </c>
      <c r="G1965" t="s">
        <v>63</v>
      </c>
      <c r="H1965">
        <v>1</v>
      </c>
      <c r="I1965">
        <v>15.0330105</v>
      </c>
      <c r="J1965">
        <v>904</v>
      </c>
      <c r="K1965">
        <v>4.07</v>
      </c>
      <c r="M1965">
        <v>1.2</v>
      </c>
      <c r="O1965">
        <v>0.107</v>
      </c>
      <c r="Q1965">
        <v>1</v>
      </c>
      <c r="R1965">
        <v>1</v>
      </c>
    </row>
    <row r="1966" spans="1:19" x14ac:dyDescent="0.2">
      <c r="A1966" t="s">
        <v>3596</v>
      </c>
      <c r="B1966" t="s">
        <v>3597</v>
      </c>
      <c r="C1966">
        <v>2016</v>
      </c>
      <c r="D1966">
        <v>1</v>
      </c>
      <c r="E1966" t="s">
        <v>55</v>
      </c>
      <c r="F1966" t="s">
        <v>128</v>
      </c>
      <c r="G1966" t="s">
        <v>63</v>
      </c>
      <c r="H1966">
        <v>1</v>
      </c>
      <c r="I1966">
        <v>14.556453299999999</v>
      </c>
      <c r="J1966">
        <v>888</v>
      </c>
      <c r="K1966">
        <v>2.75</v>
      </c>
      <c r="M1966">
        <v>1.56</v>
      </c>
      <c r="O1966">
        <v>0.13900000000000001</v>
      </c>
      <c r="Q1966">
        <v>1.2</v>
      </c>
      <c r="R1966">
        <v>1.3</v>
      </c>
    </row>
    <row r="1967" spans="1:19" x14ac:dyDescent="0.2">
      <c r="A1967" t="s">
        <v>3598</v>
      </c>
      <c r="B1967" t="s">
        <v>3599</v>
      </c>
      <c r="C1967">
        <v>2016</v>
      </c>
      <c r="D1967">
        <v>1</v>
      </c>
      <c r="E1967" t="s">
        <v>55</v>
      </c>
      <c r="F1967" t="s">
        <v>128</v>
      </c>
      <c r="G1967" t="s">
        <v>63</v>
      </c>
      <c r="H1967">
        <v>1</v>
      </c>
      <c r="I1967">
        <v>41.708362899999997</v>
      </c>
      <c r="J1967">
        <v>1540</v>
      </c>
      <c r="K1967">
        <v>1.7</v>
      </c>
      <c r="M1967">
        <v>3.18</v>
      </c>
      <c r="O1967">
        <v>0.28399999999999997</v>
      </c>
      <c r="Q1967">
        <v>1.44</v>
      </c>
      <c r="R1967">
        <v>1.72</v>
      </c>
    </row>
    <row r="1968" spans="1:19" x14ac:dyDescent="0.2">
      <c r="A1968" t="s">
        <v>3600</v>
      </c>
      <c r="B1968" t="s">
        <v>3601</v>
      </c>
      <c r="C1968">
        <v>2016</v>
      </c>
      <c r="D1968">
        <v>1</v>
      </c>
      <c r="E1968" t="s">
        <v>55</v>
      </c>
      <c r="F1968" t="s">
        <v>128</v>
      </c>
      <c r="G1968" t="s">
        <v>63</v>
      </c>
      <c r="H1968">
        <v>1</v>
      </c>
      <c r="I1968">
        <v>96.169870000000003</v>
      </c>
      <c r="J1968">
        <v>850</v>
      </c>
      <c r="K1968">
        <v>5.13</v>
      </c>
      <c r="M1968">
        <v>2.27</v>
      </c>
      <c r="O1968">
        <v>0.20300000000000001</v>
      </c>
      <c r="Q1968">
        <v>0.77</v>
      </c>
      <c r="R1968">
        <v>0.74</v>
      </c>
    </row>
    <row r="1969" spans="1:18" x14ac:dyDescent="0.2">
      <c r="A1969" t="s">
        <v>3602</v>
      </c>
      <c r="B1969" t="s">
        <v>3603</v>
      </c>
      <c r="C1969">
        <v>2016</v>
      </c>
      <c r="D1969">
        <v>1</v>
      </c>
      <c r="E1969" t="s">
        <v>55</v>
      </c>
      <c r="F1969" t="s">
        <v>128</v>
      </c>
      <c r="G1969" t="s">
        <v>63</v>
      </c>
      <c r="H1969">
        <v>1</v>
      </c>
      <c r="I1969">
        <v>82.304002999999994</v>
      </c>
      <c r="J1969">
        <v>1029</v>
      </c>
      <c r="K1969">
        <v>4.47</v>
      </c>
      <c r="M1969">
        <v>2.13</v>
      </c>
      <c r="O1969">
        <v>0.19</v>
      </c>
      <c r="Q1969">
        <v>0.85</v>
      </c>
      <c r="R1969">
        <v>0.81</v>
      </c>
    </row>
    <row r="1970" spans="1:18" x14ac:dyDescent="0.2">
      <c r="A1970" t="s">
        <v>3604</v>
      </c>
      <c r="B1970" t="s">
        <v>3605</v>
      </c>
      <c r="C1970">
        <v>2016</v>
      </c>
      <c r="D1970">
        <v>1</v>
      </c>
      <c r="E1970" t="s">
        <v>55</v>
      </c>
      <c r="F1970" t="s">
        <v>128</v>
      </c>
      <c r="G1970" t="s">
        <v>63</v>
      </c>
      <c r="H1970">
        <v>1</v>
      </c>
      <c r="I1970">
        <v>30.860936599999999</v>
      </c>
      <c r="J1970">
        <v>359</v>
      </c>
      <c r="K1970">
        <v>1.7</v>
      </c>
      <c r="M1970">
        <v>0.93</v>
      </c>
      <c r="O1970">
        <v>8.3000000000000004E-2</v>
      </c>
      <c r="Q1970">
        <v>0.93</v>
      </c>
      <c r="R1970">
        <v>0.86</v>
      </c>
    </row>
    <row r="1971" spans="1:18" x14ac:dyDescent="0.2">
      <c r="A1971" t="s">
        <v>3606</v>
      </c>
      <c r="B1971" t="s">
        <v>3607</v>
      </c>
      <c r="C1971">
        <v>2016</v>
      </c>
      <c r="D1971">
        <v>1</v>
      </c>
      <c r="E1971" t="s">
        <v>55</v>
      </c>
      <c r="F1971" t="s">
        <v>128</v>
      </c>
      <c r="G1971" t="s">
        <v>63</v>
      </c>
      <c r="H1971">
        <v>1</v>
      </c>
      <c r="I1971">
        <v>14.0329154</v>
      </c>
      <c r="J1971">
        <v>1318</v>
      </c>
      <c r="K1971">
        <v>3.98</v>
      </c>
      <c r="M1971">
        <v>1.32</v>
      </c>
      <c r="O1971">
        <v>0.11799999999999999</v>
      </c>
      <c r="Q1971">
        <v>0.95</v>
      </c>
      <c r="R1971">
        <v>0.93</v>
      </c>
    </row>
    <row r="1972" spans="1:18" x14ac:dyDescent="0.2">
      <c r="A1972" t="s">
        <v>3608</v>
      </c>
      <c r="B1972" t="s">
        <v>3609</v>
      </c>
      <c r="C1972">
        <v>2016</v>
      </c>
      <c r="D1972">
        <v>1</v>
      </c>
      <c r="E1972" t="s">
        <v>55</v>
      </c>
      <c r="F1972" t="s">
        <v>128</v>
      </c>
      <c r="G1972" t="s">
        <v>63</v>
      </c>
      <c r="H1972">
        <v>1</v>
      </c>
      <c r="I1972">
        <v>16.0506213</v>
      </c>
      <c r="J1972">
        <v>342</v>
      </c>
      <c r="K1972">
        <v>4.57</v>
      </c>
      <c r="M1972">
        <v>0.84</v>
      </c>
      <c r="O1972">
        <v>7.4999999999999997E-2</v>
      </c>
      <c r="Q1972">
        <v>0.89</v>
      </c>
      <c r="R1972">
        <v>0.85</v>
      </c>
    </row>
    <row r="1973" spans="1:18" x14ac:dyDescent="0.2">
      <c r="A1973" t="s">
        <v>3610</v>
      </c>
      <c r="B1973" t="s">
        <v>3611</v>
      </c>
      <c r="C1973">
        <v>2016</v>
      </c>
      <c r="D1973">
        <v>1</v>
      </c>
      <c r="E1973" t="s">
        <v>55</v>
      </c>
      <c r="F1973" t="s">
        <v>128</v>
      </c>
      <c r="G1973" t="s">
        <v>63</v>
      </c>
      <c r="H1973">
        <v>1</v>
      </c>
      <c r="I1973">
        <v>20.7056504</v>
      </c>
      <c r="J1973">
        <v>892</v>
      </c>
      <c r="K1973">
        <v>2.69</v>
      </c>
      <c r="M1973">
        <v>1.33</v>
      </c>
      <c r="O1973">
        <v>0.11899999999999999</v>
      </c>
      <c r="Q1973">
        <v>1.1399999999999999</v>
      </c>
      <c r="R1973">
        <v>1.22</v>
      </c>
    </row>
    <row r="1974" spans="1:18" x14ac:dyDescent="0.2">
      <c r="A1974" t="s">
        <v>3612</v>
      </c>
      <c r="B1974" t="s">
        <v>3613</v>
      </c>
      <c r="C1974">
        <v>2016</v>
      </c>
      <c r="D1974">
        <v>1</v>
      </c>
      <c r="E1974" t="s">
        <v>55</v>
      </c>
      <c r="F1974" t="s">
        <v>128</v>
      </c>
      <c r="G1974" t="s">
        <v>63</v>
      </c>
      <c r="H1974">
        <v>1</v>
      </c>
      <c r="I1974">
        <v>25.433819700000001</v>
      </c>
      <c r="J1974">
        <v>1277</v>
      </c>
      <c r="K1974">
        <v>3.98</v>
      </c>
      <c r="M1974">
        <v>1.85</v>
      </c>
      <c r="O1974">
        <v>0.16500000000000001</v>
      </c>
      <c r="Q1974">
        <v>1</v>
      </c>
      <c r="R1974">
        <v>0.99</v>
      </c>
    </row>
    <row r="1975" spans="1:18" x14ac:dyDescent="0.2">
      <c r="A1975" t="s">
        <v>3614</v>
      </c>
      <c r="B1975" t="s">
        <v>3615</v>
      </c>
      <c r="C1975">
        <v>2014</v>
      </c>
      <c r="D1975">
        <v>1</v>
      </c>
      <c r="E1975" t="s">
        <v>55</v>
      </c>
      <c r="F1975" t="s">
        <v>128</v>
      </c>
      <c r="G1975" t="s">
        <v>63</v>
      </c>
      <c r="H1975">
        <v>2</v>
      </c>
      <c r="I1975">
        <v>15.228958</v>
      </c>
      <c r="J1975">
        <v>661</v>
      </c>
      <c r="M1975">
        <v>3.06</v>
      </c>
      <c r="O1975">
        <v>0.27300000000000002</v>
      </c>
      <c r="R1975">
        <v>0.83</v>
      </c>
    </row>
    <row r="1976" spans="1:18" x14ac:dyDescent="0.2">
      <c r="A1976" t="s">
        <v>3614</v>
      </c>
      <c r="B1976" t="s">
        <v>3616</v>
      </c>
      <c r="C1976">
        <v>2014</v>
      </c>
      <c r="D1976">
        <v>1</v>
      </c>
      <c r="E1976" t="s">
        <v>55</v>
      </c>
      <c r="F1976" t="s">
        <v>128</v>
      </c>
      <c r="G1976" t="s">
        <v>63</v>
      </c>
      <c r="H1976">
        <v>2</v>
      </c>
      <c r="I1976">
        <v>24.674612</v>
      </c>
      <c r="J1976">
        <v>661</v>
      </c>
      <c r="M1976">
        <v>2.09</v>
      </c>
      <c r="O1976">
        <v>0.186</v>
      </c>
      <c r="R1976">
        <v>0.83</v>
      </c>
    </row>
    <row r="1977" spans="1:18" x14ac:dyDescent="0.2">
      <c r="A1977" t="s">
        <v>3617</v>
      </c>
      <c r="B1977" t="s">
        <v>3618</v>
      </c>
      <c r="C1977">
        <v>2016</v>
      </c>
      <c r="D1977">
        <v>1</v>
      </c>
      <c r="E1977" t="s">
        <v>55</v>
      </c>
      <c r="F1977" t="s">
        <v>128</v>
      </c>
      <c r="G1977" t="s">
        <v>63</v>
      </c>
      <c r="H1977">
        <v>1</v>
      </c>
      <c r="I1977">
        <v>84.703920999999994</v>
      </c>
      <c r="J1977">
        <v>1615</v>
      </c>
      <c r="K1977">
        <v>2.75</v>
      </c>
      <c r="M1977">
        <v>3.36</v>
      </c>
      <c r="O1977">
        <v>0.3</v>
      </c>
      <c r="Q1977">
        <v>1.19</v>
      </c>
      <c r="R1977">
        <v>1.28</v>
      </c>
    </row>
    <row r="1978" spans="1:18" x14ac:dyDescent="0.2">
      <c r="A1978" t="s">
        <v>3619</v>
      </c>
      <c r="B1978" t="s">
        <v>3620</v>
      </c>
      <c r="C1978">
        <v>2016</v>
      </c>
      <c r="D1978">
        <v>1</v>
      </c>
      <c r="E1978" t="s">
        <v>55</v>
      </c>
      <c r="F1978" t="s">
        <v>128</v>
      </c>
      <c r="G1978" t="s">
        <v>63</v>
      </c>
      <c r="H1978">
        <v>1</v>
      </c>
      <c r="I1978">
        <v>23.238279200000001</v>
      </c>
      <c r="J1978">
        <v>897</v>
      </c>
      <c r="K1978">
        <v>3.31</v>
      </c>
      <c r="M1978">
        <v>1.68</v>
      </c>
      <c r="O1978">
        <v>0.15</v>
      </c>
      <c r="Q1978">
        <v>1.17</v>
      </c>
      <c r="R1978">
        <v>1.29</v>
      </c>
    </row>
    <row r="1979" spans="1:18" x14ac:dyDescent="0.2">
      <c r="A1979" t="s">
        <v>3621</v>
      </c>
      <c r="B1979" t="s">
        <v>3622</v>
      </c>
      <c r="C1979">
        <v>2016</v>
      </c>
      <c r="D1979">
        <v>1</v>
      </c>
      <c r="E1979" t="s">
        <v>55</v>
      </c>
      <c r="F1979" t="s">
        <v>128</v>
      </c>
      <c r="G1979" t="s">
        <v>63</v>
      </c>
      <c r="H1979">
        <v>1</v>
      </c>
      <c r="I1979">
        <v>20.359725990000001</v>
      </c>
      <c r="J1979">
        <v>162</v>
      </c>
      <c r="K1979">
        <v>1.78</v>
      </c>
      <c r="M1979">
        <v>1.18</v>
      </c>
      <c r="O1979">
        <v>0.105</v>
      </c>
      <c r="Q1979">
        <v>0.73</v>
      </c>
      <c r="R1979">
        <v>0.67</v>
      </c>
    </row>
    <row r="1980" spans="1:18" x14ac:dyDescent="0.2">
      <c r="A1980" t="s">
        <v>3623</v>
      </c>
      <c r="B1980" t="s">
        <v>3624</v>
      </c>
      <c r="C1980">
        <v>2016</v>
      </c>
      <c r="D1980">
        <v>1</v>
      </c>
      <c r="E1980" t="s">
        <v>55</v>
      </c>
      <c r="F1980" t="s">
        <v>128</v>
      </c>
      <c r="G1980" t="s">
        <v>63</v>
      </c>
      <c r="H1980">
        <v>1</v>
      </c>
      <c r="I1980">
        <v>160.8846509</v>
      </c>
      <c r="J1980">
        <v>384</v>
      </c>
      <c r="K1980">
        <v>3.98</v>
      </c>
      <c r="M1980">
        <v>8.4600000000000009</v>
      </c>
      <c r="O1980">
        <v>0.755</v>
      </c>
      <c r="Q1980">
        <v>0.99</v>
      </c>
      <c r="R1980">
        <v>0.97</v>
      </c>
    </row>
    <row r="1981" spans="1:18" x14ac:dyDescent="0.2">
      <c r="A1981" t="s">
        <v>3625</v>
      </c>
      <c r="B1981" t="s">
        <v>3626</v>
      </c>
      <c r="C1981">
        <v>2016</v>
      </c>
      <c r="D1981">
        <v>1</v>
      </c>
      <c r="E1981" t="s">
        <v>55</v>
      </c>
      <c r="F1981" t="s">
        <v>128</v>
      </c>
      <c r="G1981" t="s">
        <v>63</v>
      </c>
      <c r="H1981">
        <v>1</v>
      </c>
      <c r="I1981">
        <v>217.83176259999999</v>
      </c>
      <c r="J1981">
        <v>379</v>
      </c>
      <c r="K1981">
        <v>1.58</v>
      </c>
      <c r="M1981">
        <v>11.82</v>
      </c>
      <c r="O1981">
        <v>1.0549999999999999</v>
      </c>
      <c r="Q1981">
        <v>1.21</v>
      </c>
      <c r="R1981">
        <v>1.22</v>
      </c>
    </row>
    <row r="1982" spans="1:18" x14ac:dyDescent="0.2">
      <c r="A1982" t="s">
        <v>3627</v>
      </c>
      <c r="B1982" t="s">
        <v>3628</v>
      </c>
      <c r="C1982">
        <v>2016</v>
      </c>
      <c r="D1982">
        <v>1</v>
      </c>
      <c r="E1982" t="s">
        <v>55</v>
      </c>
      <c r="F1982" t="s">
        <v>128</v>
      </c>
      <c r="G1982" t="s">
        <v>63</v>
      </c>
      <c r="H1982">
        <v>1</v>
      </c>
      <c r="I1982">
        <v>214.31141640000001</v>
      </c>
      <c r="J1982">
        <v>504</v>
      </c>
      <c r="K1982">
        <v>1.82</v>
      </c>
      <c r="M1982">
        <v>9.5500000000000007</v>
      </c>
      <c r="O1982">
        <v>0.85199999999999998</v>
      </c>
      <c r="Q1982">
        <v>1.3</v>
      </c>
      <c r="R1982">
        <v>1.41</v>
      </c>
    </row>
    <row r="1983" spans="1:18" x14ac:dyDescent="0.2">
      <c r="A1983" t="s">
        <v>3629</v>
      </c>
      <c r="B1983" t="s">
        <v>3630</v>
      </c>
      <c r="C1983">
        <v>2016</v>
      </c>
      <c r="D1983">
        <v>1</v>
      </c>
      <c r="E1983" t="s">
        <v>55</v>
      </c>
      <c r="F1983" t="s">
        <v>128</v>
      </c>
      <c r="G1983" t="s">
        <v>63</v>
      </c>
      <c r="H1983">
        <v>1</v>
      </c>
      <c r="I1983">
        <v>7.2593197900000002</v>
      </c>
      <c r="J1983">
        <v>872</v>
      </c>
      <c r="K1983">
        <v>4.07</v>
      </c>
      <c r="M1983">
        <v>1.75</v>
      </c>
      <c r="O1983">
        <v>0.156</v>
      </c>
      <c r="Q1983">
        <v>1.04</v>
      </c>
      <c r="R1983">
        <v>1.07</v>
      </c>
    </row>
    <row r="1984" spans="1:18" x14ac:dyDescent="0.2">
      <c r="A1984" t="s">
        <v>3631</v>
      </c>
      <c r="B1984" t="s">
        <v>3632</v>
      </c>
      <c r="C1984">
        <v>2016</v>
      </c>
      <c r="D1984">
        <v>1</v>
      </c>
      <c r="E1984" t="s">
        <v>55</v>
      </c>
      <c r="F1984" t="s">
        <v>128</v>
      </c>
      <c r="G1984" t="s">
        <v>63</v>
      </c>
      <c r="H1984">
        <v>1</v>
      </c>
      <c r="I1984">
        <v>5.5460836699999998</v>
      </c>
      <c r="J1984">
        <v>869</v>
      </c>
      <c r="K1984">
        <v>1.38</v>
      </c>
      <c r="M1984">
        <v>9.76</v>
      </c>
      <c r="O1984">
        <v>0.871</v>
      </c>
      <c r="Q1984">
        <v>1.58</v>
      </c>
      <c r="R1984">
        <v>1.95</v>
      </c>
    </row>
    <row r="1985" spans="1:18" x14ac:dyDescent="0.2">
      <c r="A1985" t="s">
        <v>3633</v>
      </c>
      <c r="B1985" t="s">
        <v>3634</v>
      </c>
      <c r="C1985">
        <v>2016</v>
      </c>
      <c r="D1985">
        <v>1</v>
      </c>
      <c r="E1985" t="s">
        <v>55</v>
      </c>
      <c r="F1985" t="s">
        <v>128</v>
      </c>
      <c r="G1985" t="s">
        <v>63</v>
      </c>
      <c r="H1985">
        <v>1</v>
      </c>
      <c r="I1985">
        <v>5.1117790400000001</v>
      </c>
      <c r="J1985">
        <v>1140</v>
      </c>
      <c r="K1985">
        <v>1.48</v>
      </c>
      <c r="M1985">
        <v>3.05</v>
      </c>
      <c r="O1985">
        <v>0.27200000000000002</v>
      </c>
      <c r="Q1985">
        <v>1.54</v>
      </c>
      <c r="R1985">
        <v>1.88</v>
      </c>
    </row>
    <row r="1986" spans="1:18" x14ac:dyDescent="0.2">
      <c r="A1986" t="s">
        <v>3635</v>
      </c>
      <c r="B1986" t="s">
        <v>3636</v>
      </c>
      <c r="C1986">
        <v>2016</v>
      </c>
      <c r="D1986">
        <v>1</v>
      </c>
      <c r="E1986" t="s">
        <v>55</v>
      </c>
      <c r="F1986" t="s">
        <v>128</v>
      </c>
      <c r="G1986" t="s">
        <v>63</v>
      </c>
      <c r="H1986">
        <v>1</v>
      </c>
      <c r="I1986">
        <v>240.79893970000001</v>
      </c>
      <c r="J1986">
        <v>858</v>
      </c>
      <c r="K1986">
        <v>3.98</v>
      </c>
      <c r="M1986">
        <v>7.06</v>
      </c>
      <c r="O1986">
        <v>0.63</v>
      </c>
      <c r="Q1986">
        <v>0.94</v>
      </c>
      <c r="R1986">
        <v>0.91</v>
      </c>
    </row>
    <row r="1987" spans="1:18" x14ac:dyDescent="0.2">
      <c r="A1987" t="s">
        <v>3637</v>
      </c>
      <c r="B1987" t="s">
        <v>3638</v>
      </c>
      <c r="C1987">
        <v>2014</v>
      </c>
      <c r="D1987">
        <v>1</v>
      </c>
      <c r="E1987" t="s">
        <v>55</v>
      </c>
      <c r="F1987" t="s">
        <v>128</v>
      </c>
      <c r="G1987" t="s">
        <v>63</v>
      </c>
      <c r="H1987">
        <v>2</v>
      </c>
      <c r="I1987">
        <v>18.207972999999999</v>
      </c>
      <c r="J1987">
        <v>459</v>
      </c>
      <c r="M1987">
        <v>2.79</v>
      </c>
      <c r="O1987">
        <v>0.249</v>
      </c>
      <c r="R1987">
        <v>0.72</v>
      </c>
    </row>
    <row r="1988" spans="1:18" x14ac:dyDescent="0.2">
      <c r="A1988" t="s">
        <v>3637</v>
      </c>
      <c r="B1988" t="s">
        <v>3639</v>
      </c>
      <c r="C1988">
        <v>2014</v>
      </c>
      <c r="D1988">
        <v>1</v>
      </c>
      <c r="E1988" t="s">
        <v>55</v>
      </c>
      <c r="F1988" t="s">
        <v>128</v>
      </c>
      <c r="G1988" t="s">
        <v>63</v>
      </c>
      <c r="H1988">
        <v>2</v>
      </c>
      <c r="I1988">
        <v>88.255054999999999</v>
      </c>
      <c r="J1988">
        <v>459</v>
      </c>
      <c r="M1988">
        <v>2.39</v>
      </c>
      <c r="O1988">
        <v>0.21299999999999999</v>
      </c>
      <c r="R1988">
        <v>0.72</v>
      </c>
    </row>
    <row r="1989" spans="1:18" x14ac:dyDescent="0.2">
      <c r="A1989" t="s">
        <v>3640</v>
      </c>
      <c r="B1989" t="s">
        <v>3641</v>
      </c>
      <c r="C1989">
        <v>2016</v>
      </c>
      <c r="D1989">
        <v>1</v>
      </c>
      <c r="E1989" t="s">
        <v>55</v>
      </c>
      <c r="F1989" t="s">
        <v>128</v>
      </c>
      <c r="G1989" t="s">
        <v>63</v>
      </c>
      <c r="H1989">
        <v>1</v>
      </c>
      <c r="I1989">
        <v>0.65355357000000003</v>
      </c>
      <c r="J1989">
        <v>636</v>
      </c>
      <c r="K1989">
        <v>4.47</v>
      </c>
      <c r="M1989">
        <v>5.77</v>
      </c>
      <c r="O1989">
        <v>0.51500000000000001</v>
      </c>
      <c r="Q1989">
        <v>0.76</v>
      </c>
      <c r="R1989">
        <v>0.71</v>
      </c>
    </row>
    <row r="1990" spans="1:18" x14ac:dyDescent="0.2">
      <c r="A1990" t="s">
        <v>3642</v>
      </c>
      <c r="B1990" t="s">
        <v>3643</v>
      </c>
      <c r="C1990">
        <v>2016</v>
      </c>
      <c r="D1990">
        <v>1</v>
      </c>
      <c r="E1990" t="s">
        <v>55</v>
      </c>
      <c r="F1990" t="s">
        <v>128</v>
      </c>
      <c r="G1990" t="s">
        <v>63</v>
      </c>
      <c r="H1990">
        <v>1</v>
      </c>
      <c r="I1990">
        <v>47.14840805</v>
      </c>
      <c r="J1990">
        <v>227</v>
      </c>
      <c r="K1990">
        <v>4.47</v>
      </c>
      <c r="M1990">
        <v>2.5</v>
      </c>
      <c r="O1990">
        <v>0.223</v>
      </c>
      <c r="Q1990">
        <v>0.81</v>
      </c>
      <c r="R1990">
        <v>0.76</v>
      </c>
    </row>
    <row r="1991" spans="1:18" x14ac:dyDescent="0.2">
      <c r="A1991" t="s">
        <v>3644</v>
      </c>
      <c r="B1991" t="s">
        <v>3645</v>
      </c>
      <c r="C1991">
        <v>2016</v>
      </c>
      <c r="D1991">
        <v>1</v>
      </c>
      <c r="E1991" t="s">
        <v>55</v>
      </c>
      <c r="F1991" t="s">
        <v>128</v>
      </c>
      <c r="G1991" t="s">
        <v>63</v>
      </c>
      <c r="H1991">
        <v>1</v>
      </c>
      <c r="I1991">
        <v>1.84788917</v>
      </c>
      <c r="J1991">
        <v>690</v>
      </c>
      <c r="K1991">
        <v>3.89</v>
      </c>
      <c r="M1991">
        <v>1.73</v>
      </c>
      <c r="O1991">
        <v>0.154</v>
      </c>
      <c r="Q1991">
        <v>0.96</v>
      </c>
      <c r="R1991">
        <v>0.93</v>
      </c>
    </row>
    <row r="1992" spans="1:18" x14ac:dyDescent="0.2">
      <c r="A1992" t="s">
        <v>3646</v>
      </c>
      <c r="B1992" t="s">
        <v>3647</v>
      </c>
      <c r="C1992">
        <v>2016</v>
      </c>
      <c r="D1992">
        <v>1</v>
      </c>
      <c r="E1992" t="s">
        <v>55</v>
      </c>
      <c r="F1992" t="s">
        <v>128</v>
      </c>
      <c r="G1992" t="s">
        <v>63</v>
      </c>
      <c r="H1992">
        <v>1</v>
      </c>
      <c r="I1992">
        <v>0.93875076999999996</v>
      </c>
      <c r="J1992">
        <v>918</v>
      </c>
      <c r="K1992">
        <v>4.37</v>
      </c>
      <c r="M1992">
        <v>1.58</v>
      </c>
      <c r="O1992">
        <v>0.14099999999999999</v>
      </c>
      <c r="Q1992">
        <v>0.97</v>
      </c>
      <c r="R1992">
        <v>0.96</v>
      </c>
    </row>
    <row r="1993" spans="1:18" x14ac:dyDescent="0.2">
      <c r="A1993" t="s">
        <v>3648</v>
      </c>
      <c r="B1993" t="s">
        <v>3649</v>
      </c>
      <c r="C1993">
        <v>2016</v>
      </c>
      <c r="D1993">
        <v>1</v>
      </c>
      <c r="E1993" t="s">
        <v>55</v>
      </c>
      <c r="F1993" t="s">
        <v>128</v>
      </c>
      <c r="G1993" t="s">
        <v>63</v>
      </c>
      <c r="H1993">
        <v>1</v>
      </c>
      <c r="I1993">
        <v>70.967460299999999</v>
      </c>
      <c r="J1993">
        <v>506</v>
      </c>
      <c r="K1993">
        <v>2.88</v>
      </c>
      <c r="M1993">
        <v>3.54</v>
      </c>
      <c r="O1993">
        <v>0.316</v>
      </c>
      <c r="Q1993">
        <v>1.17</v>
      </c>
      <c r="R1993">
        <v>1.25</v>
      </c>
    </row>
    <row r="1994" spans="1:18" x14ac:dyDescent="0.2">
      <c r="A1994" t="s">
        <v>3650</v>
      </c>
      <c r="B1994" t="s">
        <v>3651</v>
      </c>
      <c r="C1994">
        <v>2016</v>
      </c>
      <c r="D1994">
        <v>1</v>
      </c>
      <c r="E1994" t="s">
        <v>55</v>
      </c>
      <c r="F1994" t="s">
        <v>128</v>
      </c>
      <c r="G1994" t="s">
        <v>63</v>
      </c>
      <c r="H1994">
        <v>1</v>
      </c>
      <c r="I1994">
        <v>2.4166011799999998</v>
      </c>
      <c r="J1994">
        <v>396</v>
      </c>
      <c r="K1994">
        <v>2.82</v>
      </c>
      <c r="M1994">
        <v>0.91</v>
      </c>
      <c r="O1994">
        <v>8.1000000000000003E-2</v>
      </c>
      <c r="Q1994">
        <v>1.07</v>
      </c>
      <c r="R1994">
        <v>1.04</v>
      </c>
    </row>
    <row r="1995" spans="1:18" x14ac:dyDescent="0.2">
      <c r="A1995" t="s">
        <v>3652</v>
      </c>
      <c r="B1995" t="s">
        <v>3653</v>
      </c>
      <c r="C1995">
        <v>2016</v>
      </c>
      <c r="D1995">
        <v>1</v>
      </c>
      <c r="E1995" t="s">
        <v>55</v>
      </c>
      <c r="F1995" t="s">
        <v>128</v>
      </c>
      <c r="G1995" t="s">
        <v>63</v>
      </c>
      <c r="H1995">
        <v>1</v>
      </c>
      <c r="I1995">
        <v>3.9086319999999999</v>
      </c>
      <c r="J1995">
        <v>576</v>
      </c>
      <c r="K1995">
        <v>4.68</v>
      </c>
      <c r="M1995">
        <v>2.4300000000000002</v>
      </c>
      <c r="O1995">
        <v>0.217</v>
      </c>
      <c r="Q1995">
        <v>0.73</v>
      </c>
      <c r="R1995">
        <v>0.69</v>
      </c>
    </row>
    <row r="1996" spans="1:18" x14ac:dyDescent="0.2">
      <c r="A1996" t="s">
        <v>3654</v>
      </c>
      <c r="B1996" t="s">
        <v>3655</v>
      </c>
      <c r="C1996">
        <v>2016</v>
      </c>
      <c r="D1996">
        <v>1</v>
      </c>
      <c r="E1996" t="s">
        <v>55</v>
      </c>
      <c r="F1996" t="s">
        <v>128</v>
      </c>
      <c r="G1996" t="s">
        <v>63</v>
      </c>
      <c r="H1996">
        <v>1</v>
      </c>
      <c r="I1996">
        <v>160.129918</v>
      </c>
      <c r="J1996">
        <v>1560</v>
      </c>
      <c r="K1996">
        <v>2.82</v>
      </c>
      <c r="M1996">
        <v>4.7699999999999996</v>
      </c>
      <c r="O1996">
        <v>0.42599999999999999</v>
      </c>
      <c r="Q1996">
        <v>1.21</v>
      </c>
      <c r="R1996">
        <v>1.32</v>
      </c>
    </row>
    <row r="1997" spans="1:18" x14ac:dyDescent="0.2">
      <c r="A1997" t="s">
        <v>3656</v>
      </c>
      <c r="B1997" t="s">
        <v>3657</v>
      </c>
      <c r="C1997">
        <v>2016</v>
      </c>
      <c r="D1997">
        <v>1</v>
      </c>
      <c r="E1997" t="s">
        <v>55</v>
      </c>
      <c r="F1997" t="s">
        <v>128</v>
      </c>
      <c r="G1997" t="s">
        <v>63</v>
      </c>
      <c r="H1997">
        <v>1</v>
      </c>
      <c r="I1997">
        <v>1.79111021</v>
      </c>
      <c r="J1997">
        <v>916</v>
      </c>
      <c r="K1997">
        <v>3.89</v>
      </c>
      <c r="M1997">
        <v>1.46</v>
      </c>
      <c r="O1997">
        <v>0.13</v>
      </c>
      <c r="Q1997">
        <v>1.03</v>
      </c>
      <c r="R1997">
        <v>1.03</v>
      </c>
    </row>
    <row r="1998" spans="1:18" x14ac:dyDescent="0.2">
      <c r="A1998" t="s">
        <v>3658</v>
      </c>
      <c r="B1998" t="s">
        <v>3659</v>
      </c>
      <c r="C1998">
        <v>2016</v>
      </c>
      <c r="D1998">
        <v>1</v>
      </c>
      <c r="E1998" t="s">
        <v>55</v>
      </c>
      <c r="F1998" t="s">
        <v>128</v>
      </c>
      <c r="G1998" t="s">
        <v>63</v>
      </c>
      <c r="H1998">
        <v>1</v>
      </c>
      <c r="I1998">
        <v>5.3390568600000003</v>
      </c>
      <c r="J1998">
        <v>683</v>
      </c>
      <c r="K1998">
        <v>4.79</v>
      </c>
      <c r="M1998">
        <v>2.1</v>
      </c>
      <c r="O1998">
        <v>0.187</v>
      </c>
      <c r="Q1998">
        <v>0.81</v>
      </c>
      <c r="R1998">
        <v>0.77</v>
      </c>
    </row>
    <row r="1999" spans="1:18" x14ac:dyDescent="0.2">
      <c r="A1999" t="s">
        <v>3660</v>
      </c>
      <c r="B1999" t="s">
        <v>3661</v>
      </c>
      <c r="C1999">
        <v>2014</v>
      </c>
      <c r="D1999">
        <v>1</v>
      </c>
      <c r="E1999" t="s">
        <v>55</v>
      </c>
      <c r="F1999" t="s">
        <v>128</v>
      </c>
      <c r="G1999" t="s">
        <v>63</v>
      </c>
      <c r="H1999">
        <v>2</v>
      </c>
      <c r="I1999">
        <v>18.870227</v>
      </c>
      <c r="J1999">
        <v>504</v>
      </c>
      <c r="M1999">
        <v>2.92</v>
      </c>
      <c r="O1999">
        <v>0.26100000000000001</v>
      </c>
      <c r="R1999">
        <v>0.89</v>
      </c>
    </row>
    <row r="2000" spans="1:18" x14ac:dyDescent="0.2">
      <c r="A2000" t="s">
        <v>3660</v>
      </c>
      <c r="B2000" t="s">
        <v>3662</v>
      </c>
      <c r="C2000">
        <v>2014</v>
      </c>
      <c r="D2000">
        <v>1</v>
      </c>
      <c r="E2000" t="s">
        <v>55</v>
      </c>
      <c r="F2000" t="s">
        <v>128</v>
      </c>
      <c r="G2000" t="s">
        <v>63</v>
      </c>
      <c r="H2000">
        <v>2</v>
      </c>
      <c r="I2000">
        <v>46.902320000000003</v>
      </c>
      <c r="J2000">
        <v>504</v>
      </c>
      <c r="M2000">
        <v>2.5299999999999998</v>
      </c>
      <c r="O2000">
        <v>0.22600000000000001</v>
      </c>
      <c r="R2000">
        <v>0.89</v>
      </c>
    </row>
    <row r="2001" spans="1:18" x14ac:dyDescent="0.2">
      <c r="A2001" t="s">
        <v>3663</v>
      </c>
      <c r="B2001" t="s">
        <v>3664</v>
      </c>
      <c r="C2001">
        <v>2016</v>
      </c>
      <c r="D2001">
        <v>1</v>
      </c>
      <c r="E2001" t="s">
        <v>55</v>
      </c>
      <c r="F2001" t="s">
        <v>128</v>
      </c>
      <c r="G2001" t="s">
        <v>63</v>
      </c>
      <c r="H2001">
        <v>2</v>
      </c>
      <c r="I2001">
        <v>2.5904433999999998</v>
      </c>
      <c r="J2001">
        <v>552</v>
      </c>
      <c r="K2001">
        <v>4.2699999999999996</v>
      </c>
      <c r="M2001">
        <v>1.64</v>
      </c>
      <c r="O2001">
        <v>0.14599999999999999</v>
      </c>
      <c r="Q2001">
        <v>0.92</v>
      </c>
      <c r="R2001">
        <v>0.88</v>
      </c>
    </row>
    <row r="2002" spans="1:18" x14ac:dyDescent="0.2">
      <c r="A2002" t="s">
        <v>3663</v>
      </c>
      <c r="B2002" t="s">
        <v>3665</v>
      </c>
      <c r="C2002">
        <v>2016</v>
      </c>
      <c r="D2002">
        <v>1</v>
      </c>
      <c r="E2002" t="s">
        <v>55</v>
      </c>
      <c r="F2002" t="s">
        <v>128</v>
      </c>
      <c r="G2002" t="s">
        <v>63</v>
      </c>
      <c r="H2002">
        <v>2</v>
      </c>
      <c r="I2002">
        <v>5.3227406000000004</v>
      </c>
      <c r="J2002">
        <v>552</v>
      </c>
      <c r="K2002">
        <v>4.2699999999999996</v>
      </c>
      <c r="M2002">
        <v>1.65</v>
      </c>
      <c r="O2002">
        <v>0.14699999999999999</v>
      </c>
      <c r="Q2002">
        <v>0.92</v>
      </c>
      <c r="R2002">
        <v>0.88</v>
      </c>
    </row>
    <row r="2003" spans="1:18" x14ac:dyDescent="0.2">
      <c r="A2003" t="s">
        <v>3666</v>
      </c>
      <c r="B2003" t="s">
        <v>3667</v>
      </c>
      <c r="C2003">
        <v>2016</v>
      </c>
      <c r="D2003">
        <v>1</v>
      </c>
      <c r="E2003" t="s">
        <v>55</v>
      </c>
      <c r="F2003" t="s">
        <v>128</v>
      </c>
      <c r="G2003" t="s">
        <v>63</v>
      </c>
      <c r="H2003">
        <v>1</v>
      </c>
      <c r="I2003">
        <v>1.13854338</v>
      </c>
      <c r="J2003">
        <v>670</v>
      </c>
      <c r="K2003">
        <v>2.82</v>
      </c>
      <c r="M2003">
        <v>1.1100000000000001</v>
      </c>
      <c r="O2003">
        <v>9.9000000000000005E-2</v>
      </c>
      <c r="Q2003">
        <v>1.1599999999999999</v>
      </c>
      <c r="R2003">
        <v>1.27</v>
      </c>
    </row>
    <row r="2004" spans="1:18" x14ac:dyDescent="0.2">
      <c r="A2004" t="s">
        <v>3668</v>
      </c>
      <c r="B2004" t="s">
        <v>3669</v>
      </c>
      <c r="C2004">
        <v>2016</v>
      </c>
      <c r="D2004">
        <v>1</v>
      </c>
      <c r="E2004" t="s">
        <v>55</v>
      </c>
      <c r="F2004" t="s">
        <v>128</v>
      </c>
      <c r="G2004" t="s">
        <v>63</v>
      </c>
      <c r="H2004">
        <v>1</v>
      </c>
      <c r="I2004">
        <v>1.09366356</v>
      </c>
      <c r="J2004">
        <v>824</v>
      </c>
      <c r="K2004">
        <v>4.2699999999999996</v>
      </c>
      <c r="M2004">
        <v>1.35</v>
      </c>
      <c r="O2004">
        <v>0.12</v>
      </c>
      <c r="Q2004">
        <v>0.91</v>
      </c>
      <c r="R2004">
        <v>0.88</v>
      </c>
    </row>
    <row r="2005" spans="1:18" x14ac:dyDescent="0.2">
      <c r="A2005" t="s">
        <v>3670</v>
      </c>
      <c r="B2005" t="s">
        <v>3671</v>
      </c>
      <c r="C2005">
        <v>2016</v>
      </c>
      <c r="D2005">
        <v>1</v>
      </c>
      <c r="E2005" t="s">
        <v>55</v>
      </c>
      <c r="F2005" t="s">
        <v>128</v>
      </c>
      <c r="G2005" t="s">
        <v>63</v>
      </c>
      <c r="H2005">
        <v>1</v>
      </c>
      <c r="I2005">
        <v>308.5471</v>
      </c>
      <c r="J2005">
        <v>852</v>
      </c>
      <c r="K2005">
        <v>2.19</v>
      </c>
      <c r="M2005">
        <v>3.46</v>
      </c>
      <c r="O2005">
        <v>0.309</v>
      </c>
      <c r="Q2005">
        <v>1.31</v>
      </c>
      <c r="R2005">
        <v>1.51</v>
      </c>
    </row>
    <row r="2006" spans="1:18" x14ac:dyDescent="0.2">
      <c r="A2006" t="s">
        <v>3672</v>
      </c>
      <c r="B2006" t="s">
        <v>3673</v>
      </c>
      <c r="C2006">
        <v>2016</v>
      </c>
      <c r="D2006">
        <v>1</v>
      </c>
      <c r="E2006" t="s">
        <v>55</v>
      </c>
      <c r="F2006" t="s">
        <v>128</v>
      </c>
      <c r="G2006" t="s">
        <v>63</v>
      </c>
      <c r="H2006">
        <v>1</v>
      </c>
      <c r="I2006">
        <v>5.7166887199999996</v>
      </c>
      <c r="J2006">
        <v>1107</v>
      </c>
      <c r="K2006">
        <v>4.57</v>
      </c>
      <c r="M2006">
        <v>1.89</v>
      </c>
      <c r="O2006">
        <v>0.16900000000000001</v>
      </c>
      <c r="Q2006">
        <v>0.9</v>
      </c>
      <c r="R2006">
        <v>0.86</v>
      </c>
    </row>
    <row r="2007" spans="1:18" x14ac:dyDescent="0.2">
      <c r="A2007" t="s">
        <v>3674</v>
      </c>
      <c r="B2007" t="s">
        <v>3675</v>
      </c>
      <c r="C2007">
        <v>2016</v>
      </c>
      <c r="D2007">
        <v>1</v>
      </c>
      <c r="E2007" t="s">
        <v>55</v>
      </c>
      <c r="F2007" t="s">
        <v>128</v>
      </c>
      <c r="G2007" t="s">
        <v>63</v>
      </c>
      <c r="H2007">
        <v>1</v>
      </c>
      <c r="I2007">
        <v>138.9442</v>
      </c>
      <c r="J2007">
        <v>879</v>
      </c>
      <c r="K2007">
        <v>3.47</v>
      </c>
      <c r="M2007">
        <v>2.5499999999999998</v>
      </c>
      <c r="O2007">
        <v>0.22700000000000001</v>
      </c>
      <c r="Q2007">
        <v>1.08</v>
      </c>
      <c r="R2007">
        <v>1.1100000000000001</v>
      </c>
    </row>
    <row r="2008" spans="1:18" x14ac:dyDescent="0.2">
      <c r="A2008" t="s">
        <v>3676</v>
      </c>
      <c r="B2008" t="s">
        <v>3677</v>
      </c>
      <c r="C2008">
        <v>2016</v>
      </c>
      <c r="D2008">
        <v>1</v>
      </c>
      <c r="E2008" t="s">
        <v>55</v>
      </c>
      <c r="F2008" t="s">
        <v>128</v>
      </c>
      <c r="G2008" t="s">
        <v>63</v>
      </c>
      <c r="H2008">
        <v>1</v>
      </c>
      <c r="I2008">
        <v>364.75803100000002</v>
      </c>
      <c r="J2008">
        <v>401</v>
      </c>
      <c r="K2008">
        <v>2.95</v>
      </c>
      <c r="M2008">
        <v>3.14</v>
      </c>
      <c r="O2008">
        <v>0.28000000000000003</v>
      </c>
      <c r="Q2008">
        <v>0.71</v>
      </c>
      <c r="R2008">
        <v>0.67</v>
      </c>
    </row>
    <row r="2009" spans="1:18" x14ac:dyDescent="0.2">
      <c r="A2009" t="s">
        <v>3678</v>
      </c>
      <c r="B2009" t="s">
        <v>3679</v>
      </c>
      <c r="C2009">
        <v>2016</v>
      </c>
      <c r="D2009">
        <v>1</v>
      </c>
      <c r="E2009" t="s">
        <v>55</v>
      </c>
      <c r="F2009" t="s">
        <v>128</v>
      </c>
      <c r="G2009" t="s">
        <v>63</v>
      </c>
      <c r="H2009">
        <v>1</v>
      </c>
      <c r="I2009">
        <v>1.4444538</v>
      </c>
      <c r="J2009">
        <v>503</v>
      </c>
      <c r="K2009">
        <v>5.01</v>
      </c>
      <c r="M2009">
        <v>1.18</v>
      </c>
      <c r="O2009">
        <v>0.105</v>
      </c>
      <c r="Q2009">
        <v>0.81</v>
      </c>
      <c r="R2009">
        <v>0.77</v>
      </c>
    </row>
    <row r="2010" spans="1:18" x14ac:dyDescent="0.2">
      <c r="A2010" t="s">
        <v>3680</v>
      </c>
      <c r="B2010" t="s">
        <v>3681</v>
      </c>
      <c r="C2010">
        <v>2016</v>
      </c>
      <c r="D2010">
        <v>1</v>
      </c>
      <c r="E2010" t="s">
        <v>55</v>
      </c>
      <c r="F2010" t="s">
        <v>128</v>
      </c>
      <c r="G2010" t="s">
        <v>63</v>
      </c>
      <c r="H2010">
        <v>1</v>
      </c>
      <c r="I2010">
        <v>175.13881900000001</v>
      </c>
      <c r="J2010">
        <v>1291</v>
      </c>
      <c r="K2010">
        <v>4.37</v>
      </c>
      <c r="M2010">
        <v>2.82</v>
      </c>
      <c r="O2010">
        <v>0.252</v>
      </c>
      <c r="Q2010">
        <v>1.03</v>
      </c>
      <c r="R2010">
        <v>1.03</v>
      </c>
    </row>
    <row r="2011" spans="1:18" x14ac:dyDescent="0.2">
      <c r="A2011" t="s">
        <v>3682</v>
      </c>
      <c r="B2011" t="s">
        <v>3683</v>
      </c>
      <c r="C2011">
        <v>2016</v>
      </c>
      <c r="D2011">
        <v>1</v>
      </c>
      <c r="E2011" t="s">
        <v>55</v>
      </c>
      <c r="F2011" t="s">
        <v>128</v>
      </c>
      <c r="G2011" t="s">
        <v>63</v>
      </c>
      <c r="H2011">
        <v>1</v>
      </c>
      <c r="I2011">
        <v>133.30367409999999</v>
      </c>
      <c r="J2011">
        <v>788</v>
      </c>
      <c r="K2011">
        <v>4.79</v>
      </c>
      <c r="M2011">
        <v>2.7</v>
      </c>
      <c r="O2011">
        <v>0.24099999999999999</v>
      </c>
      <c r="Q2011">
        <v>0.84</v>
      </c>
      <c r="R2011">
        <v>0.8</v>
      </c>
    </row>
    <row r="2012" spans="1:18" x14ac:dyDescent="0.2">
      <c r="A2012" t="s">
        <v>3684</v>
      </c>
      <c r="B2012" t="s">
        <v>3685</v>
      </c>
      <c r="C2012">
        <v>2014</v>
      </c>
      <c r="D2012">
        <v>1</v>
      </c>
      <c r="E2012" t="s">
        <v>55</v>
      </c>
      <c r="F2012" t="s">
        <v>128</v>
      </c>
      <c r="G2012" t="s">
        <v>63</v>
      </c>
      <c r="H2012">
        <v>5</v>
      </c>
      <c r="I2012">
        <v>33.040531999999999</v>
      </c>
      <c r="J2012">
        <v>855</v>
      </c>
      <c r="M2012">
        <v>2.2599999999999998</v>
      </c>
      <c r="O2012">
        <v>0.20200000000000001</v>
      </c>
      <c r="R2012">
        <v>1</v>
      </c>
    </row>
    <row r="2013" spans="1:18" x14ac:dyDescent="0.2">
      <c r="A2013" t="s">
        <v>3684</v>
      </c>
      <c r="B2013" t="s">
        <v>3686</v>
      </c>
      <c r="C2013">
        <v>2014</v>
      </c>
      <c r="D2013">
        <v>1</v>
      </c>
      <c r="E2013" t="s">
        <v>55</v>
      </c>
      <c r="F2013" t="s">
        <v>128</v>
      </c>
      <c r="G2013" t="s">
        <v>63</v>
      </c>
      <c r="H2013">
        <v>5</v>
      </c>
      <c r="I2013">
        <v>62.303275999999997</v>
      </c>
      <c r="J2013">
        <v>855</v>
      </c>
      <c r="M2013">
        <v>2.95</v>
      </c>
      <c r="O2013">
        <v>0.26300000000000001</v>
      </c>
      <c r="R2013">
        <v>1</v>
      </c>
    </row>
    <row r="2014" spans="1:18" x14ac:dyDescent="0.2">
      <c r="A2014" t="s">
        <v>3684</v>
      </c>
      <c r="B2014" t="s">
        <v>3687</v>
      </c>
      <c r="C2014">
        <v>2016</v>
      </c>
      <c r="D2014">
        <v>1</v>
      </c>
      <c r="E2014" t="s">
        <v>55</v>
      </c>
      <c r="F2014" t="s">
        <v>128</v>
      </c>
      <c r="G2014" t="s">
        <v>63</v>
      </c>
      <c r="H2014">
        <v>5</v>
      </c>
      <c r="I2014">
        <v>20.54981883</v>
      </c>
      <c r="J2014">
        <v>855</v>
      </c>
      <c r="M2014">
        <v>3.84</v>
      </c>
      <c r="O2014">
        <v>0.34300000000000003</v>
      </c>
      <c r="R2014">
        <v>1</v>
      </c>
    </row>
    <row r="2015" spans="1:18" x14ac:dyDescent="0.2">
      <c r="A2015" t="s">
        <v>3684</v>
      </c>
      <c r="B2015" t="s">
        <v>3688</v>
      </c>
      <c r="C2015">
        <v>2016</v>
      </c>
      <c r="D2015">
        <v>1</v>
      </c>
      <c r="E2015" t="s">
        <v>55</v>
      </c>
      <c r="F2015" t="s">
        <v>128</v>
      </c>
      <c r="G2015" t="s">
        <v>63</v>
      </c>
      <c r="H2015">
        <v>5</v>
      </c>
      <c r="I2015">
        <v>3.9327646500000002</v>
      </c>
      <c r="J2015">
        <v>855</v>
      </c>
      <c r="M2015">
        <v>1.5</v>
      </c>
      <c r="O2015">
        <v>0.13400000000000001</v>
      </c>
      <c r="R2015">
        <v>1</v>
      </c>
    </row>
    <row r="2016" spans="1:18" x14ac:dyDescent="0.2">
      <c r="A2016" t="s">
        <v>3684</v>
      </c>
      <c r="B2016" t="s">
        <v>3689</v>
      </c>
      <c r="C2016">
        <v>2016</v>
      </c>
      <c r="D2016">
        <v>1</v>
      </c>
      <c r="E2016" t="s">
        <v>55</v>
      </c>
      <c r="F2016" t="s">
        <v>128</v>
      </c>
      <c r="G2016" t="s">
        <v>63</v>
      </c>
      <c r="H2016">
        <v>5</v>
      </c>
      <c r="I2016">
        <v>9.9193568400000007</v>
      </c>
      <c r="J2016">
        <v>855</v>
      </c>
      <c r="M2016">
        <v>1.5</v>
      </c>
      <c r="O2016">
        <v>0.13400000000000001</v>
      </c>
      <c r="R2016">
        <v>1</v>
      </c>
    </row>
    <row r="2017" spans="1:18" x14ac:dyDescent="0.2">
      <c r="A2017" t="s">
        <v>3690</v>
      </c>
      <c r="B2017" t="s">
        <v>3691</v>
      </c>
      <c r="C2017">
        <v>2016</v>
      </c>
      <c r="D2017">
        <v>1</v>
      </c>
      <c r="E2017" t="s">
        <v>55</v>
      </c>
      <c r="F2017" t="s">
        <v>128</v>
      </c>
      <c r="G2017" t="s">
        <v>63</v>
      </c>
      <c r="H2017">
        <v>1</v>
      </c>
      <c r="I2017">
        <v>125.4131177</v>
      </c>
      <c r="J2017">
        <v>262</v>
      </c>
      <c r="K2017">
        <v>2.5099999999999998</v>
      </c>
      <c r="M2017">
        <v>2.4900000000000002</v>
      </c>
      <c r="O2017">
        <v>0.222</v>
      </c>
      <c r="Q2017">
        <v>0.74</v>
      </c>
      <c r="R2017">
        <v>0.69</v>
      </c>
    </row>
    <row r="2018" spans="1:18" x14ac:dyDescent="0.2">
      <c r="A2018" t="s">
        <v>3692</v>
      </c>
      <c r="B2018" t="s">
        <v>3693</v>
      </c>
      <c r="C2018">
        <v>2016</v>
      </c>
      <c r="D2018">
        <v>1</v>
      </c>
      <c r="E2018" t="s">
        <v>55</v>
      </c>
      <c r="F2018" t="s">
        <v>128</v>
      </c>
      <c r="G2018" t="s">
        <v>63</v>
      </c>
      <c r="H2018">
        <v>1</v>
      </c>
      <c r="I2018">
        <v>8.4069119899999993</v>
      </c>
      <c r="J2018">
        <v>414</v>
      </c>
      <c r="K2018">
        <v>4.47</v>
      </c>
      <c r="M2018">
        <v>1.1599999999999999</v>
      </c>
      <c r="O2018">
        <v>0.10299999999999999</v>
      </c>
      <c r="Q2018">
        <v>0.86</v>
      </c>
      <c r="R2018">
        <v>0.81</v>
      </c>
    </row>
    <row r="2019" spans="1:18" x14ac:dyDescent="0.2">
      <c r="A2019" t="s">
        <v>3694</v>
      </c>
      <c r="B2019" t="s">
        <v>3695</v>
      </c>
      <c r="C2019">
        <v>2016</v>
      </c>
      <c r="D2019">
        <v>1</v>
      </c>
      <c r="E2019" t="s">
        <v>55</v>
      </c>
      <c r="F2019" t="s">
        <v>128</v>
      </c>
      <c r="G2019" t="s">
        <v>63</v>
      </c>
      <c r="H2019">
        <v>4</v>
      </c>
      <c r="I2019">
        <v>3.9511688199999999</v>
      </c>
      <c r="J2019">
        <v>336</v>
      </c>
      <c r="K2019">
        <v>8.51</v>
      </c>
      <c r="M2019">
        <v>0.76</v>
      </c>
      <c r="O2019">
        <v>6.8000000000000005E-2</v>
      </c>
      <c r="Q2019">
        <v>0.94</v>
      </c>
      <c r="R2019">
        <v>0.99</v>
      </c>
    </row>
    <row r="2020" spans="1:18" x14ac:dyDescent="0.2">
      <c r="A2020" t="s">
        <v>3694</v>
      </c>
      <c r="B2020" t="s">
        <v>3696</v>
      </c>
      <c r="C2020">
        <v>2016</v>
      </c>
      <c r="D2020">
        <v>1</v>
      </c>
      <c r="E2020" t="s">
        <v>55</v>
      </c>
      <c r="F2020" t="s">
        <v>128</v>
      </c>
      <c r="G2020" t="s">
        <v>63</v>
      </c>
      <c r="H2020">
        <v>4</v>
      </c>
      <c r="I2020">
        <v>2.8922302100000001</v>
      </c>
      <c r="J2020">
        <v>336</v>
      </c>
      <c r="K2020">
        <v>8.51</v>
      </c>
      <c r="M2020">
        <v>0.65</v>
      </c>
      <c r="O2020">
        <v>5.8000000000000003E-2</v>
      </c>
      <c r="Q2020">
        <v>0.94</v>
      </c>
      <c r="R2020">
        <v>0.99</v>
      </c>
    </row>
    <row r="2021" spans="1:18" x14ac:dyDescent="0.2">
      <c r="A2021" t="s">
        <v>3694</v>
      </c>
      <c r="B2021" t="s">
        <v>3697</v>
      </c>
      <c r="C2021">
        <v>2016</v>
      </c>
      <c r="D2021">
        <v>1</v>
      </c>
      <c r="E2021" t="s">
        <v>55</v>
      </c>
      <c r="F2021" t="s">
        <v>128</v>
      </c>
      <c r="G2021" t="s">
        <v>63</v>
      </c>
      <c r="H2021">
        <v>4</v>
      </c>
      <c r="I2021">
        <v>5.9927373800000003</v>
      </c>
      <c r="J2021">
        <v>336</v>
      </c>
      <c r="K2021">
        <v>8.51</v>
      </c>
      <c r="M2021">
        <v>0.87</v>
      </c>
      <c r="O2021">
        <v>7.8E-2</v>
      </c>
      <c r="Q2021">
        <v>0.94</v>
      </c>
      <c r="R2021">
        <v>0.99</v>
      </c>
    </row>
    <row r="2022" spans="1:18" x14ac:dyDescent="0.2">
      <c r="A2022" t="s">
        <v>3694</v>
      </c>
      <c r="B2022" t="s">
        <v>3698</v>
      </c>
      <c r="C2022">
        <v>2016</v>
      </c>
      <c r="D2022">
        <v>1</v>
      </c>
      <c r="E2022" t="s">
        <v>55</v>
      </c>
      <c r="F2022" t="s">
        <v>128</v>
      </c>
      <c r="G2022" t="s">
        <v>63</v>
      </c>
      <c r="H2022">
        <v>4</v>
      </c>
      <c r="I2022">
        <v>5.1011575599999999</v>
      </c>
      <c r="J2022">
        <v>336</v>
      </c>
      <c r="K2022">
        <v>8.51</v>
      </c>
      <c r="M2022">
        <v>0.76</v>
      </c>
      <c r="O2022">
        <v>6.8000000000000005E-2</v>
      </c>
      <c r="Q2022">
        <v>0.94</v>
      </c>
      <c r="R2022">
        <v>0.99</v>
      </c>
    </row>
    <row r="2023" spans="1:18" x14ac:dyDescent="0.2">
      <c r="A2023" t="s">
        <v>3699</v>
      </c>
      <c r="B2023" t="s">
        <v>3700</v>
      </c>
      <c r="C2023">
        <v>2016</v>
      </c>
      <c r="D2023">
        <v>1</v>
      </c>
      <c r="E2023" t="s">
        <v>55</v>
      </c>
      <c r="F2023" t="s">
        <v>128</v>
      </c>
      <c r="G2023" t="s">
        <v>63</v>
      </c>
      <c r="H2023">
        <v>1</v>
      </c>
      <c r="I2023">
        <v>6.9671026899999999</v>
      </c>
      <c r="J2023">
        <v>1114</v>
      </c>
      <c r="K2023">
        <v>1.91</v>
      </c>
      <c r="M2023">
        <v>2.71</v>
      </c>
      <c r="O2023">
        <v>0.24199999999999999</v>
      </c>
      <c r="Q2023">
        <v>1.39</v>
      </c>
      <c r="R2023">
        <v>1.65</v>
      </c>
    </row>
    <row r="2024" spans="1:18" x14ac:dyDescent="0.2">
      <c r="A2024" t="s">
        <v>3701</v>
      </c>
      <c r="B2024" t="s">
        <v>3702</v>
      </c>
      <c r="C2024">
        <v>2016</v>
      </c>
      <c r="D2024">
        <v>1</v>
      </c>
      <c r="E2024" t="s">
        <v>55</v>
      </c>
      <c r="F2024" t="s">
        <v>128</v>
      </c>
      <c r="G2024" t="s">
        <v>63</v>
      </c>
      <c r="H2024">
        <v>1</v>
      </c>
      <c r="I2024">
        <v>168.81117399999999</v>
      </c>
      <c r="J2024">
        <v>349</v>
      </c>
      <c r="K2024">
        <v>2.34</v>
      </c>
      <c r="M2024">
        <v>1.78</v>
      </c>
      <c r="O2024">
        <v>0.159</v>
      </c>
      <c r="Q2024">
        <v>0.81</v>
      </c>
      <c r="R2024">
        <v>0.74</v>
      </c>
    </row>
    <row r="2025" spans="1:18" x14ac:dyDescent="0.2">
      <c r="A2025" t="s">
        <v>3703</v>
      </c>
      <c r="B2025" t="s">
        <v>3704</v>
      </c>
      <c r="C2025">
        <v>2016</v>
      </c>
      <c r="D2025">
        <v>1</v>
      </c>
      <c r="E2025" t="s">
        <v>55</v>
      </c>
      <c r="F2025" t="s">
        <v>128</v>
      </c>
      <c r="G2025" t="s">
        <v>63</v>
      </c>
      <c r="H2025">
        <v>1</v>
      </c>
      <c r="I2025">
        <v>163.69234900000001</v>
      </c>
      <c r="J2025">
        <v>688</v>
      </c>
      <c r="K2025">
        <v>4.47</v>
      </c>
      <c r="M2025">
        <v>2.7</v>
      </c>
      <c r="O2025">
        <v>0.24099999999999999</v>
      </c>
      <c r="Q2025">
        <v>0.84</v>
      </c>
      <c r="R2025">
        <v>0.8</v>
      </c>
    </row>
    <row r="2026" spans="1:18" x14ac:dyDescent="0.2">
      <c r="A2026" t="s">
        <v>3705</v>
      </c>
      <c r="B2026" t="s">
        <v>3706</v>
      </c>
      <c r="C2026">
        <v>2016</v>
      </c>
      <c r="D2026">
        <v>1</v>
      </c>
      <c r="E2026" t="s">
        <v>55</v>
      </c>
      <c r="F2026" t="s">
        <v>128</v>
      </c>
      <c r="G2026" t="s">
        <v>63</v>
      </c>
      <c r="H2026">
        <v>1</v>
      </c>
      <c r="I2026">
        <v>19.597497099999998</v>
      </c>
      <c r="J2026">
        <v>994</v>
      </c>
      <c r="K2026">
        <v>3.72</v>
      </c>
      <c r="M2026">
        <v>3.13</v>
      </c>
      <c r="O2026">
        <v>0.27900000000000003</v>
      </c>
      <c r="Q2026">
        <v>0.95</v>
      </c>
      <c r="R2026">
        <v>0.93</v>
      </c>
    </row>
    <row r="2027" spans="1:18" x14ac:dyDescent="0.2">
      <c r="A2027" t="s">
        <v>3707</v>
      </c>
      <c r="B2027" t="s">
        <v>3708</v>
      </c>
      <c r="C2027">
        <v>2016</v>
      </c>
      <c r="D2027">
        <v>1</v>
      </c>
      <c r="E2027" t="s">
        <v>55</v>
      </c>
      <c r="F2027" t="s">
        <v>128</v>
      </c>
      <c r="G2027" t="s">
        <v>63</v>
      </c>
      <c r="H2027">
        <v>1</v>
      </c>
      <c r="I2027">
        <v>0.69297967999999999</v>
      </c>
      <c r="J2027">
        <v>665</v>
      </c>
      <c r="K2027">
        <v>3.39</v>
      </c>
      <c r="M2027">
        <v>0.9</v>
      </c>
      <c r="O2027">
        <v>0.08</v>
      </c>
      <c r="Q2027">
        <v>1.1200000000000001</v>
      </c>
      <c r="R2027">
        <v>1.18</v>
      </c>
    </row>
    <row r="2028" spans="1:18" x14ac:dyDescent="0.2">
      <c r="A2028" t="s">
        <v>3709</v>
      </c>
      <c r="B2028" t="s">
        <v>3710</v>
      </c>
      <c r="C2028">
        <v>2016</v>
      </c>
      <c r="D2028">
        <v>1</v>
      </c>
      <c r="E2028" t="s">
        <v>55</v>
      </c>
      <c r="F2028" t="s">
        <v>128</v>
      </c>
      <c r="G2028" t="s">
        <v>63</v>
      </c>
      <c r="H2028">
        <v>1</v>
      </c>
      <c r="I2028">
        <v>124.82867899999999</v>
      </c>
      <c r="J2028">
        <v>1150</v>
      </c>
      <c r="K2028">
        <v>4.37</v>
      </c>
      <c r="M2028">
        <v>2.64</v>
      </c>
      <c r="O2028">
        <v>0.23599999999999999</v>
      </c>
      <c r="Q2028">
        <v>0.99</v>
      </c>
      <c r="R2028">
        <v>0.97</v>
      </c>
    </row>
    <row r="2029" spans="1:18" x14ac:dyDescent="0.2">
      <c r="A2029" t="s">
        <v>3711</v>
      </c>
      <c r="B2029" t="s">
        <v>3712</v>
      </c>
      <c r="C2029">
        <v>2016</v>
      </c>
      <c r="D2029">
        <v>1</v>
      </c>
      <c r="E2029" t="s">
        <v>55</v>
      </c>
      <c r="F2029" t="s">
        <v>128</v>
      </c>
      <c r="G2029" t="s">
        <v>63</v>
      </c>
      <c r="H2029">
        <v>1</v>
      </c>
      <c r="I2029">
        <v>214.88654500000001</v>
      </c>
      <c r="J2029">
        <v>792</v>
      </c>
      <c r="K2029">
        <v>4.79</v>
      </c>
      <c r="M2029">
        <v>2.57</v>
      </c>
      <c r="O2029">
        <v>0.22900000000000001</v>
      </c>
      <c r="Q2029">
        <v>0.88</v>
      </c>
      <c r="R2029">
        <v>0.84</v>
      </c>
    </row>
    <row r="2030" spans="1:18" x14ac:dyDescent="0.2">
      <c r="A2030" t="s">
        <v>3713</v>
      </c>
      <c r="B2030" t="s">
        <v>3714</v>
      </c>
      <c r="C2030">
        <v>2014</v>
      </c>
      <c r="D2030">
        <v>1</v>
      </c>
      <c r="E2030" t="s">
        <v>55</v>
      </c>
      <c r="F2030" t="s">
        <v>128</v>
      </c>
      <c r="G2030" t="s">
        <v>63</v>
      </c>
      <c r="H2030">
        <v>2</v>
      </c>
      <c r="I2030">
        <v>5.9311939999999996</v>
      </c>
      <c r="J2030">
        <v>293</v>
      </c>
      <c r="M2030">
        <v>2.09</v>
      </c>
      <c r="O2030">
        <v>0.186</v>
      </c>
      <c r="R2030">
        <v>0.62</v>
      </c>
    </row>
    <row r="2031" spans="1:18" x14ac:dyDescent="0.2">
      <c r="A2031" t="s">
        <v>3713</v>
      </c>
      <c r="B2031" t="s">
        <v>3715</v>
      </c>
      <c r="C2031">
        <v>2014</v>
      </c>
      <c r="D2031">
        <v>1</v>
      </c>
      <c r="E2031" t="s">
        <v>55</v>
      </c>
      <c r="F2031" t="s">
        <v>128</v>
      </c>
      <c r="G2031" t="s">
        <v>63</v>
      </c>
      <c r="H2031">
        <v>2</v>
      </c>
      <c r="I2031">
        <v>52.661793000000003</v>
      </c>
      <c r="J2031">
        <v>293</v>
      </c>
      <c r="M2031">
        <v>2.2400000000000002</v>
      </c>
      <c r="O2031">
        <v>0.2</v>
      </c>
      <c r="R2031">
        <v>0.62</v>
      </c>
    </row>
    <row r="2032" spans="1:18" x14ac:dyDescent="0.2">
      <c r="A2032" t="s">
        <v>3716</v>
      </c>
      <c r="B2032" t="s">
        <v>3717</v>
      </c>
      <c r="C2032">
        <v>2016</v>
      </c>
      <c r="D2032">
        <v>1</v>
      </c>
      <c r="E2032" t="s">
        <v>55</v>
      </c>
      <c r="F2032" t="s">
        <v>128</v>
      </c>
      <c r="G2032" t="s">
        <v>63</v>
      </c>
      <c r="H2032">
        <v>1</v>
      </c>
      <c r="I2032">
        <v>225.582809</v>
      </c>
      <c r="J2032">
        <v>1202</v>
      </c>
      <c r="K2032">
        <v>3.55</v>
      </c>
      <c r="M2032">
        <v>3.02</v>
      </c>
      <c r="O2032">
        <v>0.26900000000000002</v>
      </c>
      <c r="Q2032">
        <v>1.07</v>
      </c>
      <c r="R2032">
        <v>1.1100000000000001</v>
      </c>
    </row>
    <row r="2033" spans="1:18" x14ac:dyDescent="0.2">
      <c r="A2033" t="s">
        <v>3718</v>
      </c>
      <c r="B2033" t="s">
        <v>3719</v>
      </c>
      <c r="C2033">
        <v>2016</v>
      </c>
      <c r="D2033">
        <v>1</v>
      </c>
      <c r="E2033" t="s">
        <v>55</v>
      </c>
      <c r="F2033" t="s">
        <v>128</v>
      </c>
      <c r="G2033" t="s">
        <v>63</v>
      </c>
      <c r="H2033">
        <v>1</v>
      </c>
      <c r="I2033">
        <v>24.497369800000001</v>
      </c>
      <c r="J2033">
        <v>1560</v>
      </c>
      <c r="K2033">
        <v>2.88</v>
      </c>
      <c r="M2033">
        <v>2.66</v>
      </c>
      <c r="O2033">
        <v>0.23699999999999999</v>
      </c>
      <c r="Q2033">
        <v>1.1399999999999999</v>
      </c>
      <c r="R2033">
        <v>1.22</v>
      </c>
    </row>
    <row r="2034" spans="1:18" x14ac:dyDescent="0.2">
      <c r="A2034" t="s">
        <v>3720</v>
      </c>
      <c r="B2034" t="s">
        <v>3721</v>
      </c>
      <c r="C2034">
        <v>2016</v>
      </c>
      <c r="D2034">
        <v>1</v>
      </c>
      <c r="E2034" t="s">
        <v>55</v>
      </c>
      <c r="F2034" t="s">
        <v>128</v>
      </c>
      <c r="G2034" t="s">
        <v>63</v>
      </c>
      <c r="H2034">
        <v>1</v>
      </c>
      <c r="I2034">
        <v>184.77185299999999</v>
      </c>
      <c r="J2034">
        <v>618</v>
      </c>
      <c r="K2034">
        <v>3.31</v>
      </c>
      <c r="M2034">
        <v>2.4700000000000002</v>
      </c>
      <c r="O2034">
        <v>0.22</v>
      </c>
      <c r="Q2034">
        <v>0.85</v>
      </c>
      <c r="R2034">
        <v>0.78</v>
      </c>
    </row>
    <row r="2035" spans="1:18" x14ac:dyDescent="0.2">
      <c r="A2035" t="s">
        <v>3722</v>
      </c>
      <c r="B2035" t="s">
        <v>3723</v>
      </c>
      <c r="C2035">
        <v>2016</v>
      </c>
      <c r="D2035">
        <v>1</v>
      </c>
      <c r="E2035" t="s">
        <v>55</v>
      </c>
      <c r="F2035" t="s">
        <v>128</v>
      </c>
      <c r="G2035" t="s">
        <v>63</v>
      </c>
      <c r="H2035">
        <v>1</v>
      </c>
      <c r="I2035">
        <v>4.2426188099999997</v>
      </c>
      <c r="J2035">
        <v>719</v>
      </c>
      <c r="K2035">
        <v>4.57</v>
      </c>
      <c r="M2035">
        <v>1.1499999999999999</v>
      </c>
      <c r="O2035">
        <v>0.10299999999999999</v>
      </c>
      <c r="Q2035">
        <v>0.85</v>
      </c>
      <c r="R2035">
        <v>0.81</v>
      </c>
    </row>
    <row r="2036" spans="1:18" x14ac:dyDescent="0.2">
      <c r="A2036" t="s">
        <v>3724</v>
      </c>
      <c r="B2036" t="s">
        <v>3725</v>
      </c>
      <c r="C2036">
        <v>2016</v>
      </c>
      <c r="D2036">
        <v>1</v>
      </c>
      <c r="E2036" t="s">
        <v>55</v>
      </c>
      <c r="F2036" t="s">
        <v>128</v>
      </c>
      <c r="G2036" t="s">
        <v>63</v>
      </c>
      <c r="H2036">
        <v>1</v>
      </c>
      <c r="I2036">
        <v>198.088774</v>
      </c>
      <c r="J2036">
        <v>982</v>
      </c>
      <c r="K2036">
        <v>4.68</v>
      </c>
      <c r="M2036">
        <v>2.9</v>
      </c>
      <c r="O2036">
        <v>0.25900000000000001</v>
      </c>
      <c r="Q2036">
        <v>0.84</v>
      </c>
      <c r="R2036">
        <v>0.81</v>
      </c>
    </row>
    <row r="2037" spans="1:18" x14ac:dyDescent="0.2">
      <c r="A2037" t="s">
        <v>3726</v>
      </c>
      <c r="B2037" t="s">
        <v>3727</v>
      </c>
      <c r="C2037">
        <v>2016</v>
      </c>
      <c r="D2037">
        <v>1</v>
      </c>
      <c r="E2037" t="s">
        <v>55</v>
      </c>
      <c r="F2037" t="s">
        <v>128</v>
      </c>
      <c r="G2037" t="s">
        <v>63</v>
      </c>
      <c r="H2037">
        <v>1</v>
      </c>
      <c r="I2037">
        <v>8.1050163499999996</v>
      </c>
      <c r="J2037">
        <v>1382</v>
      </c>
      <c r="K2037">
        <v>4.37</v>
      </c>
      <c r="M2037">
        <v>1.61</v>
      </c>
      <c r="O2037">
        <v>0.14399999999999999</v>
      </c>
      <c r="Q2037">
        <v>1.04</v>
      </c>
      <c r="R2037">
        <v>1.06</v>
      </c>
    </row>
    <row r="2038" spans="1:18" x14ac:dyDescent="0.2">
      <c r="A2038" t="s">
        <v>3728</v>
      </c>
      <c r="B2038" t="s">
        <v>3729</v>
      </c>
      <c r="C2038">
        <v>2016</v>
      </c>
      <c r="D2038">
        <v>1</v>
      </c>
      <c r="E2038" t="s">
        <v>55</v>
      </c>
      <c r="F2038" t="s">
        <v>128</v>
      </c>
      <c r="G2038" t="s">
        <v>63</v>
      </c>
      <c r="H2038">
        <v>1</v>
      </c>
      <c r="I2038">
        <v>8.8271345700000001</v>
      </c>
      <c r="J2038">
        <v>1060</v>
      </c>
      <c r="K2038">
        <v>4.9000000000000004</v>
      </c>
      <c r="M2038">
        <v>1.96</v>
      </c>
      <c r="O2038">
        <v>0.17499999999999999</v>
      </c>
      <c r="Q2038">
        <v>0.97</v>
      </c>
      <c r="R2038">
        <v>0.95</v>
      </c>
    </row>
    <row r="2039" spans="1:18" x14ac:dyDescent="0.2">
      <c r="A2039" t="s">
        <v>3730</v>
      </c>
      <c r="B2039" t="s">
        <v>3731</v>
      </c>
      <c r="C2039">
        <v>2016</v>
      </c>
      <c r="D2039">
        <v>1</v>
      </c>
      <c r="E2039" t="s">
        <v>55</v>
      </c>
      <c r="F2039" t="s">
        <v>128</v>
      </c>
      <c r="G2039" t="s">
        <v>63</v>
      </c>
      <c r="H2039">
        <v>1</v>
      </c>
      <c r="I2039">
        <v>3.7403249600000001</v>
      </c>
      <c r="J2039">
        <v>1532</v>
      </c>
      <c r="K2039">
        <v>3.31</v>
      </c>
      <c r="M2039">
        <v>1.53</v>
      </c>
      <c r="O2039">
        <v>0.13600000000000001</v>
      </c>
      <c r="Q2039">
        <v>1.1100000000000001</v>
      </c>
      <c r="R2039">
        <v>1.17</v>
      </c>
    </row>
    <row r="2040" spans="1:18" x14ac:dyDescent="0.2">
      <c r="A2040" t="s">
        <v>3732</v>
      </c>
      <c r="B2040" t="s">
        <v>3733</v>
      </c>
      <c r="C2040">
        <v>2016</v>
      </c>
      <c r="D2040">
        <v>1</v>
      </c>
      <c r="E2040" t="s">
        <v>55</v>
      </c>
      <c r="F2040" t="s">
        <v>128</v>
      </c>
      <c r="G2040" t="s">
        <v>63</v>
      </c>
      <c r="H2040">
        <v>1</v>
      </c>
      <c r="I2040">
        <v>3.5047035800000002</v>
      </c>
      <c r="J2040">
        <v>343</v>
      </c>
      <c r="K2040">
        <v>4.9000000000000004</v>
      </c>
      <c r="M2040">
        <v>0.68</v>
      </c>
      <c r="O2040">
        <v>6.0999999999999999E-2</v>
      </c>
      <c r="Q2040">
        <v>0.83</v>
      </c>
      <c r="R2040">
        <v>0.79</v>
      </c>
    </row>
    <row r="2041" spans="1:18" x14ac:dyDescent="0.2">
      <c r="A2041" t="s">
        <v>3734</v>
      </c>
      <c r="B2041" t="s">
        <v>3735</v>
      </c>
      <c r="C2041">
        <v>2016</v>
      </c>
      <c r="D2041">
        <v>1</v>
      </c>
      <c r="E2041" t="s">
        <v>55</v>
      </c>
      <c r="F2041" t="s">
        <v>128</v>
      </c>
      <c r="G2041" t="s">
        <v>63</v>
      </c>
      <c r="H2041">
        <v>1</v>
      </c>
      <c r="I2041">
        <v>0.97191543000000002</v>
      </c>
      <c r="J2041">
        <v>580</v>
      </c>
      <c r="K2041">
        <v>4.2699999999999996</v>
      </c>
      <c r="M2041">
        <v>0.72</v>
      </c>
      <c r="O2041">
        <v>6.4000000000000001E-2</v>
      </c>
      <c r="Q2041">
        <v>0.86</v>
      </c>
      <c r="R2041">
        <v>0.82</v>
      </c>
    </row>
    <row r="2042" spans="1:18" x14ac:dyDescent="0.2">
      <c r="A2042" t="s">
        <v>3736</v>
      </c>
      <c r="B2042" t="s">
        <v>3737</v>
      </c>
      <c r="C2042">
        <v>2014</v>
      </c>
      <c r="D2042">
        <v>1</v>
      </c>
      <c r="E2042" t="s">
        <v>55</v>
      </c>
      <c r="F2042" t="s">
        <v>128</v>
      </c>
      <c r="G2042" t="s">
        <v>63</v>
      </c>
      <c r="H2042">
        <v>2</v>
      </c>
      <c r="I2042">
        <v>4.9734559999999997</v>
      </c>
      <c r="J2042">
        <v>439</v>
      </c>
      <c r="M2042">
        <v>2.2999999999999998</v>
      </c>
      <c r="O2042">
        <v>0.20499999999999999</v>
      </c>
      <c r="R2042">
        <v>0.81</v>
      </c>
    </row>
    <row r="2043" spans="1:18" x14ac:dyDescent="0.2">
      <c r="A2043" t="s">
        <v>3736</v>
      </c>
      <c r="B2043" t="s">
        <v>3738</v>
      </c>
      <c r="C2043">
        <v>2014</v>
      </c>
      <c r="D2043">
        <v>1</v>
      </c>
      <c r="E2043" t="s">
        <v>55</v>
      </c>
      <c r="F2043" t="s">
        <v>128</v>
      </c>
      <c r="G2043" t="s">
        <v>63</v>
      </c>
      <c r="H2043">
        <v>2</v>
      </c>
      <c r="I2043">
        <v>15.906801</v>
      </c>
      <c r="J2043">
        <v>439</v>
      </c>
      <c r="M2043">
        <v>2.5499999999999998</v>
      </c>
      <c r="O2043">
        <v>0.22700000000000001</v>
      </c>
      <c r="R2043">
        <v>0.81</v>
      </c>
    </row>
    <row r="2044" spans="1:18" x14ac:dyDescent="0.2">
      <c r="A2044" t="s">
        <v>3739</v>
      </c>
      <c r="B2044" t="s">
        <v>3740</v>
      </c>
      <c r="C2044">
        <v>2016</v>
      </c>
      <c r="D2044">
        <v>1</v>
      </c>
      <c r="E2044" t="s">
        <v>55</v>
      </c>
      <c r="F2044" t="s">
        <v>128</v>
      </c>
      <c r="G2044" t="s">
        <v>63</v>
      </c>
      <c r="H2044">
        <v>1</v>
      </c>
      <c r="I2044">
        <v>3.0319574399999998</v>
      </c>
      <c r="J2044">
        <v>529</v>
      </c>
      <c r="K2044">
        <v>4.17</v>
      </c>
      <c r="M2044">
        <v>0.89</v>
      </c>
      <c r="O2044">
        <v>7.9000000000000001E-2</v>
      </c>
      <c r="Q2044">
        <v>1.02</v>
      </c>
      <c r="R2044">
        <v>1.02</v>
      </c>
    </row>
    <row r="2045" spans="1:18" x14ac:dyDescent="0.2">
      <c r="A2045" t="s">
        <v>3741</v>
      </c>
      <c r="B2045" t="s">
        <v>3742</v>
      </c>
      <c r="C2045">
        <v>2016</v>
      </c>
      <c r="D2045">
        <v>1</v>
      </c>
      <c r="E2045" t="s">
        <v>55</v>
      </c>
      <c r="F2045" t="s">
        <v>128</v>
      </c>
      <c r="G2045" t="s">
        <v>63</v>
      </c>
      <c r="H2045">
        <v>1</v>
      </c>
      <c r="I2045">
        <v>1.0052070099999999</v>
      </c>
      <c r="J2045">
        <v>993</v>
      </c>
      <c r="K2045">
        <v>3.39</v>
      </c>
      <c r="M2045">
        <v>1.0900000000000001</v>
      </c>
      <c r="O2045">
        <v>9.7000000000000003E-2</v>
      </c>
      <c r="Q2045">
        <v>1.07</v>
      </c>
      <c r="R2045">
        <v>1.1100000000000001</v>
      </c>
    </row>
    <row r="2046" spans="1:18" x14ac:dyDescent="0.2">
      <c r="A2046" t="s">
        <v>3743</v>
      </c>
      <c r="B2046" t="s">
        <v>3744</v>
      </c>
      <c r="C2046">
        <v>2016</v>
      </c>
      <c r="D2046">
        <v>1</v>
      </c>
      <c r="E2046" t="s">
        <v>55</v>
      </c>
      <c r="F2046" t="s">
        <v>128</v>
      </c>
      <c r="G2046" t="s">
        <v>63</v>
      </c>
      <c r="H2046">
        <v>1</v>
      </c>
      <c r="I2046">
        <v>64.273775200000003</v>
      </c>
      <c r="J2046">
        <v>1315</v>
      </c>
      <c r="K2046">
        <v>4.79</v>
      </c>
      <c r="M2046">
        <v>3.55</v>
      </c>
      <c r="O2046">
        <v>0.317</v>
      </c>
      <c r="Q2046">
        <v>1.02</v>
      </c>
      <c r="R2046">
        <v>1.05</v>
      </c>
    </row>
    <row r="2047" spans="1:18" x14ac:dyDescent="0.2">
      <c r="A2047" t="s">
        <v>3745</v>
      </c>
      <c r="B2047" t="s">
        <v>3746</v>
      </c>
      <c r="C2047">
        <v>2016</v>
      </c>
      <c r="D2047">
        <v>1</v>
      </c>
      <c r="E2047" t="s">
        <v>55</v>
      </c>
      <c r="F2047" t="s">
        <v>128</v>
      </c>
      <c r="G2047" t="s">
        <v>63</v>
      </c>
      <c r="H2047">
        <v>1</v>
      </c>
      <c r="I2047">
        <v>3.4327659800000001</v>
      </c>
      <c r="J2047">
        <v>547</v>
      </c>
      <c r="K2047">
        <v>4.07</v>
      </c>
      <c r="M2047">
        <v>0.75</v>
      </c>
      <c r="O2047">
        <v>6.7000000000000004E-2</v>
      </c>
      <c r="Q2047">
        <v>1</v>
      </c>
      <c r="R2047">
        <v>0.99</v>
      </c>
    </row>
    <row r="2048" spans="1:18" x14ac:dyDescent="0.2">
      <c r="A2048" t="s">
        <v>3747</v>
      </c>
      <c r="B2048" t="s">
        <v>3748</v>
      </c>
      <c r="C2048">
        <v>2016</v>
      </c>
      <c r="D2048">
        <v>1</v>
      </c>
      <c r="E2048" t="s">
        <v>55</v>
      </c>
      <c r="F2048" t="s">
        <v>128</v>
      </c>
      <c r="G2048" t="s">
        <v>63</v>
      </c>
      <c r="H2048">
        <v>1</v>
      </c>
      <c r="I2048">
        <v>18.0540381</v>
      </c>
      <c r="J2048">
        <v>872</v>
      </c>
      <c r="K2048">
        <v>4.57</v>
      </c>
      <c r="M2048">
        <v>1.47</v>
      </c>
      <c r="O2048">
        <v>0.13100000000000001</v>
      </c>
      <c r="Q2048">
        <v>0.93</v>
      </c>
      <c r="R2048">
        <v>0.9</v>
      </c>
    </row>
    <row r="2049" spans="1:18" x14ac:dyDescent="0.2">
      <c r="A2049" t="s">
        <v>3749</v>
      </c>
      <c r="B2049" t="s">
        <v>3750</v>
      </c>
      <c r="C2049">
        <v>2016</v>
      </c>
      <c r="D2049">
        <v>1</v>
      </c>
      <c r="E2049" t="s">
        <v>55</v>
      </c>
      <c r="F2049" t="s">
        <v>128</v>
      </c>
      <c r="G2049" t="s">
        <v>63</v>
      </c>
      <c r="H2049">
        <v>1</v>
      </c>
      <c r="I2049">
        <v>1.5381884400000001</v>
      </c>
      <c r="J2049">
        <v>657</v>
      </c>
      <c r="K2049">
        <v>5.62</v>
      </c>
      <c r="M2049">
        <v>1.19</v>
      </c>
      <c r="O2049">
        <v>0.106</v>
      </c>
      <c r="Q2049">
        <v>0.76</v>
      </c>
      <c r="R2049">
        <v>0.73</v>
      </c>
    </row>
    <row r="2050" spans="1:18" x14ac:dyDescent="0.2">
      <c r="A2050" t="s">
        <v>3751</v>
      </c>
      <c r="B2050" t="s">
        <v>3752</v>
      </c>
      <c r="C2050">
        <v>2016</v>
      </c>
      <c r="D2050">
        <v>1</v>
      </c>
      <c r="E2050" t="s">
        <v>55</v>
      </c>
      <c r="F2050" t="s">
        <v>128</v>
      </c>
      <c r="G2050" t="s">
        <v>63</v>
      </c>
      <c r="H2050">
        <v>1</v>
      </c>
      <c r="I2050">
        <v>0.53991524000000002</v>
      </c>
      <c r="J2050">
        <v>511</v>
      </c>
      <c r="K2050">
        <v>5.01</v>
      </c>
      <c r="M2050">
        <v>0.79</v>
      </c>
      <c r="O2050">
        <v>7.0000000000000007E-2</v>
      </c>
      <c r="Q2050">
        <v>0.84</v>
      </c>
      <c r="R2050">
        <v>0.81</v>
      </c>
    </row>
    <row r="2051" spans="1:18" x14ac:dyDescent="0.2">
      <c r="A2051" t="s">
        <v>3753</v>
      </c>
      <c r="B2051" t="s">
        <v>3754</v>
      </c>
      <c r="C2051">
        <v>2016</v>
      </c>
      <c r="D2051">
        <v>1</v>
      </c>
      <c r="E2051" t="s">
        <v>55</v>
      </c>
      <c r="F2051" t="s">
        <v>128</v>
      </c>
      <c r="G2051" t="s">
        <v>63</v>
      </c>
      <c r="H2051">
        <v>1</v>
      </c>
      <c r="I2051">
        <v>153.979578</v>
      </c>
      <c r="J2051">
        <v>1226</v>
      </c>
      <c r="K2051">
        <v>4.17</v>
      </c>
      <c r="M2051">
        <v>2.73</v>
      </c>
      <c r="O2051">
        <v>0.24399999999999999</v>
      </c>
      <c r="Q2051">
        <v>0.95</v>
      </c>
      <c r="R2051">
        <v>0.93</v>
      </c>
    </row>
    <row r="2052" spans="1:18" x14ac:dyDescent="0.2">
      <c r="A2052" t="s">
        <v>3755</v>
      </c>
      <c r="B2052" t="s">
        <v>3756</v>
      </c>
      <c r="C2052">
        <v>2016</v>
      </c>
      <c r="D2052">
        <v>1</v>
      </c>
      <c r="E2052" t="s">
        <v>55</v>
      </c>
      <c r="F2052" t="s">
        <v>128</v>
      </c>
      <c r="G2052" t="s">
        <v>63</v>
      </c>
      <c r="H2052">
        <v>1</v>
      </c>
      <c r="I2052">
        <v>20.925391999999999</v>
      </c>
      <c r="J2052">
        <v>883</v>
      </c>
      <c r="K2052">
        <v>4.57</v>
      </c>
      <c r="M2052">
        <v>1.3</v>
      </c>
      <c r="O2052">
        <v>0.11600000000000001</v>
      </c>
      <c r="Q2052">
        <v>1.0900000000000001</v>
      </c>
      <c r="R2052">
        <v>1.19</v>
      </c>
    </row>
    <row r="2053" spans="1:18" x14ac:dyDescent="0.2">
      <c r="A2053" t="s">
        <v>3757</v>
      </c>
      <c r="B2053" t="s">
        <v>3758</v>
      </c>
      <c r="C2053">
        <v>2016</v>
      </c>
      <c r="D2053">
        <v>1</v>
      </c>
      <c r="E2053" t="s">
        <v>55</v>
      </c>
      <c r="F2053" t="s">
        <v>128</v>
      </c>
      <c r="G2053" t="s">
        <v>63</v>
      </c>
      <c r="H2053">
        <v>1</v>
      </c>
      <c r="I2053">
        <v>5.7918015599999997</v>
      </c>
      <c r="J2053">
        <v>1050</v>
      </c>
      <c r="K2053">
        <v>2.4500000000000002</v>
      </c>
      <c r="M2053">
        <v>1.68</v>
      </c>
      <c r="O2053">
        <v>0.15</v>
      </c>
      <c r="Q2053">
        <v>1.25</v>
      </c>
      <c r="R2053">
        <v>1.4</v>
      </c>
    </row>
    <row r="2054" spans="1:18" x14ac:dyDescent="0.2">
      <c r="A2054" t="s">
        <v>3759</v>
      </c>
      <c r="B2054" t="s">
        <v>3760</v>
      </c>
      <c r="C2054">
        <v>2014</v>
      </c>
      <c r="D2054">
        <v>1</v>
      </c>
      <c r="E2054" t="s">
        <v>55</v>
      </c>
      <c r="F2054" t="s">
        <v>128</v>
      </c>
      <c r="G2054" t="s">
        <v>63</v>
      </c>
      <c r="H2054">
        <v>3</v>
      </c>
      <c r="I2054">
        <v>1.732342</v>
      </c>
      <c r="J2054">
        <v>749</v>
      </c>
      <c r="M2054">
        <v>1.32</v>
      </c>
      <c r="O2054">
        <v>0.11799999999999999</v>
      </c>
      <c r="R2054">
        <v>1.04</v>
      </c>
    </row>
    <row r="2055" spans="1:18" x14ac:dyDescent="0.2">
      <c r="A2055" t="s">
        <v>3759</v>
      </c>
      <c r="B2055" t="s">
        <v>3761</v>
      </c>
      <c r="C2055">
        <v>2014</v>
      </c>
      <c r="D2055">
        <v>1</v>
      </c>
      <c r="E2055" t="s">
        <v>55</v>
      </c>
      <c r="F2055" t="s">
        <v>128</v>
      </c>
      <c r="G2055" t="s">
        <v>63</v>
      </c>
      <c r="H2055">
        <v>3</v>
      </c>
      <c r="I2055">
        <v>13.5405</v>
      </c>
      <c r="J2055">
        <v>749</v>
      </c>
      <c r="M2055">
        <v>2.2400000000000002</v>
      </c>
      <c r="O2055">
        <v>0.2</v>
      </c>
      <c r="R2055">
        <v>1.04</v>
      </c>
    </row>
    <row r="2056" spans="1:18" x14ac:dyDescent="0.2">
      <c r="A2056" t="s">
        <v>3759</v>
      </c>
      <c r="B2056" t="s">
        <v>3762</v>
      </c>
      <c r="C2056">
        <v>2016</v>
      </c>
      <c r="D2056">
        <v>1</v>
      </c>
      <c r="E2056" t="s">
        <v>55</v>
      </c>
      <c r="F2056" t="s">
        <v>128</v>
      </c>
      <c r="G2056" t="s">
        <v>63</v>
      </c>
      <c r="H2056">
        <v>3</v>
      </c>
      <c r="I2056">
        <v>7.0257347399999999</v>
      </c>
      <c r="J2056">
        <v>749</v>
      </c>
      <c r="M2056">
        <v>1.46</v>
      </c>
      <c r="O2056">
        <v>0.13</v>
      </c>
      <c r="R2056">
        <v>1.04</v>
      </c>
    </row>
    <row r="2057" spans="1:18" x14ac:dyDescent="0.2">
      <c r="A2057" t="s">
        <v>3763</v>
      </c>
      <c r="B2057" t="s">
        <v>3764</v>
      </c>
      <c r="C2057">
        <v>2016</v>
      </c>
      <c r="D2057">
        <v>1</v>
      </c>
      <c r="E2057" t="s">
        <v>55</v>
      </c>
      <c r="F2057" t="s">
        <v>128</v>
      </c>
      <c r="G2057" t="s">
        <v>63</v>
      </c>
      <c r="H2057">
        <v>1</v>
      </c>
      <c r="I2057">
        <v>26.548954999999999</v>
      </c>
      <c r="J2057">
        <v>463</v>
      </c>
      <c r="K2057">
        <v>4.17</v>
      </c>
      <c r="M2057">
        <v>1.07</v>
      </c>
      <c r="O2057">
        <v>9.5000000000000001E-2</v>
      </c>
      <c r="Q2057">
        <v>0.92</v>
      </c>
      <c r="R2057">
        <v>0.89</v>
      </c>
    </row>
    <row r="2058" spans="1:18" x14ac:dyDescent="0.2">
      <c r="A2058" t="s">
        <v>3765</v>
      </c>
      <c r="B2058" t="s">
        <v>3766</v>
      </c>
      <c r="C2058">
        <v>2016</v>
      </c>
      <c r="D2058">
        <v>1</v>
      </c>
      <c r="E2058" t="s">
        <v>55</v>
      </c>
      <c r="F2058" t="s">
        <v>128</v>
      </c>
      <c r="G2058" t="s">
        <v>63</v>
      </c>
      <c r="H2058">
        <v>1</v>
      </c>
      <c r="I2058">
        <v>3.3855548799999999</v>
      </c>
      <c r="J2058">
        <v>802</v>
      </c>
      <c r="K2058">
        <v>2.34</v>
      </c>
      <c r="M2058">
        <v>1.52</v>
      </c>
      <c r="O2058">
        <v>0.13600000000000001</v>
      </c>
      <c r="Q2058">
        <v>1.23</v>
      </c>
      <c r="R2058">
        <v>1.39</v>
      </c>
    </row>
    <row r="2059" spans="1:18" x14ac:dyDescent="0.2">
      <c r="A2059" t="s">
        <v>3767</v>
      </c>
      <c r="B2059" t="s">
        <v>3768</v>
      </c>
      <c r="C2059">
        <v>2016</v>
      </c>
      <c r="D2059">
        <v>1</v>
      </c>
      <c r="E2059" t="s">
        <v>55</v>
      </c>
      <c r="F2059" t="s">
        <v>128</v>
      </c>
      <c r="G2059" t="s">
        <v>63</v>
      </c>
      <c r="H2059">
        <v>1</v>
      </c>
      <c r="I2059">
        <v>5.4954862100000001</v>
      </c>
      <c r="J2059">
        <v>600</v>
      </c>
      <c r="K2059">
        <v>4.79</v>
      </c>
      <c r="M2059">
        <v>0.94</v>
      </c>
      <c r="O2059">
        <v>8.4000000000000005E-2</v>
      </c>
      <c r="Q2059">
        <v>0.97</v>
      </c>
      <c r="R2059">
        <v>0.95</v>
      </c>
    </row>
    <row r="2060" spans="1:18" x14ac:dyDescent="0.2">
      <c r="A2060" t="s">
        <v>3769</v>
      </c>
      <c r="B2060" t="s">
        <v>3770</v>
      </c>
      <c r="C2060">
        <v>2016</v>
      </c>
      <c r="D2060">
        <v>1</v>
      </c>
      <c r="E2060" t="s">
        <v>55</v>
      </c>
      <c r="F2060" t="s">
        <v>128</v>
      </c>
      <c r="G2060" t="s">
        <v>63</v>
      </c>
      <c r="H2060">
        <v>1</v>
      </c>
      <c r="I2060">
        <v>2.6157553999999998</v>
      </c>
      <c r="J2060">
        <v>1180</v>
      </c>
      <c r="K2060">
        <v>4.07</v>
      </c>
      <c r="M2060">
        <v>1.2</v>
      </c>
      <c r="O2060">
        <v>0.107</v>
      </c>
      <c r="Q2060">
        <v>1.01</v>
      </c>
      <c r="R2060">
        <v>1</v>
      </c>
    </row>
    <row r="2061" spans="1:18" x14ac:dyDescent="0.2">
      <c r="A2061" t="s">
        <v>3771</v>
      </c>
      <c r="B2061" t="s">
        <v>3772</v>
      </c>
      <c r="C2061">
        <v>2016</v>
      </c>
      <c r="D2061">
        <v>1</v>
      </c>
      <c r="E2061" t="s">
        <v>55</v>
      </c>
      <c r="F2061" t="s">
        <v>128</v>
      </c>
      <c r="G2061" t="s">
        <v>63</v>
      </c>
      <c r="H2061">
        <v>1</v>
      </c>
      <c r="I2061">
        <v>6.9424333999999996</v>
      </c>
      <c r="J2061">
        <v>1275</v>
      </c>
      <c r="K2061">
        <v>3.8</v>
      </c>
      <c r="M2061">
        <v>1.29</v>
      </c>
      <c r="O2061">
        <v>0.115</v>
      </c>
      <c r="Q2061">
        <v>1.06</v>
      </c>
      <c r="R2061">
        <v>1.08</v>
      </c>
    </row>
    <row r="2062" spans="1:18" x14ac:dyDescent="0.2">
      <c r="A2062" t="s">
        <v>3773</v>
      </c>
      <c r="B2062" t="s">
        <v>3774</v>
      </c>
      <c r="C2062">
        <v>2016</v>
      </c>
      <c r="D2062">
        <v>1</v>
      </c>
      <c r="E2062" t="s">
        <v>55</v>
      </c>
      <c r="F2062" t="s">
        <v>128</v>
      </c>
      <c r="G2062" t="s">
        <v>63</v>
      </c>
      <c r="H2062">
        <v>1</v>
      </c>
      <c r="I2062">
        <v>2.5531421299999999</v>
      </c>
      <c r="J2062">
        <v>1170</v>
      </c>
      <c r="K2062">
        <v>4.17</v>
      </c>
      <c r="M2062">
        <v>1.31</v>
      </c>
      <c r="O2062">
        <v>0.11700000000000001</v>
      </c>
      <c r="Q2062">
        <v>0.95</v>
      </c>
      <c r="R2062">
        <v>0.92</v>
      </c>
    </row>
    <row r="2063" spans="1:18" x14ac:dyDescent="0.2">
      <c r="A2063" t="s">
        <v>3775</v>
      </c>
      <c r="B2063" t="s">
        <v>3776</v>
      </c>
      <c r="C2063">
        <v>2016</v>
      </c>
      <c r="D2063">
        <v>1</v>
      </c>
      <c r="E2063" t="s">
        <v>55</v>
      </c>
      <c r="F2063" t="s">
        <v>128</v>
      </c>
      <c r="G2063" t="s">
        <v>63</v>
      </c>
      <c r="H2063">
        <v>1</v>
      </c>
      <c r="I2063">
        <v>6.9847197300000001</v>
      </c>
      <c r="J2063">
        <v>539</v>
      </c>
      <c r="K2063">
        <v>4.07</v>
      </c>
      <c r="M2063">
        <v>1.04</v>
      </c>
      <c r="O2063">
        <v>9.2999999999999999E-2</v>
      </c>
      <c r="Q2063">
        <v>1.05</v>
      </c>
      <c r="R2063">
        <v>1.06</v>
      </c>
    </row>
    <row r="2064" spans="1:18" x14ac:dyDescent="0.2">
      <c r="A2064" t="s">
        <v>3777</v>
      </c>
      <c r="B2064" t="s">
        <v>3778</v>
      </c>
      <c r="C2064">
        <v>2016</v>
      </c>
      <c r="D2064">
        <v>1</v>
      </c>
      <c r="E2064" t="s">
        <v>55</v>
      </c>
      <c r="F2064" t="s">
        <v>128</v>
      </c>
      <c r="G2064" t="s">
        <v>63</v>
      </c>
      <c r="H2064">
        <v>1</v>
      </c>
      <c r="I2064">
        <v>6.3056024700000002</v>
      </c>
      <c r="J2064">
        <v>543</v>
      </c>
      <c r="K2064">
        <v>4.2699999999999996</v>
      </c>
      <c r="M2064">
        <v>1.1299999999999999</v>
      </c>
      <c r="O2064">
        <v>0.10100000000000001</v>
      </c>
      <c r="Q2064">
        <v>0.78</v>
      </c>
      <c r="R2064">
        <v>0.74</v>
      </c>
    </row>
    <row r="2065" spans="1:18" x14ac:dyDescent="0.2">
      <c r="A2065" t="s">
        <v>3779</v>
      </c>
      <c r="B2065" t="s">
        <v>3780</v>
      </c>
      <c r="C2065">
        <v>2016</v>
      </c>
      <c r="D2065">
        <v>1</v>
      </c>
      <c r="E2065" t="s">
        <v>55</v>
      </c>
      <c r="F2065" t="s">
        <v>128</v>
      </c>
      <c r="G2065" t="s">
        <v>63</v>
      </c>
      <c r="H2065">
        <v>1</v>
      </c>
      <c r="I2065">
        <v>1.4508869099999999</v>
      </c>
      <c r="J2065">
        <v>1016</v>
      </c>
      <c r="K2065">
        <v>4.2699999999999996</v>
      </c>
      <c r="M2065">
        <v>1.04</v>
      </c>
      <c r="O2065">
        <v>9.2999999999999999E-2</v>
      </c>
      <c r="Q2065">
        <v>0.9</v>
      </c>
      <c r="R2065">
        <v>0.86</v>
      </c>
    </row>
    <row r="2066" spans="1:18" x14ac:dyDescent="0.2">
      <c r="A2066" t="s">
        <v>3781</v>
      </c>
      <c r="B2066" t="s">
        <v>3782</v>
      </c>
      <c r="C2066">
        <v>2016</v>
      </c>
      <c r="D2066">
        <v>1</v>
      </c>
      <c r="E2066" t="s">
        <v>55</v>
      </c>
      <c r="F2066" t="s">
        <v>128</v>
      </c>
      <c r="G2066" t="s">
        <v>63</v>
      </c>
      <c r="H2066">
        <v>1</v>
      </c>
      <c r="I2066">
        <v>0.84990789</v>
      </c>
      <c r="J2066">
        <v>466</v>
      </c>
      <c r="K2066">
        <v>2.2400000000000002</v>
      </c>
      <c r="M2066">
        <v>0.84</v>
      </c>
      <c r="O2066">
        <v>7.4999999999999997E-2</v>
      </c>
      <c r="Q2066">
        <v>0.75</v>
      </c>
      <c r="R2066">
        <v>0.7</v>
      </c>
    </row>
    <row r="2067" spans="1:18" x14ac:dyDescent="0.2">
      <c r="A2067" t="s">
        <v>3783</v>
      </c>
      <c r="B2067" t="s">
        <v>3784</v>
      </c>
      <c r="C2067">
        <v>2014</v>
      </c>
      <c r="D2067">
        <v>1</v>
      </c>
      <c r="E2067" t="s">
        <v>55</v>
      </c>
      <c r="F2067" t="s">
        <v>128</v>
      </c>
      <c r="G2067" t="s">
        <v>63</v>
      </c>
      <c r="H2067">
        <v>2</v>
      </c>
      <c r="I2067">
        <v>16.709184</v>
      </c>
      <c r="J2067">
        <v>351</v>
      </c>
      <c r="M2067">
        <v>2.12</v>
      </c>
      <c r="O2067">
        <v>0.189</v>
      </c>
      <c r="R2067">
        <v>0.62</v>
      </c>
    </row>
    <row r="2068" spans="1:18" x14ac:dyDescent="0.2">
      <c r="A2068" t="s">
        <v>3783</v>
      </c>
      <c r="B2068" t="s">
        <v>3785</v>
      </c>
      <c r="C2068">
        <v>2014</v>
      </c>
      <c r="D2068">
        <v>1</v>
      </c>
      <c r="E2068" t="s">
        <v>55</v>
      </c>
      <c r="F2068" t="s">
        <v>128</v>
      </c>
      <c r="G2068" t="s">
        <v>63</v>
      </c>
      <c r="H2068">
        <v>2</v>
      </c>
      <c r="I2068">
        <v>28.551383000000001</v>
      </c>
      <c r="J2068">
        <v>351</v>
      </c>
      <c r="M2068">
        <v>1.9</v>
      </c>
      <c r="O2068">
        <v>0.17</v>
      </c>
      <c r="R2068">
        <v>0.62</v>
      </c>
    </row>
    <row r="2069" spans="1:18" x14ac:dyDescent="0.2">
      <c r="A2069" t="s">
        <v>3786</v>
      </c>
      <c r="B2069" t="s">
        <v>3787</v>
      </c>
      <c r="C2069">
        <v>2016</v>
      </c>
      <c r="D2069">
        <v>1</v>
      </c>
      <c r="E2069" t="s">
        <v>55</v>
      </c>
      <c r="F2069" t="s">
        <v>128</v>
      </c>
      <c r="G2069" t="s">
        <v>63</v>
      </c>
      <c r="H2069">
        <v>1</v>
      </c>
      <c r="I2069">
        <v>56.644927899999999</v>
      </c>
      <c r="J2069">
        <v>872</v>
      </c>
      <c r="K2069">
        <v>2.75</v>
      </c>
      <c r="M2069">
        <v>2.11</v>
      </c>
      <c r="O2069">
        <v>0.188</v>
      </c>
      <c r="Q2069">
        <v>1.47</v>
      </c>
      <c r="R2069">
        <v>2.15</v>
      </c>
    </row>
    <row r="2070" spans="1:18" x14ac:dyDescent="0.2">
      <c r="A2070" t="s">
        <v>3788</v>
      </c>
      <c r="B2070" t="s">
        <v>3789</v>
      </c>
      <c r="C2070">
        <v>2016</v>
      </c>
      <c r="D2070">
        <v>1</v>
      </c>
      <c r="E2070" t="s">
        <v>55</v>
      </c>
      <c r="F2070" t="s">
        <v>128</v>
      </c>
      <c r="G2070" t="s">
        <v>63</v>
      </c>
      <c r="H2070">
        <v>1</v>
      </c>
      <c r="I2070">
        <v>6.2838549099999996</v>
      </c>
      <c r="J2070">
        <v>443</v>
      </c>
      <c r="K2070">
        <v>4.17</v>
      </c>
      <c r="M2070">
        <v>0.8</v>
      </c>
      <c r="O2070">
        <v>7.0999999999999994E-2</v>
      </c>
      <c r="Q2070">
        <v>1.1200000000000001</v>
      </c>
      <c r="R2070">
        <v>1.23</v>
      </c>
    </row>
    <row r="2071" spans="1:18" x14ac:dyDescent="0.2">
      <c r="A2071" t="s">
        <v>3790</v>
      </c>
      <c r="B2071" t="s">
        <v>3791</v>
      </c>
      <c r="C2071">
        <v>2016</v>
      </c>
      <c r="D2071">
        <v>1</v>
      </c>
      <c r="E2071" t="s">
        <v>55</v>
      </c>
      <c r="F2071" t="s">
        <v>128</v>
      </c>
      <c r="G2071" t="s">
        <v>63</v>
      </c>
      <c r="H2071">
        <v>1</v>
      </c>
      <c r="I2071">
        <v>4.8381771200000001</v>
      </c>
      <c r="J2071">
        <v>112</v>
      </c>
      <c r="K2071">
        <v>7.76</v>
      </c>
      <c r="M2071">
        <v>1.49</v>
      </c>
      <c r="O2071">
        <v>0.13300000000000001</v>
      </c>
      <c r="Q2071">
        <v>0.28000000000000003</v>
      </c>
      <c r="R2071">
        <v>0.3</v>
      </c>
    </row>
    <row r="2072" spans="1:18" x14ac:dyDescent="0.2">
      <c r="A2072" t="s">
        <v>3792</v>
      </c>
      <c r="B2072" t="s">
        <v>3793</v>
      </c>
      <c r="C2072">
        <v>2016</v>
      </c>
      <c r="D2072">
        <v>1</v>
      </c>
      <c r="E2072" t="s">
        <v>55</v>
      </c>
      <c r="F2072" t="s">
        <v>128</v>
      </c>
      <c r="G2072" t="s">
        <v>63</v>
      </c>
      <c r="H2072">
        <v>1</v>
      </c>
      <c r="I2072">
        <v>9.3280735499999992</v>
      </c>
      <c r="J2072">
        <v>357</v>
      </c>
      <c r="K2072">
        <v>4.2699999999999996</v>
      </c>
      <c r="M2072">
        <v>0.6</v>
      </c>
      <c r="O2072">
        <v>5.3999999999999999E-2</v>
      </c>
      <c r="Q2072">
        <v>0.94</v>
      </c>
      <c r="R2072">
        <v>0.91</v>
      </c>
    </row>
    <row r="2073" spans="1:18" x14ac:dyDescent="0.2">
      <c r="A2073" t="s">
        <v>3794</v>
      </c>
      <c r="B2073" t="s">
        <v>3795</v>
      </c>
      <c r="C2073">
        <v>2016</v>
      </c>
      <c r="D2073">
        <v>1</v>
      </c>
      <c r="E2073" t="s">
        <v>55</v>
      </c>
      <c r="F2073" t="s">
        <v>128</v>
      </c>
      <c r="G2073" t="s">
        <v>63</v>
      </c>
      <c r="H2073">
        <v>1</v>
      </c>
      <c r="I2073">
        <v>13.3997099</v>
      </c>
      <c r="J2073">
        <v>1325</v>
      </c>
      <c r="K2073">
        <v>3.31</v>
      </c>
      <c r="M2073">
        <v>1.61</v>
      </c>
      <c r="O2073">
        <v>0.14399999999999999</v>
      </c>
      <c r="Q2073">
        <v>1.1000000000000001</v>
      </c>
      <c r="R2073">
        <v>1.1299999999999999</v>
      </c>
    </row>
    <row r="2074" spans="1:18" x14ac:dyDescent="0.2">
      <c r="A2074" t="s">
        <v>3796</v>
      </c>
      <c r="B2074" t="s">
        <v>3797</v>
      </c>
      <c r="C2074">
        <v>2016</v>
      </c>
      <c r="D2074">
        <v>1</v>
      </c>
      <c r="E2074" t="s">
        <v>55</v>
      </c>
      <c r="F2074" t="s">
        <v>128</v>
      </c>
      <c r="G2074" t="s">
        <v>63</v>
      </c>
      <c r="H2074">
        <v>1</v>
      </c>
      <c r="I2074">
        <v>3.5827463000000002</v>
      </c>
      <c r="J2074">
        <v>1269</v>
      </c>
      <c r="K2074">
        <v>4.37</v>
      </c>
      <c r="M2074">
        <v>1.79</v>
      </c>
      <c r="O2074">
        <v>0.16</v>
      </c>
      <c r="Q2074">
        <v>0.94</v>
      </c>
      <c r="R2074">
        <v>0.91</v>
      </c>
    </row>
    <row r="2075" spans="1:18" x14ac:dyDescent="0.2">
      <c r="A2075" t="s">
        <v>3798</v>
      </c>
      <c r="B2075" t="s">
        <v>3799</v>
      </c>
      <c r="C2075">
        <v>2016</v>
      </c>
      <c r="D2075">
        <v>1</v>
      </c>
      <c r="E2075" t="s">
        <v>55</v>
      </c>
      <c r="F2075" t="s">
        <v>128</v>
      </c>
      <c r="G2075" t="s">
        <v>63</v>
      </c>
      <c r="H2075">
        <v>1</v>
      </c>
      <c r="I2075">
        <v>15.6049212</v>
      </c>
      <c r="J2075">
        <v>864</v>
      </c>
      <c r="K2075">
        <v>1.7</v>
      </c>
      <c r="M2075">
        <v>1.52</v>
      </c>
      <c r="O2075">
        <v>0.13600000000000001</v>
      </c>
      <c r="Q2075">
        <v>1.45</v>
      </c>
      <c r="R2075">
        <v>1.75</v>
      </c>
    </row>
    <row r="2076" spans="1:18" x14ac:dyDescent="0.2">
      <c r="A2076" t="s">
        <v>3800</v>
      </c>
      <c r="B2076" t="s">
        <v>3801</v>
      </c>
      <c r="C2076">
        <v>2016</v>
      </c>
      <c r="D2076">
        <v>1</v>
      </c>
      <c r="E2076" t="s">
        <v>55</v>
      </c>
      <c r="F2076" t="s">
        <v>128</v>
      </c>
      <c r="G2076" t="s">
        <v>63</v>
      </c>
      <c r="H2076">
        <v>1</v>
      </c>
      <c r="I2076">
        <v>9.4060466999999992</v>
      </c>
      <c r="J2076">
        <v>907</v>
      </c>
      <c r="K2076">
        <v>5.01</v>
      </c>
      <c r="M2076">
        <v>1.33</v>
      </c>
      <c r="O2076">
        <v>0.11899999999999999</v>
      </c>
      <c r="Q2076">
        <v>1.08</v>
      </c>
      <c r="R2076">
        <v>1.22</v>
      </c>
    </row>
    <row r="2077" spans="1:18" x14ac:dyDescent="0.2">
      <c r="A2077" t="s">
        <v>3802</v>
      </c>
      <c r="B2077" t="s">
        <v>3803</v>
      </c>
      <c r="C2077">
        <v>2016</v>
      </c>
      <c r="D2077">
        <v>1</v>
      </c>
      <c r="E2077" t="s">
        <v>55</v>
      </c>
      <c r="F2077" t="s">
        <v>128</v>
      </c>
      <c r="G2077" t="s">
        <v>63</v>
      </c>
      <c r="H2077">
        <v>1</v>
      </c>
      <c r="I2077">
        <v>7.8493173900000004</v>
      </c>
      <c r="J2077">
        <v>658</v>
      </c>
      <c r="K2077">
        <v>5.5</v>
      </c>
      <c r="M2077">
        <v>0.76</v>
      </c>
      <c r="O2077">
        <v>6.8000000000000005E-2</v>
      </c>
      <c r="Q2077">
        <v>0.96</v>
      </c>
      <c r="R2077">
        <v>0.99</v>
      </c>
    </row>
    <row r="2078" spans="1:18" x14ac:dyDescent="0.2">
      <c r="A2078" t="s">
        <v>3804</v>
      </c>
      <c r="B2078" t="s">
        <v>3805</v>
      </c>
      <c r="C2078">
        <v>2016</v>
      </c>
      <c r="D2078">
        <v>1</v>
      </c>
      <c r="E2078" t="s">
        <v>55</v>
      </c>
      <c r="F2078" t="s">
        <v>128</v>
      </c>
      <c r="G2078" t="s">
        <v>63</v>
      </c>
      <c r="H2078">
        <v>1</v>
      </c>
      <c r="I2078">
        <v>0.99166527000000004</v>
      </c>
      <c r="J2078">
        <v>1418</v>
      </c>
      <c r="K2078">
        <v>2.75</v>
      </c>
      <c r="M2078">
        <v>1.0900000000000001</v>
      </c>
      <c r="O2078">
        <v>9.7000000000000003E-2</v>
      </c>
      <c r="Q2078">
        <v>1.18</v>
      </c>
      <c r="R2078">
        <v>1.25</v>
      </c>
    </row>
    <row r="2079" spans="1:18" x14ac:dyDescent="0.2">
      <c r="A2079" t="s">
        <v>3806</v>
      </c>
      <c r="B2079" t="s">
        <v>3807</v>
      </c>
      <c r="C2079">
        <v>2014</v>
      </c>
      <c r="D2079">
        <v>1</v>
      </c>
      <c r="E2079" t="s">
        <v>55</v>
      </c>
      <c r="F2079" t="s">
        <v>128</v>
      </c>
      <c r="G2079" t="s">
        <v>63</v>
      </c>
      <c r="H2079">
        <v>2</v>
      </c>
      <c r="I2079">
        <v>10.139623</v>
      </c>
      <c r="J2079">
        <v>397</v>
      </c>
      <c r="M2079">
        <v>2.38</v>
      </c>
      <c r="O2079">
        <v>0.21199999999999999</v>
      </c>
      <c r="R2079">
        <v>0.66</v>
      </c>
    </row>
    <row r="2080" spans="1:18" x14ac:dyDescent="0.2">
      <c r="A2080" t="s">
        <v>3806</v>
      </c>
      <c r="B2080" t="s">
        <v>3808</v>
      </c>
      <c r="C2080">
        <v>2014</v>
      </c>
      <c r="D2080">
        <v>1</v>
      </c>
      <c r="E2080" t="s">
        <v>55</v>
      </c>
      <c r="F2080" t="s">
        <v>128</v>
      </c>
      <c r="G2080" t="s">
        <v>63</v>
      </c>
      <c r="H2080">
        <v>2</v>
      </c>
      <c r="I2080">
        <v>43.595792000000003</v>
      </c>
      <c r="J2080">
        <v>397</v>
      </c>
      <c r="M2080">
        <v>3.41</v>
      </c>
      <c r="O2080">
        <v>0.30399999999999999</v>
      </c>
      <c r="R2080">
        <v>0.66</v>
      </c>
    </row>
    <row r="2081" spans="1:19" x14ac:dyDescent="0.2">
      <c r="A2081" t="s">
        <v>3809</v>
      </c>
      <c r="B2081" t="s">
        <v>3810</v>
      </c>
      <c r="C2081">
        <v>2016</v>
      </c>
      <c r="D2081">
        <v>1</v>
      </c>
      <c r="E2081" t="s">
        <v>55</v>
      </c>
      <c r="F2081" t="s">
        <v>128</v>
      </c>
      <c r="G2081" t="s">
        <v>63</v>
      </c>
      <c r="H2081">
        <v>1</v>
      </c>
      <c r="I2081">
        <v>7.6176080400000004</v>
      </c>
      <c r="J2081">
        <v>900</v>
      </c>
      <c r="K2081">
        <v>3.39</v>
      </c>
      <c r="M2081">
        <v>1.1399999999999999</v>
      </c>
      <c r="O2081">
        <v>0.10199999999999999</v>
      </c>
      <c r="Q2081">
        <v>1.1100000000000001</v>
      </c>
      <c r="R2081">
        <v>1.1599999999999999</v>
      </c>
    </row>
    <row r="2082" spans="1:19" x14ac:dyDescent="0.2">
      <c r="A2082" t="s">
        <v>3811</v>
      </c>
      <c r="B2082" t="s">
        <v>3812</v>
      </c>
      <c r="C2082">
        <v>2016</v>
      </c>
      <c r="D2082">
        <v>1</v>
      </c>
      <c r="E2082" t="s">
        <v>55</v>
      </c>
      <c r="F2082" t="s">
        <v>128</v>
      </c>
      <c r="G2082" t="s">
        <v>63</v>
      </c>
      <c r="H2082">
        <v>1</v>
      </c>
      <c r="I2082">
        <v>8.1850494900000008</v>
      </c>
      <c r="J2082">
        <v>1090</v>
      </c>
      <c r="K2082">
        <v>3.24</v>
      </c>
      <c r="M2082">
        <v>1.27</v>
      </c>
      <c r="O2082">
        <v>0.113</v>
      </c>
      <c r="Q2082">
        <v>1.1000000000000001</v>
      </c>
      <c r="R2082">
        <v>1.1599999999999999</v>
      </c>
    </row>
    <row r="2083" spans="1:19" x14ac:dyDescent="0.2">
      <c r="A2083" t="s">
        <v>3813</v>
      </c>
      <c r="B2083" t="s">
        <v>3814</v>
      </c>
      <c r="C2083">
        <v>2016</v>
      </c>
      <c r="D2083">
        <v>1</v>
      </c>
      <c r="E2083" t="s">
        <v>55</v>
      </c>
      <c r="F2083" t="s">
        <v>128</v>
      </c>
      <c r="G2083" t="s">
        <v>63</v>
      </c>
      <c r="H2083">
        <v>1</v>
      </c>
      <c r="I2083">
        <v>3.05710069</v>
      </c>
      <c r="J2083">
        <v>1349</v>
      </c>
      <c r="K2083">
        <v>2.69</v>
      </c>
      <c r="M2083">
        <v>1.54</v>
      </c>
      <c r="O2083">
        <v>0.13700000000000001</v>
      </c>
      <c r="Q2083">
        <v>1.18</v>
      </c>
      <c r="R2083">
        <v>1.28</v>
      </c>
    </row>
    <row r="2084" spans="1:19" x14ac:dyDescent="0.2">
      <c r="A2084" t="s">
        <v>3815</v>
      </c>
      <c r="B2084" t="s">
        <v>3816</v>
      </c>
      <c r="C2084">
        <v>2016</v>
      </c>
      <c r="D2084">
        <v>1</v>
      </c>
      <c r="E2084" t="s">
        <v>55</v>
      </c>
      <c r="F2084" t="s">
        <v>128</v>
      </c>
      <c r="G2084" t="s">
        <v>63</v>
      </c>
      <c r="H2084">
        <v>1</v>
      </c>
      <c r="I2084">
        <v>174.50983500000001</v>
      </c>
      <c r="J2084">
        <v>755</v>
      </c>
      <c r="K2084">
        <v>3.63</v>
      </c>
      <c r="M2084">
        <v>3.17</v>
      </c>
      <c r="O2084">
        <v>0.28299999999999997</v>
      </c>
      <c r="Q2084">
        <v>0.81</v>
      </c>
      <c r="R2084">
        <v>0.77</v>
      </c>
    </row>
    <row r="2085" spans="1:19" x14ac:dyDescent="0.2">
      <c r="A2085" t="s">
        <v>3817</v>
      </c>
      <c r="B2085" t="s">
        <v>3818</v>
      </c>
      <c r="C2085">
        <v>2016</v>
      </c>
      <c r="D2085">
        <v>1</v>
      </c>
      <c r="E2085" t="s">
        <v>55</v>
      </c>
      <c r="F2085" t="s">
        <v>128</v>
      </c>
      <c r="G2085" t="s">
        <v>63</v>
      </c>
      <c r="H2085">
        <v>1</v>
      </c>
      <c r="I2085">
        <v>2.7160380900000001</v>
      </c>
      <c r="J2085">
        <v>1100</v>
      </c>
      <c r="K2085">
        <v>3.89</v>
      </c>
      <c r="M2085">
        <v>1.06</v>
      </c>
      <c r="O2085">
        <v>9.5000000000000001E-2</v>
      </c>
      <c r="Q2085">
        <v>1.06</v>
      </c>
      <c r="R2085">
        <v>1.08</v>
      </c>
    </row>
    <row r="2086" spans="1:19" x14ac:dyDescent="0.2">
      <c r="A2086" t="s">
        <v>3819</v>
      </c>
      <c r="B2086" t="s">
        <v>3820</v>
      </c>
      <c r="C2086">
        <v>2016</v>
      </c>
      <c r="D2086">
        <v>1</v>
      </c>
      <c r="E2086" t="s">
        <v>55</v>
      </c>
      <c r="F2086" t="s">
        <v>128</v>
      </c>
      <c r="G2086" t="s">
        <v>63</v>
      </c>
      <c r="H2086">
        <v>1</v>
      </c>
      <c r="I2086">
        <v>4.5638046799999996</v>
      </c>
      <c r="J2086">
        <v>841</v>
      </c>
      <c r="K2086">
        <v>4.68</v>
      </c>
      <c r="M2086">
        <v>1.23</v>
      </c>
      <c r="O2086">
        <v>0.11</v>
      </c>
      <c r="Q2086">
        <v>0.84</v>
      </c>
      <c r="R2086">
        <v>0.8</v>
      </c>
    </row>
    <row r="2087" spans="1:19" x14ac:dyDescent="0.2">
      <c r="A2087" t="s">
        <v>3821</v>
      </c>
      <c r="B2087" t="s">
        <v>3822</v>
      </c>
      <c r="C2087">
        <v>2016</v>
      </c>
      <c r="D2087">
        <v>1</v>
      </c>
      <c r="E2087" t="s">
        <v>55</v>
      </c>
      <c r="F2087" t="s">
        <v>128</v>
      </c>
      <c r="G2087" t="s">
        <v>63</v>
      </c>
      <c r="H2087">
        <v>1</v>
      </c>
      <c r="I2087">
        <v>66.373379</v>
      </c>
      <c r="J2087">
        <v>1166</v>
      </c>
      <c r="K2087">
        <v>3.89</v>
      </c>
      <c r="M2087">
        <v>1.9</v>
      </c>
      <c r="O2087">
        <v>0.17</v>
      </c>
      <c r="Q2087">
        <v>0.95</v>
      </c>
      <c r="R2087">
        <v>0.92</v>
      </c>
    </row>
    <row r="2088" spans="1:19" x14ac:dyDescent="0.2">
      <c r="A2088" t="s">
        <v>3823</v>
      </c>
      <c r="B2088" t="s">
        <v>3824</v>
      </c>
      <c r="C2088">
        <v>2016</v>
      </c>
      <c r="D2088">
        <v>1</v>
      </c>
      <c r="E2088" t="s">
        <v>55</v>
      </c>
      <c r="F2088" t="s">
        <v>128</v>
      </c>
      <c r="G2088" t="s">
        <v>63</v>
      </c>
      <c r="H2088">
        <v>1</v>
      </c>
      <c r="I2088">
        <v>2.9465417899999999</v>
      </c>
      <c r="J2088">
        <v>1255</v>
      </c>
      <c r="K2088">
        <v>2.4</v>
      </c>
      <c r="M2088">
        <v>1.06</v>
      </c>
      <c r="O2088">
        <v>9.5000000000000001E-2</v>
      </c>
      <c r="Q2088">
        <v>1.25</v>
      </c>
      <c r="R2088">
        <v>1.39</v>
      </c>
    </row>
    <row r="2089" spans="1:19" x14ac:dyDescent="0.2">
      <c r="A2089" t="s">
        <v>3825</v>
      </c>
      <c r="B2089" t="s">
        <v>3826</v>
      </c>
      <c r="C2089">
        <v>2016</v>
      </c>
      <c r="D2089">
        <v>1</v>
      </c>
      <c r="E2089" t="s">
        <v>55</v>
      </c>
      <c r="F2089" t="s">
        <v>128</v>
      </c>
      <c r="G2089" t="s">
        <v>63</v>
      </c>
      <c r="H2089">
        <v>1</v>
      </c>
      <c r="I2089">
        <v>4.3419512300000003</v>
      </c>
      <c r="J2089">
        <v>734</v>
      </c>
      <c r="K2089">
        <v>3.8</v>
      </c>
      <c r="M2089">
        <v>0.95</v>
      </c>
      <c r="O2089">
        <v>8.5000000000000006E-2</v>
      </c>
      <c r="Q2089">
        <v>1.07</v>
      </c>
      <c r="R2089">
        <v>1.0900000000000001</v>
      </c>
    </row>
    <row r="2090" spans="1:19" x14ac:dyDescent="0.2">
      <c r="A2090" t="s">
        <v>3827</v>
      </c>
      <c r="B2090" t="s">
        <v>3828</v>
      </c>
      <c r="C2090">
        <v>2016</v>
      </c>
      <c r="D2090">
        <v>1</v>
      </c>
      <c r="E2090" t="s">
        <v>55</v>
      </c>
      <c r="F2090" t="s">
        <v>128</v>
      </c>
      <c r="G2090" t="s">
        <v>63</v>
      </c>
      <c r="H2090">
        <v>1</v>
      </c>
      <c r="I2090">
        <v>122.363553</v>
      </c>
      <c r="J2090">
        <v>1004</v>
      </c>
      <c r="K2090">
        <v>4.2699999999999996</v>
      </c>
      <c r="M2090">
        <v>1.62</v>
      </c>
      <c r="O2090">
        <v>0.14499999999999999</v>
      </c>
      <c r="Q2090">
        <v>0.99</v>
      </c>
      <c r="R2090">
        <v>0.99</v>
      </c>
    </row>
    <row r="2091" spans="1:19" x14ac:dyDescent="0.2">
      <c r="A2091" t="s">
        <v>3829</v>
      </c>
      <c r="B2091" t="s">
        <v>3830</v>
      </c>
      <c r="C2091">
        <v>2011</v>
      </c>
      <c r="D2091">
        <v>1</v>
      </c>
      <c r="E2091" t="s">
        <v>55</v>
      </c>
      <c r="F2091" t="s">
        <v>128</v>
      </c>
      <c r="G2091" t="s">
        <v>63</v>
      </c>
      <c r="H2091">
        <v>1</v>
      </c>
      <c r="I2091">
        <v>228.77600000000001</v>
      </c>
      <c r="J2091">
        <v>61</v>
      </c>
      <c r="L2091">
        <v>105.833</v>
      </c>
      <c r="M2091">
        <v>8.4489999999999998</v>
      </c>
      <c r="N2091">
        <v>0.33300000000000002</v>
      </c>
      <c r="O2091">
        <v>0.754</v>
      </c>
      <c r="P2091">
        <v>0.96399999999999997</v>
      </c>
      <c r="Q2091">
        <v>0.69</v>
      </c>
      <c r="R2091">
        <v>0.65</v>
      </c>
      <c r="S2091">
        <v>3.5630000000000002</v>
      </c>
    </row>
    <row r="2092" spans="1:19" x14ac:dyDescent="0.2">
      <c r="A2092" t="s">
        <v>3831</v>
      </c>
      <c r="B2092" t="s">
        <v>3832</v>
      </c>
      <c r="C2092">
        <v>2014</v>
      </c>
      <c r="D2092">
        <v>1</v>
      </c>
      <c r="E2092" t="s">
        <v>55</v>
      </c>
      <c r="F2092" t="s">
        <v>128</v>
      </c>
      <c r="G2092" t="s">
        <v>63</v>
      </c>
      <c r="H2092">
        <v>2</v>
      </c>
      <c r="I2092">
        <v>4.3094270000000003</v>
      </c>
      <c r="J2092">
        <v>841</v>
      </c>
      <c r="M2092">
        <v>1.54</v>
      </c>
      <c r="O2092">
        <v>0.13700000000000001</v>
      </c>
      <c r="R2092">
        <v>0.88</v>
      </c>
    </row>
    <row r="2093" spans="1:19" x14ac:dyDescent="0.2">
      <c r="A2093" t="s">
        <v>3831</v>
      </c>
      <c r="B2093" t="s">
        <v>3833</v>
      </c>
      <c r="C2093">
        <v>2014</v>
      </c>
      <c r="D2093">
        <v>1</v>
      </c>
      <c r="E2093" t="s">
        <v>55</v>
      </c>
      <c r="F2093" t="s">
        <v>128</v>
      </c>
      <c r="G2093" t="s">
        <v>63</v>
      </c>
      <c r="H2093">
        <v>2</v>
      </c>
      <c r="I2093">
        <v>13.699087</v>
      </c>
      <c r="J2093">
        <v>841</v>
      </c>
      <c r="M2093">
        <v>3.61</v>
      </c>
      <c r="O2093">
        <v>0.32200000000000001</v>
      </c>
      <c r="R2093">
        <v>0.88</v>
      </c>
    </row>
    <row r="2094" spans="1:19" x14ac:dyDescent="0.2">
      <c r="A2094" t="s">
        <v>3834</v>
      </c>
      <c r="B2094" t="s">
        <v>3835</v>
      </c>
      <c r="C2094">
        <v>2016</v>
      </c>
      <c r="D2094">
        <v>1</v>
      </c>
      <c r="E2094" t="s">
        <v>55</v>
      </c>
      <c r="F2094" t="s">
        <v>128</v>
      </c>
      <c r="G2094" t="s">
        <v>63</v>
      </c>
      <c r="H2094">
        <v>1</v>
      </c>
      <c r="I2094">
        <v>386.37054799999999</v>
      </c>
      <c r="J2094">
        <v>992</v>
      </c>
      <c r="K2094">
        <v>4.68</v>
      </c>
      <c r="M2094">
        <v>3.13</v>
      </c>
      <c r="O2094">
        <v>0.27900000000000003</v>
      </c>
      <c r="Q2094">
        <v>0.86</v>
      </c>
      <c r="R2094">
        <v>0.82</v>
      </c>
    </row>
    <row r="2095" spans="1:19" x14ac:dyDescent="0.2">
      <c r="A2095" t="s">
        <v>3836</v>
      </c>
      <c r="B2095" t="s">
        <v>3837</v>
      </c>
      <c r="C2095">
        <v>2016</v>
      </c>
      <c r="D2095">
        <v>1</v>
      </c>
      <c r="E2095" t="s">
        <v>55</v>
      </c>
      <c r="F2095" t="s">
        <v>128</v>
      </c>
      <c r="G2095" t="s">
        <v>63</v>
      </c>
      <c r="H2095">
        <v>1</v>
      </c>
      <c r="I2095">
        <v>2.2092195100000001</v>
      </c>
      <c r="J2095">
        <v>660</v>
      </c>
      <c r="K2095">
        <v>4.2699999999999996</v>
      </c>
      <c r="M2095">
        <v>0.82</v>
      </c>
      <c r="O2095">
        <v>7.2999999999999995E-2</v>
      </c>
      <c r="Q2095">
        <v>1.04</v>
      </c>
      <c r="R2095">
        <v>1.07</v>
      </c>
    </row>
    <row r="2096" spans="1:19" x14ac:dyDescent="0.2">
      <c r="A2096" t="s">
        <v>3838</v>
      </c>
      <c r="B2096" t="s">
        <v>3839</v>
      </c>
      <c r="C2096">
        <v>2016</v>
      </c>
      <c r="D2096">
        <v>1</v>
      </c>
      <c r="E2096" t="s">
        <v>55</v>
      </c>
      <c r="F2096" t="s">
        <v>128</v>
      </c>
      <c r="G2096" t="s">
        <v>63</v>
      </c>
      <c r="H2096">
        <v>1</v>
      </c>
      <c r="I2096">
        <v>11.179316050000001</v>
      </c>
      <c r="J2096">
        <v>815</v>
      </c>
      <c r="K2096">
        <v>2.5099999999999998</v>
      </c>
      <c r="M2096">
        <v>1.34</v>
      </c>
      <c r="O2096">
        <v>0.12</v>
      </c>
      <c r="Q2096">
        <v>1.22</v>
      </c>
      <c r="R2096">
        <v>1.36</v>
      </c>
    </row>
    <row r="2097" spans="1:18" x14ac:dyDescent="0.2">
      <c r="A2097" t="s">
        <v>3840</v>
      </c>
      <c r="B2097" t="s">
        <v>3841</v>
      </c>
      <c r="C2097">
        <v>2016</v>
      </c>
      <c r="D2097">
        <v>1</v>
      </c>
      <c r="E2097" t="s">
        <v>55</v>
      </c>
      <c r="F2097" t="s">
        <v>128</v>
      </c>
      <c r="G2097" t="s">
        <v>63</v>
      </c>
      <c r="H2097">
        <v>1</v>
      </c>
      <c r="I2097">
        <v>2.2716392600000002</v>
      </c>
      <c r="J2097">
        <v>1751</v>
      </c>
      <c r="K2097">
        <v>2.82</v>
      </c>
      <c r="M2097">
        <v>1.29</v>
      </c>
      <c r="O2097">
        <v>0.115</v>
      </c>
      <c r="Q2097">
        <v>1.21</v>
      </c>
      <c r="R2097">
        <v>1.31</v>
      </c>
    </row>
    <row r="2098" spans="1:18" x14ac:dyDescent="0.2">
      <c r="A2098" t="s">
        <v>3842</v>
      </c>
      <c r="B2098" t="s">
        <v>3843</v>
      </c>
      <c r="C2098">
        <v>2016</v>
      </c>
      <c r="D2098">
        <v>1</v>
      </c>
      <c r="E2098" t="s">
        <v>55</v>
      </c>
      <c r="F2098" t="s">
        <v>128</v>
      </c>
      <c r="G2098" t="s">
        <v>63</v>
      </c>
      <c r="H2098">
        <v>1</v>
      </c>
      <c r="I2098">
        <v>0.68368426000000004</v>
      </c>
      <c r="J2098">
        <v>562</v>
      </c>
      <c r="K2098">
        <v>4.17</v>
      </c>
      <c r="M2098">
        <v>1.41</v>
      </c>
      <c r="O2098">
        <v>0.126</v>
      </c>
      <c r="Q2098">
        <v>0.81</v>
      </c>
      <c r="R2098">
        <v>0.76</v>
      </c>
    </row>
    <row r="2099" spans="1:18" x14ac:dyDescent="0.2">
      <c r="A2099" t="s">
        <v>3844</v>
      </c>
      <c r="B2099" t="s">
        <v>3845</v>
      </c>
      <c r="C2099">
        <v>2016</v>
      </c>
      <c r="D2099">
        <v>1</v>
      </c>
      <c r="E2099" t="s">
        <v>55</v>
      </c>
      <c r="F2099" t="s">
        <v>128</v>
      </c>
      <c r="G2099" t="s">
        <v>63</v>
      </c>
      <c r="H2099">
        <v>1</v>
      </c>
      <c r="I2099">
        <v>85.756549500000006</v>
      </c>
      <c r="J2099">
        <v>224</v>
      </c>
      <c r="K2099">
        <v>4.68</v>
      </c>
      <c r="M2099">
        <v>1.08</v>
      </c>
      <c r="O2099">
        <v>9.6000000000000002E-2</v>
      </c>
      <c r="Q2099">
        <v>0.86</v>
      </c>
      <c r="R2099">
        <v>0.82</v>
      </c>
    </row>
    <row r="2100" spans="1:18" x14ac:dyDescent="0.2">
      <c r="A2100" t="s">
        <v>3846</v>
      </c>
      <c r="B2100" t="s">
        <v>3847</v>
      </c>
      <c r="C2100">
        <v>2016</v>
      </c>
      <c r="D2100">
        <v>1</v>
      </c>
      <c r="E2100" t="s">
        <v>55</v>
      </c>
      <c r="F2100" t="s">
        <v>128</v>
      </c>
      <c r="G2100" t="s">
        <v>63</v>
      </c>
      <c r="H2100">
        <v>1</v>
      </c>
      <c r="I2100">
        <v>196.43522400000001</v>
      </c>
      <c r="J2100">
        <v>880</v>
      </c>
      <c r="K2100">
        <v>4.2699999999999996</v>
      </c>
      <c r="M2100">
        <v>2.0699999999999998</v>
      </c>
      <c r="O2100">
        <v>0.185</v>
      </c>
      <c r="Q2100">
        <v>0.9</v>
      </c>
      <c r="R2100">
        <v>0.86</v>
      </c>
    </row>
    <row r="2101" spans="1:18" x14ac:dyDescent="0.2">
      <c r="A2101" t="s">
        <v>3848</v>
      </c>
      <c r="B2101" t="s">
        <v>3849</v>
      </c>
      <c r="C2101">
        <v>2016</v>
      </c>
      <c r="D2101">
        <v>1</v>
      </c>
      <c r="E2101" t="s">
        <v>55</v>
      </c>
      <c r="F2101" t="s">
        <v>128</v>
      </c>
      <c r="G2101" t="s">
        <v>63</v>
      </c>
      <c r="H2101">
        <v>1</v>
      </c>
      <c r="I2101">
        <v>13.647367600000001</v>
      </c>
      <c r="J2101">
        <v>735</v>
      </c>
      <c r="K2101">
        <v>3.16</v>
      </c>
      <c r="M2101">
        <v>0.92</v>
      </c>
      <c r="O2101">
        <v>8.2000000000000003E-2</v>
      </c>
      <c r="Q2101">
        <v>1.1399999999999999</v>
      </c>
      <c r="R2101">
        <v>1.21</v>
      </c>
    </row>
    <row r="2102" spans="1:18" x14ac:dyDescent="0.2">
      <c r="A2102" t="s">
        <v>3850</v>
      </c>
      <c r="B2102" t="s">
        <v>3851</v>
      </c>
      <c r="C2102">
        <v>2016</v>
      </c>
      <c r="D2102">
        <v>1</v>
      </c>
      <c r="E2102" t="s">
        <v>55</v>
      </c>
      <c r="F2102" t="s">
        <v>128</v>
      </c>
      <c r="G2102" t="s">
        <v>63</v>
      </c>
      <c r="H2102">
        <v>1</v>
      </c>
      <c r="I2102">
        <v>16.4735686</v>
      </c>
      <c r="J2102">
        <v>832</v>
      </c>
      <c r="K2102">
        <v>5.13</v>
      </c>
      <c r="M2102">
        <v>1.73</v>
      </c>
      <c r="O2102">
        <v>0.154</v>
      </c>
      <c r="Q2102">
        <v>0.75</v>
      </c>
      <c r="R2102">
        <v>0.72</v>
      </c>
    </row>
    <row r="2103" spans="1:18" x14ac:dyDescent="0.2">
      <c r="A2103" t="s">
        <v>3852</v>
      </c>
      <c r="B2103" t="s">
        <v>3853</v>
      </c>
      <c r="C2103">
        <v>2016</v>
      </c>
      <c r="D2103">
        <v>1</v>
      </c>
      <c r="E2103" t="s">
        <v>55</v>
      </c>
      <c r="F2103" t="s">
        <v>128</v>
      </c>
      <c r="G2103" t="s">
        <v>63</v>
      </c>
      <c r="H2103">
        <v>1</v>
      </c>
      <c r="I2103">
        <v>114.34219</v>
      </c>
      <c r="J2103">
        <v>1483</v>
      </c>
      <c r="K2103">
        <v>3.02</v>
      </c>
      <c r="M2103">
        <v>2.2200000000000002</v>
      </c>
      <c r="O2103">
        <v>0.19800000000000001</v>
      </c>
      <c r="Q2103">
        <v>1.18</v>
      </c>
      <c r="R2103">
        <v>1.27</v>
      </c>
    </row>
    <row r="2104" spans="1:18" x14ac:dyDescent="0.2">
      <c r="A2104" t="s">
        <v>3854</v>
      </c>
      <c r="B2104" t="s">
        <v>3855</v>
      </c>
      <c r="C2104">
        <v>2014</v>
      </c>
      <c r="D2104">
        <v>1</v>
      </c>
      <c r="E2104" t="s">
        <v>55</v>
      </c>
      <c r="F2104" t="s">
        <v>128</v>
      </c>
      <c r="G2104" t="s">
        <v>63</v>
      </c>
      <c r="H2104">
        <v>2</v>
      </c>
      <c r="I2104">
        <v>4.9213550000000001</v>
      </c>
      <c r="J2104">
        <v>464</v>
      </c>
      <c r="M2104">
        <v>2.12</v>
      </c>
      <c r="O2104">
        <v>0.189</v>
      </c>
      <c r="R2104">
        <v>0.81</v>
      </c>
    </row>
    <row r="2105" spans="1:18" x14ac:dyDescent="0.2">
      <c r="A2105" t="s">
        <v>3854</v>
      </c>
      <c r="B2105" t="s">
        <v>3856</v>
      </c>
      <c r="C2105">
        <v>2014</v>
      </c>
      <c r="D2105">
        <v>1</v>
      </c>
      <c r="E2105" t="s">
        <v>55</v>
      </c>
      <c r="F2105" t="s">
        <v>128</v>
      </c>
      <c r="G2105" t="s">
        <v>63</v>
      </c>
      <c r="H2105">
        <v>2</v>
      </c>
      <c r="I2105">
        <v>7.0642399999999999</v>
      </c>
      <c r="J2105">
        <v>464</v>
      </c>
      <c r="M2105">
        <v>2.0499999999999998</v>
      </c>
      <c r="O2105">
        <v>0.183</v>
      </c>
      <c r="R2105">
        <v>0.81</v>
      </c>
    </row>
    <row r="2106" spans="1:18" x14ac:dyDescent="0.2">
      <c r="A2106" t="s">
        <v>3857</v>
      </c>
      <c r="B2106" t="s">
        <v>3858</v>
      </c>
      <c r="C2106">
        <v>2016</v>
      </c>
      <c r="D2106">
        <v>1</v>
      </c>
      <c r="E2106" t="s">
        <v>55</v>
      </c>
      <c r="F2106" t="s">
        <v>128</v>
      </c>
      <c r="G2106" t="s">
        <v>63</v>
      </c>
      <c r="H2106">
        <v>1</v>
      </c>
      <c r="I2106">
        <v>8.7018157400000007</v>
      </c>
      <c r="J2106">
        <v>1063</v>
      </c>
      <c r="K2106">
        <v>4.68</v>
      </c>
      <c r="M2106">
        <v>1.61</v>
      </c>
      <c r="O2106">
        <v>0.14399999999999999</v>
      </c>
      <c r="Q2106">
        <v>0.91</v>
      </c>
      <c r="R2106">
        <v>0.87</v>
      </c>
    </row>
    <row r="2107" spans="1:18" x14ac:dyDescent="0.2">
      <c r="A2107" t="s">
        <v>3859</v>
      </c>
      <c r="B2107" t="s">
        <v>3860</v>
      </c>
      <c r="C2107">
        <v>2016</v>
      </c>
      <c r="D2107">
        <v>1</v>
      </c>
      <c r="E2107" t="s">
        <v>55</v>
      </c>
      <c r="F2107" t="s">
        <v>128</v>
      </c>
      <c r="G2107" t="s">
        <v>63</v>
      </c>
      <c r="H2107">
        <v>1</v>
      </c>
      <c r="I2107">
        <v>5.1762429000000001</v>
      </c>
      <c r="J2107">
        <v>686</v>
      </c>
      <c r="K2107">
        <v>5.01</v>
      </c>
      <c r="M2107">
        <v>0.81</v>
      </c>
      <c r="O2107">
        <v>7.1999999999999995E-2</v>
      </c>
      <c r="Q2107">
        <v>0.94</v>
      </c>
      <c r="R2107">
        <v>0.93</v>
      </c>
    </row>
    <row r="2108" spans="1:18" x14ac:dyDescent="0.2">
      <c r="A2108" t="s">
        <v>3861</v>
      </c>
      <c r="B2108" t="s">
        <v>3862</v>
      </c>
      <c r="C2108">
        <v>2016</v>
      </c>
      <c r="D2108">
        <v>1</v>
      </c>
      <c r="E2108" t="s">
        <v>55</v>
      </c>
      <c r="F2108" t="s">
        <v>128</v>
      </c>
      <c r="G2108" t="s">
        <v>63</v>
      </c>
      <c r="H2108">
        <v>1</v>
      </c>
      <c r="I2108">
        <v>3.9179510099999999</v>
      </c>
      <c r="J2108">
        <v>837</v>
      </c>
      <c r="K2108">
        <v>4.57</v>
      </c>
      <c r="M2108">
        <v>1.03</v>
      </c>
      <c r="O2108">
        <v>9.1999999999999998E-2</v>
      </c>
      <c r="Q2108">
        <v>0.96</v>
      </c>
      <c r="R2108">
        <v>0.94</v>
      </c>
    </row>
    <row r="2109" spans="1:18" x14ac:dyDescent="0.2">
      <c r="A2109" t="s">
        <v>3863</v>
      </c>
      <c r="B2109" t="s">
        <v>3864</v>
      </c>
      <c r="C2109">
        <v>2016</v>
      </c>
      <c r="D2109">
        <v>1</v>
      </c>
      <c r="E2109" t="s">
        <v>55</v>
      </c>
      <c r="F2109" t="s">
        <v>128</v>
      </c>
      <c r="G2109" t="s">
        <v>63</v>
      </c>
      <c r="H2109">
        <v>1</v>
      </c>
      <c r="I2109">
        <v>1.5184299000000001</v>
      </c>
      <c r="J2109">
        <v>855</v>
      </c>
      <c r="K2109">
        <v>3.55</v>
      </c>
      <c r="M2109">
        <v>2.08</v>
      </c>
      <c r="O2109">
        <v>0.186</v>
      </c>
      <c r="Q2109">
        <v>1.08</v>
      </c>
      <c r="R2109">
        <v>1.1200000000000001</v>
      </c>
    </row>
    <row r="2110" spans="1:18" x14ac:dyDescent="0.2">
      <c r="A2110" t="s">
        <v>3865</v>
      </c>
      <c r="B2110" t="s">
        <v>3866</v>
      </c>
      <c r="C2110">
        <v>2016</v>
      </c>
      <c r="D2110">
        <v>1</v>
      </c>
      <c r="E2110" t="s">
        <v>55</v>
      </c>
      <c r="F2110" t="s">
        <v>128</v>
      </c>
      <c r="G2110" t="s">
        <v>63</v>
      </c>
      <c r="H2110">
        <v>1</v>
      </c>
      <c r="I2110">
        <v>3.9466141000000001</v>
      </c>
      <c r="J2110">
        <v>982</v>
      </c>
      <c r="K2110">
        <v>5.5</v>
      </c>
      <c r="M2110">
        <v>1.49</v>
      </c>
      <c r="O2110">
        <v>0.13300000000000001</v>
      </c>
      <c r="Q2110">
        <v>0.79</v>
      </c>
      <c r="R2110">
        <v>0.76</v>
      </c>
    </row>
    <row r="2111" spans="1:18" x14ac:dyDescent="0.2">
      <c r="A2111" t="s">
        <v>3867</v>
      </c>
      <c r="B2111" t="s">
        <v>3868</v>
      </c>
      <c r="C2111">
        <v>2016</v>
      </c>
      <c r="D2111">
        <v>1</v>
      </c>
      <c r="E2111" t="s">
        <v>55</v>
      </c>
      <c r="F2111" t="s">
        <v>128</v>
      </c>
      <c r="G2111" t="s">
        <v>63</v>
      </c>
      <c r="H2111">
        <v>1</v>
      </c>
      <c r="I2111">
        <v>47.3126192</v>
      </c>
      <c r="J2111">
        <v>940</v>
      </c>
      <c r="K2111">
        <v>3.89</v>
      </c>
      <c r="M2111">
        <v>2.06</v>
      </c>
      <c r="O2111">
        <v>0.184</v>
      </c>
      <c r="Q2111">
        <v>1.04</v>
      </c>
      <c r="R2111">
        <v>1.05</v>
      </c>
    </row>
    <row r="2112" spans="1:18" x14ac:dyDescent="0.2">
      <c r="A2112" t="s">
        <v>3869</v>
      </c>
      <c r="B2112" t="s">
        <v>3870</v>
      </c>
      <c r="C2112">
        <v>2016</v>
      </c>
      <c r="D2112">
        <v>1</v>
      </c>
      <c r="E2112" t="s">
        <v>55</v>
      </c>
      <c r="F2112" t="s">
        <v>128</v>
      </c>
      <c r="G2112" t="s">
        <v>63</v>
      </c>
      <c r="H2112">
        <v>1</v>
      </c>
      <c r="I2112">
        <v>6.7628437699999999</v>
      </c>
      <c r="J2112">
        <v>862</v>
      </c>
      <c r="K2112">
        <v>2.75</v>
      </c>
      <c r="M2112">
        <v>1.02</v>
      </c>
      <c r="O2112">
        <v>9.0999999999999998E-2</v>
      </c>
      <c r="Q2112">
        <v>1.21</v>
      </c>
      <c r="R2112">
        <v>1.34</v>
      </c>
    </row>
    <row r="2113" spans="1:18" x14ac:dyDescent="0.2">
      <c r="A2113" t="s">
        <v>3871</v>
      </c>
      <c r="B2113" t="s">
        <v>3872</v>
      </c>
      <c r="C2113">
        <v>2016</v>
      </c>
      <c r="D2113">
        <v>1</v>
      </c>
      <c r="E2113" t="s">
        <v>55</v>
      </c>
      <c r="F2113" t="s">
        <v>128</v>
      </c>
      <c r="G2113" t="s">
        <v>63</v>
      </c>
      <c r="H2113">
        <v>1</v>
      </c>
      <c r="I2113">
        <v>27.478557200000001</v>
      </c>
      <c r="J2113">
        <v>813</v>
      </c>
      <c r="K2113">
        <v>3.02</v>
      </c>
      <c r="M2113">
        <v>1.2</v>
      </c>
      <c r="O2113">
        <v>0.107</v>
      </c>
      <c r="Q2113">
        <v>1.1499999999999999</v>
      </c>
      <c r="R2113">
        <v>1.22</v>
      </c>
    </row>
    <row r="2114" spans="1:18" x14ac:dyDescent="0.2">
      <c r="A2114" t="s">
        <v>3873</v>
      </c>
      <c r="B2114" t="s">
        <v>3874</v>
      </c>
      <c r="C2114">
        <v>2016</v>
      </c>
      <c r="D2114">
        <v>1</v>
      </c>
      <c r="E2114" t="s">
        <v>55</v>
      </c>
      <c r="F2114" t="s">
        <v>128</v>
      </c>
      <c r="G2114" t="s">
        <v>63</v>
      </c>
      <c r="H2114">
        <v>1</v>
      </c>
      <c r="I2114">
        <v>6.1082601900000002</v>
      </c>
      <c r="J2114">
        <v>1238</v>
      </c>
      <c r="K2114">
        <v>1.78</v>
      </c>
      <c r="M2114">
        <v>1.26</v>
      </c>
      <c r="O2114">
        <v>0.112</v>
      </c>
      <c r="Q2114">
        <v>1.41</v>
      </c>
      <c r="R2114">
        <v>1.65</v>
      </c>
    </row>
    <row r="2115" spans="1:18" x14ac:dyDescent="0.2">
      <c r="A2115" t="s">
        <v>3875</v>
      </c>
      <c r="B2115" t="s">
        <v>3876</v>
      </c>
      <c r="C2115">
        <v>2016</v>
      </c>
      <c r="D2115">
        <v>1</v>
      </c>
      <c r="E2115" t="s">
        <v>55</v>
      </c>
      <c r="F2115" t="s">
        <v>128</v>
      </c>
      <c r="G2115" t="s">
        <v>63</v>
      </c>
      <c r="H2115">
        <v>1</v>
      </c>
      <c r="I2115">
        <v>23.6225913</v>
      </c>
      <c r="J2115">
        <v>520</v>
      </c>
      <c r="K2115">
        <v>4.2699999999999996</v>
      </c>
      <c r="M2115">
        <v>0.76</v>
      </c>
      <c r="O2115">
        <v>6.8000000000000005E-2</v>
      </c>
      <c r="Q2115">
        <v>1</v>
      </c>
      <c r="R2115">
        <v>1</v>
      </c>
    </row>
    <row r="2116" spans="1:18" x14ac:dyDescent="0.2">
      <c r="A2116" t="s">
        <v>3877</v>
      </c>
      <c r="B2116" t="s">
        <v>3878</v>
      </c>
      <c r="C2116">
        <v>2014</v>
      </c>
      <c r="D2116">
        <v>1</v>
      </c>
      <c r="E2116" t="s">
        <v>55</v>
      </c>
      <c r="F2116" t="s">
        <v>128</v>
      </c>
      <c r="G2116" t="s">
        <v>63</v>
      </c>
      <c r="H2116">
        <v>2</v>
      </c>
      <c r="I2116">
        <v>6.9197980000000001</v>
      </c>
      <c r="J2116">
        <v>905</v>
      </c>
      <c r="M2116">
        <v>1.26</v>
      </c>
      <c r="O2116">
        <v>0.112</v>
      </c>
      <c r="R2116">
        <v>0.96</v>
      </c>
    </row>
    <row r="2117" spans="1:18" x14ac:dyDescent="0.2">
      <c r="A2117" t="s">
        <v>3877</v>
      </c>
      <c r="B2117" t="s">
        <v>3879</v>
      </c>
      <c r="C2117">
        <v>2014</v>
      </c>
      <c r="D2117">
        <v>1</v>
      </c>
      <c r="E2117" t="s">
        <v>55</v>
      </c>
      <c r="F2117" t="s">
        <v>128</v>
      </c>
      <c r="G2117" t="s">
        <v>63</v>
      </c>
      <c r="H2117">
        <v>2</v>
      </c>
      <c r="I2117">
        <v>19.446355000000001</v>
      </c>
      <c r="J2117">
        <v>905</v>
      </c>
      <c r="M2117">
        <v>3.03</v>
      </c>
      <c r="O2117">
        <v>0.27</v>
      </c>
      <c r="R2117">
        <v>0.96</v>
      </c>
    </row>
    <row r="2118" spans="1:18" x14ac:dyDescent="0.2">
      <c r="A2118" t="s">
        <v>3880</v>
      </c>
      <c r="B2118" t="s">
        <v>3881</v>
      </c>
      <c r="C2118">
        <v>2016</v>
      </c>
      <c r="D2118">
        <v>1</v>
      </c>
      <c r="E2118" t="s">
        <v>55</v>
      </c>
      <c r="F2118" t="s">
        <v>128</v>
      </c>
      <c r="G2118" t="s">
        <v>63</v>
      </c>
      <c r="H2118">
        <v>1</v>
      </c>
      <c r="I2118">
        <v>101.951829</v>
      </c>
      <c r="J2118">
        <v>773</v>
      </c>
      <c r="K2118">
        <v>3.02</v>
      </c>
      <c r="M2118">
        <v>1.61</v>
      </c>
      <c r="O2118">
        <v>0.14399999999999999</v>
      </c>
      <c r="Q2118">
        <v>1.1499999999999999</v>
      </c>
      <c r="R2118">
        <v>1.23</v>
      </c>
    </row>
    <row r="2119" spans="1:18" x14ac:dyDescent="0.2">
      <c r="A2119" t="s">
        <v>3882</v>
      </c>
      <c r="B2119" t="s">
        <v>3883</v>
      </c>
      <c r="C2119">
        <v>2016</v>
      </c>
      <c r="D2119">
        <v>1</v>
      </c>
      <c r="E2119" t="s">
        <v>55</v>
      </c>
      <c r="F2119" t="s">
        <v>128</v>
      </c>
      <c r="G2119" t="s">
        <v>63</v>
      </c>
      <c r="H2119">
        <v>1</v>
      </c>
      <c r="I2119">
        <v>92.263713999999993</v>
      </c>
      <c r="J2119">
        <v>1461</v>
      </c>
      <c r="K2119">
        <v>2.69</v>
      </c>
      <c r="M2119">
        <v>2.16</v>
      </c>
      <c r="O2119">
        <v>0.193</v>
      </c>
      <c r="Q2119">
        <v>1.1499999999999999</v>
      </c>
      <c r="R2119">
        <v>1.24</v>
      </c>
    </row>
    <row r="2120" spans="1:18" x14ac:dyDescent="0.2">
      <c r="A2120" t="s">
        <v>3884</v>
      </c>
      <c r="B2120" t="s">
        <v>3885</v>
      </c>
      <c r="C2120">
        <v>2016</v>
      </c>
      <c r="D2120">
        <v>1</v>
      </c>
      <c r="E2120" t="s">
        <v>55</v>
      </c>
      <c r="F2120" t="s">
        <v>128</v>
      </c>
      <c r="G2120" t="s">
        <v>63</v>
      </c>
      <c r="H2120">
        <v>1</v>
      </c>
      <c r="I2120">
        <v>10.8118737</v>
      </c>
      <c r="J2120">
        <v>927</v>
      </c>
      <c r="K2120">
        <v>2.19</v>
      </c>
      <c r="M2120">
        <v>1.47</v>
      </c>
      <c r="O2120">
        <v>0.13100000000000001</v>
      </c>
      <c r="Q2120">
        <v>1.31</v>
      </c>
      <c r="R2120">
        <v>1.5</v>
      </c>
    </row>
    <row r="2121" spans="1:18" x14ac:dyDescent="0.2">
      <c r="A2121" t="s">
        <v>3886</v>
      </c>
      <c r="B2121" t="s">
        <v>3887</v>
      </c>
      <c r="C2121">
        <v>2016</v>
      </c>
      <c r="D2121">
        <v>1</v>
      </c>
      <c r="E2121" t="s">
        <v>55</v>
      </c>
      <c r="F2121" t="s">
        <v>128</v>
      </c>
      <c r="G2121" t="s">
        <v>63</v>
      </c>
      <c r="H2121">
        <v>1</v>
      </c>
      <c r="I2121">
        <v>4.36128348</v>
      </c>
      <c r="J2121">
        <v>986</v>
      </c>
      <c r="K2121">
        <v>4.2699999999999996</v>
      </c>
      <c r="M2121">
        <v>1.31</v>
      </c>
      <c r="O2121">
        <v>0.11700000000000001</v>
      </c>
      <c r="Q2121">
        <v>1</v>
      </c>
      <c r="R2121">
        <v>1</v>
      </c>
    </row>
    <row r="2122" spans="1:18" x14ac:dyDescent="0.2">
      <c r="A2122" t="s">
        <v>3888</v>
      </c>
      <c r="B2122" t="s">
        <v>3889</v>
      </c>
      <c r="C2122">
        <v>2016</v>
      </c>
      <c r="D2122">
        <v>1</v>
      </c>
      <c r="E2122" t="s">
        <v>55</v>
      </c>
      <c r="F2122" t="s">
        <v>128</v>
      </c>
      <c r="G2122" t="s">
        <v>63</v>
      </c>
      <c r="H2122">
        <v>1</v>
      </c>
      <c r="I2122">
        <v>3.2903045199999998</v>
      </c>
      <c r="J2122">
        <v>199</v>
      </c>
      <c r="K2122">
        <v>4.47</v>
      </c>
      <c r="M2122">
        <v>5.7</v>
      </c>
      <c r="O2122">
        <v>0.50900000000000001</v>
      </c>
      <c r="Q2122">
        <v>0.5</v>
      </c>
      <c r="R2122">
        <v>0.47</v>
      </c>
    </row>
    <row r="2123" spans="1:18" x14ac:dyDescent="0.2">
      <c r="A2123" t="s">
        <v>3890</v>
      </c>
      <c r="B2123" t="s">
        <v>3891</v>
      </c>
      <c r="C2123">
        <v>2016</v>
      </c>
      <c r="D2123">
        <v>1</v>
      </c>
      <c r="E2123" t="s">
        <v>55</v>
      </c>
      <c r="F2123" t="s">
        <v>128</v>
      </c>
      <c r="G2123" t="s">
        <v>63</v>
      </c>
      <c r="H2123">
        <v>1</v>
      </c>
      <c r="I2123">
        <v>287.37894899999998</v>
      </c>
      <c r="J2123">
        <v>1213</v>
      </c>
      <c r="K2123">
        <v>4.37</v>
      </c>
      <c r="M2123">
        <v>6.06</v>
      </c>
      <c r="O2123">
        <v>0.54100000000000004</v>
      </c>
      <c r="Q2123">
        <v>0.96</v>
      </c>
      <c r="R2123">
        <v>0.94</v>
      </c>
    </row>
    <row r="2124" spans="1:18" x14ac:dyDescent="0.2">
      <c r="A2124" t="s">
        <v>3892</v>
      </c>
      <c r="B2124" t="s">
        <v>3893</v>
      </c>
      <c r="C2124">
        <v>2016</v>
      </c>
      <c r="D2124">
        <v>1</v>
      </c>
      <c r="E2124" t="s">
        <v>55</v>
      </c>
      <c r="F2124" t="s">
        <v>128</v>
      </c>
      <c r="G2124" t="s">
        <v>63</v>
      </c>
      <c r="H2124">
        <v>1</v>
      </c>
      <c r="I2124">
        <v>4.1396296599999998</v>
      </c>
      <c r="J2124">
        <v>1718</v>
      </c>
      <c r="K2124">
        <v>1.55</v>
      </c>
      <c r="M2124">
        <v>2.02</v>
      </c>
      <c r="O2124">
        <v>0.18</v>
      </c>
      <c r="Q2124">
        <v>1.51</v>
      </c>
      <c r="R2124">
        <v>1.85</v>
      </c>
    </row>
    <row r="2125" spans="1:18" x14ac:dyDescent="0.2">
      <c r="A2125" t="s">
        <v>3894</v>
      </c>
      <c r="B2125" t="s">
        <v>3895</v>
      </c>
      <c r="C2125">
        <v>2016</v>
      </c>
      <c r="D2125">
        <v>1</v>
      </c>
      <c r="E2125" t="s">
        <v>55</v>
      </c>
      <c r="F2125" t="s">
        <v>128</v>
      </c>
      <c r="G2125" t="s">
        <v>63</v>
      </c>
      <c r="H2125">
        <v>1</v>
      </c>
      <c r="I2125">
        <v>7.2028365299999999</v>
      </c>
      <c r="J2125">
        <v>311</v>
      </c>
      <c r="K2125">
        <v>4.68</v>
      </c>
      <c r="M2125">
        <v>3.69</v>
      </c>
      <c r="O2125">
        <v>0.32900000000000001</v>
      </c>
      <c r="Q2125">
        <v>0.87</v>
      </c>
      <c r="R2125">
        <v>0.84</v>
      </c>
    </row>
    <row r="2126" spans="1:18" x14ac:dyDescent="0.2">
      <c r="A2126" t="s">
        <v>3896</v>
      </c>
      <c r="B2126" t="s">
        <v>3897</v>
      </c>
      <c r="C2126">
        <v>2016</v>
      </c>
      <c r="D2126">
        <v>1</v>
      </c>
      <c r="E2126" t="s">
        <v>55</v>
      </c>
      <c r="F2126" t="s">
        <v>128</v>
      </c>
      <c r="G2126" t="s">
        <v>63</v>
      </c>
      <c r="H2126">
        <v>1</v>
      </c>
      <c r="I2126">
        <v>76.378033000000002</v>
      </c>
      <c r="J2126">
        <v>352</v>
      </c>
      <c r="K2126">
        <v>5.13</v>
      </c>
      <c r="M2126">
        <v>6.43</v>
      </c>
      <c r="O2126">
        <v>0.57399999999999995</v>
      </c>
      <c r="Q2126">
        <v>0.55000000000000004</v>
      </c>
      <c r="R2126">
        <v>0.52</v>
      </c>
    </row>
    <row r="2127" spans="1:18" x14ac:dyDescent="0.2">
      <c r="A2127" t="s">
        <v>3898</v>
      </c>
      <c r="B2127" t="s">
        <v>3899</v>
      </c>
      <c r="C2127">
        <v>2016</v>
      </c>
      <c r="D2127">
        <v>1</v>
      </c>
      <c r="E2127" t="s">
        <v>55</v>
      </c>
      <c r="F2127" t="s">
        <v>128</v>
      </c>
      <c r="G2127" t="s">
        <v>63</v>
      </c>
      <c r="H2127">
        <v>1</v>
      </c>
      <c r="I2127">
        <v>3.8759580699999998</v>
      </c>
      <c r="J2127">
        <v>390</v>
      </c>
      <c r="K2127">
        <v>4.2699999999999996</v>
      </c>
      <c r="M2127">
        <v>0.77</v>
      </c>
      <c r="O2127">
        <v>6.9000000000000006E-2</v>
      </c>
      <c r="Q2127">
        <v>1.01</v>
      </c>
      <c r="R2127">
        <v>1.01</v>
      </c>
    </row>
    <row r="2128" spans="1:18" x14ac:dyDescent="0.2">
      <c r="A2128" t="s">
        <v>3900</v>
      </c>
      <c r="B2128" t="s">
        <v>3901</v>
      </c>
      <c r="C2128">
        <v>2014</v>
      </c>
      <c r="D2128">
        <v>1</v>
      </c>
      <c r="E2128" t="s">
        <v>55</v>
      </c>
      <c r="F2128" t="s">
        <v>128</v>
      </c>
      <c r="G2128" t="s">
        <v>63</v>
      </c>
      <c r="H2128">
        <v>2</v>
      </c>
      <c r="I2128">
        <v>7.810937</v>
      </c>
      <c r="J2128">
        <v>750</v>
      </c>
      <c r="M2128">
        <v>1.05</v>
      </c>
      <c r="O2128">
        <v>9.4E-2</v>
      </c>
      <c r="R2128">
        <v>0.92</v>
      </c>
    </row>
    <row r="2129" spans="1:18" x14ac:dyDescent="0.2">
      <c r="A2129" t="s">
        <v>3900</v>
      </c>
      <c r="B2129" t="s">
        <v>3902</v>
      </c>
      <c r="C2129">
        <v>2014</v>
      </c>
      <c r="D2129">
        <v>1</v>
      </c>
      <c r="E2129" t="s">
        <v>55</v>
      </c>
      <c r="F2129" t="s">
        <v>128</v>
      </c>
      <c r="G2129" t="s">
        <v>63</v>
      </c>
      <c r="H2129">
        <v>2</v>
      </c>
      <c r="I2129">
        <v>21.347262000000001</v>
      </c>
      <c r="J2129">
        <v>750</v>
      </c>
      <c r="M2129">
        <v>2.2599999999999998</v>
      </c>
      <c r="O2129">
        <v>0.20200000000000001</v>
      </c>
      <c r="R2129">
        <v>0.92</v>
      </c>
    </row>
    <row r="2130" spans="1:18" x14ac:dyDescent="0.2">
      <c r="A2130" t="s">
        <v>3903</v>
      </c>
      <c r="B2130" t="s">
        <v>3904</v>
      </c>
      <c r="C2130">
        <v>2016</v>
      </c>
      <c r="D2130">
        <v>1</v>
      </c>
      <c r="E2130" t="s">
        <v>55</v>
      </c>
      <c r="F2130" t="s">
        <v>128</v>
      </c>
      <c r="G2130" t="s">
        <v>63</v>
      </c>
      <c r="H2130">
        <v>1</v>
      </c>
      <c r="I2130">
        <v>509.99740200000002</v>
      </c>
      <c r="J2130">
        <v>278</v>
      </c>
      <c r="K2130">
        <v>5.01</v>
      </c>
      <c r="M2130">
        <v>2.19</v>
      </c>
      <c r="O2130">
        <v>0.19500000000000001</v>
      </c>
      <c r="Q2130">
        <v>0.66</v>
      </c>
      <c r="R2130">
        <v>0.63</v>
      </c>
    </row>
    <row r="2131" spans="1:18" x14ac:dyDescent="0.2">
      <c r="A2131" t="s">
        <v>3905</v>
      </c>
      <c r="B2131" t="s">
        <v>3906</v>
      </c>
      <c r="C2131">
        <v>2016</v>
      </c>
      <c r="D2131">
        <v>1</v>
      </c>
      <c r="E2131" t="s">
        <v>55</v>
      </c>
      <c r="F2131" t="s">
        <v>128</v>
      </c>
      <c r="G2131" t="s">
        <v>63</v>
      </c>
      <c r="H2131">
        <v>1</v>
      </c>
      <c r="I2131">
        <v>4.0951393200000004</v>
      </c>
      <c r="J2131">
        <v>1190</v>
      </c>
      <c r="K2131">
        <v>4.17</v>
      </c>
      <c r="M2131">
        <v>1.35</v>
      </c>
      <c r="O2131">
        <v>0.12</v>
      </c>
      <c r="Q2131">
        <v>0.97</v>
      </c>
      <c r="R2131">
        <v>0.95</v>
      </c>
    </row>
    <row r="2132" spans="1:18" x14ac:dyDescent="0.2">
      <c r="A2132" t="s">
        <v>3907</v>
      </c>
      <c r="B2132" t="s">
        <v>3908</v>
      </c>
      <c r="C2132">
        <v>2016</v>
      </c>
      <c r="D2132">
        <v>1</v>
      </c>
      <c r="E2132" t="s">
        <v>55</v>
      </c>
      <c r="F2132" t="s">
        <v>128</v>
      </c>
      <c r="G2132" t="s">
        <v>63</v>
      </c>
      <c r="H2132">
        <v>1</v>
      </c>
      <c r="I2132">
        <v>448.30355800000001</v>
      </c>
      <c r="J2132">
        <v>584</v>
      </c>
      <c r="K2132">
        <v>3.09</v>
      </c>
      <c r="M2132">
        <v>2.4700000000000002</v>
      </c>
      <c r="O2132">
        <v>0.22</v>
      </c>
      <c r="Q2132">
        <v>1.1200000000000001</v>
      </c>
      <c r="R2132">
        <v>1.19</v>
      </c>
    </row>
    <row r="2133" spans="1:18" x14ac:dyDescent="0.2">
      <c r="A2133" t="s">
        <v>3909</v>
      </c>
      <c r="B2133" t="s">
        <v>3910</v>
      </c>
      <c r="C2133">
        <v>2016</v>
      </c>
      <c r="D2133">
        <v>1</v>
      </c>
      <c r="E2133" t="s">
        <v>55</v>
      </c>
      <c r="F2133" t="s">
        <v>128</v>
      </c>
      <c r="G2133" t="s">
        <v>63</v>
      </c>
      <c r="H2133">
        <v>1</v>
      </c>
      <c r="I2133">
        <v>186.40427099999999</v>
      </c>
      <c r="J2133">
        <v>811</v>
      </c>
      <c r="K2133">
        <v>2.82</v>
      </c>
      <c r="M2133">
        <v>1.58</v>
      </c>
      <c r="O2133">
        <v>0.14099999999999999</v>
      </c>
      <c r="Q2133">
        <v>1.2</v>
      </c>
      <c r="R2133">
        <v>1.32</v>
      </c>
    </row>
    <row r="2134" spans="1:18" x14ac:dyDescent="0.2">
      <c r="A2134" t="s">
        <v>3911</v>
      </c>
      <c r="B2134" t="s">
        <v>3912</v>
      </c>
      <c r="C2134">
        <v>2016</v>
      </c>
      <c r="D2134">
        <v>1</v>
      </c>
      <c r="E2134" t="s">
        <v>55</v>
      </c>
      <c r="F2134" t="s">
        <v>128</v>
      </c>
      <c r="G2134" t="s">
        <v>63</v>
      </c>
      <c r="H2134">
        <v>1</v>
      </c>
      <c r="I2134">
        <v>374.876239</v>
      </c>
      <c r="J2134">
        <v>654</v>
      </c>
      <c r="K2134">
        <v>4.47</v>
      </c>
      <c r="M2134">
        <v>3.19</v>
      </c>
      <c r="O2134">
        <v>0.28499999999999998</v>
      </c>
      <c r="Q2134">
        <v>0.92</v>
      </c>
      <c r="R2134">
        <v>0.89</v>
      </c>
    </row>
    <row r="2135" spans="1:18" x14ac:dyDescent="0.2">
      <c r="A2135" t="s">
        <v>3913</v>
      </c>
      <c r="B2135" t="s">
        <v>3914</v>
      </c>
      <c r="C2135">
        <v>2016</v>
      </c>
      <c r="D2135">
        <v>1</v>
      </c>
      <c r="E2135" t="s">
        <v>55</v>
      </c>
      <c r="F2135" t="s">
        <v>128</v>
      </c>
      <c r="G2135" t="s">
        <v>63</v>
      </c>
      <c r="H2135">
        <v>1</v>
      </c>
      <c r="I2135">
        <v>469.63110999999998</v>
      </c>
      <c r="J2135">
        <v>1084</v>
      </c>
      <c r="K2135">
        <v>4.9000000000000004</v>
      </c>
      <c r="M2135">
        <v>3.64</v>
      </c>
      <c r="O2135">
        <v>0.32500000000000001</v>
      </c>
      <c r="Q2135">
        <v>0.89</v>
      </c>
      <c r="R2135">
        <v>0.85</v>
      </c>
    </row>
    <row r="2136" spans="1:18" x14ac:dyDescent="0.2">
      <c r="A2136" t="s">
        <v>3915</v>
      </c>
      <c r="B2136" t="s">
        <v>3916</v>
      </c>
      <c r="C2136">
        <v>2016</v>
      </c>
      <c r="D2136">
        <v>1</v>
      </c>
      <c r="E2136" t="s">
        <v>55</v>
      </c>
      <c r="F2136" t="s">
        <v>128</v>
      </c>
      <c r="G2136" t="s">
        <v>63</v>
      </c>
      <c r="H2136">
        <v>1</v>
      </c>
      <c r="I2136">
        <v>425.47784999999999</v>
      </c>
      <c r="J2136">
        <v>1567</v>
      </c>
      <c r="K2136">
        <v>3.98</v>
      </c>
      <c r="M2136">
        <v>3.23</v>
      </c>
      <c r="O2136">
        <v>0.28799999999999998</v>
      </c>
      <c r="Q2136">
        <v>1.01</v>
      </c>
      <c r="R2136">
        <v>1.02</v>
      </c>
    </row>
    <row r="2137" spans="1:18" x14ac:dyDescent="0.2">
      <c r="A2137" t="s">
        <v>3917</v>
      </c>
      <c r="B2137" t="s">
        <v>3918</v>
      </c>
      <c r="C2137">
        <v>2016</v>
      </c>
      <c r="D2137">
        <v>1</v>
      </c>
      <c r="E2137" t="s">
        <v>55</v>
      </c>
      <c r="F2137" t="s">
        <v>128</v>
      </c>
      <c r="G2137" t="s">
        <v>63</v>
      </c>
      <c r="H2137">
        <v>1</v>
      </c>
      <c r="I2137">
        <v>6.1096032400000002</v>
      </c>
      <c r="J2137">
        <v>506</v>
      </c>
      <c r="K2137">
        <v>4.17</v>
      </c>
      <c r="M2137">
        <v>0.89</v>
      </c>
      <c r="O2137">
        <v>7.9000000000000001E-2</v>
      </c>
      <c r="Q2137">
        <v>1.02</v>
      </c>
      <c r="R2137">
        <v>1.02</v>
      </c>
    </row>
    <row r="2138" spans="1:18" x14ac:dyDescent="0.2">
      <c r="A2138" t="s">
        <v>3919</v>
      </c>
      <c r="B2138" t="s">
        <v>3920</v>
      </c>
      <c r="C2138">
        <v>2016</v>
      </c>
      <c r="D2138">
        <v>1</v>
      </c>
      <c r="E2138" t="s">
        <v>55</v>
      </c>
      <c r="F2138" t="s">
        <v>128</v>
      </c>
      <c r="G2138" t="s">
        <v>63</v>
      </c>
      <c r="H2138">
        <v>1</v>
      </c>
      <c r="I2138">
        <v>259.33683000000002</v>
      </c>
      <c r="J2138">
        <v>879</v>
      </c>
      <c r="K2138">
        <v>4.37</v>
      </c>
      <c r="M2138">
        <v>1.87</v>
      </c>
      <c r="O2138">
        <v>0.16700000000000001</v>
      </c>
      <c r="Q2138">
        <v>0.97</v>
      </c>
      <c r="R2138">
        <v>0.95</v>
      </c>
    </row>
    <row r="2139" spans="1:18" x14ac:dyDescent="0.2">
      <c r="A2139" t="s">
        <v>3921</v>
      </c>
      <c r="B2139" t="s">
        <v>3922</v>
      </c>
      <c r="C2139">
        <v>2016</v>
      </c>
      <c r="D2139">
        <v>1</v>
      </c>
      <c r="E2139" t="s">
        <v>55</v>
      </c>
      <c r="F2139" t="s">
        <v>128</v>
      </c>
      <c r="G2139" t="s">
        <v>63</v>
      </c>
      <c r="H2139">
        <v>1</v>
      </c>
      <c r="I2139">
        <v>9.878482</v>
      </c>
      <c r="J2139">
        <v>1168</v>
      </c>
      <c r="K2139">
        <v>3.16</v>
      </c>
      <c r="M2139">
        <v>2.58</v>
      </c>
      <c r="O2139">
        <v>0.23</v>
      </c>
      <c r="Q2139">
        <v>1.1200000000000001</v>
      </c>
      <c r="R2139">
        <v>1.18</v>
      </c>
    </row>
    <row r="2140" spans="1:18" x14ac:dyDescent="0.2">
      <c r="A2140" t="s">
        <v>3923</v>
      </c>
      <c r="B2140" t="s">
        <v>3924</v>
      </c>
      <c r="C2140">
        <v>2014</v>
      </c>
      <c r="D2140">
        <v>1</v>
      </c>
      <c r="E2140" t="s">
        <v>55</v>
      </c>
      <c r="F2140" t="s">
        <v>128</v>
      </c>
      <c r="G2140" t="s">
        <v>63</v>
      </c>
      <c r="H2140">
        <v>3</v>
      </c>
      <c r="I2140">
        <v>5.0350299999999999</v>
      </c>
      <c r="J2140">
        <v>991</v>
      </c>
      <c r="M2140">
        <v>1.41</v>
      </c>
      <c r="O2140">
        <v>0.126</v>
      </c>
      <c r="R2140">
        <v>1.1499999999999999</v>
      </c>
    </row>
    <row r="2141" spans="1:18" x14ac:dyDescent="0.2">
      <c r="A2141" t="s">
        <v>3923</v>
      </c>
      <c r="B2141" t="s">
        <v>3925</v>
      </c>
      <c r="C2141">
        <v>2014</v>
      </c>
      <c r="D2141">
        <v>1</v>
      </c>
      <c r="E2141" t="s">
        <v>55</v>
      </c>
      <c r="F2141" t="s">
        <v>128</v>
      </c>
      <c r="G2141" t="s">
        <v>63</v>
      </c>
      <c r="H2141">
        <v>3</v>
      </c>
      <c r="I2141">
        <v>10.945722999999999</v>
      </c>
      <c r="J2141">
        <v>991</v>
      </c>
      <c r="M2141">
        <v>2.73</v>
      </c>
      <c r="O2141">
        <v>0.24399999999999999</v>
      </c>
      <c r="R2141">
        <v>1.1499999999999999</v>
      </c>
    </row>
    <row r="2142" spans="1:18" x14ac:dyDescent="0.2">
      <c r="A2142" t="s">
        <v>3923</v>
      </c>
      <c r="B2142" t="s">
        <v>3926</v>
      </c>
      <c r="C2142">
        <v>2014</v>
      </c>
      <c r="D2142">
        <v>1</v>
      </c>
      <c r="E2142" t="s">
        <v>55</v>
      </c>
      <c r="F2142" t="s">
        <v>128</v>
      </c>
      <c r="G2142" t="s">
        <v>63</v>
      </c>
      <c r="H2142">
        <v>3</v>
      </c>
      <c r="I2142">
        <v>28.986768999999999</v>
      </c>
      <c r="J2142">
        <v>991</v>
      </c>
      <c r="M2142">
        <v>2.4500000000000002</v>
      </c>
      <c r="O2142">
        <v>0.219</v>
      </c>
      <c r="R2142">
        <v>1.1499999999999999</v>
      </c>
    </row>
    <row r="2143" spans="1:18" x14ac:dyDescent="0.2">
      <c r="A2143" t="s">
        <v>3927</v>
      </c>
      <c r="B2143" t="s">
        <v>3928</v>
      </c>
      <c r="C2143">
        <v>2016</v>
      </c>
      <c r="D2143">
        <v>1</v>
      </c>
      <c r="E2143" t="s">
        <v>55</v>
      </c>
      <c r="F2143" t="s">
        <v>128</v>
      </c>
      <c r="G2143" t="s">
        <v>63</v>
      </c>
      <c r="H2143">
        <v>1</v>
      </c>
      <c r="I2143">
        <v>7.5844126000000003</v>
      </c>
      <c r="J2143">
        <v>1379</v>
      </c>
      <c r="K2143">
        <v>2.4</v>
      </c>
      <c r="M2143">
        <v>4.82</v>
      </c>
      <c r="O2143">
        <v>0.43</v>
      </c>
      <c r="Q2143">
        <v>1.27</v>
      </c>
      <c r="R2143">
        <v>1.43</v>
      </c>
    </row>
    <row r="2144" spans="1:18" x14ac:dyDescent="0.2">
      <c r="A2144" t="s">
        <v>3929</v>
      </c>
      <c r="B2144" t="s">
        <v>3930</v>
      </c>
      <c r="C2144">
        <v>2016</v>
      </c>
      <c r="D2144">
        <v>1</v>
      </c>
      <c r="E2144" t="s">
        <v>55</v>
      </c>
      <c r="F2144" t="s">
        <v>128</v>
      </c>
      <c r="G2144" t="s">
        <v>63</v>
      </c>
      <c r="H2144">
        <v>2</v>
      </c>
      <c r="I2144">
        <v>19.672266</v>
      </c>
      <c r="J2144">
        <v>961</v>
      </c>
      <c r="K2144">
        <v>3.02</v>
      </c>
      <c r="M2144">
        <v>3.11</v>
      </c>
      <c r="O2144">
        <v>0.27700000000000002</v>
      </c>
      <c r="Q2144">
        <v>1.1200000000000001</v>
      </c>
      <c r="R2144">
        <v>1.19</v>
      </c>
    </row>
    <row r="2145" spans="1:19" x14ac:dyDescent="0.2">
      <c r="A2145" t="s">
        <v>3929</v>
      </c>
      <c r="B2145" t="s">
        <v>3931</v>
      </c>
      <c r="C2145">
        <v>2016</v>
      </c>
      <c r="D2145">
        <v>1</v>
      </c>
      <c r="E2145" t="s">
        <v>55</v>
      </c>
      <c r="F2145" t="s">
        <v>128</v>
      </c>
      <c r="G2145" t="s">
        <v>63</v>
      </c>
      <c r="H2145">
        <v>2</v>
      </c>
      <c r="I2145">
        <v>32.657212000000001</v>
      </c>
      <c r="J2145">
        <v>961</v>
      </c>
      <c r="K2145">
        <v>3.02</v>
      </c>
      <c r="M2145">
        <v>2.95</v>
      </c>
      <c r="O2145">
        <v>0.26300000000000001</v>
      </c>
      <c r="Q2145">
        <v>1.1200000000000001</v>
      </c>
      <c r="R2145">
        <v>1.19</v>
      </c>
    </row>
    <row r="2146" spans="1:19" x14ac:dyDescent="0.2">
      <c r="A2146" t="s">
        <v>3932</v>
      </c>
      <c r="B2146" t="s">
        <v>3933</v>
      </c>
      <c r="C2146">
        <v>2016</v>
      </c>
      <c r="D2146">
        <v>1</v>
      </c>
      <c r="E2146" t="s">
        <v>55</v>
      </c>
      <c r="F2146" t="s">
        <v>128</v>
      </c>
      <c r="G2146" t="s">
        <v>63</v>
      </c>
      <c r="H2146">
        <v>2</v>
      </c>
      <c r="I2146">
        <v>12.205751299999999</v>
      </c>
      <c r="J2146">
        <v>447</v>
      </c>
      <c r="K2146">
        <v>4.47</v>
      </c>
      <c r="M2146">
        <v>3.2</v>
      </c>
      <c r="O2146">
        <v>0.28499999999999998</v>
      </c>
      <c r="Q2146">
        <v>0.88</v>
      </c>
      <c r="R2146">
        <v>0.84</v>
      </c>
    </row>
    <row r="2147" spans="1:19" x14ac:dyDescent="0.2">
      <c r="A2147" t="s">
        <v>3932</v>
      </c>
      <c r="B2147" t="s">
        <v>3934</v>
      </c>
      <c r="C2147">
        <v>2016</v>
      </c>
      <c r="D2147">
        <v>1</v>
      </c>
      <c r="E2147" t="s">
        <v>55</v>
      </c>
      <c r="F2147" t="s">
        <v>128</v>
      </c>
      <c r="G2147" t="s">
        <v>63</v>
      </c>
      <c r="H2147">
        <v>2</v>
      </c>
      <c r="I2147">
        <v>6.6513802000000002</v>
      </c>
      <c r="J2147">
        <v>447</v>
      </c>
      <c r="K2147">
        <v>4.47</v>
      </c>
      <c r="M2147">
        <v>2.66</v>
      </c>
      <c r="O2147">
        <v>0.23699999999999999</v>
      </c>
      <c r="Q2147">
        <v>0.88</v>
      </c>
      <c r="R2147">
        <v>0.84</v>
      </c>
    </row>
    <row r="2148" spans="1:19" x14ac:dyDescent="0.2">
      <c r="A2148" t="s">
        <v>3935</v>
      </c>
      <c r="B2148" t="s">
        <v>3936</v>
      </c>
      <c r="C2148">
        <v>2016</v>
      </c>
      <c r="D2148">
        <v>1</v>
      </c>
      <c r="E2148" t="s">
        <v>55</v>
      </c>
      <c r="F2148" t="s">
        <v>128</v>
      </c>
      <c r="G2148" t="s">
        <v>63</v>
      </c>
      <c r="H2148">
        <v>1</v>
      </c>
      <c r="I2148">
        <v>5.3426450699999997</v>
      </c>
      <c r="J2148">
        <v>414</v>
      </c>
      <c r="K2148">
        <v>3.89</v>
      </c>
      <c r="M2148">
        <v>2.2999999999999998</v>
      </c>
      <c r="O2148">
        <v>0.20499999999999999</v>
      </c>
      <c r="Q2148">
        <v>0.92</v>
      </c>
      <c r="R2148">
        <v>0.88</v>
      </c>
    </row>
    <row r="2149" spans="1:19" x14ac:dyDescent="0.2">
      <c r="A2149" t="s">
        <v>3937</v>
      </c>
      <c r="B2149" t="s">
        <v>3938</v>
      </c>
      <c r="C2149">
        <v>2016</v>
      </c>
      <c r="D2149">
        <v>1</v>
      </c>
      <c r="E2149" t="s">
        <v>55</v>
      </c>
      <c r="F2149" t="s">
        <v>128</v>
      </c>
      <c r="G2149" t="s">
        <v>63</v>
      </c>
      <c r="H2149">
        <v>1</v>
      </c>
      <c r="I2149">
        <v>21.090775799999999</v>
      </c>
      <c r="J2149">
        <v>592</v>
      </c>
      <c r="K2149">
        <v>4.2699999999999996</v>
      </c>
      <c r="M2149">
        <v>1.88</v>
      </c>
      <c r="O2149">
        <v>0.16800000000000001</v>
      </c>
      <c r="Q2149">
        <v>0.89</v>
      </c>
      <c r="R2149">
        <v>0.86</v>
      </c>
    </row>
    <row r="2150" spans="1:19" x14ac:dyDescent="0.2">
      <c r="A2150" t="s">
        <v>3939</v>
      </c>
      <c r="B2150" t="s">
        <v>3940</v>
      </c>
      <c r="C2150">
        <v>2016</v>
      </c>
      <c r="D2150">
        <v>1</v>
      </c>
      <c r="E2150" t="s">
        <v>55</v>
      </c>
      <c r="F2150" t="s">
        <v>128</v>
      </c>
      <c r="G2150" t="s">
        <v>63</v>
      </c>
      <c r="H2150">
        <v>1</v>
      </c>
      <c r="I2150">
        <v>16.177956099999999</v>
      </c>
      <c r="J2150">
        <v>844</v>
      </c>
      <c r="K2150">
        <v>4.17</v>
      </c>
      <c r="M2150">
        <v>1.78</v>
      </c>
      <c r="O2150">
        <v>0.159</v>
      </c>
      <c r="Q2150">
        <v>1.02</v>
      </c>
      <c r="R2150">
        <v>1.02</v>
      </c>
    </row>
    <row r="2151" spans="1:19" x14ac:dyDescent="0.2">
      <c r="A2151" t="s">
        <v>3941</v>
      </c>
      <c r="B2151" t="s">
        <v>3942</v>
      </c>
      <c r="C2151">
        <v>2016</v>
      </c>
      <c r="D2151">
        <v>1</v>
      </c>
      <c r="E2151" t="s">
        <v>55</v>
      </c>
      <c r="F2151" t="s">
        <v>128</v>
      </c>
      <c r="G2151" t="s">
        <v>63</v>
      </c>
      <c r="H2151">
        <v>1</v>
      </c>
      <c r="I2151">
        <v>4.4855838300000004</v>
      </c>
      <c r="J2151">
        <v>81</v>
      </c>
      <c r="K2151">
        <v>4.68</v>
      </c>
      <c r="M2151">
        <v>1.23</v>
      </c>
      <c r="O2151">
        <v>0.11</v>
      </c>
      <c r="Q2151">
        <v>0.24</v>
      </c>
      <c r="R2151">
        <v>0.26</v>
      </c>
    </row>
    <row r="2152" spans="1:19" x14ac:dyDescent="0.2">
      <c r="A2152" t="s">
        <v>3943</v>
      </c>
      <c r="B2152" t="s">
        <v>3944</v>
      </c>
      <c r="C2152">
        <v>2016</v>
      </c>
      <c r="D2152">
        <v>1</v>
      </c>
      <c r="E2152" t="s">
        <v>55</v>
      </c>
      <c r="F2152" t="s">
        <v>128</v>
      </c>
      <c r="G2152" t="s">
        <v>63</v>
      </c>
      <c r="H2152">
        <v>1</v>
      </c>
      <c r="I2152">
        <v>1107.5923</v>
      </c>
      <c r="J2152">
        <v>1211.54</v>
      </c>
      <c r="K2152">
        <v>4.4000000000000004</v>
      </c>
      <c r="L2152">
        <v>483</v>
      </c>
      <c r="M2152">
        <v>11.874000000000001</v>
      </c>
      <c r="N2152">
        <v>1.5196799999999999</v>
      </c>
      <c r="O2152">
        <v>1.0589999999999999</v>
      </c>
      <c r="Q2152">
        <v>1.22</v>
      </c>
      <c r="R2152">
        <v>1.79</v>
      </c>
    </row>
    <row r="2153" spans="1:19" x14ac:dyDescent="0.2">
      <c r="A2153" t="s">
        <v>3945</v>
      </c>
      <c r="B2153" t="s">
        <v>3946</v>
      </c>
      <c r="C2153">
        <v>2017</v>
      </c>
      <c r="D2153">
        <v>1</v>
      </c>
      <c r="E2153" t="s">
        <v>55</v>
      </c>
      <c r="F2153" t="s">
        <v>128</v>
      </c>
      <c r="G2153" t="s">
        <v>63</v>
      </c>
      <c r="H2153">
        <v>1</v>
      </c>
      <c r="I2153">
        <v>8.6890900000000002</v>
      </c>
      <c r="J2153">
        <v>92.43</v>
      </c>
      <c r="M2153">
        <v>1.08</v>
      </c>
      <c r="O2153">
        <v>9.6000000000000002E-2</v>
      </c>
      <c r="Q2153">
        <v>0.22</v>
      </c>
      <c r="R2153">
        <v>0.25</v>
      </c>
    </row>
    <row r="2154" spans="1:19" x14ac:dyDescent="0.2">
      <c r="A2154" t="s">
        <v>3947</v>
      </c>
      <c r="B2154" t="s">
        <v>3948</v>
      </c>
      <c r="C2154">
        <v>2014</v>
      </c>
      <c r="D2154">
        <v>1</v>
      </c>
      <c r="E2154" t="s">
        <v>55</v>
      </c>
      <c r="F2154" t="s">
        <v>128</v>
      </c>
      <c r="G2154" t="s">
        <v>63</v>
      </c>
      <c r="H2154">
        <v>2</v>
      </c>
      <c r="I2154">
        <v>8.1808479999999992</v>
      </c>
      <c r="J2154">
        <v>581</v>
      </c>
      <c r="M2154">
        <v>2.3199999999999998</v>
      </c>
      <c r="O2154">
        <v>0.20699999999999999</v>
      </c>
      <c r="R2154">
        <v>0.77</v>
      </c>
    </row>
    <row r="2155" spans="1:19" x14ac:dyDescent="0.2">
      <c r="A2155" t="s">
        <v>3947</v>
      </c>
      <c r="B2155" t="s">
        <v>3949</v>
      </c>
      <c r="C2155">
        <v>2014</v>
      </c>
      <c r="D2155">
        <v>1</v>
      </c>
      <c r="E2155" t="s">
        <v>55</v>
      </c>
      <c r="F2155" t="s">
        <v>128</v>
      </c>
      <c r="G2155" t="s">
        <v>63</v>
      </c>
      <c r="H2155">
        <v>2</v>
      </c>
      <c r="I2155">
        <v>15.312989999999999</v>
      </c>
      <c r="J2155">
        <v>581</v>
      </c>
      <c r="M2155">
        <v>2.23</v>
      </c>
      <c r="O2155">
        <v>0.19900000000000001</v>
      </c>
      <c r="R2155">
        <v>0.77</v>
      </c>
    </row>
    <row r="2156" spans="1:19" x14ac:dyDescent="0.2">
      <c r="A2156" t="s">
        <v>3950</v>
      </c>
      <c r="B2156" t="s">
        <v>3951</v>
      </c>
      <c r="C2156">
        <v>2017</v>
      </c>
      <c r="D2156">
        <v>1</v>
      </c>
      <c r="E2156" t="s">
        <v>55</v>
      </c>
      <c r="F2156" t="s">
        <v>128</v>
      </c>
      <c r="G2156" t="s">
        <v>63</v>
      </c>
      <c r="H2156">
        <v>1</v>
      </c>
      <c r="I2156">
        <v>1.53818001</v>
      </c>
      <c r="J2156">
        <v>120.5</v>
      </c>
      <c r="M2156">
        <v>0.96</v>
      </c>
      <c r="O2156">
        <v>8.5999999999999993E-2</v>
      </c>
      <c r="Q2156">
        <v>0.33</v>
      </c>
      <c r="R2156">
        <v>0.33</v>
      </c>
      <c r="S2156">
        <v>8.73</v>
      </c>
    </row>
    <row r="2157" spans="1:19" x14ac:dyDescent="0.2">
      <c r="A2157" t="s">
        <v>3952</v>
      </c>
      <c r="B2157" t="s">
        <v>3953</v>
      </c>
      <c r="C2157">
        <v>2017</v>
      </c>
      <c r="D2157">
        <v>1</v>
      </c>
      <c r="E2157" t="s">
        <v>55</v>
      </c>
      <c r="F2157" t="s">
        <v>128</v>
      </c>
      <c r="G2157" t="s">
        <v>63</v>
      </c>
      <c r="H2157">
        <v>1</v>
      </c>
      <c r="I2157">
        <v>9.8786391699999996</v>
      </c>
      <c r="J2157">
        <v>69.400000000000006</v>
      </c>
      <c r="M2157">
        <v>1.84</v>
      </c>
      <c r="O2157">
        <v>0.16400000000000001</v>
      </c>
      <c r="Q2157">
        <v>0.52</v>
      </c>
      <c r="R2157">
        <v>0.5</v>
      </c>
      <c r="S2157">
        <v>4.0999999999999996</v>
      </c>
    </row>
    <row r="2158" spans="1:19" x14ac:dyDescent="0.2">
      <c r="A2158" t="s">
        <v>3954</v>
      </c>
      <c r="B2158" t="s">
        <v>3955</v>
      </c>
      <c r="C2158">
        <v>2017</v>
      </c>
      <c r="D2158">
        <v>1</v>
      </c>
      <c r="E2158" t="s">
        <v>55</v>
      </c>
      <c r="F2158" t="s">
        <v>128</v>
      </c>
      <c r="G2158" t="s">
        <v>63</v>
      </c>
      <c r="H2158">
        <v>1</v>
      </c>
      <c r="I2158">
        <v>38.09722</v>
      </c>
      <c r="J2158">
        <v>252</v>
      </c>
      <c r="K2158">
        <v>3.2</v>
      </c>
      <c r="M2158">
        <v>1.6</v>
      </c>
      <c r="O2158">
        <v>0.14299999999999999</v>
      </c>
      <c r="P2158">
        <v>9.9</v>
      </c>
      <c r="Q2158">
        <v>0.4</v>
      </c>
      <c r="R2158">
        <v>0.38</v>
      </c>
      <c r="S2158">
        <v>7.05</v>
      </c>
    </row>
    <row r="2159" spans="1:19" x14ac:dyDescent="0.2">
      <c r="A2159" t="s">
        <v>3956</v>
      </c>
      <c r="B2159" t="s">
        <v>3957</v>
      </c>
      <c r="C2159">
        <v>2017</v>
      </c>
      <c r="D2159">
        <v>1</v>
      </c>
      <c r="E2159" t="s">
        <v>55</v>
      </c>
      <c r="F2159" t="s">
        <v>128</v>
      </c>
      <c r="G2159" t="s">
        <v>63</v>
      </c>
      <c r="H2159">
        <v>1</v>
      </c>
      <c r="I2159">
        <v>140.25239999999999</v>
      </c>
      <c r="J2159">
        <v>755</v>
      </c>
      <c r="K2159">
        <v>7.7</v>
      </c>
      <c r="M2159">
        <v>2.17</v>
      </c>
      <c r="O2159">
        <v>0.19400000000000001</v>
      </c>
      <c r="P2159">
        <v>3.08</v>
      </c>
      <c r="Q2159">
        <v>0.72</v>
      </c>
      <c r="R2159">
        <v>0.69</v>
      </c>
      <c r="S2159">
        <v>2.16</v>
      </c>
    </row>
    <row r="2160" spans="1:19" x14ac:dyDescent="0.2">
      <c r="A2160" t="s">
        <v>3958</v>
      </c>
      <c r="B2160" t="s">
        <v>3959</v>
      </c>
      <c r="C2160">
        <v>2018</v>
      </c>
      <c r="D2160">
        <v>1</v>
      </c>
      <c r="E2160" t="s">
        <v>55</v>
      </c>
      <c r="F2160" t="s">
        <v>128</v>
      </c>
      <c r="G2160" t="s">
        <v>63</v>
      </c>
      <c r="H2160">
        <v>1</v>
      </c>
      <c r="I2160">
        <v>1047.8356000000001</v>
      </c>
      <c r="J2160">
        <v>567.84</v>
      </c>
      <c r="K2160">
        <v>5</v>
      </c>
      <c r="L2160">
        <v>158.91499999999999</v>
      </c>
      <c r="M2160">
        <v>9.18</v>
      </c>
      <c r="N2160">
        <v>0.5</v>
      </c>
      <c r="O2160">
        <v>0.81899999999999995</v>
      </c>
      <c r="P2160">
        <v>1.2</v>
      </c>
      <c r="Q2160">
        <v>1.01</v>
      </c>
      <c r="R2160">
        <v>1.18</v>
      </c>
      <c r="S2160">
        <v>0.876</v>
      </c>
    </row>
    <row r="2161" spans="1:19" x14ac:dyDescent="0.2">
      <c r="A2161" t="s">
        <v>3960</v>
      </c>
      <c r="B2161" t="s">
        <v>3961</v>
      </c>
      <c r="C2161">
        <v>2018</v>
      </c>
      <c r="D2161">
        <v>1</v>
      </c>
      <c r="E2161" t="s">
        <v>55</v>
      </c>
      <c r="F2161" t="s">
        <v>128</v>
      </c>
      <c r="G2161" t="s">
        <v>63</v>
      </c>
      <c r="H2161">
        <v>1</v>
      </c>
      <c r="I2161">
        <v>11.872878699999999</v>
      </c>
      <c r="J2161">
        <v>214.58</v>
      </c>
      <c r="K2161">
        <v>2.56</v>
      </c>
      <c r="L2161">
        <v>5</v>
      </c>
      <c r="M2161">
        <v>2.2130000000000001</v>
      </c>
      <c r="N2161">
        <v>1.5730000000000001E-2</v>
      </c>
      <c r="O2161">
        <v>0.19700000000000001</v>
      </c>
      <c r="P2161">
        <v>2.5</v>
      </c>
      <c r="Q2161">
        <v>1.03</v>
      </c>
      <c r="R2161">
        <v>1.03</v>
      </c>
      <c r="S2161">
        <v>1.3</v>
      </c>
    </row>
    <row r="2162" spans="1:19" x14ac:dyDescent="0.2">
      <c r="A2162" t="s">
        <v>3962</v>
      </c>
      <c r="B2162" t="s">
        <v>3963</v>
      </c>
      <c r="C2162">
        <v>2018</v>
      </c>
      <c r="D2162">
        <v>1</v>
      </c>
      <c r="E2162" t="s">
        <v>55</v>
      </c>
      <c r="F2162" t="s">
        <v>128</v>
      </c>
      <c r="G2162" t="s">
        <v>63</v>
      </c>
      <c r="H2162">
        <v>1</v>
      </c>
      <c r="I2162">
        <v>31.578658999999998</v>
      </c>
      <c r="J2162">
        <v>186.88</v>
      </c>
      <c r="K2162">
        <v>6.31</v>
      </c>
      <c r="L2162">
        <v>48.6</v>
      </c>
      <c r="M2162">
        <v>5.0199999999999996</v>
      </c>
      <c r="N2162">
        <v>0.15290999999999999</v>
      </c>
      <c r="O2162">
        <v>0.44800000000000001</v>
      </c>
      <c r="P2162">
        <v>2.13</v>
      </c>
      <c r="Q2162">
        <v>1.03</v>
      </c>
      <c r="R2162">
        <v>1.1000000000000001</v>
      </c>
    </row>
    <row r="2163" spans="1:19" x14ac:dyDescent="0.2">
      <c r="A2163" t="s">
        <v>3964</v>
      </c>
      <c r="B2163" t="s">
        <v>3965</v>
      </c>
      <c r="C2163">
        <v>2019</v>
      </c>
      <c r="D2163">
        <v>1</v>
      </c>
      <c r="E2163" t="s">
        <v>55</v>
      </c>
      <c r="F2163" t="s">
        <v>128</v>
      </c>
      <c r="G2163" t="s">
        <v>63</v>
      </c>
      <c r="H2163">
        <v>1</v>
      </c>
      <c r="I2163">
        <v>3.8493727799999999</v>
      </c>
      <c r="J2163">
        <v>806.07</v>
      </c>
      <c r="L2163">
        <v>1868.8404</v>
      </c>
      <c r="M2163">
        <v>11.994</v>
      </c>
      <c r="N2163">
        <v>5.88</v>
      </c>
      <c r="O2163">
        <v>1.07</v>
      </c>
      <c r="P2163">
        <v>6.36</v>
      </c>
      <c r="Q2163">
        <v>1.45</v>
      </c>
      <c r="R2163">
        <v>2.89</v>
      </c>
      <c r="S2163">
        <v>0.113</v>
      </c>
    </row>
    <row r="2164" spans="1:19" x14ac:dyDescent="0.2">
      <c r="A2164" t="s">
        <v>3966</v>
      </c>
      <c r="B2164" t="s">
        <v>3967</v>
      </c>
      <c r="C2164">
        <v>2014</v>
      </c>
      <c r="D2164">
        <v>1</v>
      </c>
      <c r="E2164" t="s">
        <v>55</v>
      </c>
      <c r="F2164" t="s">
        <v>128</v>
      </c>
      <c r="G2164" t="s">
        <v>63</v>
      </c>
      <c r="H2164">
        <v>3</v>
      </c>
      <c r="I2164">
        <v>7.6502540000000003</v>
      </c>
      <c r="J2164">
        <v>655</v>
      </c>
      <c r="M2164">
        <v>2.27</v>
      </c>
      <c r="O2164">
        <v>0.20300000000000001</v>
      </c>
      <c r="R2164">
        <v>0.74</v>
      </c>
    </row>
    <row r="2165" spans="1:19" x14ac:dyDescent="0.2">
      <c r="A2165" t="s">
        <v>3966</v>
      </c>
      <c r="B2165" t="s">
        <v>3968</v>
      </c>
      <c r="C2165">
        <v>2014</v>
      </c>
      <c r="D2165">
        <v>1</v>
      </c>
      <c r="E2165" t="s">
        <v>55</v>
      </c>
      <c r="F2165" t="s">
        <v>128</v>
      </c>
      <c r="G2165" t="s">
        <v>63</v>
      </c>
      <c r="H2165">
        <v>3</v>
      </c>
      <c r="I2165">
        <v>34.260280999999999</v>
      </c>
      <c r="J2165">
        <v>655</v>
      </c>
      <c r="M2165">
        <v>2.38</v>
      </c>
      <c r="O2165">
        <v>0.21199999999999999</v>
      </c>
      <c r="R2165">
        <v>0.74</v>
      </c>
    </row>
    <row r="2166" spans="1:19" x14ac:dyDescent="0.2">
      <c r="A2166" t="s">
        <v>3966</v>
      </c>
      <c r="B2166" t="s">
        <v>3969</v>
      </c>
      <c r="C2166">
        <v>2016</v>
      </c>
      <c r="D2166">
        <v>1</v>
      </c>
      <c r="E2166" t="s">
        <v>55</v>
      </c>
      <c r="F2166" t="s">
        <v>128</v>
      </c>
      <c r="G2166" t="s">
        <v>63</v>
      </c>
      <c r="H2166">
        <v>3</v>
      </c>
      <c r="I2166">
        <v>1.5540039299999999</v>
      </c>
      <c r="J2166">
        <v>655</v>
      </c>
      <c r="M2166">
        <v>1.73</v>
      </c>
      <c r="O2166">
        <v>0.154</v>
      </c>
      <c r="R2166">
        <v>0.74</v>
      </c>
    </row>
    <row r="2167" spans="1:19" x14ac:dyDescent="0.2">
      <c r="A2167" t="s">
        <v>3970</v>
      </c>
      <c r="B2167" t="s">
        <v>3971</v>
      </c>
      <c r="C2167">
        <v>2014</v>
      </c>
      <c r="D2167">
        <v>1</v>
      </c>
      <c r="E2167" t="s">
        <v>55</v>
      </c>
      <c r="F2167" t="s">
        <v>128</v>
      </c>
      <c r="G2167" t="s">
        <v>63</v>
      </c>
      <c r="H2167">
        <v>4</v>
      </c>
      <c r="I2167">
        <v>4.3931632</v>
      </c>
      <c r="J2167">
        <v>330</v>
      </c>
      <c r="K2167">
        <v>3.3</v>
      </c>
      <c r="M2167">
        <v>1.615</v>
      </c>
      <c r="O2167">
        <v>0.14399999999999999</v>
      </c>
      <c r="Q2167">
        <v>0.77</v>
      </c>
      <c r="R2167">
        <v>0.73</v>
      </c>
      <c r="S2167">
        <v>2.88</v>
      </c>
    </row>
    <row r="2168" spans="1:19" x14ac:dyDescent="0.2">
      <c r="A2168" t="s">
        <v>3970</v>
      </c>
      <c r="B2168" t="s">
        <v>3972</v>
      </c>
      <c r="C2168">
        <v>2014</v>
      </c>
      <c r="D2168">
        <v>1</v>
      </c>
      <c r="E2168" t="s">
        <v>55</v>
      </c>
      <c r="F2168" t="s">
        <v>128</v>
      </c>
      <c r="G2168" t="s">
        <v>63</v>
      </c>
      <c r="H2168">
        <v>4</v>
      </c>
      <c r="I2168">
        <v>7.4061139999999996</v>
      </c>
      <c r="J2168">
        <v>330</v>
      </c>
      <c r="K2168">
        <v>3.3</v>
      </c>
      <c r="M2168">
        <v>1.548</v>
      </c>
      <c r="O2168">
        <v>0.13800000000000001</v>
      </c>
      <c r="Q2168">
        <v>0.77</v>
      </c>
      <c r="R2168">
        <v>0.73</v>
      </c>
      <c r="S2168">
        <v>2.88</v>
      </c>
    </row>
    <row r="2169" spans="1:19" x14ac:dyDescent="0.2">
      <c r="A2169" t="s">
        <v>3970</v>
      </c>
      <c r="B2169" t="s">
        <v>3973</v>
      </c>
      <c r="C2169">
        <v>2016</v>
      </c>
      <c r="D2169">
        <v>1</v>
      </c>
      <c r="E2169" t="s">
        <v>55</v>
      </c>
      <c r="F2169" t="s">
        <v>128</v>
      </c>
      <c r="G2169" t="s">
        <v>63</v>
      </c>
      <c r="H2169">
        <v>4</v>
      </c>
      <c r="I2169">
        <v>21.803854999999999</v>
      </c>
      <c r="J2169">
        <v>330</v>
      </c>
      <c r="K2169">
        <v>3.3</v>
      </c>
      <c r="M2169">
        <v>1.194</v>
      </c>
      <c r="O2169">
        <v>0.107</v>
      </c>
      <c r="Q2169">
        <v>0.77</v>
      </c>
      <c r="R2169">
        <v>0.73</v>
      </c>
      <c r="S2169">
        <v>2.88</v>
      </c>
    </row>
    <row r="2170" spans="1:19" x14ac:dyDescent="0.2">
      <c r="A2170" t="s">
        <v>3970</v>
      </c>
      <c r="B2170" t="s">
        <v>3974</v>
      </c>
      <c r="C2170">
        <v>2016</v>
      </c>
      <c r="D2170">
        <v>1</v>
      </c>
      <c r="E2170" t="s">
        <v>55</v>
      </c>
      <c r="F2170" t="s">
        <v>128</v>
      </c>
      <c r="G2170" t="s">
        <v>63</v>
      </c>
      <c r="H2170">
        <v>4</v>
      </c>
      <c r="I2170">
        <v>1071.2322799999999</v>
      </c>
      <c r="J2170">
        <v>330</v>
      </c>
      <c r="K2170">
        <v>3.3</v>
      </c>
      <c r="M2170">
        <v>10.15</v>
      </c>
      <c r="O2170">
        <v>0.90600000000000003</v>
      </c>
      <c r="Q2170">
        <v>0.77</v>
      </c>
      <c r="R2170">
        <v>0.73</v>
      </c>
      <c r="S2170">
        <v>2.88</v>
      </c>
    </row>
    <row r="2171" spans="1:19" x14ac:dyDescent="0.2">
      <c r="A2171" t="s">
        <v>3975</v>
      </c>
      <c r="B2171" t="s">
        <v>3976</v>
      </c>
      <c r="C2171">
        <v>2014</v>
      </c>
      <c r="D2171">
        <v>1</v>
      </c>
      <c r="E2171" t="s">
        <v>55</v>
      </c>
      <c r="F2171" t="s">
        <v>128</v>
      </c>
      <c r="G2171" t="s">
        <v>63</v>
      </c>
      <c r="H2171">
        <v>2</v>
      </c>
      <c r="I2171">
        <v>4.4253910000000003</v>
      </c>
      <c r="J2171">
        <v>1476</v>
      </c>
      <c r="M2171">
        <v>1.46</v>
      </c>
      <c r="O2171">
        <v>0.13</v>
      </c>
      <c r="R2171">
        <v>1.1100000000000001</v>
      </c>
    </row>
    <row r="2172" spans="1:19" x14ac:dyDescent="0.2">
      <c r="A2172" t="s">
        <v>3975</v>
      </c>
      <c r="B2172" t="s">
        <v>3977</v>
      </c>
      <c r="C2172">
        <v>2014</v>
      </c>
      <c r="D2172">
        <v>1</v>
      </c>
      <c r="E2172" t="s">
        <v>55</v>
      </c>
      <c r="F2172" t="s">
        <v>128</v>
      </c>
      <c r="G2172" t="s">
        <v>63</v>
      </c>
      <c r="H2172">
        <v>2</v>
      </c>
      <c r="I2172">
        <v>13.193242</v>
      </c>
      <c r="J2172">
        <v>1476</v>
      </c>
      <c r="M2172">
        <v>2.69</v>
      </c>
      <c r="O2172">
        <v>0.24</v>
      </c>
      <c r="R2172">
        <v>1.1100000000000001</v>
      </c>
    </row>
    <row r="2173" spans="1:19" x14ac:dyDescent="0.2">
      <c r="A2173" t="s">
        <v>3978</v>
      </c>
      <c r="B2173" t="s">
        <v>3979</v>
      </c>
      <c r="C2173">
        <v>2014</v>
      </c>
      <c r="D2173">
        <v>1</v>
      </c>
      <c r="E2173" t="s">
        <v>55</v>
      </c>
      <c r="F2173" t="s">
        <v>128</v>
      </c>
      <c r="G2173" t="s">
        <v>63</v>
      </c>
      <c r="H2173">
        <v>5</v>
      </c>
      <c r="I2173">
        <v>3.2506189999999999</v>
      </c>
      <c r="J2173">
        <v>434</v>
      </c>
      <c r="M2173">
        <v>1.1299999999999999</v>
      </c>
      <c r="O2173">
        <v>0.10100000000000001</v>
      </c>
      <c r="R2173">
        <v>0.76</v>
      </c>
    </row>
    <row r="2174" spans="1:19" x14ac:dyDescent="0.2">
      <c r="A2174" t="s">
        <v>3978</v>
      </c>
      <c r="B2174" t="s">
        <v>3980</v>
      </c>
      <c r="C2174">
        <v>2014</v>
      </c>
      <c r="D2174">
        <v>1</v>
      </c>
      <c r="E2174" t="s">
        <v>55</v>
      </c>
      <c r="F2174" t="s">
        <v>128</v>
      </c>
      <c r="G2174" t="s">
        <v>63</v>
      </c>
      <c r="H2174">
        <v>5</v>
      </c>
      <c r="I2174">
        <v>6.1954690000000001</v>
      </c>
      <c r="J2174">
        <v>434</v>
      </c>
      <c r="M2174">
        <v>1.21</v>
      </c>
      <c r="O2174">
        <v>0.108</v>
      </c>
      <c r="R2174">
        <v>0.76</v>
      </c>
    </row>
    <row r="2175" spans="1:19" x14ac:dyDescent="0.2">
      <c r="A2175" t="s">
        <v>3978</v>
      </c>
      <c r="B2175" t="s">
        <v>3981</v>
      </c>
      <c r="C2175">
        <v>2014</v>
      </c>
      <c r="D2175">
        <v>1</v>
      </c>
      <c r="E2175" t="s">
        <v>55</v>
      </c>
      <c r="F2175" t="s">
        <v>128</v>
      </c>
      <c r="G2175" t="s">
        <v>63</v>
      </c>
      <c r="H2175">
        <v>5</v>
      </c>
      <c r="I2175">
        <v>8.3481249999999996</v>
      </c>
      <c r="J2175">
        <v>434</v>
      </c>
      <c r="M2175">
        <v>1.25</v>
      </c>
      <c r="O2175">
        <v>0.112</v>
      </c>
      <c r="R2175">
        <v>0.76</v>
      </c>
    </row>
    <row r="2176" spans="1:19" x14ac:dyDescent="0.2">
      <c r="A2176" t="s">
        <v>3978</v>
      </c>
      <c r="B2176" t="s">
        <v>3982</v>
      </c>
      <c r="C2176">
        <v>2014</v>
      </c>
      <c r="D2176">
        <v>1</v>
      </c>
      <c r="E2176" t="s">
        <v>55</v>
      </c>
      <c r="F2176" t="s">
        <v>128</v>
      </c>
      <c r="G2176" t="s">
        <v>63</v>
      </c>
      <c r="H2176">
        <v>5</v>
      </c>
      <c r="I2176">
        <v>13.767102</v>
      </c>
      <c r="J2176">
        <v>434</v>
      </c>
      <c r="M2176">
        <v>2.2000000000000002</v>
      </c>
      <c r="O2176">
        <v>0.19600000000000001</v>
      </c>
      <c r="R2176">
        <v>0.76</v>
      </c>
    </row>
    <row r="2177" spans="1:19" x14ac:dyDescent="0.2">
      <c r="A2177" t="s">
        <v>3978</v>
      </c>
      <c r="B2177" t="s">
        <v>3983</v>
      </c>
      <c r="C2177">
        <v>2014</v>
      </c>
      <c r="D2177">
        <v>1</v>
      </c>
      <c r="E2177" t="s">
        <v>55</v>
      </c>
      <c r="F2177" t="s">
        <v>128</v>
      </c>
      <c r="G2177" t="s">
        <v>63</v>
      </c>
      <c r="H2177">
        <v>5</v>
      </c>
      <c r="I2177">
        <v>87.090194999999994</v>
      </c>
      <c r="J2177">
        <v>434</v>
      </c>
      <c r="M2177">
        <v>2.58</v>
      </c>
      <c r="O2177">
        <v>0.23</v>
      </c>
      <c r="R2177">
        <v>0.76</v>
      </c>
    </row>
    <row r="2178" spans="1:19" x14ac:dyDescent="0.2">
      <c r="A2178" t="s">
        <v>3984</v>
      </c>
      <c r="B2178" t="s">
        <v>3985</v>
      </c>
      <c r="C2178">
        <v>2011</v>
      </c>
      <c r="D2178">
        <v>1</v>
      </c>
      <c r="E2178" t="s">
        <v>55</v>
      </c>
      <c r="F2178" t="s">
        <v>128</v>
      </c>
      <c r="G2178" t="s">
        <v>63</v>
      </c>
      <c r="H2178">
        <v>1</v>
      </c>
      <c r="I2178">
        <v>1.4857108000000001</v>
      </c>
      <c r="J2178">
        <v>800</v>
      </c>
      <c r="K2178">
        <v>1.78</v>
      </c>
      <c r="L2178">
        <v>778.65</v>
      </c>
      <c r="M2178">
        <v>14.68</v>
      </c>
      <c r="N2178">
        <v>2.4500000000000002</v>
      </c>
      <c r="O2178">
        <v>1.31</v>
      </c>
      <c r="P2178">
        <v>1.35</v>
      </c>
      <c r="Q2178">
        <v>1.1599999999999999</v>
      </c>
      <c r="R2178">
        <v>1.05</v>
      </c>
      <c r="S2178">
        <v>1.415</v>
      </c>
    </row>
    <row r="2179" spans="1:19" x14ac:dyDescent="0.2">
      <c r="A2179" t="s">
        <v>3986</v>
      </c>
      <c r="B2179" t="s">
        <v>3987</v>
      </c>
      <c r="C2179">
        <v>2014</v>
      </c>
      <c r="D2179">
        <v>1</v>
      </c>
      <c r="E2179" t="s">
        <v>55</v>
      </c>
      <c r="F2179" t="s">
        <v>128</v>
      </c>
      <c r="G2179" t="s">
        <v>63</v>
      </c>
      <c r="H2179">
        <v>2</v>
      </c>
      <c r="I2179">
        <v>7.9305919999999999</v>
      </c>
      <c r="J2179">
        <v>743</v>
      </c>
      <c r="M2179">
        <v>3.2</v>
      </c>
      <c r="O2179">
        <v>0.28499999999999998</v>
      </c>
      <c r="R2179">
        <v>1.03</v>
      </c>
    </row>
    <row r="2180" spans="1:19" x14ac:dyDescent="0.2">
      <c r="A2180" t="s">
        <v>3986</v>
      </c>
      <c r="B2180" t="s">
        <v>3988</v>
      </c>
      <c r="C2180">
        <v>2014</v>
      </c>
      <c r="D2180">
        <v>1</v>
      </c>
      <c r="E2180" t="s">
        <v>55</v>
      </c>
      <c r="F2180" t="s">
        <v>128</v>
      </c>
      <c r="G2180" t="s">
        <v>63</v>
      </c>
      <c r="H2180">
        <v>2</v>
      </c>
      <c r="I2180">
        <v>16.665863000000002</v>
      </c>
      <c r="J2180">
        <v>743</v>
      </c>
      <c r="M2180">
        <v>2.86</v>
      </c>
      <c r="O2180">
        <v>0.255</v>
      </c>
      <c r="R2180">
        <v>1.03</v>
      </c>
    </row>
    <row r="2181" spans="1:19" x14ac:dyDescent="0.2">
      <c r="A2181" t="s">
        <v>3989</v>
      </c>
      <c r="B2181" t="s">
        <v>3990</v>
      </c>
      <c r="C2181">
        <v>2014</v>
      </c>
      <c r="D2181">
        <v>1</v>
      </c>
      <c r="E2181" t="s">
        <v>55</v>
      </c>
      <c r="F2181" t="s">
        <v>128</v>
      </c>
      <c r="G2181" t="s">
        <v>63</v>
      </c>
      <c r="H2181">
        <v>3</v>
      </c>
      <c r="I2181">
        <v>4.1669720000000003</v>
      </c>
      <c r="J2181">
        <v>1026</v>
      </c>
      <c r="M2181">
        <v>2.34</v>
      </c>
      <c r="O2181">
        <v>0.20899999999999999</v>
      </c>
      <c r="R2181">
        <v>0.84</v>
      </c>
    </row>
    <row r="2182" spans="1:19" x14ac:dyDescent="0.2">
      <c r="A2182" t="s">
        <v>3989</v>
      </c>
      <c r="B2182" t="s">
        <v>3991</v>
      </c>
      <c r="C2182">
        <v>2014</v>
      </c>
      <c r="D2182">
        <v>1</v>
      </c>
      <c r="E2182" t="s">
        <v>55</v>
      </c>
      <c r="F2182" t="s">
        <v>128</v>
      </c>
      <c r="G2182" t="s">
        <v>63</v>
      </c>
      <c r="H2182">
        <v>3</v>
      </c>
      <c r="I2182">
        <v>11.463462</v>
      </c>
      <c r="J2182">
        <v>1026</v>
      </c>
      <c r="M2182">
        <v>2.56</v>
      </c>
      <c r="O2182">
        <v>0.22800000000000001</v>
      </c>
      <c r="R2182">
        <v>0.84</v>
      </c>
    </row>
    <row r="2183" spans="1:19" x14ac:dyDescent="0.2">
      <c r="A2183" t="s">
        <v>3989</v>
      </c>
      <c r="B2183" t="s">
        <v>3992</v>
      </c>
      <c r="C2183">
        <v>2014</v>
      </c>
      <c r="D2183">
        <v>1</v>
      </c>
      <c r="E2183" t="s">
        <v>55</v>
      </c>
      <c r="F2183" t="s">
        <v>128</v>
      </c>
      <c r="G2183" t="s">
        <v>63</v>
      </c>
      <c r="H2183">
        <v>3</v>
      </c>
      <c r="I2183">
        <v>39.595519000000003</v>
      </c>
      <c r="J2183">
        <v>1026</v>
      </c>
      <c r="M2183">
        <v>1.89</v>
      </c>
      <c r="O2183">
        <v>0.16900000000000001</v>
      </c>
      <c r="R2183">
        <v>0.84</v>
      </c>
    </row>
    <row r="2184" spans="1:19" x14ac:dyDescent="0.2">
      <c r="A2184" t="s">
        <v>3993</v>
      </c>
      <c r="B2184" t="s">
        <v>3994</v>
      </c>
      <c r="C2184">
        <v>2014</v>
      </c>
      <c r="D2184">
        <v>1</v>
      </c>
      <c r="E2184" t="s">
        <v>55</v>
      </c>
      <c r="F2184" t="s">
        <v>128</v>
      </c>
      <c r="G2184" t="s">
        <v>63</v>
      </c>
      <c r="H2184">
        <v>4</v>
      </c>
      <c r="I2184">
        <v>2.9403090000000001</v>
      </c>
      <c r="J2184">
        <v>796</v>
      </c>
      <c r="M2184">
        <v>2.35</v>
      </c>
      <c r="O2184">
        <v>0.21</v>
      </c>
      <c r="R2184">
        <v>1.08</v>
      </c>
    </row>
    <row r="2185" spans="1:19" x14ac:dyDescent="0.2">
      <c r="A2185" t="s">
        <v>3993</v>
      </c>
      <c r="B2185" t="s">
        <v>3995</v>
      </c>
      <c r="C2185">
        <v>2014</v>
      </c>
      <c r="D2185">
        <v>1</v>
      </c>
      <c r="E2185" t="s">
        <v>55</v>
      </c>
      <c r="F2185" t="s">
        <v>128</v>
      </c>
      <c r="G2185" t="s">
        <v>63</v>
      </c>
      <c r="H2185">
        <v>4</v>
      </c>
      <c r="I2185">
        <v>6.3889959999999997</v>
      </c>
      <c r="J2185">
        <v>796</v>
      </c>
      <c r="M2185">
        <v>2.86</v>
      </c>
      <c r="O2185">
        <v>0.255</v>
      </c>
      <c r="R2185">
        <v>1.08</v>
      </c>
    </row>
    <row r="2186" spans="1:19" x14ac:dyDescent="0.2">
      <c r="A2186" t="s">
        <v>3993</v>
      </c>
      <c r="B2186" t="s">
        <v>3996</v>
      </c>
      <c r="C2186">
        <v>2014</v>
      </c>
      <c r="D2186">
        <v>1</v>
      </c>
      <c r="E2186" t="s">
        <v>55</v>
      </c>
      <c r="F2186" t="s">
        <v>128</v>
      </c>
      <c r="G2186" t="s">
        <v>63</v>
      </c>
      <c r="H2186">
        <v>4</v>
      </c>
      <c r="I2186">
        <v>14.627119</v>
      </c>
      <c r="J2186">
        <v>796</v>
      </c>
      <c r="M2186">
        <v>2.25</v>
      </c>
      <c r="O2186">
        <v>0.20100000000000001</v>
      </c>
      <c r="R2186">
        <v>1.08</v>
      </c>
    </row>
    <row r="2187" spans="1:19" x14ac:dyDescent="0.2">
      <c r="A2187" t="s">
        <v>3993</v>
      </c>
      <c r="B2187" t="s">
        <v>3997</v>
      </c>
      <c r="C2187">
        <v>2014</v>
      </c>
      <c r="D2187">
        <v>1</v>
      </c>
      <c r="E2187" t="s">
        <v>55</v>
      </c>
      <c r="F2187" t="s">
        <v>128</v>
      </c>
      <c r="G2187" t="s">
        <v>63</v>
      </c>
      <c r="H2187">
        <v>4</v>
      </c>
      <c r="I2187">
        <v>35.118735999999998</v>
      </c>
      <c r="J2187">
        <v>796</v>
      </c>
      <c r="M2187">
        <v>2.76</v>
      </c>
      <c r="O2187">
        <v>0.246</v>
      </c>
      <c r="R2187">
        <v>1.08</v>
      </c>
    </row>
    <row r="2188" spans="1:19" x14ac:dyDescent="0.2">
      <c r="A2188" t="s">
        <v>3998</v>
      </c>
      <c r="B2188" t="s">
        <v>3999</v>
      </c>
      <c r="C2188">
        <v>2014</v>
      </c>
      <c r="D2188">
        <v>1</v>
      </c>
      <c r="E2188" t="s">
        <v>55</v>
      </c>
      <c r="F2188" t="s">
        <v>128</v>
      </c>
      <c r="G2188" t="s">
        <v>63</v>
      </c>
      <c r="H2188">
        <v>2</v>
      </c>
      <c r="I2188">
        <v>4.2637419999999997</v>
      </c>
      <c r="J2188">
        <v>810</v>
      </c>
      <c r="M2188">
        <v>1.29</v>
      </c>
      <c r="O2188">
        <v>0.115</v>
      </c>
      <c r="R2188">
        <v>0.95</v>
      </c>
    </row>
    <row r="2189" spans="1:19" x14ac:dyDescent="0.2">
      <c r="A2189" t="s">
        <v>3998</v>
      </c>
      <c r="B2189" t="s">
        <v>4000</v>
      </c>
      <c r="C2189">
        <v>2014</v>
      </c>
      <c r="D2189">
        <v>1</v>
      </c>
      <c r="E2189" t="s">
        <v>55</v>
      </c>
      <c r="F2189" t="s">
        <v>128</v>
      </c>
      <c r="G2189" t="s">
        <v>63</v>
      </c>
      <c r="H2189">
        <v>2</v>
      </c>
      <c r="I2189">
        <v>8.0057770000000001</v>
      </c>
      <c r="J2189">
        <v>810</v>
      </c>
      <c r="M2189">
        <v>2.4300000000000002</v>
      </c>
      <c r="O2189">
        <v>0.217</v>
      </c>
      <c r="R2189">
        <v>0.95</v>
      </c>
    </row>
    <row r="2190" spans="1:19" x14ac:dyDescent="0.2">
      <c r="A2190" t="s">
        <v>4001</v>
      </c>
      <c r="B2190" t="s">
        <v>4002</v>
      </c>
      <c r="C2190">
        <v>2014</v>
      </c>
      <c r="D2190">
        <v>1</v>
      </c>
      <c r="E2190" t="s">
        <v>55</v>
      </c>
      <c r="F2190" t="s">
        <v>128</v>
      </c>
      <c r="G2190" t="s">
        <v>63</v>
      </c>
      <c r="H2190">
        <v>3</v>
      </c>
      <c r="I2190">
        <v>13.98179</v>
      </c>
      <c r="J2190">
        <v>371</v>
      </c>
      <c r="M2190">
        <v>1.96</v>
      </c>
      <c r="O2190">
        <v>0.17499999999999999</v>
      </c>
      <c r="R2190">
        <v>0.62</v>
      </c>
    </row>
    <row r="2191" spans="1:19" x14ac:dyDescent="0.2">
      <c r="A2191" t="s">
        <v>4001</v>
      </c>
      <c r="B2191" t="s">
        <v>4003</v>
      </c>
      <c r="C2191">
        <v>2014</v>
      </c>
      <c r="D2191">
        <v>1</v>
      </c>
      <c r="E2191" t="s">
        <v>55</v>
      </c>
      <c r="F2191" t="s">
        <v>128</v>
      </c>
      <c r="G2191" t="s">
        <v>63</v>
      </c>
      <c r="H2191">
        <v>3</v>
      </c>
      <c r="I2191">
        <v>44.000529</v>
      </c>
      <c r="J2191">
        <v>371</v>
      </c>
      <c r="M2191">
        <v>1.49</v>
      </c>
      <c r="O2191">
        <v>0.13300000000000001</v>
      </c>
      <c r="R2191">
        <v>0.62</v>
      </c>
    </row>
    <row r="2192" spans="1:19" x14ac:dyDescent="0.2">
      <c r="A2192" t="s">
        <v>4001</v>
      </c>
      <c r="B2192" t="s">
        <v>4004</v>
      </c>
      <c r="C2192">
        <v>2014</v>
      </c>
      <c r="D2192">
        <v>1</v>
      </c>
      <c r="E2192" t="s">
        <v>55</v>
      </c>
      <c r="F2192" t="s">
        <v>128</v>
      </c>
      <c r="G2192" t="s">
        <v>63</v>
      </c>
      <c r="H2192">
        <v>3</v>
      </c>
      <c r="I2192">
        <v>247.35373000000001</v>
      </c>
      <c r="J2192">
        <v>371</v>
      </c>
      <c r="M2192">
        <v>2.19</v>
      </c>
      <c r="O2192">
        <v>0.19500000000000001</v>
      </c>
      <c r="R2192">
        <v>0.62</v>
      </c>
    </row>
    <row r="2193" spans="1:19" x14ac:dyDescent="0.2">
      <c r="A2193" t="s">
        <v>4005</v>
      </c>
      <c r="B2193" t="s">
        <v>4006</v>
      </c>
      <c r="C2193">
        <v>2014</v>
      </c>
      <c r="D2193">
        <v>1</v>
      </c>
      <c r="E2193" t="s">
        <v>55</v>
      </c>
      <c r="F2193" t="s">
        <v>128</v>
      </c>
      <c r="G2193" t="s">
        <v>63</v>
      </c>
      <c r="H2193">
        <v>2</v>
      </c>
      <c r="I2193">
        <v>11.903515000000001</v>
      </c>
      <c r="J2193">
        <v>1279</v>
      </c>
      <c r="M2193">
        <v>2.56</v>
      </c>
      <c r="O2193">
        <v>0.22800000000000001</v>
      </c>
      <c r="R2193">
        <v>1.01</v>
      </c>
    </row>
    <row r="2194" spans="1:19" x14ac:dyDescent="0.2">
      <c r="A2194" t="s">
        <v>4005</v>
      </c>
      <c r="B2194" t="s">
        <v>4007</v>
      </c>
      <c r="C2194">
        <v>2014</v>
      </c>
      <c r="D2194">
        <v>1</v>
      </c>
      <c r="E2194" t="s">
        <v>55</v>
      </c>
      <c r="F2194" t="s">
        <v>128</v>
      </c>
      <c r="G2194" t="s">
        <v>63</v>
      </c>
      <c r="H2194">
        <v>2</v>
      </c>
      <c r="I2194">
        <v>34.035257000000001</v>
      </c>
      <c r="J2194">
        <v>1279</v>
      </c>
      <c r="M2194">
        <v>3.1</v>
      </c>
      <c r="O2194">
        <v>0.27700000000000002</v>
      </c>
      <c r="R2194">
        <v>1.01</v>
      </c>
    </row>
    <row r="2195" spans="1:19" x14ac:dyDescent="0.2">
      <c r="A2195" t="s">
        <v>4008</v>
      </c>
      <c r="B2195" t="s">
        <v>4009</v>
      </c>
      <c r="C2195">
        <v>2014</v>
      </c>
      <c r="D2195">
        <v>1</v>
      </c>
      <c r="E2195" t="s">
        <v>55</v>
      </c>
      <c r="F2195" t="s">
        <v>128</v>
      </c>
      <c r="G2195" t="s">
        <v>63</v>
      </c>
      <c r="H2195">
        <v>4</v>
      </c>
      <c r="I2195">
        <v>5.4330740000000004</v>
      </c>
      <c r="J2195">
        <v>564</v>
      </c>
      <c r="M2195">
        <v>1.43</v>
      </c>
      <c r="O2195">
        <v>0.128</v>
      </c>
      <c r="R2195">
        <v>0.89</v>
      </c>
    </row>
    <row r="2196" spans="1:19" x14ac:dyDescent="0.2">
      <c r="A2196" t="s">
        <v>4008</v>
      </c>
      <c r="B2196" t="s">
        <v>4010</v>
      </c>
      <c r="C2196">
        <v>2014</v>
      </c>
      <c r="D2196">
        <v>1</v>
      </c>
      <c r="E2196" t="s">
        <v>55</v>
      </c>
      <c r="F2196" t="s">
        <v>128</v>
      </c>
      <c r="G2196" t="s">
        <v>63</v>
      </c>
      <c r="H2196">
        <v>4</v>
      </c>
      <c r="I2196">
        <v>12.759712</v>
      </c>
      <c r="J2196">
        <v>564</v>
      </c>
      <c r="M2196">
        <v>2.6</v>
      </c>
      <c r="O2196">
        <v>0.23200000000000001</v>
      </c>
      <c r="R2196">
        <v>0.89</v>
      </c>
    </row>
    <row r="2197" spans="1:19" x14ac:dyDescent="0.2">
      <c r="A2197" t="s">
        <v>4008</v>
      </c>
      <c r="B2197" t="s">
        <v>4011</v>
      </c>
      <c r="C2197">
        <v>2014</v>
      </c>
      <c r="D2197">
        <v>1</v>
      </c>
      <c r="E2197" t="s">
        <v>55</v>
      </c>
      <c r="F2197" t="s">
        <v>128</v>
      </c>
      <c r="G2197" t="s">
        <v>63</v>
      </c>
      <c r="H2197">
        <v>4</v>
      </c>
      <c r="I2197">
        <v>25.751974000000001</v>
      </c>
      <c r="J2197">
        <v>564</v>
      </c>
      <c r="M2197">
        <v>2.5099999999999998</v>
      </c>
      <c r="O2197">
        <v>0.224</v>
      </c>
      <c r="R2197">
        <v>0.89</v>
      </c>
    </row>
    <row r="2198" spans="1:19" x14ac:dyDescent="0.2">
      <c r="A2198" t="s">
        <v>4008</v>
      </c>
      <c r="B2198" t="s">
        <v>4012</v>
      </c>
      <c r="C2198">
        <v>2016</v>
      </c>
      <c r="D2198">
        <v>1</v>
      </c>
      <c r="E2198" t="s">
        <v>55</v>
      </c>
      <c r="F2198" t="s">
        <v>128</v>
      </c>
      <c r="G2198" t="s">
        <v>63</v>
      </c>
      <c r="H2198">
        <v>4</v>
      </c>
      <c r="I2198">
        <v>51.165790000000001</v>
      </c>
      <c r="J2198">
        <v>564</v>
      </c>
      <c r="M2198">
        <v>1.45</v>
      </c>
      <c r="O2198">
        <v>0.129</v>
      </c>
      <c r="R2198">
        <v>0.89</v>
      </c>
    </row>
    <row r="2199" spans="1:19" x14ac:dyDescent="0.2">
      <c r="A2199" t="s">
        <v>4013</v>
      </c>
      <c r="B2199" t="s">
        <v>4014</v>
      </c>
      <c r="C2199">
        <v>2013</v>
      </c>
      <c r="D2199">
        <v>1</v>
      </c>
      <c r="E2199" t="s">
        <v>55</v>
      </c>
      <c r="F2199" t="s">
        <v>128</v>
      </c>
      <c r="G2199" t="s">
        <v>63</v>
      </c>
      <c r="H2199">
        <v>2</v>
      </c>
      <c r="I2199">
        <v>36.854999999999997</v>
      </c>
      <c r="J2199">
        <v>1068</v>
      </c>
      <c r="L2199">
        <v>2</v>
      </c>
      <c r="M2199">
        <v>2.9</v>
      </c>
      <c r="N2199">
        <v>6.0000000000000001E-3</v>
      </c>
      <c r="O2199">
        <v>0.25900000000000001</v>
      </c>
      <c r="R2199">
        <v>1.05</v>
      </c>
    </row>
    <row r="2200" spans="1:19" x14ac:dyDescent="0.2">
      <c r="A2200" t="s">
        <v>4013</v>
      </c>
      <c r="B2200" t="s">
        <v>4015</v>
      </c>
      <c r="C2200">
        <v>2013</v>
      </c>
      <c r="D2200">
        <v>1</v>
      </c>
      <c r="E2200" t="s">
        <v>55</v>
      </c>
      <c r="F2200" t="s">
        <v>128</v>
      </c>
      <c r="G2200" t="s">
        <v>63</v>
      </c>
      <c r="H2200">
        <v>2</v>
      </c>
      <c r="I2200">
        <v>49.411999999999999</v>
      </c>
      <c r="J2200">
        <v>1068</v>
      </c>
      <c r="L2200">
        <v>7.5</v>
      </c>
      <c r="M2200">
        <v>7.1</v>
      </c>
      <c r="N2200">
        <v>2.4E-2</v>
      </c>
      <c r="O2200">
        <v>0.63300000000000001</v>
      </c>
      <c r="R2200">
        <v>1.05</v>
      </c>
    </row>
    <row r="2201" spans="1:19" x14ac:dyDescent="0.2">
      <c r="A2201" t="s">
        <v>4016</v>
      </c>
      <c r="B2201" t="s">
        <v>4017</v>
      </c>
      <c r="C2201">
        <v>2014</v>
      </c>
      <c r="D2201">
        <v>1</v>
      </c>
      <c r="E2201" t="s">
        <v>55</v>
      </c>
      <c r="F2201" t="s">
        <v>128</v>
      </c>
      <c r="G2201" t="s">
        <v>63</v>
      </c>
      <c r="H2201">
        <v>3</v>
      </c>
      <c r="I2201">
        <v>9.5766939999999998</v>
      </c>
      <c r="J2201">
        <v>741</v>
      </c>
      <c r="M2201">
        <v>2.9</v>
      </c>
      <c r="O2201">
        <v>0.25900000000000001</v>
      </c>
      <c r="R2201">
        <v>1.07</v>
      </c>
    </row>
    <row r="2202" spans="1:19" x14ac:dyDescent="0.2">
      <c r="A2202" t="s">
        <v>4016</v>
      </c>
      <c r="B2202" t="s">
        <v>4018</v>
      </c>
      <c r="C2202">
        <v>2014</v>
      </c>
      <c r="D2202">
        <v>1</v>
      </c>
      <c r="E2202" t="s">
        <v>55</v>
      </c>
      <c r="F2202" t="s">
        <v>128</v>
      </c>
      <c r="G2202" t="s">
        <v>63</v>
      </c>
      <c r="H2202">
        <v>3</v>
      </c>
      <c r="I2202">
        <v>20.552802</v>
      </c>
      <c r="J2202">
        <v>741</v>
      </c>
      <c r="M2202">
        <v>2.88</v>
      </c>
      <c r="O2202">
        <v>0.25700000000000001</v>
      </c>
      <c r="R2202">
        <v>1.07</v>
      </c>
    </row>
    <row r="2203" spans="1:19" x14ac:dyDescent="0.2">
      <c r="A2203" t="s">
        <v>4016</v>
      </c>
      <c r="B2203" t="s">
        <v>4019</v>
      </c>
      <c r="C2203">
        <v>2014</v>
      </c>
      <c r="D2203">
        <v>1</v>
      </c>
      <c r="E2203" t="s">
        <v>55</v>
      </c>
      <c r="F2203" t="s">
        <v>128</v>
      </c>
      <c r="G2203" t="s">
        <v>63</v>
      </c>
      <c r="H2203">
        <v>3</v>
      </c>
      <c r="I2203">
        <v>96.678988000000004</v>
      </c>
      <c r="J2203">
        <v>741</v>
      </c>
      <c r="M2203">
        <v>3.95</v>
      </c>
      <c r="O2203">
        <v>0.35199999999999998</v>
      </c>
      <c r="R2203">
        <v>1.07</v>
      </c>
    </row>
    <row r="2204" spans="1:19" x14ac:dyDescent="0.2">
      <c r="A2204" t="s">
        <v>4020</v>
      </c>
      <c r="B2204" t="s">
        <v>4021</v>
      </c>
      <c r="C2204">
        <v>2014</v>
      </c>
      <c r="D2204">
        <v>1</v>
      </c>
      <c r="E2204" t="s">
        <v>55</v>
      </c>
      <c r="F2204" t="s">
        <v>128</v>
      </c>
      <c r="G2204" t="s">
        <v>63</v>
      </c>
      <c r="H2204">
        <v>2</v>
      </c>
      <c r="I2204">
        <v>2.7359260000000001</v>
      </c>
      <c r="J2204">
        <v>660</v>
      </c>
      <c r="M2204">
        <v>1.64</v>
      </c>
      <c r="O2204">
        <v>0.14599999999999999</v>
      </c>
      <c r="R2204">
        <v>0.76</v>
      </c>
    </row>
    <row r="2205" spans="1:19" x14ac:dyDescent="0.2">
      <c r="A2205" t="s">
        <v>4020</v>
      </c>
      <c r="B2205" t="s">
        <v>4022</v>
      </c>
      <c r="C2205">
        <v>2014</v>
      </c>
      <c r="D2205">
        <v>1</v>
      </c>
      <c r="E2205" t="s">
        <v>55</v>
      </c>
      <c r="F2205" t="s">
        <v>128</v>
      </c>
      <c r="G2205" t="s">
        <v>63</v>
      </c>
      <c r="H2205">
        <v>2</v>
      </c>
      <c r="I2205">
        <v>6.4001299999999999</v>
      </c>
      <c r="J2205">
        <v>660</v>
      </c>
      <c r="M2205">
        <v>2</v>
      </c>
      <c r="O2205">
        <v>0.17799999999999999</v>
      </c>
      <c r="R2205">
        <v>0.76</v>
      </c>
    </row>
    <row r="2206" spans="1:19" x14ac:dyDescent="0.2">
      <c r="A2206" t="s">
        <v>4023</v>
      </c>
      <c r="B2206" t="s">
        <v>4024</v>
      </c>
      <c r="C2206">
        <v>2011</v>
      </c>
      <c r="D2206">
        <v>1</v>
      </c>
      <c r="E2206" t="s">
        <v>55</v>
      </c>
      <c r="F2206" t="s">
        <v>128</v>
      </c>
      <c r="G2206" t="s">
        <v>63</v>
      </c>
      <c r="H2206">
        <v>3</v>
      </c>
      <c r="I2206">
        <v>3.5047250000000001</v>
      </c>
      <c r="J2206">
        <v>507</v>
      </c>
      <c r="K2206">
        <v>10</v>
      </c>
      <c r="L2206">
        <v>6.9</v>
      </c>
      <c r="M2206">
        <v>2</v>
      </c>
      <c r="N2206">
        <v>2.1999999999999999E-2</v>
      </c>
      <c r="O2206">
        <v>0.17799999999999999</v>
      </c>
      <c r="P2206">
        <v>4.9000000000000004</v>
      </c>
      <c r="Q2206">
        <v>0.97</v>
      </c>
      <c r="R2206">
        <v>1.1100000000000001</v>
      </c>
      <c r="S2206">
        <v>1.01</v>
      </c>
    </row>
    <row r="2207" spans="1:19" x14ac:dyDescent="0.2">
      <c r="A2207" t="s">
        <v>4023</v>
      </c>
      <c r="B2207" t="s">
        <v>4025</v>
      </c>
      <c r="C2207">
        <v>2011</v>
      </c>
      <c r="D2207">
        <v>1</v>
      </c>
      <c r="E2207" t="s">
        <v>55</v>
      </c>
      <c r="F2207" t="s">
        <v>128</v>
      </c>
      <c r="G2207" t="s">
        <v>63</v>
      </c>
      <c r="H2207">
        <v>3</v>
      </c>
      <c r="I2207">
        <v>7.6415899999999999</v>
      </c>
      <c r="J2207">
        <v>507</v>
      </c>
      <c r="K2207">
        <v>10</v>
      </c>
      <c r="L2207">
        <v>17.3</v>
      </c>
      <c r="M2207">
        <v>5.49</v>
      </c>
      <c r="N2207">
        <v>5.3999999999999999E-2</v>
      </c>
      <c r="O2207">
        <v>0.49</v>
      </c>
      <c r="P2207">
        <v>0.59</v>
      </c>
      <c r="Q2207">
        <v>0.97</v>
      </c>
      <c r="R2207">
        <v>1.1100000000000001</v>
      </c>
      <c r="S2207">
        <v>1.01</v>
      </c>
    </row>
    <row r="2208" spans="1:19" x14ac:dyDescent="0.2">
      <c r="A2208" t="s">
        <v>4023</v>
      </c>
      <c r="B2208" t="s">
        <v>4026</v>
      </c>
      <c r="C2208">
        <v>2011</v>
      </c>
      <c r="D2208">
        <v>1</v>
      </c>
      <c r="E2208" t="s">
        <v>55</v>
      </c>
      <c r="F2208" t="s">
        <v>128</v>
      </c>
      <c r="G2208" t="s">
        <v>63</v>
      </c>
      <c r="H2208">
        <v>3</v>
      </c>
      <c r="I2208">
        <v>14.858879999999999</v>
      </c>
      <c r="J2208">
        <v>507</v>
      </c>
      <c r="K2208">
        <v>10</v>
      </c>
      <c r="L2208">
        <v>16.399999999999999</v>
      </c>
      <c r="M2208">
        <v>6.98</v>
      </c>
      <c r="N2208">
        <v>5.1999999999999998E-2</v>
      </c>
      <c r="O2208">
        <v>0.623</v>
      </c>
      <c r="P2208">
        <v>0.27</v>
      </c>
      <c r="Q2208">
        <v>0.97</v>
      </c>
      <c r="R2208">
        <v>1.1100000000000001</v>
      </c>
      <c r="S2208">
        <v>1.01</v>
      </c>
    </row>
    <row r="2209" spans="1:19" x14ac:dyDescent="0.2">
      <c r="A2209" t="s">
        <v>4027</v>
      </c>
      <c r="B2209" t="s">
        <v>4028</v>
      </c>
      <c r="C2209">
        <v>2014</v>
      </c>
      <c r="D2209">
        <v>1</v>
      </c>
      <c r="E2209" t="s">
        <v>55</v>
      </c>
      <c r="F2209" t="s">
        <v>128</v>
      </c>
      <c r="G2209" t="s">
        <v>63</v>
      </c>
      <c r="H2209">
        <v>2</v>
      </c>
      <c r="I2209">
        <v>13.817124</v>
      </c>
      <c r="J2209">
        <v>675</v>
      </c>
      <c r="M2209">
        <v>1.5</v>
      </c>
      <c r="O2209">
        <v>0.13400000000000001</v>
      </c>
      <c r="R2209">
        <v>1.06</v>
      </c>
    </row>
    <row r="2210" spans="1:19" x14ac:dyDescent="0.2">
      <c r="A2210" t="s">
        <v>4027</v>
      </c>
      <c r="B2210" t="s">
        <v>4029</v>
      </c>
      <c r="C2210">
        <v>2014</v>
      </c>
      <c r="D2210">
        <v>1</v>
      </c>
      <c r="E2210" t="s">
        <v>55</v>
      </c>
      <c r="F2210" t="s">
        <v>128</v>
      </c>
      <c r="G2210" t="s">
        <v>63</v>
      </c>
      <c r="H2210">
        <v>2</v>
      </c>
      <c r="I2210">
        <v>41.885775000000002</v>
      </c>
      <c r="J2210">
        <v>675</v>
      </c>
      <c r="M2210">
        <v>3.01</v>
      </c>
      <c r="O2210">
        <v>0.26900000000000002</v>
      </c>
      <c r="R2210">
        <v>1.06</v>
      </c>
    </row>
    <row r="2211" spans="1:19" x14ac:dyDescent="0.2">
      <c r="A2211" t="s">
        <v>4030</v>
      </c>
      <c r="B2211" t="s">
        <v>4031</v>
      </c>
      <c r="C2211">
        <v>2014</v>
      </c>
      <c r="D2211">
        <v>1</v>
      </c>
      <c r="E2211" t="s">
        <v>55</v>
      </c>
      <c r="F2211" t="s">
        <v>128</v>
      </c>
      <c r="G2211" t="s">
        <v>63</v>
      </c>
      <c r="H2211">
        <v>2</v>
      </c>
      <c r="I2211">
        <v>3.1378729999999999</v>
      </c>
      <c r="J2211">
        <v>667</v>
      </c>
      <c r="M2211">
        <v>1.27</v>
      </c>
      <c r="O2211">
        <v>0.113</v>
      </c>
      <c r="R2211">
        <v>0.75</v>
      </c>
    </row>
    <row r="2212" spans="1:19" x14ac:dyDescent="0.2">
      <c r="A2212" t="s">
        <v>4030</v>
      </c>
      <c r="B2212" t="s">
        <v>4032</v>
      </c>
      <c r="C2212">
        <v>2014</v>
      </c>
      <c r="D2212">
        <v>1</v>
      </c>
      <c r="E2212" t="s">
        <v>55</v>
      </c>
      <c r="F2212" t="s">
        <v>128</v>
      </c>
      <c r="G2212" t="s">
        <v>63</v>
      </c>
      <c r="H2212">
        <v>2</v>
      </c>
      <c r="I2212">
        <v>4.302149</v>
      </c>
      <c r="J2212">
        <v>667</v>
      </c>
      <c r="M2212">
        <v>1.99</v>
      </c>
      <c r="O2212">
        <v>0.17799999999999999</v>
      </c>
      <c r="R2212">
        <v>0.75</v>
      </c>
    </row>
    <row r="2213" spans="1:19" x14ac:dyDescent="0.2">
      <c r="A2213" t="s">
        <v>4033</v>
      </c>
      <c r="B2213" t="s">
        <v>4034</v>
      </c>
      <c r="C2213">
        <v>2014</v>
      </c>
      <c r="D2213">
        <v>1</v>
      </c>
      <c r="E2213" t="s">
        <v>55</v>
      </c>
      <c r="F2213" t="s">
        <v>128</v>
      </c>
      <c r="G2213" t="s">
        <v>63</v>
      </c>
      <c r="H2213">
        <v>2</v>
      </c>
      <c r="I2213">
        <v>9.8257919999999999</v>
      </c>
      <c r="J2213">
        <v>1409</v>
      </c>
      <c r="M2213">
        <v>2.58</v>
      </c>
      <c r="O2213">
        <v>0.23</v>
      </c>
      <c r="R2213">
        <v>1.1499999999999999</v>
      </c>
    </row>
    <row r="2214" spans="1:19" x14ac:dyDescent="0.2">
      <c r="A2214" t="s">
        <v>4033</v>
      </c>
      <c r="B2214" t="s">
        <v>4035</v>
      </c>
      <c r="C2214">
        <v>2014</v>
      </c>
      <c r="D2214">
        <v>1</v>
      </c>
      <c r="E2214" t="s">
        <v>55</v>
      </c>
      <c r="F2214" t="s">
        <v>128</v>
      </c>
      <c r="G2214" t="s">
        <v>63</v>
      </c>
      <c r="H2214">
        <v>2</v>
      </c>
      <c r="I2214">
        <v>20.684342000000001</v>
      </c>
      <c r="J2214">
        <v>1409</v>
      </c>
      <c r="M2214">
        <v>3.43</v>
      </c>
      <c r="O2214">
        <v>0.30599999999999999</v>
      </c>
      <c r="R2214">
        <v>1.1499999999999999</v>
      </c>
    </row>
    <row r="2215" spans="1:19" x14ac:dyDescent="0.2">
      <c r="A2215" t="s">
        <v>4036</v>
      </c>
      <c r="B2215" t="s">
        <v>4037</v>
      </c>
      <c r="C2215">
        <v>2014</v>
      </c>
      <c r="D2215">
        <v>1</v>
      </c>
      <c r="E2215" t="s">
        <v>55</v>
      </c>
      <c r="F2215" t="s">
        <v>128</v>
      </c>
      <c r="G2215" t="s">
        <v>63</v>
      </c>
      <c r="H2215">
        <v>2</v>
      </c>
      <c r="I2215">
        <v>5.687945</v>
      </c>
      <c r="J2215">
        <v>1015</v>
      </c>
      <c r="M2215">
        <v>2.06</v>
      </c>
      <c r="O2215">
        <v>0.184</v>
      </c>
      <c r="R2215">
        <v>0.96</v>
      </c>
    </row>
    <row r="2216" spans="1:19" x14ac:dyDescent="0.2">
      <c r="A2216" t="s">
        <v>4036</v>
      </c>
      <c r="B2216" t="s">
        <v>4038</v>
      </c>
      <c r="C2216">
        <v>2014</v>
      </c>
      <c r="D2216">
        <v>1</v>
      </c>
      <c r="E2216" t="s">
        <v>55</v>
      </c>
      <c r="F2216" t="s">
        <v>128</v>
      </c>
      <c r="G2216" t="s">
        <v>63</v>
      </c>
      <c r="H2216">
        <v>2</v>
      </c>
      <c r="I2216">
        <v>11.637071000000001</v>
      </c>
      <c r="J2216">
        <v>1015</v>
      </c>
      <c r="M2216">
        <v>2.27</v>
      </c>
      <c r="O2216">
        <v>0.20300000000000001</v>
      </c>
      <c r="R2216">
        <v>0.96</v>
      </c>
    </row>
    <row r="2217" spans="1:19" x14ac:dyDescent="0.2">
      <c r="A2217" t="s">
        <v>4039</v>
      </c>
      <c r="B2217" t="s">
        <v>4040</v>
      </c>
      <c r="C2217">
        <v>2014</v>
      </c>
      <c r="D2217">
        <v>1</v>
      </c>
      <c r="E2217" t="s">
        <v>55</v>
      </c>
      <c r="F2217" t="s">
        <v>128</v>
      </c>
      <c r="G2217" t="s">
        <v>63</v>
      </c>
      <c r="H2217">
        <v>3</v>
      </c>
      <c r="I2217">
        <v>10.687576</v>
      </c>
      <c r="J2217">
        <v>716</v>
      </c>
      <c r="M2217">
        <v>2.36</v>
      </c>
      <c r="O2217">
        <v>0.21099999999999999</v>
      </c>
      <c r="R2217">
        <v>0.87</v>
      </c>
    </row>
    <row r="2218" spans="1:19" x14ac:dyDescent="0.2">
      <c r="A2218" t="s">
        <v>4039</v>
      </c>
      <c r="B2218" t="s">
        <v>4041</v>
      </c>
      <c r="C2218">
        <v>2014</v>
      </c>
      <c r="D2218">
        <v>1</v>
      </c>
      <c r="E2218" t="s">
        <v>55</v>
      </c>
      <c r="F2218" t="s">
        <v>128</v>
      </c>
      <c r="G2218" t="s">
        <v>63</v>
      </c>
      <c r="H2218">
        <v>3</v>
      </c>
      <c r="I2218">
        <v>20.303004999999999</v>
      </c>
      <c r="J2218">
        <v>716</v>
      </c>
      <c r="M2218">
        <v>1.97</v>
      </c>
      <c r="O2218">
        <v>0.17599999999999999</v>
      </c>
      <c r="R2218">
        <v>0.87</v>
      </c>
    </row>
    <row r="2219" spans="1:19" x14ac:dyDescent="0.2">
      <c r="A2219" t="s">
        <v>4039</v>
      </c>
      <c r="B2219" t="s">
        <v>4042</v>
      </c>
      <c r="C2219">
        <v>2014</v>
      </c>
      <c r="D2219">
        <v>1</v>
      </c>
      <c r="E2219" t="s">
        <v>55</v>
      </c>
      <c r="F2219" t="s">
        <v>128</v>
      </c>
      <c r="G2219" t="s">
        <v>63</v>
      </c>
      <c r="H2219">
        <v>3</v>
      </c>
      <c r="I2219">
        <v>29.022358000000001</v>
      </c>
      <c r="J2219">
        <v>716</v>
      </c>
      <c r="M2219">
        <v>2.4900000000000002</v>
      </c>
      <c r="O2219">
        <v>0.222</v>
      </c>
      <c r="R2219">
        <v>0.87</v>
      </c>
    </row>
    <row r="2220" spans="1:19" x14ac:dyDescent="0.2">
      <c r="A2220" t="s">
        <v>4043</v>
      </c>
      <c r="B2220" t="s">
        <v>4044</v>
      </c>
      <c r="C2220">
        <v>2014</v>
      </c>
      <c r="D2220">
        <v>1</v>
      </c>
      <c r="E2220" t="s">
        <v>55</v>
      </c>
      <c r="F2220" t="s">
        <v>128</v>
      </c>
      <c r="G2220" t="s">
        <v>63</v>
      </c>
      <c r="H2220">
        <v>2</v>
      </c>
      <c r="I2220">
        <v>1.6329</v>
      </c>
      <c r="J2220">
        <v>511</v>
      </c>
      <c r="M2220">
        <v>1.17</v>
      </c>
      <c r="O2220">
        <v>0.104</v>
      </c>
      <c r="R2220">
        <v>0.81</v>
      </c>
    </row>
    <row r="2221" spans="1:19" x14ac:dyDescent="0.2">
      <c r="A2221" t="s">
        <v>4043</v>
      </c>
      <c r="B2221" t="s">
        <v>4045</v>
      </c>
      <c r="C2221">
        <v>2014</v>
      </c>
      <c r="D2221">
        <v>1</v>
      </c>
      <c r="E2221" t="s">
        <v>55</v>
      </c>
      <c r="F2221" t="s">
        <v>128</v>
      </c>
      <c r="G2221" t="s">
        <v>63</v>
      </c>
      <c r="H2221">
        <v>2</v>
      </c>
      <c r="I2221">
        <v>20.729042</v>
      </c>
      <c r="J2221">
        <v>511</v>
      </c>
      <c r="M2221">
        <v>2.02</v>
      </c>
      <c r="O2221">
        <v>0.18</v>
      </c>
      <c r="R2221">
        <v>0.81</v>
      </c>
    </row>
    <row r="2222" spans="1:19" x14ac:dyDescent="0.2">
      <c r="A2222" t="s">
        <v>4046</v>
      </c>
      <c r="B2222" t="s">
        <v>4047</v>
      </c>
      <c r="C2222">
        <v>2014</v>
      </c>
      <c r="D2222">
        <v>1</v>
      </c>
      <c r="E2222" t="s">
        <v>55</v>
      </c>
      <c r="F2222" t="s">
        <v>128</v>
      </c>
      <c r="G2222" t="s">
        <v>63</v>
      </c>
      <c r="H2222">
        <v>5</v>
      </c>
      <c r="I2222">
        <v>3.8867907000000002</v>
      </c>
      <c r="J2222">
        <v>172</v>
      </c>
      <c r="K2222">
        <v>4</v>
      </c>
      <c r="M2222">
        <v>1.07</v>
      </c>
      <c r="O2222">
        <v>9.5000000000000001E-2</v>
      </c>
      <c r="Q2222">
        <v>0.54</v>
      </c>
      <c r="R2222">
        <v>0.52</v>
      </c>
      <c r="S2222">
        <v>5.29</v>
      </c>
    </row>
    <row r="2223" spans="1:19" x14ac:dyDescent="0.2">
      <c r="A2223" t="s">
        <v>4046</v>
      </c>
      <c r="B2223" t="s">
        <v>4048</v>
      </c>
      <c r="C2223">
        <v>2014</v>
      </c>
      <c r="D2223">
        <v>1</v>
      </c>
      <c r="E2223" t="s">
        <v>55</v>
      </c>
      <c r="F2223" t="s">
        <v>128</v>
      </c>
      <c r="G2223" t="s">
        <v>63</v>
      </c>
      <c r="H2223">
        <v>5</v>
      </c>
      <c r="I2223">
        <v>7.2673019999999999</v>
      </c>
      <c r="J2223">
        <v>172</v>
      </c>
      <c r="K2223">
        <v>4</v>
      </c>
      <c r="M2223">
        <v>1.25</v>
      </c>
      <c r="O2223">
        <v>0.112</v>
      </c>
      <c r="Q2223">
        <v>0.54</v>
      </c>
      <c r="R2223">
        <v>0.52</v>
      </c>
      <c r="S2223">
        <v>5.29</v>
      </c>
    </row>
    <row r="2224" spans="1:19" x14ac:dyDescent="0.2">
      <c r="A2224" t="s">
        <v>4046</v>
      </c>
      <c r="B2224" t="s">
        <v>4049</v>
      </c>
      <c r="C2224">
        <v>2014</v>
      </c>
      <c r="D2224">
        <v>1</v>
      </c>
      <c r="E2224" t="s">
        <v>55</v>
      </c>
      <c r="F2224" t="s">
        <v>128</v>
      </c>
      <c r="G2224" t="s">
        <v>63</v>
      </c>
      <c r="H2224">
        <v>5</v>
      </c>
      <c r="I2224">
        <v>13.342995999999999</v>
      </c>
      <c r="J2224">
        <v>172</v>
      </c>
      <c r="K2224">
        <v>4</v>
      </c>
      <c r="M2224">
        <v>1.4</v>
      </c>
      <c r="O2224">
        <v>0.125</v>
      </c>
      <c r="Q2224">
        <v>0.54</v>
      </c>
      <c r="R2224">
        <v>0.52</v>
      </c>
      <c r="S2224">
        <v>5.29</v>
      </c>
    </row>
    <row r="2225" spans="1:19" x14ac:dyDescent="0.2">
      <c r="A2225" t="s">
        <v>4046</v>
      </c>
      <c r="B2225" t="s">
        <v>4050</v>
      </c>
      <c r="C2225">
        <v>2014</v>
      </c>
      <c r="D2225">
        <v>1</v>
      </c>
      <c r="E2225" t="s">
        <v>55</v>
      </c>
      <c r="F2225" t="s">
        <v>128</v>
      </c>
      <c r="G2225" t="s">
        <v>63</v>
      </c>
      <c r="H2225">
        <v>5</v>
      </c>
      <c r="I2225">
        <v>22.407703999999999</v>
      </c>
      <c r="J2225">
        <v>172</v>
      </c>
      <c r="K2225">
        <v>4</v>
      </c>
      <c r="M2225">
        <v>1.27</v>
      </c>
      <c r="O2225">
        <v>0.113</v>
      </c>
      <c r="Q2225">
        <v>0.54</v>
      </c>
      <c r="R2225">
        <v>0.52</v>
      </c>
      <c r="S2225">
        <v>5.29</v>
      </c>
    </row>
    <row r="2226" spans="1:19" x14ac:dyDescent="0.2">
      <c r="A2226" t="s">
        <v>4046</v>
      </c>
      <c r="B2226" t="s">
        <v>4051</v>
      </c>
      <c r="C2226">
        <v>2014</v>
      </c>
      <c r="D2226">
        <v>1</v>
      </c>
      <c r="E2226" t="s">
        <v>55</v>
      </c>
      <c r="F2226" t="s">
        <v>128</v>
      </c>
      <c r="G2226" t="s">
        <v>63</v>
      </c>
      <c r="H2226">
        <v>5</v>
      </c>
      <c r="I2226">
        <v>129.94409999999999</v>
      </c>
      <c r="J2226">
        <v>172</v>
      </c>
      <c r="K2226">
        <v>4</v>
      </c>
      <c r="M2226">
        <v>1.17</v>
      </c>
      <c r="O2226">
        <v>0.104</v>
      </c>
      <c r="Q2226">
        <v>0.54</v>
      </c>
      <c r="R2226">
        <v>0.52</v>
      </c>
      <c r="S2226">
        <v>5.29</v>
      </c>
    </row>
    <row r="2227" spans="1:19" x14ac:dyDescent="0.2">
      <c r="A2227" t="s">
        <v>4052</v>
      </c>
      <c r="B2227" t="s">
        <v>4053</v>
      </c>
      <c r="C2227">
        <v>2014</v>
      </c>
      <c r="D2227">
        <v>1</v>
      </c>
      <c r="E2227" t="s">
        <v>55</v>
      </c>
      <c r="F2227" t="s">
        <v>128</v>
      </c>
      <c r="G2227" t="s">
        <v>63</v>
      </c>
      <c r="H2227">
        <v>2</v>
      </c>
      <c r="I2227">
        <v>4.9388639999999997</v>
      </c>
      <c r="J2227">
        <v>867</v>
      </c>
      <c r="M2227">
        <v>1.41</v>
      </c>
      <c r="O2227">
        <v>0.126</v>
      </c>
      <c r="R2227">
        <v>1.29</v>
      </c>
    </row>
    <row r="2228" spans="1:19" x14ac:dyDescent="0.2">
      <c r="A2228" t="s">
        <v>4052</v>
      </c>
      <c r="B2228" t="s">
        <v>4054</v>
      </c>
      <c r="C2228">
        <v>2014</v>
      </c>
      <c r="D2228">
        <v>1</v>
      </c>
      <c r="E2228" t="s">
        <v>55</v>
      </c>
      <c r="F2228" t="s">
        <v>128</v>
      </c>
      <c r="G2228" t="s">
        <v>63</v>
      </c>
      <c r="H2228">
        <v>2</v>
      </c>
      <c r="I2228">
        <v>10.640262999999999</v>
      </c>
      <c r="J2228">
        <v>867</v>
      </c>
      <c r="M2228">
        <v>2.67</v>
      </c>
      <c r="O2228">
        <v>0.23799999999999999</v>
      </c>
      <c r="R2228">
        <v>1.29</v>
      </c>
    </row>
    <row r="2229" spans="1:19" x14ac:dyDescent="0.2">
      <c r="A2229" t="s">
        <v>4055</v>
      </c>
      <c r="B2229" t="s">
        <v>4056</v>
      </c>
      <c r="C2229">
        <v>2014</v>
      </c>
      <c r="D2229">
        <v>1</v>
      </c>
      <c r="E2229" t="s">
        <v>55</v>
      </c>
      <c r="F2229" t="s">
        <v>128</v>
      </c>
      <c r="G2229" t="s">
        <v>63</v>
      </c>
      <c r="H2229">
        <v>2</v>
      </c>
      <c r="I2229">
        <v>2.0618970000000001</v>
      </c>
      <c r="J2229">
        <v>896</v>
      </c>
      <c r="M2229">
        <v>1.68</v>
      </c>
      <c r="O2229">
        <v>0.15</v>
      </c>
      <c r="R2229">
        <v>1.1399999999999999</v>
      </c>
    </row>
    <row r="2230" spans="1:19" x14ac:dyDescent="0.2">
      <c r="A2230" t="s">
        <v>4055</v>
      </c>
      <c r="B2230" t="s">
        <v>4057</v>
      </c>
      <c r="C2230">
        <v>2014</v>
      </c>
      <c r="D2230">
        <v>1</v>
      </c>
      <c r="E2230" t="s">
        <v>55</v>
      </c>
      <c r="F2230" t="s">
        <v>128</v>
      </c>
      <c r="G2230" t="s">
        <v>63</v>
      </c>
      <c r="H2230">
        <v>2</v>
      </c>
      <c r="I2230">
        <v>5.9965529999999996</v>
      </c>
      <c r="J2230">
        <v>896</v>
      </c>
      <c r="M2230">
        <v>3.19</v>
      </c>
      <c r="O2230">
        <v>0.28499999999999998</v>
      </c>
      <c r="R2230">
        <v>1.1399999999999999</v>
      </c>
    </row>
    <row r="2231" spans="1:19" x14ac:dyDescent="0.2">
      <c r="A2231" t="s">
        <v>4058</v>
      </c>
      <c r="B2231" t="s">
        <v>4059</v>
      </c>
      <c r="C2231">
        <v>2014</v>
      </c>
      <c r="D2231">
        <v>1</v>
      </c>
      <c r="E2231" t="s">
        <v>55</v>
      </c>
      <c r="F2231" t="s">
        <v>128</v>
      </c>
      <c r="G2231" t="s">
        <v>63</v>
      </c>
      <c r="H2231">
        <v>2</v>
      </c>
      <c r="I2231">
        <v>10.399931</v>
      </c>
      <c r="J2231">
        <v>618</v>
      </c>
      <c r="M2231">
        <v>1.21</v>
      </c>
      <c r="O2231">
        <v>0.108</v>
      </c>
      <c r="R2231">
        <v>0.75</v>
      </c>
    </row>
    <row r="2232" spans="1:19" x14ac:dyDescent="0.2">
      <c r="A2232" t="s">
        <v>4058</v>
      </c>
      <c r="B2232" t="s">
        <v>4060</v>
      </c>
      <c r="C2232">
        <v>2014</v>
      </c>
      <c r="D2232">
        <v>1</v>
      </c>
      <c r="E2232" t="s">
        <v>55</v>
      </c>
      <c r="F2232" t="s">
        <v>128</v>
      </c>
      <c r="G2232" t="s">
        <v>63</v>
      </c>
      <c r="H2232">
        <v>2</v>
      </c>
      <c r="I2232">
        <v>20.134865999999999</v>
      </c>
      <c r="J2232">
        <v>618</v>
      </c>
      <c r="M2232">
        <v>2.38</v>
      </c>
      <c r="O2232">
        <v>0.21199999999999999</v>
      </c>
      <c r="R2232">
        <v>0.75</v>
      </c>
    </row>
    <row r="2233" spans="1:19" x14ac:dyDescent="0.2">
      <c r="A2233" t="s">
        <v>4061</v>
      </c>
      <c r="B2233" t="s">
        <v>4062</v>
      </c>
      <c r="C2233">
        <v>2011</v>
      </c>
      <c r="D2233">
        <v>1</v>
      </c>
      <c r="E2233" t="s">
        <v>55</v>
      </c>
      <c r="F2233" t="s">
        <v>128</v>
      </c>
      <c r="G2233" t="s">
        <v>63</v>
      </c>
      <c r="H2233">
        <v>3</v>
      </c>
      <c r="I2233">
        <v>9.2871600000000001</v>
      </c>
      <c r="J2233">
        <v>2119</v>
      </c>
      <c r="K2233">
        <v>1.9</v>
      </c>
      <c r="L2233">
        <v>8.4</v>
      </c>
      <c r="N2233">
        <v>2.6429999999999999E-2</v>
      </c>
      <c r="Q2233">
        <v>0.94</v>
      </c>
      <c r="R2233">
        <v>0.86</v>
      </c>
    </row>
    <row r="2234" spans="1:19" x14ac:dyDescent="0.2">
      <c r="A2234" t="s">
        <v>4061</v>
      </c>
      <c r="B2234" t="s">
        <v>4063</v>
      </c>
      <c r="C2234">
        <v>2011</v>
      </c>
      <c r="D2234">
        <v>1</v>
      </c>
      <c r="E2234" t="s">
        <v>55</v>
      </c>
      <c r="F2234" t="s">
        <v>2343</v>
      </c>
      <c r="G2234" t="s">
        <v>63</v>
      </c>
      <c r="H2234">
        <v>3</v>
      </c>
      <c r="I2234">
        <v>28.731000000000002</v>
      </c>
      <c r="J2234">
        <v>2119</v>
      </c>
      <c r="K2234">
        <v>1.9</v>
      </c>
      <c r="L2234">
        <v>13.1</v>
      </c>
      <c r="N2234">
        <v>4.122E-2</v>
      </c>
      <c r="Q2234">
        <v>0.94</v>
      </c>
      <c r="R2234">
        <v>0.86</v>
      </c>
    </row>
    <row r="2235" spans="1:19" x14ac:dyDescent="0.2">
      <c r="A2235" t="s">
        <v>4061</v>
      </c>
      <c r="B2235" t="s">
        <v>4064</v>
      </c>
      <c r="C2235">
        <v>2017</v>
      </c>
      <c r="D2235">
        <v>1</v>
      </c>
      <c r="E2235" t="s">
        <v>21</v>
      </c>
      <c r="F2235" t="s">
        <v>22</v>
      </c>
      <c r="G2235" t="s">
        <v>118</v>
      </c>
      <c r="H2235">
        <v>3</v>
      </c>
      <c r="I2235">
        <v>62.95</v>
      </c>
      <c r="J2235">
        <v>2119</v>
      </c>
      <c r="K2235">
        <v>1.9</v>
      </c>
      <c r="L2235">
        <v>22.5</v>
      </c>
      <c r="N2235">
        <v>7.0790000000000006E-2</v>
      </c>
      <c r="Q2235">
        <v>0.94</v>
      </c>
      <c r="R2235">
        <v>0.86</v>
      </c>
    </row>
    <row r="2236" spans="1:19" x14ac:dyDescent="0.2">
      <c r="A2236" t="s">
        <v>4065</v>
      </c>
      <c r="B2236" t="s">
        <v>4066</v>
      </c>
      <c r="C2236">
        <v>2014</v>
      </c>
      <c r="D2236">
        <v>1</v>
      </c>
      <c r="E2236" t="s">
        <v>55</v>
      </c>
      <c r="F2236" t="s">
        <v>128</v>
      </c>
      <c r="G2236" t="s">
        <v>63</v>
      </c>
      <c r="H2236">
        <v>2</v>
      </c>
      <c r="I2236">
        <v>2.0199989999999999</v>
      </c>
      <c r="J2236">
        <v>455</v>
      </c>
      <c r="M2236">
        <v>1.56</v>
      </c>
      <c r="O2236">
        <v>0.13900000000000001</v>
      </c>
      <c r="R2236">
        <v>0.8</v>
      </c>
    </row>
    <row r="2237" spans="1:19" x14ac:dyDescent="0.2">
      <c r="A2237" t="s">
        <v>4065</v>
      </c>
      <c r="B2237" t="s">
        <v>4067</v>
      </c>
      <c r="C2237">
        <v>2014</v>
      </c>
      <c r="D2237">
        <v>1</v>
      </c>
      <c r="E2237" t="s">
        <v>55</v>
      </c>
      <c r="F2237" t="s">
        <v>128</v>
      </c>
      <c r="G2237" t="s">
        <v>63</v>
      </c>
      <c r="H2237">
        <v>2</v>
      </c>
      <c r="I2237">
        <v>3.7630240000000001</v>
      </c>
      <c r="J2237">
        <v>455</v>
      </c>
      <c r="M2237">
        <v>1.46</v>
      </c>
      <c r="O2237">
        <v>0.13</v>
      </c>
      <c r="R2237">
        <v>0.8</v>
      </c>
    </row>
    <row r="2238" spans="1:19" x14ac:dyDescent="0.2">
      <c r="A2238" t="s">
        <v>4068</v>
      </c>
      <c r="B2238" t="s">
        <v>4069</v>
      </c>
      <c r="C2238">
        <v>2014</v>
      </c>
      <c r="D2238">
        <v>1</v>
      </c>
      <c r="E2238" t="s">
        <v>55</v>
      </c>
      <c r="F2238" t="s">
        <v>128</v>
      </c>
      <c r="G2238" t="s">
        <v>63</v>
      </c>
      <c r="H2238">
        <v>3</v>
      </c>
      <c r="I2238">
        <v>9.9396319999999996</v>
      </c>
      <c r="J2238">
        <v>626</v>
      </c>
      <c r="M2238">
        <v>1.34</v>
      </c>
      <c r="O2238">
        <v>0.12</v>
      </c>
      <c r="R2238">
        <v>0.79</v>
      </c>
    </row>
    <row r="2239" spans="1:19" x14ac:dyDescent="0.2">
      <c r="A2239" t="s">
        <v>4068</v>
      </c>
      <c r="B2239" t="s">
        <v>4070</v>
      </c>
      <c r="C2239">
        <v>2014</v>
      </c>
      <c r="D2239">
        <v>1</v>
      </c>
      <c r="E2239" t="s">
        <v>55</v>
      </c>
      <c r="F2239" t="s">
        <v>128</v>
      </c>
      <c r="G2239" t="s">
        <v>63</v>
      </c>
      <c r="H2239">
        <v>3</v>
      </c>
      <c r="I2239">
        <v>17.738506000000001</v>
      </c>
      <c r="J2239">
        <v>626</v>
      </c>
      <c r="M2239">
        <v>1.86</v>
      </c>
      <c r="O2239">
        <v>0.16600000000000001</v>
      </c>
      <c r="R2239">
        <v>0.79</v>
      </c>
    </row>
    <row r="2240" spans="1:19" x14ac:dyDescent="0.2">
      <c r="A2240" t="s">
        <v>4068</v>
      </c>
      <c r="B2240" t="s">
        <v>4071</v>
      </c>
      <c r="C2240">
        <v>2016</v>
      </c>
      <c r="D2240">
        <v>1</v>
      </c>
      <c r="E2240" t="s">
        <v>55</v>
      </c>
      <c r="F2240" t="s">
        <v>128</v>
      </c>
      <c r="G2240" t="s">
        <v>63</v>
      </c>
      <c r="H2240">
        <v>3</v>
      </c>
      <c r="I2240">
        <v>5.9450410199999997</v>
      </c>
      <c r="J2240">
        <v>626</v>
      </c>
      <c r="M2240">
        <v>2.2799999999999998</v>
      </c>
      <c r="O2240">
        <v>0.20300000000000001</v>
      </c>
      <c r="R2240">
        <v>0.79</v>
      </c>
    </row>
    <row r="2241" spans="1:18" x14ac:dyDescent="0.2">
      <c r="A2241" t="s">
        <v>4072</v>
      </c>
      <c r="B2241" t="s">
        <v>4073</v>
      </c>
      <c r="C2241">
        <v>2014</v>
      </c>
      <c r="D2241">
        <v>1</v>
      </c>
      <c r="E2241" t="s">
        <v>55</v>
      </c>
      <c r="F2241" t="s">
        <v>128</v>
      </c>
      <c r="G2241" t="s">
        <v>63</v>
      </c>
      <c r="H2241">
        <v>3</v>
      </c>
      <c r="I2241">
        <v>9.9267459999999996</v>
      </c>
      <c r="J2241">
        <v>616</v>
      </c>
      <c r="M2241">
        <v>2.74</v>
      </c>
      <c r="O2241">
        <v>0.24399999999999999</v>
      </c>
      <c r="R2241">
        <v>1.01</v>
      </c>
    </row>
    <row r="2242" spans="1:18" x14ac:dyDescent="0.2">
      <c r="A2242" t="s">
        <v>4072</v>
      </c>
      <c r="B2242" t="s">
        <v>4074</v>
      </c>
      <c r="C2242">
        <v>2014</v>
      </c>
      <c r="D2242">
        <v>1</v>
      </c>
      <c r="E2242" t="s">
        <v>55</v>
      </c>
      <c r="F2242" t="s">
        <v>128</v>
      </c>
      <c r="G2242" t="s">
        <v>63</v>
      </c>
      <c r="H2242">
        <v>3</v>
      </c>
      <c r="I2242">
        <v>21.223400000000002</v>
      </c>
      <c r="J2242">
        <v>616</v>
      </c>
      <c r="M2242">
        <v>2.79</v>
      </c>
      <c r="O2242">
        <v>0.249</v>
      </c>
      <c r="R2242">
        <v>1.01</v>
      </c>
    </row>
    <row r="2243" spans="1:18" x14ac:dyDescent="0.2">
      <c r="A2243" t="s">
        <v>4072</v>
      </c>
      <c r="B2243" t="s">
        <v>4075</v>
      </c>
      <c r="C2243">
        <v>2016</v>
      </c>
      <c r="D2243">
        <v>1</v>
      </c>
      <c r="E2243" t="s">
        <v>55</v>
      </c>
      <c r="F2243" t="s">
        <v>128</v>
      </c>
      <c r="G2243" t="s">
        <v>63</v>
      </c>
      <c r="H2243">
        <v>3</v>
      </c>
      <c r="I2243">
        <v>6.4702757899999996</v>
      </c>
      <c r="J2243">
        <v>616</v>
      </c>
      <c r="M2243">
        <v>1.02</v>
      </c>
      <c r="O2243">
        <v>9.0999999999999998E-2</v>
      </c>
      <c r="R2243">
        <v>1.01</v>
      </c>
    </row>
    <row r="2244" spans="1:18" x14ac:dyDescent="0.2">
      <c r="A2244" t="s">
        <v>4076</v>
      </c>
      <c r="B2244" t="s">
        <v>4077</v>
      </c>
      <c r="C2244">
        <v>2014</v>
      </c>
      <c r="D2244">
        <v>1</v>
      </c>
      <c r="E2244" t="s">
        <v>55</v>
      </c>
      <c r="F2244" t="s">
        <v>128</v>
      </c>
      <c r="G2244" t="s">
        <v>63</v>
      </c>
      <c r="H2244">
        <v>2</v>
      </c>
      <c r="I2244">
        <v>11.388479999999999</v>
      </c>
      <c r="J2244">
        <v>1196</v>
      </c>
      <c r="M2244">
        <v>2.39</v>
      </c>
      <c r="O2244">
        <v>0.21299999999999999</v>
      </c>
      <c r="R2244">
        <v>1.1499999999999999</v>
      </c>
    </row>
    <row r="2245" spans="1:18" x14ac:dyDescent="0.2">
      <c r="A2245" t="s">
        <v>4076</v>
      </c>
      <c r="B2245" t="s">
        <v>4078</v>
      </c>
      <c r="C2245">
        <v>2014</v>
      </c>
      <c r="D2245">
        <v>1</v>
      </c>
      <c r="E2245" t="s">
        <v>55</v>
      </c>
      <c r="F2245" t="s">
        <v>128</v>
      </c>
      <c r="G2245" t="s">
        <v>63</v>
      </c>
      <c r="H2245">
        <v>2</v>
      </c>
      <c r="I2245">
        <v>50.697493999999999</v>
      </c>
      <c r="J2245">
        <v>1196</v>
      </c>
      <c r="M2245">
        <v>2.75</v>
      </c>
      <c r="O2245">
        <v>0.245</v>
      </c>
      <c r="R2245">
        <v>1.1499999999999999</v>
      </c>
    </row>
    <row r="2246" spans="1:18" x14ac:dyDescent="0.2">
      <c r="A2246" t="s">
        <v>4079</v>
      </c>
      <c r="B2246" t="s">
        <v>4080</v>
      </c>
      <c r="C2246">
        <v>2014</v>
      </c>
      <c r="D2246">
        <v>1</v>
      </c>
      <c r="E2246" t="s">
        <v>55</v>
      </c>
      <c r="F2246" t="s">
        <v>128</v>
      </c>
      <c r="G2246" t="s">
        <v>63</v>
      </c>
      <c r="H2246">
        <v>3</v>
      </c>
      <c r="I2246">
        <v>2.0922809999999998</v>
      </c>
      <c r="J2246">
        <v>1218</v>
      </c>
      <c r="M2246">
        <v>1.51</v>
      </c>
      <c r="O2246">
        <v>0.13500000000000001</v>
      </c>
      <c r="R2246">
        <v>1.02</v>
      </c>
    </row>
    <row r="2247" spans="1:18" x14ac:dyDescent="0.2">
      <c r="A2247" t="s">
        <v>4079</v>
      </c>
      <c r="B2247" t="s">
        <v>4081</v>
      </c>
      <c r="C2247">
        <v>2014</v>
      </c>
      <c r="D2247">
        <v>1</v>
      </c>
      <c r="E2247" t="s">
        <v>55</v>
      </c>
      <c r="F2247" t="s">
        <v>128</v>
      </c>
      <c r="G2247" t="s">
        <v>63</v>
      </c>
      <c r="H2247">
        <v>3</v>
      </c>
      <c r="I2247">
        <v>17.308032000000001</v>
      </c>
      <c r="J2247">
        <v>1218</v>
      </c>
      <c r="M2247">
        <v>2.59</v>
      </c>
      <c r="O2247">
        <v>0.23100000000000001</v>
      </c>
      <c r="R2247">
        <v>1.02</v>
      </c>
    </row>
    <row r="2248" spans="1:18" x14ac:dyDescent="0.2">
      <c r="A2248" t="s">
        <v>4079</v>
      </c>
      <c r="B2248" t="s">
        <v>4082</v>
      </c>
      <c r="C2248">
        <v>2014</v>
      </c>
      <c r="D2248">
        <v>1</v>
      </c>
      <c r="E2248" t="s">
        <v>55</v>
      </c>
      <c r="F2248" t="s">
        <v>128</v>
      </c>
      <c r="G2248" t="s">
        <v>63</v>
      </c>
      <c r="H2248">
        <v>3</v>
      </c>
      <c r="I2248">
        <v>52.814973000000002</v>
      </c>
      <c r="J2248">
        <v>1218</v>
      </c>
      <c r="M2248">
        <v>2.4</v>
      </c>
      <c r="O2248">
        <v>0.214</v>
      </c>
      <c r="R2248">
        <v>1.02</v>
      </c>
    </row>
    <row r="2249" spans="1:18" x14ac:dyDescent="0.2">
      <c r="A2249" t="s">
        <v>4083</v>
      </c>
      <c r="B2249" t="s">
        <v>4084</v>
      </c>
      <c r="C2249">
        <v>2014</v>
      </c>
      <c r="D2249">
        <v>1</v>
      </c>
      <c r="E2249" t="s">
        <v>55</v>
      </c>
      <c r="F2249" t="s">
        <v>128</v>
      </c>
      <c r="G2249" t="s">
        <v>63</v>
      </c>
      <c r="H2249">
        <v>2</v>
      </c>
      <c r="I2249">
        <v>8.3078719999999997</v>
      </c>
      <c r="J2249">
        <v>649</v>
      </c>
      <c r="M2249">
        <v>2.0299999999999998</v>
      </c>
      <c r="O2249">
        <v>0.18099999999999999</v>
      </c>
      <c r="R2249">
        <v>0.78</v>
      </c>
    </row>
    <row r="2250" spans="1:18" x14ac:dyDescent="0.2">
      <c r="A2250" t="s">
        <v>4083</v>
      </c>
      <c r="B2250" t="s">
        <v>4085</v>
      </c>
      <c r="C2250">
        <v>2014</v>
      </c>
      <c r="D2250">
        <v>1</v>
      </c>
      <c r="E2250" t="s">
        <v>55</v>
      </c>
      <c r="F2250" t="s">
        <v>128</v>
      </c>
      <c r="G2250" t="s">
        <v>63</v>
      </c>
      <c r="H2250">
        <v>2</v>
      </c>
      <c r="I2250">
        <v>34.096862999999999</v>
      </c>
      <c r="J2250">
        <v>649</v>
      </c>
      <c r="M2250">
        <v>1.55</v>
      </c>
      <c r="O2250">
        <v>0.13800000000000001</v>
      </c>
      <c r="R2250">
        <v>0.78</v>
      </c>
    </row>
    <row r="2251" spans="1:18" x14ac:dyDescent="0.2">
      <c r="A2251" t="s">
        <v>4086</v>
      </c>
      <c r="B2251" t="s">
        <v>4087</v>
      </c>
      <c r="C2251">
        <v>2014</v>
      </c>
      <c r="D2251">
        <v>1</v>
      </c>
      <c r="E2251" t="s">
        <v>55</v>
      </c>
      <c r="F2251" t="s">
        <v>128</v>
      </c>
      <c r="G2251" t="s">
        <v>63</v>
      </c>
      <c r="H2251">
        <v>2</v>
      </c>
      <c r="I2251">
        <v>20.739885999999998</v>
      </c>
      <c r="J2251">
        <v>452</v>
      </c>
      <c r="M2251">
        <v>1.9</v>
      </c>
      <c r="O2251">
        <v>0.17</v>
      </c>
      <c r="R2251">
        <v>0.78</v>
      </c>
    </row>
    <row r="2252" spans="1:18" x14ac:dyDescent="0.2">
      <c r="A2252" t="s">
        <v>4086</v>
      </c>
      <c r="B2252" t="s">
        <v>4088</v>
      </c>
      <c r="C2252">
        <v>2014</v>
      </c>
      <c r="D2252">
        <v>1</v>
      </c>
      <c r="E2252" t="s">
        <v>55</v>
      </c>
      <c r="F2252" t="s">
        <v>128</v>
      </c>
      <c r="G2252" t="s">
        <v>63</v>
      </c>
      <c r="H2252">
        <v>2</v>
      </c>
      <c r="I2252">
        <v>47.427737</v>
      </c>
      <c r="J2252">
        <v>452</v>
      </c>
      <c r="M2252">
        <v>2.2400000000000002</v>
      </c>
      <c r="O2252">
        <v>0.2</v>
      </c>
      <c r="R2252">
        <v>0.78</v>
      </c>
    </row>
    <row r="2253" spans="1:18" x14ac:dyDescent="0.2">
      <c r="A2253" t="s">
        <v>4089</v>
      </c>
      <c r="B2253" t="s">
        <v>4090</v>
      </c>
      <c r="C2253">
        <v>2014</v>
      </c>
      <c r="D2253">
        <v>1</v>
      </c>
      <c r="E2253" t="s">
        <v>55</v>
      </c>
      <c r="F2253" t="s">
        <v>128</v>
      </c>
      <c r="G2253" t="s">
        <v>63</v>
      </c>
      <c r="H2253">
        <v>4</v>
      </c>
      <c r="I2253">
        <v>5.5993079999999997</v>
      </c>
      <c r="J2253">
        <v>341</v>
      </c>
      <c r="M2253">
        <v>1.02</v>
      </c>
      <c r="O2253">
        <v>9.0999999999999998E-2</v>
      </c>
      <c r="R2253">
        <v>1.1200000000000001</v>
      </c>
    </row>
    <row r="2254" spans="1:18" x14ac:dyDescent="0.2">
      <c r="A2254" t="s">
        <v>4089</v>
      </c>
      <c r="B2254" t="s">
        <v>4091</v>
      </c>
      <c r="C2254">
        <v>2014</v>
      </c>
      <c r="D2254">
        <v>1</v>
      </c>
      <c r="E2254" t="s">
        <v>55</v>
      </c>
      <c r="F2254" t="s">
        <v>128</v>
      </c>
      <c r="G2254" t="s">
        <v>63</v>
      </c>
      <c r="H2254">
        <v>4</v>
      </c>
      <c r="I2254">
        <v>10.349695000000001</v>
      </c>
      <c r="J2254">
        <v>341</v>
      </c>
      <c r="M2254">
        <v>1.23</v>
      </c>
      <c r="O2254">
        <v>0.11</v>
      </c>
      <c r="R2254">
        <v>1.1200000000000001</v>
      </c>
    </row>
    <row r="2255" spans="1:18" x14ac:dyDescent="0.2">
      <c r="A2255" t="s">
        <v>4089</v>
      </c>
      <c r="B2255" t="s">
        <v>4092</v>
      </c>
      <c r="C2255">
        <v>2014</v>
      </c>
      <c r="D2255">
        <v>1</v>
      </c>
      <c r="E2255" t="s">
        <v>55</v>
      </c>
      <c r="F2255" t="s">
        <v>128</v>
      </c>
      <c r="G2255" t="s">
        <v>63</v>
      </c>
      <c r="H2255">
        <v>4</v>
      </c>
      <c r="I2255">
        <v>15.677562999999999</v>
      </c>
      <c r="J2255">
        <v>341</v>
      </c>
      <c r="M2255">
        <v>1.22</v>
      </c>
      <c r="O2255">
        <v>0.109</v>
      </c>
      <c r="R2255">
        <v>1.1200000000000001</v>
      </c>
    </row>
    <row r="2256" spans="1:18" x14ac:dyDescent="0.2">
      <c r="A2256" t="s">
        <v>4089</v>
      </c>
      <c r="B2256" t="s">
        <v>4093</v>
      </c>
      <c r="C2256">
        <v>2014</v>
      </c>
      <c r="D2256">
        <v>1</v>
      </c>
      <c r="E2256" t="s">
        <v>55</v>
      </c>
      <c r="F2256" t="s">
        <v>128</v>
      </c>
      <c r="G2256" t="s">
        <v>63</v>
      </c>
      <c r="H2256">
        <v>4</v>
      </c>
      <c r="I2256">
        <v>25.209714999999999</v>
      </c>
      <c r="J2256">
        <v>341</v>
      </c>
      <c r="M2256">
        <v>0.91</v>
      </c>
      <c r="O2256">
        <v>8.1000000000000003E-2</v>
      </c>
      <c r="R2256">
        <v>1.1200000000000001</v>
      </c>
    </row>
    <row r="2257" spans="1:18" x14ac:dyDescent="0.2">
      <c r="A2257" t="s">
        <v>4094</v>
      </c>
      <c r="B2257" t="s">
        <v>4095</v>
      </c>
      <c r="C2257">
        <v>2014</v>
      </c>
      <c r="D2257">
        <v>1</v>
      </c>
      <c r="E2257" t="s">
        <v>55</v>
      </c>
      <c r="F2257" t="s">
        <v>128</v>
      </c>
      <c r="G2257" t="s">
        <v>63</v>
      </c>
      <c r="H2257">
        <v>3</v>
      </c>
      <c r="I2257">
        <v>17.790037000000002</v>
      </c>
      <c r="J2257">
        <v>512</v>
      </c>
      <c r="M2257">
        <v>2.82</v>
      </c>
      <c r="O2257">
        <v>0.252</v>
      </c>
      <c r="R2257">
        <v>0.94</v>
      </c>
    </row>
    <row r="2258" spans="1:18" x14ac:dyDescent="0.2">
      <c r="A2258" t="s">
        <v>4094</v>
      </c>
      <c r="B2258" t="s">
        <v>4096</v>
      </c>
      <c r="C2258">
        <v>2014</v>
      </c>
      <c r="D2258">
        <v>1</v>
      </c>
      <c r="E2258" t="s">
        <v>55</v>
      </c>
      <c r="F2258" t="s">
        <v>128</v>
      </c>
      <c r="G2258" t="s">
        <v>63</v>
      </c>
      <c r="H2258">
        <v>3</v>
      </c>
      <c r="I2258">
        <v>49.567416000000001</v>
      </c>
      <c r="J2258">
        <v>512</v>
      </c>
      <c r="M2258">
        <v>2.4700000000000002</v>
      </c>
      <c r="O2258">
        <v>0.22</v>
      </c>
      <c r="R2258">
        <v>0.94</v>
      </c>
    </row>
    <row r="2259" spans="1:18" x14ac:dyDescent="0.2">
      <c r="A2259" t="s">
        <v>4094</v>
      </c>
      <c r="B2259" t="s">
        <v>4097</v>
      </c>
      <c r="C2259">
        <v>2016</v>
      </c>
      <c r="D2259">
        <v>1</v>
      </c>
      <c r="E2259" t="s">
        <v>55</v>
      </c>
      <c r="F2259" t="s">
        <v>128</v>
      </c>
      <c r="G2259" t="s">
        <v>63</v>
      </c>
      <c r="H2259">
        <v>3</v>
      </c>
      <c r="I2259">
        <v>1.3118444300000001</v>
      </c>
      <c r="J2259">
        <v>512</v>
      </c>
      <c r="M2259">
        <v>1.53</v>
      </c>
      <c r="O2259">
        <v>0.13600000000000001</v>
      </c>
      <c r="R2259">
        <v>0.94</v>
      </c>
    </row>
    <row r="2260" spans="1:18" x14ac:dyDescent="0.2">
      <c r="A2260" t="s">
        <v>4098</v>
      </c>
      <c r="B2260" t="s">
        <v>4099</v>
      </c>
      <c r="C2260">
        <v>2014</v>
      </c>
      <c r="D2260">
        <v>1</v>
      </c>
      <c r="E2260" t="s">
        <v>55</v>
      </c>
      <c r="F2260" t="s">
        <v>128</v>
      </c>
      <c r="G2260" t="s">
        <v>63</v>
      </c>
      <c r="H2260">
        <v>2</v>
      </c>
      <c r="I2260">
        <v>23.637604</v>
      </c>
      <c r="J2260">
        <v>493</v>
      </c>
      <c r="M2260">
        <v>3.11</v>
      </c>
      <c r="O2260">
        <v>0.27700000000000002</v>
      </c>
      <c r="R2260">
        <v>0.97</v>
      </c>
    </row>
    <row r="2261" spans="1:18" x14ac:dyDescent="0.2">
      <c r="A2261" t="s">
        <v>4098</v>
      </c>
      <c r="B2261" t="s">
        <v>4100</v>
      </c>
      <c r="C2261">
        <v>2014</v>
      </c>
      <c r="D2261">
        <v>1</v>
      </c>
      <c r="E2261" t="s">
        <v>55</v>
      </c>
      <c r="F2261" t="s">
        <v>128</v>
      </c>
      <c r="G2261" t="s">
        <v>63</v>
      </c>
      <c r="H2261">
        <v>2</v>
      </c>
      <c r="I2261">
        <v>67.093407999999997</v>
      </c>
      <c r="J2261">
        <v>493</v>
      </c>
      <c r="M2261">
        <v>3.25</v>
      </c>
      <c r="O2261">
        <v>0.28999999999999998</v>
      </c>
      <c r="R2261">
        <v>0.97</v>
      </c>
    </row>
    <row r="2262" spans="1:18" x14ac:dyDescent="0.2">
      <c r="A2262" t="s">
        <v>4101</v>
      </c>
      <c r="B2262" t="s">
        <v>4102</v>
      </c>
      <c r="C2262">
        <v>2011</v>
      </c>
      <c r="D2262">
        <v>1</v>
      </c>
      <c r="E2262" t="s">
        <v>55</v>
      </c>
      <c r="F2262" t="s">
        <v>128</v>
      </c>
      <c r="G2262" t="s">
        <v>63</v>
      </c>
      <c r="H2262">
        <v>6</v>
      </c>
      <c r="I2262">
        <v>3.6961152500000001</v>
      </c>
      <c r="J2262">
        <v>290</v>
      </c>
      <c r="K2262">
        <v>7.6</v>
      </c>
      <c r="L2262">
        <v>9.6999999999999993</v>
      </c>
      <c r="M2262">
        <v>1.8680000000000001</v>
      </c>
      <c r="N2262">
        <v>3.0519999999999999E-2</v>
      </c>
      <c r="O2262">
        <v>0.16700000000000001</v>
      </c>
      <c r="P2262">
        <v>8.1999999999999993</v>
      </c>
      <c r="Q2262">
        <v>0.95</v>
      </c>
      <c r="R2262">
        <v>0.96</v>
      </c>
    </row>
    <row r="2263" spans="1:18" x14ac:dyDescent="0.2">
      <c r="A2263" t="s">
        <v>4101</v>
      </c>
      <c r="B2263" t="s">
        <v>4103</v>
      </c>
      <c r="C2263">
        <v>2011</v>
      </c>
      <c r="D2263">
        <v>1</v>
      </c>
      <c r="E2263" t="s">
        <v>55</v>
      </c>
      <c r="F2263" t="s">
        <v>128</v>
      </c>
      <c r="G2263" t="s">
        <v>63</v>
      </c>
      <c r="H2263">
        <v>6</v>
      </c>
      <c r="I2263">
        <v>10.85409089</v>
      </c>
      <c r="J2263">
        <v>290</v>
      </c>
      <c r="K2263">
        <v>7.6</v>
      </c>
      <c r="L2263">
        <v>12.75</v>
      </c>
      <c r="M2263">
        <v>3.0470000000000002</v>
      </c>
      <c r="N2263">
        <v>4.0120000000000003E-2</v>
      </c>
      <c r="O2263">
        <v>0.27200000000000002</v>
      </c>
      <c r="P2263">
        <v>2.5</v>
      </c>
      <c r="Q2263">
        <v>0.95</v>
      </c>
      <c r="R2263">
        <v>0.96</v>
      </c>
    </row>
    <row r="2264" spans="1:18" x14ac:dyDescent="0.2">
      <c r="A2264" t="s">
        <v>4101</v>
      </c>
      <c r="B2264" t="s">
        <v>4104</v>
      </c>
      <c r="C2264">
        <v>2011</v>
      </c>
      <c r="D2264">
        <v>1</v>
      </c>
      <c r="E2264" t="s">
        <v>55</v>
      </c>
      <c r="F2264" t="s">
        <v>128</v>
      </c>
      <c r="G2264" t="s">
        <v>63</v>
      </c>
      <c r="H2264">
        <v>6</v>
      </c>
      <c r="I2264">
        <v>77.611300170000007</v>
      </c>
      <c r="J2264">
        <v>290</v>
      </c>
      <c r="K2264">
        <v>7.6</v>
      </c>
      <c r="L2264">
        <v>10.07</v>
      </c>
      <c r="M2264">
        <v>2.7440000000000002</v>
      </c>
      <c r="N2264">
        <v>3.168E-2</v>
      </c>
      <c r="O2264">
        <v>0.245</v>
      </c>
      <c r="P2264">
        <v>2.7</v>
      </c>
      <c r="Q2264">
        <v>0.95</v>
      </c>
      <c r="R2264">
        <v>0.96</v>
      </c>
    </row>
    <row r="2265" spans="1:18" x14ac:dyDescent="0.2">
      <c r="A2265" t="s">
        <v>4101</v>
      </c>
      <c r="B2265" t="s">
        <v>4105</v>
      </c>
      <c r="C2265">
        <v>2011</v>
      </c>
      <c r="D2265">
        <v>1</v>
      </c>
      <c r="E2265" t="s">
        <v>55</v>
      </c>
      <c r="F2265" t="s">
        <v>128</v>
      </c>
      <c r="G2265" t="s">
        <v>63</v>
      </c>
      <c r="H2265">
        <v>6</v>
      </c>
      <c r="I2265">
        <v>6.0985228100000004</v>
      </c>
      <c r="J2265">
        <v>290</v>
      </c>
      <c r="K2265">
        <v>7.6</v>
      </c>
      <c r="M2265">
        <v>0.86499999999999999</v>
      </c>
      <c r="O2265">
        <v>7.6999999999999999E-2</v>
      </c>
      <c r="Q2265">
        <v>0.95</v>
      </c>
      <c r="R2265">
        <v>0.96</v>
      </c>
    </row>
    <row r="2266" spans="1:18" x14ac:dyDescent="0.2">
      <c r="A2266" t="s">
        <v>4101</v>
      </c>
      <c r="B2266" t="s">
        <v>4106</v>
      </c>
      <c r="C2266">
        <v>2011</v>
      </c>
      <c r="D2266">
        <v>1</v>
      </c>
      <c r="E2266" t="s">
        <v>55</v>
      </c>
      <c r="F2266" t="s">
        <v>128</v>
      </c>
      <c r="G2266" t="s">
        <v>63</v>
      </c>
      <c r="H2266">
        <v>6</v>
      </c>
      <c r="I2266">
        <v>19.577584779999999</v>
      </c>
      <c r="J2266">
        <v>290</v>
      </c>
      <c r="K2266">
        <v>7.6</v>
      </c>
      <c r="M2266">
        <v>1.0029999999999999</v>
      </c>
      <c r="O2266">
        <v>8.8999999999999996E-2</v>
      </c>
      <c r="Q2266">
        <v>0.95</v>
      </c>
      <c r="R2266">
        <v>0.96</v>
      </c>
    </row>
    <row r="2267" spans="1:18" x14ac:dyDescent="0.2">
      <c r="A2267" t="s">
        <v>4101</v>
      </c>
      <c r="B2267" t="s">
        <v>4107</v>
      </c>
      <c r="C2267">
        <v>2016</v>
      </c>
      <c r="D2267">
        <v>1</v>
      </c>
      <c r="E2267" t="s">
        <v>21</v>
      </c>
      <c r="F2267" t="s">
        <v>22</v>
      </c>
      <c r="G2267" t="s">
        <v>35</v>
      </c>
      <c r="H2267">
        <v>6</v>
      </c>
      <c r="I2267">
        <v>34.94</v>
      </c>
      <c r="J2267">
        <v>290</v>
      </c>
      <c r="K2267">
        <v>7.6</v>
      </c>
      <c r="N2267">
        <v>6.2799999999999995E-2</v>
      </c>
      <c r="Q2267">
        <v>0.95</v>
      </c>
      <c r="R2267">
        <v>0.96</v>
      </c>
    </row>
    <row r="2268" spans="1:18" x14ac:dyDescent="0.2">
      <c r="A2268" t="s">
        <v>4108</v>
      </c>
      <c r="B2268" t="s">
        <v>4109</v>
      </c>
      <c r="C2268">
        <v>2014</v>
      </c>
      <c r="D2268">
        <v>1</v>
      </c>
      <c r="E2268" t="s">
        <v>55</v>
      </c>
      <c r="F2268" t="s">
        <v>128</v>
      </c>
      <c r="G2268" t="s">
        <v>63</v>
      </c>
      <c r="H2268">
        <v>2</v>
      </c>
      <c r="I2268">
        <v>8.5948049999999991</v>
      </c>
      <c r="J2268">
        <v>658</v>
      </c>
      <c r="M2268">
        <v>2.13</v>
      </c>
      <c r="O2268">
        <v>0.19</v>
      </c>
      <c r="R2268">
        <v>0.94</v>
      </c>
    </row>
    <row r="2269" spans="1:18" x14ac:dyDescent="0.2">
      <c r="A2269" t="s">
        <v>4108</v>
      </c>
      <c r="B2269" t="s">
        <v>4110</v>
      </c>
      <c r="C2269">
        <v>2014</v>
      </c>
      <c r="D2269">
        <v>1</v>
      </c>
      <c r="E2269" t="s">
        <v>55</v>
      </c>
      <c r="F2269" t="s">
        <v>128</v>
      </c>
      <c r="G2269" t="s">
        <v>63</v>
      </c>
      <c r="H2269">
        <v>2</v>
      </c>
      <c r="I2269">
        <v>10.222156999999999</v>
      </c>
      <c r="J2269">
        <v>658</v>
      </c>
      <c r="M2269">
        <v>1.59</v>
      </c>
      <c r="O2269">
        <v>0.14199999999999999</v>
      </c>
      <c r="R2269">
        <v>0.94</v>
      </c>
    </row>
    <row r="2270" spans="1:18" x14ac:dyDescent="0.2">
      <c r="A2270" t="s">
        <v>4111</v>
      </c>
      <c r="B2270" t="s">
        <v>4112</v>
      </c>
      <c r="C2270">
        <v>2014</v>
      </c>
      <c r="D2270">
        <v>1</v>
      </c>
      <c r="E2270" t="s">
        <v>55</v>
      </c>
      <c r="F2270" t="s">
        <v>128</v>
      </c>
      <c r="G2270" t="s">
        <v>63</v>
      </c>
      <c r="H2270">
        <v>2</v>
      </c>
      <c r="I2270">
        <v>25.672083000000001</v>
      </c>
      <c r="J2270">
        <v>613</v>
      </c>
      <c r="M2270">
        <v>2.46</v>
      </c>
      <c r="O2270">
        <v>0.219</v>
      </c>
      <c r="R2270">
        <v>1.23</v>
      </c>
    </row>
    <row r="2271" spans="1:18" x14ac:dyDescent="0.2">
      <c r="A2271" t="s">
        <v>4111</v>
      </c>
      <c r="B2271" t="s">
        <v>4113</v>
      </c>
      <c r="C2271">
        <v>2014</v>
      </c>
      <c r="D2271">
        <v>1</v>
      </c>
      <c r="E2271" t="s">
        <v>55</v>
      </c>
      <c r="F2271" t="s">
        <v>128</v>
      </c>
      <c r="G2271" t="s">
        <v>63</v>
      </c>
      <c r="H2271">
        <v>2</v>
      </c>
      <c r="I2271">
        <v>151.88405800000001</v>
      </c>
      <c r="J2271">
        <v>613</v>
      </c>
      <c r="M2271">
        <v>2.85</v>
      </c>
      <c r="O2271">
        <v>0.254</v>
      </c>
      <c r="R2271">
        <v>1.23</v>
      </c>
    </row>
    <row r="2272" spans="1:18" x14ac:dyDescent="0.2">
      <c r="A2272" t="s">
        <v>4114</v>
      </c>
      <c r="B2272" t="s">
        <v>4115</v>
      </c>
      <c r="C2272">
        <v>2014</v>
      </c>
      <c r="D2272">
        <v>1</v>
      </c>
      <c r="E2272" t="s">
        <v>55</v>
      </c>
      <c r="F2272" t="s">
        <v>128</v>
      </c>
      <c r="G2272" t="s">
        <v>63</v>
      </c>
      <c r="H2272">
        <v>2</v>
      </c>
      <c r="I2272">
        <v>4.0694270000000001</v>
      </c>
      <c r="J2272">
        <v>302</v>
      </c>
      <c r="M2272">
        <v>1.63</v>
      </c>
      <c r="O2272">
        <v>0.14499999999999999</v>
      </c>
      <c r="R2272">
        <v>0.67</v>
      </c>
    </row>
    <row r="2273" spans="1:18" x14ac:dyDescent="0.2">
      <c r="A2273" t="s">
        <v>4114</v>
      </c>
      <c r="B2273" t="s">
        <v>4116</v>
      </c>
      <c r="C2273">
        <v>2014</v>
      </c>
      <c r="D2273">
        <v>1</v>
      </c>
      <c r="E2273" t="s">
        <v>55</v>
      </c>
      <c r="F2273" t="s">
        <v>128</v>
      </c>
      <c r="G2273" t="s">
        <v>63</v>
      </c>
      <c r="H2273">
        <v>2</v>
      </c>
      <c r="I2273">
        <v>16.282492999999999</v>
      </c>
      <c r="J2273">
        <v>302</v>
      </c>
      <c r="M2273">
        <v>1.85</v>
      </c>
      <c r="O2273">
        <v>0.16500000000000001</v>
      </c>
      <c r="R2273">
        <v>0.67</v>
      </c>
    </row>
    <row r="2274" spans="1:18" x14ac:dyDescent="0.2">
      <c r="A2274" t="s">
        <v>4117</v>
      </c>
      <c r="B2274" t="s">
        <v>4118</v>
      </c>
      <c r="C2274">
        <v>2014</v>
      </c>
      <c r="D2274">
        <v>1</v>
      </c>
      <c r="E2274" t="s">
        <v>55</v>
      </c>
      <c r="F2274" t="s">
        <v>128</v>
      </c>
      <c r="G2274" t="s">
        <v>63</v>
      </c>
      <c r="H2274">
        <v>3</v>
      </c>
      <c r="I2274">
        <v>3.1626970000000001</v>
      </c>
      <c r="J2274">
        <v>697</v>
      </c>
      <c r="M2274">
        <v>2.57</v>
      </c>
      <c r="O2274">
        <v>0.22900000000000001</v>
      </c>
      <c r="R2274">
        <v>1.1100000000000001</v>
      </c>
    </row>
    <row r="2275" spans="1:18" x14ac:dyDescent="0.2">
      <c r="A2275" t="s">
        <v>4117</v>
      </c>
      <c r="B2275" t="s">
        <v>4119</v>
      </c>
      <c r="C2275">
        <v>2014</v>
      </c>
      <c r="D2275">
        <v>1</v>
      </c>
      <c r="E2275" t="s">
        <v>55</v>
      </c>
      <c r="F2275" t="s">
        <v>128</v>
      </c>
      <c r="G2275" t="s">
        <v>63</v>
      </c>
      <c r="H2275">
        <v>3</v>
      </c>
      <c r="I2275">
        <v>5.3706469999999999</v>
      </c>
      <c r="J2275">
        <v>697</v>
      </c>
      <c r="M2275">
        <v>2.4700000000000002</v>
      </c>
      <c r="O2275">
        <v>0.22</v>
      </c>
      <c r="R2275">
        <v>1.1100000000000001</v>
      </c>
    </row>
    <row r="2276" spans="1:18" x14ac:dyDescent="0.2">
      <c r="A2276" t="s">
        <v>4117</v>
      </c>
      <c r="B2276" t="s">
        <v>4120</v>
      </c>
      <c r="C2276">
        <v>2014</v>
      </c>
      <c r="D2276">
        <v>1</v>
      </c>
      <c r="E2276" t="s">
        <v>55</v>
      </c>
      <c r="F2276" t="s">
        <v>128</v>
      </c>
      <c r="G2276" t="s">
        <v>63</v>
      </c>
      <c r="H2276">
        <v>3</v>
      </c>
      <c r="I2276">
        <v>11.32972</v>
      </c>
      <c r="J2276">
        <v>697</v>
      </c>
      <c r="M2276">
        <v>1.44</v>
      </c>
      <c r="O2276">
        <v>0.128</v>
      </c>
      <c r="R2276">
        <v>1.1100000000000001</v>
      </c>
    </row>
    <row r="2277" spans="1:18" x14ac:dyDescent="0.2">
      <c r="A2277" t="s">
        <v>4121</v>
      </c>
      <c r="B2277" t="s">
        <v>4122</v>
      </c>
      <c r="C2277">
        <v>2014</v>
      </c>
      <c r="D2277">
        <v>1</v>
      </c>
      <c r="E2277" t="s">
        <v>55</v>
      </c>
      <c r="F2277" t="s">
        <v>128</v>
      </c>
      <c r="G2277" t="s">
        <v>63</v>
      </c>
      <c r="H2277">
        <v>2</v>
      </c>
      <c r="I2277">
        <v>14.400974</v>
      </c>
      <c r="J2277">
        <v>769</v>
      </c>
      <c r="M2277">
        <v>2.5299999999999998</v>
      </c>
      <c r="O2277">
        <v>0.22600000000000001</v>
      </c>
      <c r="R2277">
        <v>1.24</v>
      </c>
    </row>
    <row r="2278" spans="1:18" x14ac:dyDescent="0.2">
      <c r="A2278" t="s">
        <v>4121</v>
      </c>
      <c r="B2278" t="s">
        <v>4123</v>
      </c>
      <c r="C2278">
        <v>2014</v>
      </c>
      <c r="D2278">
        <v>1</v>
      </c>
      <c r="E2278" t="s">
        <v>55</v>
      </c>
      <c r="F2278" t="s">
        <v>128</v>
      </c>
      <c r="G2278" t="s">
        <v>63</v>
      </c>
      <c r="H2278">
        <v>2</v>
      </c>
      <c r="I2278">
        <v>25.660592999999999</v>
      </c>
      <c r="J2278">
        <v>769</v>
      </c>
      <c r="M2278">
        <v>1.79</v>
      </c>
      <c r="O2278">
        <v>0.16</v>
      </c>
      <c r="R2278">
        <v>1.24</v>
      </c>
    </row>
    <row r="2279" spans="1:18" x14ac:dyDescent="0.2">
      <c r="A2279" t="s">
        <v>4124</v>
      </c>
      <c r="B2279" t="s">
        <v>4125</v>
      </c>
      <c r="C2279">
        <v>2014</v>
      </c>
      <c r="D2279">
        <v>1</v>
      </c>
      <c r="E2279" t="s">
        <v>55</v>
      </c>
      <c r="F2279" t="s">
        <v>128</v>
      </c>
      <c r="G2279" t="s">
        <v>63</v>
      </c>
      <c r="H2279">
        <v>2</v>
      </c>
      <c r="I2279">
        <v>2.7556400000000001</v>
      </c>
      <c r="J2279">
        <v>150</v>
      </c>
      <c r="M2279">
        <v>1.51</v>
      </c>
      <c r="O2279">
        <v>0.13500000000000001</v>
      </c>
      <c r="R2279">
        <v>0.55000000000000004</v>
      </c>
    </row>
    <row r="2280" spans="1:18" x14ac:dyDescent="0.2">
      <c r="A2280" t="s">
        <v>4124</v>
      </c>
      <c r="B2280" t="s">
        <v>4126</v>
      </c>
      <c r="C2280">
        <v>2014</v>
      </c>
      <c r="D2280">
        <v>1</v>
      </c>
      <c r="E2280" t="s">
        <v>55</v>
      </c>
      <c r="F2280" t="s">
        <v>128</v>
      </c>
      <c r="G2280" t="s">
        <v>63</v>
      </c>
      <c r="H2280">
        <v>2</v>
      </c>
      <c r="I2280">
        <v>20.306546000000001</v>
      </c>
      <c r="J2280">
        <v>150</v>
      </c>
      <c r="M2280">
        <v>1.64</v>
      </c>
      <c r="O2280">
        <v>0.14599999999999999</v>
      </c>
      <c r="R2280">
        <v>0.55000000000000004</v>
      </c>
    </row>
    <row r="2281" spans="1:18" x14ac:dyDescent="0.2">
      <c r="A2281" t="s">
        <v>4127</v>
      </c>
      <c r="B2281" t="s">
        <v>4128</v>
      </c>
      <c r="C2281">
        <v>2014</v>
      </c>
      <c r="D2281">
        <v>1</v>
      </c>
      <c r="E2281" t="s">
        <v>55</v>
      </c>
      <c r="F2281" t="s">
        <v>128</v>
      </c>
      <c r="G2281" t="s">
        <v>63</v>
      </c>
      <c r="H2281">
        <v>3</v>
      </c>
      <c r="I2281">
        <v>7.781987</v>
      </c>
      <c r="J2281">
        <v>617</v>
      </c>
      <c r="M2281">
        <v>1.2</v>
      </c>
      <c r="O2281">
        <v>0.107</v>
      </c>
      <c r="R2281">
        <v>1.19</v>
      </c>
    </row>
    <row r="2282" spans="1:18" x14ac:dyDescent="0.2">
      <c r="A2282" t="s">
        <v>4127</v>
      </c>
      <c r="B2282" t="s">
        <v>4129</v>
      </c>
      <c r="C2282">
        <v>2014</v>
      </c>
      <c r="D2282">
        <v>1</v>
      </c>
      <c r="E2282" t="s">
        <v>55</v>
      </c>
      <c r="F2282" t="s">
        <v>128</v>
      </c>
      <c r="G2282" t="s">
        <v>63</v>
      </c>
      <c r="H2282">
        <v>3</v>
      </c>
      <c r="I2282">
        <v>13.137471</v>
      </c>
      <c r="J2282">
        <v>617</v>
      </c>
      <c r="M2282">
        <v>1.77</v>
      </c>
      <c r="O2282">
        <v>0.158</v>
      </c>
      <c r="R2282">
        <v>1.19</v>
      </c>
    </row>
    <row r="2283" spans="1:18" x14ac:dyDescent="0.2">
      <c r="A2283" t="s">
        <v>4127</v>
      </c>
      <c r="B2283" t="s">
        <v>4130</v>
      </c>
      <c r="C2283">
        <v>2014</v>
      </c>
      <c r="D2283">
        <v>1</v>
      </c>
      <c r="E2283" t="s">
        <v>55</v>
      </c>
      <c r="F2283" t="s">
        <v>128</v>
      </c>
      <c r="G2283" t="s">
        <v>63</v>
      </c>
      <c r="H2283">
        <v>3</v>
      </c>
      <c r="I2283">
        <v>23.442810000000001</v>
      </c>
      <c r="J2283">
        <v>617</v>
      </c>
      <c r="M2283">
        <v>1.19</v>
      </c>
      <c r="O2283">
        <v>0.106</v>
      </c>
      <c r="R2283">
        <v>1.19</v>
      </c>
    </row>
    <row r="2284" spans="1:18" x14ac:dyDescent="0.2">
      <c r="A2284" t="s">
        <v>4131</v>
      </c>
      <c r="B2284" t="s">
        <v>4132</v>
      </c>
      <c r="C2284">
        <v>2014</v>
      </c>
      <c r="D2284">
        <v>1</v>
      </c>
      <c r="E2284" t="s">
        <v>55</v>
      </c>
      <c r="F2284" t="s">
        <v>128</v>
      </c>
      <c r="G2284" t="s">
        <v>63</v>
      </c>
      <c r="H2284">
        <v>3</v>
      </c>
      <c r="I2284">
        <v>1.6118650000000001</v>
      </c>
      <c r="J2284">
        <v>760</v>
      </c>
      <c r="M2284">
        <v>1.57</v>
      </c>
      <c r="O2284">
        <v>0.14000000000000001</v>
      </c>
      <c r="R2284">
        <v>1.59</v>
      </c>
    </row>
    <row r="2285" spans="1:18" x14ac:dyDescent="0.2">
      <c r="A2285" t="s">
        <v>4131</v>
      </c>
      <c r="B2285" t="s">
        <v>4133</v>
      </c>
      <c r="C2285">
        <v>2014</v>
      </c>
      <c r="D2285">
        <v>1</v>
      </c>
      <c r="E2285" t="s">
        <v>55</v>
      </c>
      <c r="F2285" t="s">
        <v>128</v>
      </c>
      <c r="G2285" t="s">
        <v>63</v>
      </c>
      <c r="H2285">
        <v>3</v>
      </c>
      <c r="I2285">
        <v>3.0715710000000001</v>
      </c>
      <c r="J2285">
        <v>760</v>
      </c>
      <c r="M2285">
        <v>1.5</v>
      </c>
      <c r="O2285">
        <v>0.13400000000000001</v>
      </c>
      <c r="R2285">
        <v>1.59</v>
      </c>
    </row>
    <row r="2286" spans="1:18" x14ac:dyDescent="0.2">
      <c r="A2286" t="s">
        <v>4131</v>
      </c>
      <c r="B2286" t="s">
        <v>4134</v>
      </c>
      <c r="C2286">
        <v>2014</v>
      </c>
      <c r="D2286">
        <v>1</v>
      </c>
      <c r="E2286" t="s">
        <v>55</v>
      </c>
      <c r="F2286" t="s">
        <v>128</v>
      </c>
      <c r="G2286" t="s">
        <v>63</v>
      </c>
      <c r="H2286">
        <v>3</v>
      </c>
      <c r="I2286">
        <v>5.8680750000000002</v>
      </c>
      <c r="J2286">
        <v>760</v>
      </c>
      <c r="M2286">
        <v>3.31</v>
      </c>
      <c r="O2286">
        <v>0.29499999999999998</v>
      </c>
      <c r="R2286">
        <v>1.59</v>
      </c>
    </row>
    <row r="2287" spans="1:18" x14ac:dyDescent="0.2">
      <c r="A2287" t="s">
        <v>4135</v>
      </c>
      <c r="B2287" t="s">
        <v>4136</v>
      </c>
      <c r="C2287">
        <v>2014</v>
      </c>
      <c r="D2287">
        <v>1</v>
      </c>
      <c r="E2287" t="s">
        <v>55</v>
      </c>
      <c r="F2287" t="s">
        <v>128</v>
      </c>
      <c r="G2287" t="s">
        <v>63</v>
      </c>
      <c r="H2287">
        <v>4</v>
      </c>
      <c r="I2287">
        <v>4.2286400000000004</v>
      </c>
      <c r="J2287">
        <v>856</v>
      </c>
      <c r="M2287">
        <v>1.63</v>
      </c>
      <c r="O2287">
        <v>0.14499999999999999</v>
      </c>
      <c r="R2287">
        <v>1.31</v>
      </c>
    </row>
    <row r="2288" spans="1:18" x14ac:dyDescent="0.2">
      <c r="A2288" t="s">
        <v>4135</v>
      </c>
      <c r="B2288" t="s">
        <v>4137</v>
      </c>
      <c r="C2288">
        <v>2014</v>
      </c>
      <c r="D2288">
        <v>1</v>
      </c>
      <c r="E2288" t="s">
        <v>55</v>
      </c>
      <c r="F2288" t="s">
        <v>128</v>
      </c>
      <c r="G2288" t="s">
        <v>63</v>
      </c>
      <c r="H2288">
        <v>4</v>
      </c>
      <c r="I2288">
        <v>7.4666230000000002</v>
      </c>
      <c r="J2288">
        <v>856</v>
      </c>
      <c r="M2288">
        <v>1.39</v>
      </c>
      <c r="O2288">
        <v>0.124</v>
      </c>
      <c r="R2288">
        <v>1.31</v>
      </c>
    </row>
    <row r="2289" spans="1:19" x14ac:dyDescent="0.2">
      <c r="A2289" t="s">
        <v>4135</v>
      </c>
      <c r="B2289" t="s">
        <v>4138</v>
      </c>
      <c r="C2289">
        <v>2014</v>
      </c>
      <c r="D2289">
        <v>1</v>
      </c>
      <c r="E2289" t="s">
        <v>55</v>
      </c>
      <c r="F2289" t="s">
        <v>128</v>
      </c>
      <c r="G2289" t="s">
        <v>63</v>
      </c>
      <c r="H2289">
        <v>4</v>
      </c>
      <c r="I2289">
        <v>11.131786</v>
      </c>
      <c r="J2289">
        <v>856</v>
      </c>
      <c r="M2289">
        <v>1.2</v>
      </c>
      <c r="O2289">
        <v>0.107</v>
      </c>
      <c r="R2289">
        <v>1.31</v>
      </c>
    </row>
    <row r="2290" spans="1:19" x14ac:dyDescent="0.2">
      <c r="A2290" t="s">
        <v>4135</v>
      </c>
      <c r="B2290" t="s">
        <v>4139</v>
      </c>
      <c r="C2290">
        <v>2014</v>
      </c>
      <c r="D2290">
        <v>1</v>
      </c>
      <c r="E2290" t="s">
        <v>55</v>
      </c>
      <c r="F2290" t="s">
        <v>128</v>
      </c>
      <c r="G2290" t="s">
        <v>63</v>
      </c>
      <c r="H2290">
        <v>4</v>
      </c>
      <c r="I2290">
        <v>16.259457999999999</v>
      </c>
      <c r="J2290">
        <v>856</v>
      </c>
      <c r="M2290">
        <v>1.48</v>
      </c>
      <c r="O2290">
        <v>0.13200000000000001</v>
      </c>
      <c r="R2290">
        <v>1.31</v>
      </c>
    </row>
    <row r="2291" spans="1:19" x14ac:dyDescent="0.2">
      <c r="A2291" t="s">
        <v>4140</v>
      </c>
      <c r="B2291" t="s">
        <v>4141</v>
      </c>
      <c r="C2291">
        <v>2014</v>
      </c>
      <c r="D2291">
        <v>1</v>
      </c>
      <c r="E2291" t="s">
        <v>55</v>
      </c>
      <c r="F2291" t="s">
        <v>128</v>
      </c>
      <c r="G2291" t="s">
        <v>63</v>
      </c>
      <c r="H2291">
        <v>2</v>
      </c>
      <c r="I2291">
        <v>16.087845000000002</v>
      </c>
      <c r="J2291">
        <v>584</v>
      </c>
      <c r="M2291">
        <v>2.2599999999999998</v>
      </c>
      <c r="O2291">
        <v>0.20200000000000001</v>
      </c>
      <c r="R2291">
        <v>0.94</v>
      </c>
    </row>
    <row r="2292" spans="1:19" x14ac:dyDescent="0.2">
      <c r="A2292" t="s">
        <v>4140</v>
      </c>
      <c r="B2292" t="s">
        <v>4142</v>
      </c>
      <c r="C2292">
        <v>2014</v>
      </c>
      <c r="D2292">
        <v>1</v>
      </c>
      <c r="E2292" t="s">
        <v>55</v>
      </c>
      <c r="F2292" t="s">
        <v>128</v>
      </c>
      <c r="G2292" t="s">
        <v>63</v>
      </c>
      <c r="H2292">
        <v>2</v>
      </c>
      <c r="I2292">
        <v>41.749881999999999</v>
      </c>
      <c r="J2292">
        <v>584</v>
      </c>
      <c r="M2292">
        <v>3.1</v>
      </c>
      <c r="O2292">
        <v>0.27700000000000002</v>
      </c>
      <c r="R2292">
        <v>0.94</v>
      </c>
    </row>
    <row r="2293" spans="1:19" x14ac:dyDescent="0.2">
      <c r="A2293" t="s">
        <v>4143</v>
      </c>
      <c r="B2293" t="s">
        <v>4144</v>
      </c>
      <c r="C2293">
        <v>2012</v>
      </c>
      <c r="D2293">
        <v>1</v>
      </c>
      <c r="E2293" t="s">
        <v>55</v>
      </c>
      <c r="F2293" t="s">
        <v>128</v>
      </c>
      <c r="G2293" t="s">
        <v>63</v>
      </c>
      <c r="H2293">
        <v>1</v>
      </c>
      <c r="I2293">
        <v>2.7857799999999999</v>
      </c>
      <c r="J2293">
        <v>113</v>
      </c>
      <c r="K2293">
        <v>3.03</v>
      </c>
      <c r="L2293">
        <v>5.08</v>
      </c>
      <c r="M2293">
        <v>1.639</v>
      </c>
      <c r="N2293">
        <v>1.5980000000000001E-2</v>
      </c>
      <c r="O2293">
        <v>0.14599999999999999</v>
      </c>
      <c r="P2293">
        <v>6.4</v>
      </c>
      <c r="Q2293">
        <v>1.41</v>
      </c>
      <c r="R2293">
        <v>1.9</v>
      </c>
      <c r="S2293">
        <v>0.28699999999999998</v>
      </c>
    </row>
    <row r="2294" spans="1:19" x14ac:dyDescent="0.2">
      <c r="A2294" t="s">
        <v>4145</v>
      </c>
      <c r="B2294" t="s">
        <v>4146</v>
      </c>
      <c r="C2294">
        <v>2014</v>
      </c>
      <c r="D2294">
        <v>1</v>
      </c>
      <c r="E2294" t="s">
        <v>55</v>
      </c>
      <c r="F2294" t="s">
        <v>128</v>
      </c>
      <c r="G2294" t="s">
        <v>63</v>
      </c>
      <c r="H2294">
        <v>2</v>
      </c>
      <c r="I2294">
        <v>2.4532340000000001</v>
      </c>
      <c r="J2294">
        <v>242</v>
      </c>
      <c r="M2294">
        <v>2.94</v>
      </c>
      <c r="O2294">
        <v>0.26200000000000001</v>
      </c>
      <c r="R2294">
        <v>0.65</v>
      </c>
    </row>
    <row r="2295" spans="1:19" x14ac:dyDescent="0.2">
      <c r="A2295" t="s">
        <v>4145</v>
      </c>
      <c r="B2295" t="s">
        <v>4147</v>
      </c>
      <c r="C2295">
        <v>2014</v>
      </c>
      <c r="D2295">
        <v>1</v>
      </c>
      <c r="E2295" t="s">
        <v>55</v>
      </c>
      <c r="F2295" t="s">
        <v>128</v>
      </c>
      <c r="G2295" t="s">
        <v>63</v>
      </c>
      <c r="H2295">
        <v>2</v>
      </c>
      <c r="I2295">
        <v>7.9725130000000002</v>
      </c>
      <c r="J2295">
        <v>242</v>
      </c>
      <c r="M2295">
        <v>3.62</v>
      </c>
      <c r="O2295">
        <v>0.32300000000000001</v>
      </c>
      <c r="R2295">
        <v>0.65</v>
      </c>
    </row>
    <row r="2296" spans="1:19" x14ac:dyDescent="0.2">
      <c r="A2296" t="s">
        <v>4148</v>
      </c>
      <c r="B2296" t="s">
        <v>4149</v>
      </c>
      <c r="C2296">
        <v>2014</v>
      </c>
      <c r="D2296">
        <v>1</v>
      </c>
      <c r="E2296" t="s">
        <v>55</v>
      </c>
      <c r="F2296" t="s">
        <v>128</v>
      </c>
      <c r="G2296" t="s">
        <v>63</v>
      </c>
      <c r="H2296">
        <v>2</v>
      </c>
      <c r="I2296">
        <v>4.1385750000000003</v>
      </c>
      <c r="J2296">
        <v>322</v>
      </c>
      <c r="M2296">
        <v>1.26</v>
      </c>
      <c r="O2296">
        <v>0.112</v>
      </c>
      <c r="R2296">
        <v>0.82</v>
      </c>
    </row>
    <row r="2297" spans="1:19" x14ac:dyDescent="0.2">
      <c r="A2297" t="s">
        <v>4148</v>
      </c>
      <c r="B2297" t="s">
        <v>4150</v>
      </c>
      <c r="C2297">
        <v>2014</v>
      </c>
      <c r="D2297">
        <v>1</v>
      </c>
      <c r="E2297" t="s">
        <v>55</v>
      </c>
      <c r="F2297" t="s">
        <v>128</v>
      </c>
      <c r="G2297" t="s">
        <v>63</v>
      </c>
      <c r="H2297">
        <v>2</v>
      </c>
      <c r="I2297">
        <v>6.0404499999999999</v>
      </c>
      <c r="J2297">
        <v>322</v>
      </c>
      <c r="M2297">
        <v>1.29</v>
      </c>
      <c r="O2297">
        <v>0.115</v>
      </c>
      <c r="R2297">
        <v>0.82</v>
      </c>
    </row>
    <row r="2298" spans="1:19" x14ac:dyDescent="0.2">
      <c r="A2298" t="s">
        <v>4151</v>
      </c>
      <c r="B2298" t="s">
        <v>4152</v>
      </c>
      <c r="C2298">
        <v>2014</v>
      </c>
      <c r="D2298">
        <v>1</v>
      </c>
      <c r="E2298" t="s">
        <v>55</v>
      </c>
      <c r="F2298" t="s">
        <v>128</v>
      </c>
      <c r="G2298" t="s">
        <v>63</v>
      </c>
      <c r="H2298">
        <v>2</v>
      </c>
      <c r="I2298">
        <v>16.257581999999999</v>
      </c>
      <c r="J2298">
        <v>597</v>
      </c>
      <c r="M2298">
        <v>1.0900000000000001</v>
      </c>
      <c r="O2298">
        <v>9.7000000000000003E-2</v>
      </c>
      <c r="R2298">
        <v>1.46</v>
      </c>
    </row>
    <row r="2299" spans="1:19" x14ac:dyDescent="0.2">
      <c r="A2299" t="s">
        <v>4151</v>
      </c>
      <c r="B2299" t="s">
        <v>4153</v>
      </c>
      <c r="C2299">
        <v>2014</v>
      </c>
      <c r="D2299">
        <v>1</v>
      </c>
      <c r="E2299" t="s">
        <v>55</v>
      </c>
      <c r="F2299" t="s">
        <v>128</v>
      </c>
      <c r="G2299" t="s">
        <v>63</v>
      </c>
      <c r="H2299">
        <v>2</v>
      </c>
      <c r="I2299">
        <v>31.805174000000001</v>
      </c>
      <c r="J2299">
        <v>597</v>
      </c>
      <c r="M2299">
        <v>2.74</v>
      </c>
      <c r="O2299">
        <v>0.24399999999999999</v>
      </c>
      <c r="R2299">
        <v>1.46</v>
      </c>
    </row>
    <row r="2300" spans="1:19" x14ac:dyDescent="0.2">
      <c r="A2300" t="s">
        <v>4154</v>
      </c>
      <c r="B2300" t="s">
        <v>4155</v>
      </c>
      <c r="C2300">
        <v>2014</v>
      </c>
      <c r="D2300">
        <v>1</v>
      </c>
      <c r="E2300" t="s">
        <v>55</v>
      </c>
      <c r="F2300" t="s">
        <v>128</v>
      </c>
      <c r="G2300" t="s">
        <v>63</v>
      </c>
      <c r="H2300">
        <v>2</v>
      </c>
      <c r="I2300">
        <v>2.4623599999999999</v>
      </c>
      <c r="J2300">
        <v>578</v>
      </c>
      <c r="M2300">
        <v>1.62</v>
      </c>
      <c r="O2300">
        <v>0.14499999999999999</v>
      </c>
      <c r="R2300">
        <v>1.2</v>
      </c>
    </row>
    <row r="2301" spans="1:19" x14ac:dyDescent="0.2">
      <c r="A2301" t="s">
        <v>4154</v>
      </c>
      <c r="B2301" t="s">
        <v>4156</v>
      </c>
      <c r="C2301">
        <v>2014</v>
      </c>
      <c r="D2301">
        <v>1</v>
      </c>
      <c r="E2301" t="s">
        <v>55</v>
      </c>
      <c r="F2301" t="s">
        <v>128</v>
      </c>
      <c r="G2301" t="s">
        <v>63</v>
      </c>
      <c r="H2301">
        <v>2</v>
      </c>
      <c r="I2301">
        <v>4.8229620000000004</v>
      </c>
      <c r="J2301">
        <v>578</v>
      </c>
      <c r="M2301">
        <v>2.34</v>
      </c>
      <c r="O2301">
        <v>0.20899999999999999</v>
      </c>
      <c r="R2301">
        <v>1.2</v>
      </c>
    </row>
    <row r="2302" spans="1:19" x14ac:dyDescent="0.2">
      <c r="A2302" t="s">
        <v>4157</v>
      </c>
      <c r="B2302" t="s">
        <v>4158</v>
      </c>
      <c r="C2302">
        <v>2014</v>
      </c>
      <c r="D2302">
        <v>1</v>
      </c>
      <c r="E2302" t="s">
        <v>55</v>
      </c>
      <c r="F2302" t="s">
        <v>128</v>
      </c>
      <c r="G2302" t="s">
        <v>63</v>
      </c>
      <c r="H2302">
        <v>2</v>
      </c>
      <c r="I2302">
        <v>15.660544</v>
      </c>
      <c r="J2302">
        <v>804</v>
      </c>
      <c r="M2302">
        <v>2.61</v>
      </c>
      <c r="O2302">
        <v>0.23300000000000001</v>
      </c>
      <c r="R2302">
        <v>1.35</v>
      </c>
    </row>
    <row r="2303" spans="1:19" x14ac:dyDescent="0.2">
      <c r="A2303" t="s">
        <v>4157</v>
      </c>
      <c r="B2303" t="s">
        <v>4159</v>
      </c>
      <c r="C2303">
        <v>2014</v>
      </c>
      <c r="D2303">
        <v>1</v>
      </c>
      <c r="E2303" t="s">
        <v>55</v>
      </c>
      <c r="F2303" t="s">
        <v>128</v>
      </c>
      <c r="G2303" t="s">
        <v>63</v>
      </c>
      <c r="H2303">
        <v>2</v>
      </c>
      <c r="I2303">
        <v>28.779800000000002</v>
      </c>
      <c r="J2303">
        <v>804</v>
      </c>
      <c r="M2303">
        <v>2.13</v>
      </c>
      <c r="O2303">
        <v>0.19</v>
      </c>
      <c r="R2303">
        <v>1.35</v>
      </c>
    </row>
    <row r="2304" spans="1:19" x14ac:dyDescent="0.2">
      <c r="A2304" t="s">
        <v>4160</v>
      </c>
      <c r="B2304" t="s">
        <v>4161</v>
      </c>
      <c r="C2304">
        <v>2014</v>
      </c>
      <c r="D2304">
        <v>1</v>
      </c>
      <c r="E2304" t="s">
        <v>55</v>
      </c>
      <c r="F2304" t="s">
        <v>128</v>
      </c>
      <c r="G2304" t="s">
        <v>63</v>
      </c>
      <c r="H2304">
        <v>4</v>
      </c>
      <c r="I2304">
        <v>9.3606719999999992</v>
      </c>
      <c r="J2304">
        <v>467</v>
      </c>
      <c r="M2304">
        <v>1.62</v>
      </c>
      <c r="O2304">
        <v>0.14499999999999999</v>
      </c>
      <c r="R2304">
        <v>1.03</v>
      </c>
    </row>
    <row r="2305" spans="1:19" x14ac:dyDescent="0.2">
      <c r="A2305" t="s">
        <v>4160</v>
      </c>
      <c r="B2305" t="s">
        <v>4162</v>
      </c>
      <c r="C2305">
        <v>2014</v>
      </c>
      <c r="D2305">
        <v>1</v>
      </c>
      <c r="E2305" t="s">
        <v>55</v>
      </c>
      <c r="F2305" t="s">
        <v>128</v>
      </c>
      <c r="G2305" t="s">
        <v>63</v>
      </c>
      <c r="H2305">
        <v>4</v>
      </c>
      <c r="I2305">
        <v>14.667108000000001</v>
      </c>
      <c r="J2305">
        <v>467</v>
      </c>
      <c r="M2305">
        <v>1.77</v>
      </c>
      <c r="O2305">
        <v>0.158</v>
      </c>
      <c r="R2305">
        <v>1.03</v>
      </c>
    </row>
    <row r="2306" spans="1:19" x14ac:dyDescent="0.2">
      <c r="A2306" t="s">
        <v>4160</v>
      </c>
      <c r="B2306" t="s">
        <v>4163</v>
      </c>
      <c r="C2306">
        <v>2014</v>
      </c>
      <c r="D2306">
        <v>1</v>
      </c>
      <c r="E2306" t="s">
        <v>55</v>
      </c>
      <c r="F2306" t="s">
        <v>128</v>
      </c>
      <c r="G2306" t="s">
        <v>63</v>
      </c>
      <c r="H2306">
        <v>4</v>
      </c>
      <c r="I2306">
        <v>30.864422999999999</v>
      </c>
      <c r="J2306">
        <v>467</v>
      </c>
      <c r="M2306">
        <v>2.39</v>
      </c>
      <c r="O2306">
        <v>0.21299999999999999</v>
      </c>
      <c r="R2306">
        <v>1.03</v>
      </c>
    </row>
    <row r="2307" spans="1:19" x14ac:dyDescent="0.2">
      <c r="A2307" t="s">
        <v>4160</v>
      </c>
      <c r="B2307" t="s">
        <v>4164</v>
      </c>
      <c r="C2307">
        <v>2014</v>
      </c>
      <c r="D2307">
        <v>1</v>
      </c>
      <c r="E2307" t="s">
        <v>55</v>
      </c>
      <c r="F2307" t="s">
        <v>128</v>
      </c>
      <c r="G2307" t="s">
        <v>63</v>
      </c>
      <c r="H2307">
        <v>4</v>
      </c>
      <c r="I2307">
        <v>68.161010000000005</v>
      </c>
      <c r="J2307">
        <v>467</v>
      </c>
      <c r="M2307">
        <v>1.75</v>
      </c>
      <c r="O2307">
        <v>0.156</v>
      </c>
      <c r="R2307">
        <v>1.03</v>
      </c>
    </row>
    <row r="2308" spans="1:19" x14ac:dyDescent="0.2">
      <c r="A2308" t="s">
        <v>4165</v>
      </c>
      <c r="B2308" t="s">
        <v>4166</v>
      </c>
      <c r="C2308">
        <v>2014</v>
      </c>
      <c r="D2308">
        <v>1</v>
      </c>
      <c r="E2308" t="s">
        <v>55</v>
      </c>
      <c r="F2308" t="s">
        <v>128</v>
      </c>
      <c r="G2308" t="s">
        <v>63</v>
      </c>
      <c r="H2308">
        <v>2</v>
      </c>
      <c r="I2308">
        <v>7.6936410000000004</v>
      </c>
      <c r="J2308">
        <v>913</v>
      </c>
      <c r="M2308">
        <v>2.35</v>
      </c>
      <c r="O2308">
        <v>0.21</v>
      </c>
      <c r="R2308">
        <v>1.26</v>
      </c>
    </row>
    <row r="2309" spans="1:19" x14ac:dyDescent="0.2">
      <c r="A2309" t="s">
        <v>4165</v>
      </c>
      <c r="B2309" t="s">
        <v>4167</v>
      </c>
      <c r="C2309">
        <v>2014</v>
      </c>
      <c r="D2309">
        <v>1</v>
      </c>
      <c r="E2309" t="s">
        <v>55</v>
      </c>
      <c r="F2309" t="s">
        <v>128</v>
      </c>
      <c r="G2309" t="s">
        <v>63</v>
      </c>
      <c r="H2309">
        <v>2</v>
      </c>
      <c r="I2309">
        <v>17.406669000000001</v>
      </c>
      <c r="J2309">
        <v>913</v>
      </c>
      <c r="M2309">
        <v>3.04</v>
      </c>
      <c r="O2309">
        <v>0.27100000000000002</v>
      </c>
      <c r="R2309">
        <v>1.26</v>
      </c>
    </row>
    <row r="2310" spans="1:19" x14ac:dyDescent="0.2">
      <c r="A2310" t="s">
        <v>4168</v>
      </c>
      <c r="B2310" t="s">
        <v>4169</v>
      </c>
      <c r="C2310">
        <v>2014</v>
      </c>
      <c r="D2310">
        <v>1</v>
      </c>
      <c r="E2310" t="s">
        <v>55</v>
      </c>
      <c r="F2310" t="s">
        <v>128</v>
      </c>
      <c r="G2310" t="s">
        <v>63</v>
      </c>
      <c r="H2310">
        <v>3</v>
      </c>
      <c r="I2310">
        <v>5.374943</v>
      </c>
      <c r="J2310">
        <v>1066</v>
      </c>
      <c r="M2310">
        <v>2.23</v>
      </c>
      <c r="O2310">
        <v>0.19900000000000001</v>
      </c>
      <c r="R2310">
        <v>1.8</v>
      </c>
    </row>
    <row r="2311" spans="1:19" x14ac:dyDescent="0.2">
      <c r="A2311" t="s">
        <v>4168</v>
      </c>
      <c r="B2311" t="s">
        <v>4170</v>
      </c>
      <c r="C2311">
        <v>2014</v>
      </c>
      <c r="D2311">
        <v>1</v>
      </c>
      <c r="E2311" t="s">
        <v>55</v>
      </c>
      <c r="F2311" t="s">
        <v>128</v>
      </c>
      <c r="G2311" t="s">
        <v>63</v>
      </c>
      <c r="H2311">
        <v>3</v>
      </c>
      <c r="I2311">
        <v>8.5860040000000009</v>
      </c>
      <c r="J2311">
        <v>1066</v>
      </c>
      <c r="M2311">
        <v>1.85</v>
      </c>
      <c r="O2311">
        <v>0.16500000000000001</v>
      </c>
      <c r="R2311">
        <v>1.8</v>
      </c>
    </row>
    <row r="2312" spans="1:19" x14ac:dyDescent="0.2">
      <c r="A2312" t="s">
        <v>4168</v>
      </c>
      <c r="B2312" t="s">
        <v>4171</v>
      </c>
      <c r="C2312">
        <v>2016</v>
      </c>
      <c r="D2312">
        <v>1</v>
      </c>
      <c r="E2312" t="s">
        <v>55</v>
      </c>
      <c r="F2312" t="s">
        <v>128</v>
      </c>
      <c r="G2312" t="s">
        <v>63</v>
      </c>
      <c r="H2312">
        <v>3</v>
      </c>
      <c r="I2312">
        <v>3.8868952499999998</v>
      </c>
      <c r="J2312">
        <v>1066</v>
      </c>
      <c r="M2312">
        <v>1.32</v>
      </c>
      <c r="O2312">
        <v>0.11799999999999999</v>
      </c>
      <c r="R2312">
        <v>1.8</v>
      </c>
    </row>
    <row r="2313" spans="1:19" x14ac:dyDescent="0.2">
      <c r="A2313" t="s">
        <v>4172</v>
      </c>
      <c r="B2313" t="s">
        <v>4173</v>
      </c>
      <c r="C2313">
        <v>2014</v>
      </c>
      <c r="D2313">
        <v>1</v>
      </c>
      <c r="E2313" t="s">
        <v>55</v>
      </c>
      <c r="F2313" t="s">
        <v>128</v>
      </c>
      <c r="G2313" t="s">
        <v>63</v>
      </c>
      <c r="H2313">
        <v>3</v>
      </c>
      <c r="I2313">
        <v>3.6193369999999998</v>
      </c>
      <c r="J2313">
        <v>636</v>
      </c>
      <c r="M2313">
        <v>1.48</v>
      </c>
      <c r="O2313">
        <v>0.13200000000000001</v>
      </c>
      <c r="R2313">
        <v>1.06</v>
      </c>
    </row>
    <row r="2314" spans="1:19" x14ac:dyDescent="0.2">
      <c r="A2314" t="s">
        <v>4172</v>
      </c>
      <c r="B2314" t="s">
        <v>4174</v>
      </c>
      <c r="C2314">
        <v>2014</v>
      </c>
      <c r="D2314">
        <v>1</v>
      </c>
      <c r="E2314" t="s">
        <v>55</v>
      </c>
      <c r="F2314" t="s">
        <v>128</v>
      </c>
      <c r="G2314" t="s">
        <v>63</v>
      </c>
      <c r="H2314">
        <v>3</v>
      </c>
      <c r="I2314">
        <v>44.699576</v>
      </c>
      <c r="J2314">
        <v>636</v>
      </c>
      <c r="M2314">
        <v>3.14</v>
      </c>
      <c r="O2314">
        <v>0.28000000000000003</v>
      </c>
      <c r="R2314">
        <v>1.06</v>
      </c>
    </row>
    <row r="2315" spans="1:19" x14ac:dyDescent="0.2">
      <c r="A2315" t="s">
        <v>4172</v>
      </c>
      <c r="B2315" t="s">
        <v>4175</v>
      </c>
      <c r="C2315">
        <v>2016</v>
      </c>
      <c r="D2315">
        <v>1</v>
      </c>
      <c r="E2315" t="s">
        <v>55</v>
      </c>
      <c r="F2315" t="s">
        <v>128</v>
      </c>
      <c r="G2315" t="s">
        <v>63</v>
      </c>
      <c r="H2315">
        <v>3</v>
      </c>
      <c r="I2315">
        <v>124.5244647</v>
      </c>
      <c r="J2315">
        <v>636</v>
      </c>
      <c r="M2315">
        <v>2.66</v>
      </c>
      <c r="O2315">
        <v>0.23699999999999999</v>
      </c>
      <c r="R2315">
        <v>1.06</v>
      </c>
    </row>
    <row r="2316" spans="1:19" x14ac:dyDescent="0.2">
      <c r="A2316" t="s">
        <v>4176</v>
      </c>
      <c r="B2316" t="s">
        <v>4177</v>
      </c>
      <c r="C2316">
        <v>2014</v>
      </c>
      <c r="D2316">
        <v>1</v>
      </c>
      <c r="E2316" t="s">
        <v>55</v>
      </c>
      <c r="F2316" t="s">
        <v>128</v>
      </c>
      <c r="G2316" t="s">
        <v>63</v>
      </c>
      <c r="H2316">
        <v>3</v>
      </c>
      <c r="I2316">
        <v>4.5855119999999996</v>
      </c>
      <c r="J2316">
        <v>946</v>
      </c>
      <c r="M2316">
        <v>2.95</v>
      </c>
      <c r="O2316">
        <v>0.26300000000000001</v>
      </c>
      <c r="R2316">
        <v>1.49</v>
      </c>
    </row>
    <row r="2317" spans="1:19" x14ac:dyDescent="0.2">
      <c r="A2317" t="s">
        <v>4176</v>
      </c>
      <c r="B2317" t="s">
        <v>4178</v>
      </c>
      <c r="C2317">
        <v>2014</v>
      </c>
      <c r="D2317">
        <v>1</v>
      </c>
      <c r="E2317" t="s">
        <v>55</v>
      </c>
      <c r="F2317" t="s">
        <v>128</v>
      </c>
      <c r="G2317" t="s">
        <v>63</v>
      </c>
      <c r="H2317">
        <v>3</v>
      </c>
      <c r="I2317">
        <v>22.714613</v>
      </c>
      <c r="J2317">
        <v>946</v>
      </c>
      <c r="M2317">
        <v>3.58</v>
      </c>
      <c r="O2317">
        <v>0.31900000000000001</v>
      </c>
      <c r="R2317">
        <v>1.49</v>
      </c>
    </row>
    <row r="2318" spans="1:19" x14ac:dyDescent="0.2">
      <c r="A2318" t="s">
        <v>4176</v>
      </c>
      <c r="B2318" t="s">
        <v>4179</v>
      </c>
      <c r="C2318">
        <v>2014</v>
      </c>
      <c r="D2318">
        <v>1</v>
      </c>
      <c r="E2318" t="s">
        <v>55</v>
      </c>
      <c r="F2318" t="s">
        <v>128</v>
      </c>
      <c r="G2318" t="s">
        <v>63</v>
      </c>
      <c r="H2318">
        <v>3</v>
      </c>
      <c r="I2318">
        <v>47.903644999999997</v>
      </c>
      <c r="J2318">
        <v>946</v>
      </c>
      <c r="M2318">
        <v>2.81</v>
      </c>
      <c r="O2318">
        <v>0.251</v>
      </c>
      <c r="R2318">
        <v>1.49</v>
      </c>
    </row>
    <row r="2319" spans="1:19" x14ac:dyDescent="0.2">
      <c r="A2319" t="s">
        <v>4180</v>
      </c>
      <c r="B2319" t="s">
        <v>4181</v>
      </c>
      <c r="C2319">
        <v>2011</v>
      </c>
      <c r="D2319">
        <v>1</v>
      </c>
      <c r="E2319" t="s">
        <v>55</v>
      </c>
      <c r="F2319" t="s">
        <v>128</v>
      </c>
      <c r="G2319" t="s">
        <v>63</v>
      </c>
      <c r="H2319">
        <v>1</v>
      </c>
      <c r="I2319">
        <v>289.8623</v>
      </c>
      <c r="J2319">
        <v>190</v>
      </c>
      <c r="L2319">
        <v>36</v>
      </c>
      <c r="M2319">
        <v>2.38</v>
      </c>
      <c r="N2319">
        <v>0.113</v>
      </c>
      <c r="O2319">
        <v>0.21199999999999999</v>
      </c>
      <c r="P2319">
        <v>14.7</v>
      </c>
      <c r="Q2319">
        <v>0.97</v>
      </c>
      <c r="R2319">
        <v>0.98</v>
      </c>
      <c r="S2319">
        <v>1.458</v>
      </c>
    </row>
    <row r="2320" spans="1:19" x14ac:dyDescent="0.2">
      <c r="A2320" t="s">
        <v>4182</v>
      </c>
      <c r="B2320" t="s">
        <v>4183</v>
      </c>
      <c r="C2320">
        <v>2014</v>
      </c>
      <c r="D2320">
        <v>1</v>
      </c>
      <c r="E2320" t="s">
        <v>55</v>
      </c>
      <c r="F2320" t="s">
        <v>128</v>
      </c>
      <c r="G2320" t="s">
        <v>63</v>
      </c>
      <c r="H2320">
        <v>4</v>
      </c>
      <c r="I2320">
        <v>4.1598069999999998</v>
      </c>
      <c r="J2320">
        <v>154</v>
      </c>
      <c r="M2320">
        <v>0.81</v>
      </c>
      <c r="O2320">
        <v>7.1999999999999995E-2</v>
      </c>
      <c r="R2320">
        <v>0.67</v>
      </c>
    </row>
    <row r="2321" spans="1:18" x14ac:dyDescent="0.2">
      <c r="A2321" t="s">
        <v>4182</v>
      </c>
      <c r="B2321" t="s">
        <v>4184</v>
      </c>
      <c r="C2321">
        <v>2014</v>
      </c>
      <c r="D2321">
        <v>1</v>
      </c>
      <c r="E2321" t="s">
        <v>55</v>
      </c>
      <c r="F2321" t="s">
        <v>128</v>
      </c>
      <c r="G2321" t="s">
        <v>63</v>
      </c>
      <c r="H2321">
        <v>4</v>
      </c>
      <c r="I2321">
        <v>9.0341989999999992</v>
      </c>
      <c r="J2321">
        <v>154</v>
      </c>
      <c r="M2321">
        <v>1.57</v>
      </c>
      <c r="O2321">
        <v>0.14000000000000001</v>
      </c>
      <c r="R2321">
        <v>0.67</v>
      </c>
    </row>
    <row r="2322" spans="1:18" x14ac:dyDescent="0.2">
      <c r="A2322" t="s">
        <v>4182</v>
      </c>
      <c r="B2322" t="s">
        <v>4185</v>
      </c>
      <c r="C2322">
        <v>2014</v>
      </c>
      <c r="D2322">
        <v>1</v>
      </c>
      <c r="E2322" t="s">
        <v>55</v>
      </c>
      <c r="F2322" t="s">
        <v>128</v>
      </c>
      <c r="G2322" t="s">
        <v>63</v>
      </c>
      <c r="H2322">
        <v>4</v>
      </c>
      <c r="I2322">
        <v>28.122396999999999</v>
      </c>
      <c r="J2322">
        <v>154</v>
      </c>
      <c r="M2322">
        <v>0.98</v>
      </c>
      <c r="O2322">
        <v>8.6999999999999994E-2</v>
      </c>
      <c r="R2322">
        <v>0.67</v>
      </c>
    </row>
    <row r="2323" spans="1:18" x14ac:dyDescent="0.2">
      <c r="A2323" t="s">
        <v>4182</v>
      </c>
      <c r="B2323" t="s">
        <v>4186</v>
      </c>
      <c r="C2323">
        <v>2014</v>
      </c>
      <c r="D2323">
        <v>1</v>
      </c>
      <c r="E2323" t="s">
        <v>55</v>
      </c>
      <c r="F2323" t="s">
        <v>128</v>
      </c>
      <c r="G2323" t="s">
        <v>63</v>
      </c>
      <c r="H2323">
        <v>4</v>
      </c>
      <c r="I2323">
        <v>45.902732999999998</v>
      </c>
      <c r="J2323">
        <v>154</v>
      </c>
      <c r="M2323">
        <v>1.33</v>
      </c>
      <c r="O2323">
        <v>0.11899999999999999</v>
      </c>
      <c r="R2323">
        <v>0.67</v>
      </c>
    </row>
    <row r="2324" spans="1:18" x14ac:dyDescent="0.2">
      <c r="A2324" t="s">
        <v>4187</v>
      </c>
      <c r="B2324" t="s">
        <v>4188</v>
      </c>
      <c r="C2324">
        <v>2014</v>
      </c>
      <c r="D2324">
        <v>1</v>
      </c>
      <c r="E2324" t="s">
        <v>55</v>
      </c>
      <c r="F2324" t="s">
        <v>128</v>
      </c>
      <c r="G2324" t="s">
        <v>63</v>
      </c>
      <c r="H2324">
        <v>4</v>
      </c>
      <c r="I2324">
        <v>2.795906</v>
      </c>
      <c r="J2324">
        <v>414</v>
      </c>
      <c r="M2324">
        <v>1.71</v>
      </c>
      <c r="O2324">
        <v>0.153</v>
      </c>
      <c r="R2324">
        <v>0.82</v>
      </c>
    </row>
    <row r="2325" spans="1:18" x14ac:dyDescent="0.2">
      <c r="A2325" t="s">
        <v>4187</v>
      </c>
      <c r="B2325" t="s">
        <v>4189</v>
      </c>
      <c r="C2325">
        <v>2014</v>
      </c>
      <c r="D2325">
        <v>1</v>
      </c>
      <c r="E2325" t="s">
        <v>55</v>
      </c>
      <c r="F2325" t="s">
        <v>128</v>
      </c>
      <c r="G2325" t="s">
        <v>63</v>
      </c>
      <c r="H2325">
        <v>4</v>
      </c>
      <c r="I2325">
        <v>5.6905859999999997</v>
      </c>
      <c r="J2325">
        <v>414</v>
      </c>
      <c r="M2325">
        <v>2.93</v>
      </c>
      <c r="O2325">
        <v>0.26100000000000001</v>
      </c>
      <c r="R2325">
        <v>0.82</v>
      </c>
    </row>
    <row r="2326" spans="1:18" x14ac:dyDescent="0.2">
      <c r="A2326" t="s">
        <v>4187</v>
      </c>
      <c r="B2326" t="s">
        <v>4190</v>
      </c>
      <c r="C2326">
        <v>2014</v>
      </c>
      <c r="D2326">
        <v>1</v>
      </c>
      <c r="E2326" t="s">
        <v>55</v>
      </c>
      <c r="F2326" t="s">
        <v>128</v>
      </c>
      <c r="G2326" t="s">
        <v>63</v>
      </c>
      <c r="H2326">
        <v>4</v>
      </c>
      <c r="I2326">
        <v>10.04156</v>
      </c>
      <c r="J2326">
        <v>414</v>
      </c>
      <c r="M2326">
        <v>2.73</v>
      </c>
      <c r="O2326">
        <v>0.24399999999999999</v>
      </c>
      <c r="R2326">
        <v>0.82</v>
      </c>
    </row>
    <row r="2327" spans="1:18" x14ac:dyDescent="0.2">
      <c r="A2327" t="s">
        <v>4187</v>
      </c>
      <c r="B2327" t="s">
        <v>4191</v>
      </c>
      <c r="C2327">
        <v>2014</v>
      </c>
      <c r="D2327">
        <v>1</v>
      </c>
      <c r="E2327" t="s">
        <v>55</v>
      </c>
      <c r="F2327" t="s">
        <v>128</v>
      </c>
      <c r="G2327" t="s">
        <v>63</v>
      </c>
      <c r="H2327">
        <v>4</v>
      </c>
      <c r="I2327">
        <v>18.369917000000001</v>
      </c>
      <c r="J2327">
        <v>414</v>
      </c>
      <c r="M2327">
        <v>2.63</v>
      </c>
      <c r="O2327">
        <v>0.23499999999999999</v>
      </c>
      <c r="R2327">
        <v>0.82</v>
      </c>
    </row>
    <row r="2328" spans="1:18" x14ac:dyDescent="0.2">
      <c r="A2328" t="s">
        <v>4192</v>
      </c>
      <c r="B2328" t="s">
        <v>4193</v>
      </c>
      <c r="C2328">
        <v>2014</v>
      </c>
      <c r="D2328">
        <v>1</v>
      </c>
      <c r="E2328" t="s">
        <v>55</v>
      </c>
      <c r="F2328" t="s">
        <v>128</v>
      </c>
      <c r="G2328" t="s">
        <v>63</v>
      </c>
      <c r="H2328">
        <v>3</v>
      </c>
      <c r="I2328">
        <v>3.9369809999999998</v>
      </c>
      <c r="J2328">
        <v>781</v>
      </c>
      <c r="M2328">
        <v>3.16</v>
      </c>
      <c r="O2328">
        <v>0.28199999999999997</v>
      </c>
      <c r="R2328">
        <v>0.87</v>
      </c>
    </row>
    <row r="2329" spans="1:18" x14ac:dyDescent="0.2">
      <c r="A2329" t="s">
        <v>4192</v>
      </c>
      <c r="B2329" t="s">
        <v>4194</v>
      </c>
      <c r="C2329">
        <v>2014</v>
      </c>
      <c r="D2329">
        <v>1</v>
      </c>
      <c r="E2329" t="s">
        <v>55</v>
      </c>
      <c r="F2329" t="s">
        <v>128</v>
      </c>
      <c r="G2329" t="s">
        <v>63</v>
      </c>
      <c r="H2329">
        <v>3</v>
      </c>
      <c r="I2329">
        <v>10.08881</v>
      </c>
      <c r="J2329">
        <v>781</v>
      </c>
      <c r="M2329">
        <v>4.6399999999999997</v>
      </c>
      <c r="O2329">
        <v>0.41399999999999998</v>
      </c>
      <c r="R2329">
        <v>0.87</v>
      </c>
    </row>
    <row r="2330" spans="1:18" x14ac:dyDescent="0.2">
      <c r="A2330" t="s">
        <v>4192</v>
      </c>
      <c r="B2330" t="s">
        <v>4195</v>
      </c>
      <c r="C2330">
        <v>2014</v>
      </c>
      <c r="D2330">
        <v>1</v>
      </c>
      <c r="E2330" t="s">
        <v>55</v>
      </c>
      <c r="F2330" t="s">
        <v>128</v>
      </c>
      <c r="G2330" t="s">
        <v>63</v>
      </c>
      <c r="H2330">
        <v>3</v>
      </c>
      <c r="I2330">
        <v>28.081911999999999</v>
      </c>
      <c r="J2330">
        <v>781</v>
      </c>
      <c r="M2330">
        <v>3.69</v>
      </c>
      <c r="O2330">
        <v>0.32900000000000001</v>
      </c>
      <c r="R2330">
        <v>0.87</v>
      </c>
    </row>
    <row r="2331" spans="1:18" x14ac:dyDescent="0.2">
      <c r="A2331" t="s">
        <v>4196</v>
      </c>
      <c r="B2331" t="s">
        <v>4197</v>
      </c>
      <c r="C2331">
        <v>2014</v>
      </c>
      <c r="D2331">
        <v>1</v>
      </c>
      <c r="E2331" t="s">
        <v>55</v>
      </c>
      <c r="F2331" t="s">
        <v>128</v>
      </c>
      <c r="G2331" t="s">
        <v>63</v>
      </c>
      <c r="H2331">
        <v>4</v>
      </c>
      <c r="I2331">
        <v>7.3844900000000004</v>
      </c>
      <c r="J2331">
        <v>1135</v>
      </c>
      <c r="L2331">
        <v>7.4</v>
      </c>
      <c r="M2331">
        <v>2.99</v>
      </c>
      <c r="N2331">
        <v>2.3279999999999999E-2</v>
      </c>
      <c r="O2331">
        <v>0.26700000000000002</v>
      </c>
      <c r="P2331">
        <v>1.54</v>
      </c>
      <c r="Q2331">
        <v>1.1200000000000001</v>
      </c>
      <c r="R2331">
        <v>1.72</v>
      </c>
    </row>
    <row r="2332" spans="1:18" x14ac:dyDescent="0.2">
      <c r="A2332" t="s">
        <v>4196</v>
      </c>
      <c r="B2332" t="s">
        <v>4198</v>
      </c>
      <c r="C2332">
        <v>2014</v>
      </c>
      <c r="D2332">
        <v>1</v>
      </c>
      <c r="E2332" t="s">
        <v>55</v>
      </c>
      <c r="F2332" t="s">
        <v>128</v>
      </c>
      <c r="G2332" t="s">
        <v>63</v>
      </c>
      <c r="H2332">
        <v>4</v>
      </c>
      <c r="I2332">
        <v>9.8456399999999995</v>
      </c>
      <c r="J2332">
        <v>1135</v>
      </c>
      <c r="L2332">
        <v>5.0999999999999996</v>
      </c>
      <c r="M2332">
        <v>3.44</v>
      </c>
      <c r="N2332">
        <v>1.6049999999999998E-2</v>
      </c>
      <c r="O2332">
        <v>0.307</v>
      </c>
      <c r="P2332">
        <v>0.71</v>
      </c>
      <c r="Q2332">
        <v>1.1200000000000001</v>
      </c>
      <c r="R2332">
        <v>1.72</v>
      </c>
    </row>
    <row r="2333" spans="1:18" x14ac:dyDescent="0.2">
      <c r="A2333" t="s">
        <v>4196</v>
      </c>
      <c r="B2333" t="s">
        <v>4199</v>
      </c>
      <c r="C2333">
        <v>2014</v>
      </c>
      <c r="D2333">
        <v>1</v>
      </c>
      <c r="E2333" t="s">
        <v>55</v>
      </c>
      <c r="F2333" t="s">
        <v>128</v>
      </c>
      <c r="G2333" t="s">
        <v>63</v>
      </c>
      <c r="H2333">
        <v>4</v>
      </c>
      <c r="I2333">
        <v>14.788690000000001</v>
      </c>
      <c r="J2333">
        <v>1135</v>
      </c>
      <c r="L2333">
        <v>8</v>
      </c>
      <c r="M2333">
        <v>5.24</v>
      </c>
      <c r="N2333">
        <v>2.5170000000000001E-2</v>
      </c>
      <c r="O2333">
        <v>0.46700000000000003</v>
      </c>
      <c r="P2333">
        <v>0.31</v>
      </c>
      <c r="Q2333">
        <v>1.1200000000000001</v>
      </c>
      <c r="R2333">
        <v>1.72</v>
      </c>
    </row>
    <row r="2334" spans="1:18" x14ac:dyDescent="0.2">
      <c r="A2334" t="s">
        <v>4196</v>
      </c>
      <c r="B2334" t="s">
        <v>4200</v>
      </c>
      <c r="C2334">
        <v>2014</v>
      </c>
      <c r="D2334">
        <v>1</v>
      </c>
      <c r="E2334" t="s">
        <v>55</v>
      </c>
      <c r="F2334" t="s">
        <v>128</v>
      </c>
      <c r="G2334" t="s">
        <v>63</v>
      </c>
      <c r="H2334">
        <v>4</v>
      </c>
      <c r="I2334">
        <v>19.725670000000001</v>
      </c>
      <c r="J2334">
        <v>1135</v>
      </c>
      <c r="L2334">
        <v>4.8</v>
      </c>
      <c r="M2334">
        <v>4.5999999999999996</v>
      </c>
      <c r="N2334">
        <v>1.5100000000000001E-2</v>
      </c>
      <c r="O2334">
        <v>0.41</v>
      </c>
      <c r="P2334">
        <v>0.28000000000000003</v>
      </c>
      <c r="Q2334">
        <v>1.1200000000000001</v>
      </c>
      <c r="R2334">
        <v>1.72</v>
      </c>
    </row>
    <row r="2335" spans="1:18" x14ac:dyDescent="0.2">
      <c r="A2335" t="s">
        <v>4201</v>
      </c>
      <c r="B2335" t="s">
        <v>4202</v>
      </c>
      <c r="C2335">
        <v>2014</v>
      </c>
      <c r="D2335">
        <v>1</v>
      </c>
      <c r="E2335" t="s">
        <v>55</v>
      </c>
      <c r="F2335" t="s">
        <v>128</v>
      </c>
      <c r="G2335" t="s">
        <v>63</v>
      </c>
      <c r="H2335">
        <v>4</v>
      </c>
      <c r="I2335">
        <v>3.132924</v>
      </c>
      <c r="J2335">
        <v>783</v>
      </c>
      <c r="M2335">
        <v>1.39</v>
      </c>
      <c r="O2335">
        <v>0.124</v>
      </c>
      <c r="R2335">
        <v>0.68</v>
      </c>
    </row>
    <row r="2336" spans="1:18" x14ac:dyDescent="0.2">
      <c r="A2336" t="s">
        <v>4201</v>
      </c>
      <c r="B2336" t="s">
        <v>4203</v>
      </c>
      <c r="C2336">
        <v>2014</v>
      </c>
      <c r="D2336">
        <v>1</v>
      </c>
      <c r="E2336" t="s">
        <v>55</v>
      </c>
      <c r="F2336" t="s">
        <v>128</v>
      </c>
      <c r="G2336" t="s">
        <v>63</v>
      </c>
      <c r="H2336">
        <v>4</v>
      </c>
      <c r="I2336">
        <v>5.9250030000000002</v>
      </c>
      <c r="J2336">
        <v>783</v>
      </c>
      <c r="M2336">
        <v>3.12</v>
      </c>
      <c r="O2336">
        <v>0.27800000000000002</v>
      </c>
      <c r="R2336">
        <v>0.68</v>
      </c>
    </row>
    <row r="2337" spans="1:18" x14ac:dyDescent="0.2">
      <c r="A2337" t="s">
        <v>4201</v>
      </c>
      <c r="B2337" t="s">
        <v>4204</v>
      </c>
      <c r="C2337">
        <v>2014</v>
      </c>
      <c r="D2337">
        <v>1</v>
      </c>
      <c r="E2337" t="s">
        <v>55</v>
      </c>
      <c r="F2337" t="s">
        <v>128</v>
      </c>
      <c r="G2337" t="s">
        <v>63</v>
      </c>
      <c r="H2337">
        <v>4</v>
      </c>
      <c r="I2337">
        <v>11.349392999999999</v>
      </c>
      <c r="J2337">
        <v>783</v>
      </c>
      <c r="M2337">
        <v>2.2999999999999998</v>
      </c>
      <c r="O2337">
        <v>0.20499999999999999</v>
      </c>
      <c r="R2337">
        <v>0.68</v>
      </c>
    </row>
    <row r="2338" spans="1:18" x14ac:dyDescent="0.2">
      <c r="A2338" t="s">
        <v>4201</v>
      </c>
      <c r="B2338" t="s">
        <v>4205</v>
      </c>
      <c r="C2338">
        <v>2014</v>
      </c>
      <c r="D2338">
        <v>1</v>
      </c>
      <c r="E2338" t="s">
        <v>55</v>
      </c>
      <c r="F2338" t="s">
        <v>128</v>
      </c>
      <c r="G2338" t="s">
        <v>63</v>
      </c>
      <c r="H2338">
        <v>4</v>
      </c>
      <c r="I2338">
        <v>18.643577000000001</v>
      </c>
      <c r="J2338">
        <v>783</v>
      </c>
      <c r="M2338">
        <v>1.97</v>
      </c>
      <c r="O2338">
        <v>0.17599999999999999</v>
      </c>
      <c r="R2338">
        <v>0.68</v>
      </c>
    </row>
    <row r="2339" spans="1:18" x14ac:dyDescent="0.2">
      <c r="A2339" t="s">
        <v>4206</v>
      </c>
      <c r="B2339" t="s">
        <v>4207</v>
      </c>
      <c r="C2339">
        <v>2014</v>
      </c>
      <c r="D2339">
        <v>1</v>
      </c>
      <c r="E2339" t="s">
        <v>55</v>
      </c>
      <c r="F2339" t="s">
        <v>128</v>
      </c>
      <c r="G2339" t="s">
        <v>63</v>
      </c>
      <c r="H2339">
        <v>2</v>
      </c>
      <c r="I2339">
        <v>6.7389749999999999</v>
      </c>
      <c r="J2339">
        <v>498</v>
      </c>
      <c r="M2339">
        <v>1.2</v>
      </c>
      <c r="O2339">
        <v>0.107</v>
      </c>
      <c r="R2339">
        <v>0.48</v>
      </c>
    </row>
    <row r="2340" spans="1:18" x14ac:dyDescent="0.2">
      <c r="A2340" t="s">
        <v>4206</v>
      </c>
      <c r="B2340" t="s">
        <v>4208</v>
      </c>
      <c r="C2340">
        <v>2014</v>
      </c>
      <c r="D2340">
        <v>1</v>
      </c>
      <c r="E2340" t="s">
        <v>55</v>
      </c>
      <c r="F2340" t="s">
        <v>128</v>
      </c>
      <c r="G2340" t="s">
        <v>63</v>
      </c>
      <c r="H2340">
        <v>2</v>
      </c>
      <c r="I2340">
        <v>18.794233999999999</v>
      </c>
      <c r="J2340">
        <v>498</v>
      </c>
      <c r="M2340">
        <v>1.84</v>
      </c>
      <c r="O2340">
        <v>0.16400000000000001</v>
      </c>
      <c r="R2340">
        <v>0.48</v>
      </c>
    </row>
    <row r="2341" spans="1:18" x14ac:dyDescent="0.2">
      <c r="A2341" t="s">
        <v>4209</v>
      </c>
      <c r="B2341" t="s">
        <v>4210</v>
      </c>
      <c r="C2341">
        <v>2014</v>
      </c>
      <c r="D2341">
        <v>1</v>
      </c>
      <c r="E2341" t="s">
        <v>55</v>
      </c>
      <c r="F2341" t="s">
        <v>128</v>
      </c>
      <c r="G2341" t="s">
        <v>63</v>
      </c>
      <c r="H2341">
        <v>3</v>
      </c>
      <c r="I2341">
        <v>3.9409969999999999</v>
      </c>
      <c r="J2341">
        <v>966</v>
      </c>
      <c r="M2341">
        <v>1.55</v>
      </c>
      <c r="O2341">
        <v>0.13800000000000001</v>
      </c>
      <c r="R2341">
        <v>0.8</v>
      </c>
    </row>
    <row r="2342" spans="1:18" x14ac:dyDescent="0.2">
      <c r="A2342" t="s">
        <v>4209</v>
      </c>
      <c r="B2342" t="s">
        <v>4211</v>
      </c>
      <c r="C2342">
        <v>2014</v>
      </c>
      <c r="D2342">
        <v>1</v>
      </c>
      <c r="E2342" t="s">
        <v>55</v>
      </c>
      <c r="F2342" t="s">
        <v>128</v>
      </c>
      <c r="G2342" t="s">
        <v>63</v>
      </c>
      <c r="H2342">
        <v>3</v>
      </c>
      <c r="I2342">
        <v>5.3495549999999996</v>
      </c>
      <c r="J2342">
        <v>966</v>
      </c>
      <c r="M2342">
        <v>2.27</v>
      </c>
      <c r="O2342">
        <v>0.20300000000000001</v>
      </c>
      <c r="R2342">
        <v>0.8</v>
      </c>
    </row>
    <row r="2343" spans="1:18" x14ac:dyDescent="0.2">
      <c r="A2343" t="s">
        <v>4209</v>
      </c>
      <c r="B2343" t="s">
        <v>4212</v>
      </c>
      <c r="C2343">
        <v>2014</v>
      </c>
      <c r="D2343">
        <v>1</v>
      </c>
      <c r="E2343" t="s">
        <v>55</v>
      </c>
      <c r="F2343" t="s">
        <v>128</v>
      </c>
      <c r="G2343" t="s">
        <v>63</v>
      </c>
      <c r="H2343">
        <v>3</v>
      </c>
      <c r="I2343">
        <v>8.1090440000000008</v>
      </c>
      <c r="J2343">
        <v>966</v>
      </c>
      <c r="M2343">
        <v>1.22</v>
      </c>
      <c r="O2343">
        <v>0.109</v>
      </c>
      <c r="R2343">
        <v>0.8</v>
      </c>
    </row>
    <row r="2344" spans="1:18" x14ac:dyDescent="0.2">
      <c r="A2344" t="s">
        <v>4213</v>
      </c>
      <c r="B2344" t="s">
        <v>4214</v>
      </c>
      <c r="C2344">
        <v>2014</v>
      </c>
      <c r="D2344">
        <v>1</v>
      </c>
      <c r="E2344" t="s">
        <v>55</v>
      </c>
      <c r="F2344" t="s">
        <v>128</v>
      </c>
      <c r="G2344" t="s">
        <v>63</v>
      </c>
      <c r="H2344">
        <v>2</v>
      </c>
      <c r="I2344">
        <v>9.4880150000000008</v>
      </c>
      <c r="J2344">
        <v>1095</v>
      </c>
      <c r="M2344">
        <v>3.11</v>
      </c>
      <c r="O2344">
        <v>0.27700000000000002</v>
      </c>
      <c r="R2344">
        <v>1.0900000000000001</v>
      </c>
    </row>
    <row r="2345" spans="1:18" x14ac:dyDescent="0.2">
      <c r="A2345" t="s">
        <v>4213</v>
      </c>
      <c r="B2345" t="s">
        <v>4215</v>
      </c>
      <c r="C2345">
        <v>2014</v>
      </c>
      <c r="D2345">
        <v>1</v>
      </c>
      <c r="E2345" t="s">
        <v>55</v>
      </c>
      <c r="F2345" t="s">
        <v>128</v>
      </c>
      <c r="G2345" t="s">
        <v>63</v>
      </c>
      <c r="H2345">
        <v>2</v>
      </c>
      <c r="I2345">
        <v>54.418694000000002</v>
      </c>
      <c r="J2345">
        <v>1095</v>
      </c>
      <c r="M2345">
        <v>3.04</v>
      </c>
      <c r="O2345">
        <v>0.27100000000000002</v>
      </c>
      <c r="R2345">
        <v>1.0900000000000001</v>
      </c>
    </row>
    <row r="2346" spans="1:18" x14ac:dyDescent="0.2">
      <c r="A2346" t="s">
        <v>4216</v>
      </c>
      <c r="B2346" t="s">
        <v>4217</v>
      </c>
      <c r="C2346">
        <v>2014</v>
      </c>
      <c r="D2346">
        <v>1</v>
      </c>
      <c r="E2346" t="s">
        <v>55</v>
      </c>
      <c r="F2346" t="s">
        <v>128</v>
      </c>
      <c r="G2346" t="s">
        <v>63</v>
      </c>
      <c r="H2346">
        <v>3</v>
      </c>
      <c r="I2346">
        <v>2.5665460000000002</v>
      </c>
      <c r="J2346">
        <v>1307</v>
      </c>
      <c r="M2346">
        <v>1.53</v>
      </c>
      <c r="O2346">
        <v>0.13600000000000001</v>
      </c>
      <c r="R2346">
        <v>1.01</v>
      </c>
    </row>
    <row r="2347" spans="1:18" x14ac:dyDescent="0.2">
      <c r="A2347" t="s">
        <v>4216</v>
      </c>
      <c r="B2347" t="s">
        <v>4218</v>
      </c>
      <c r="C2347">
        <v>2014</v>
      </c>
      <c r="D2347">
        <v>1</v>
      </c>
      <c r="E2347" t="s">
        <v>55</v>
      </c>
      <c r="F2347" t="s">
        <v>128</v>
      </c>
      <c r="G2347" t="s">
        <v>63</v>
      </c>
      <c r="H2347">
        <v>3</v>
      </c>
      <c r="I2347">
        <v>4.1344440000000002</v>
      </c>
      <c r="J2347">
        <v>1307</v>
      </c>
      <c r="M2347">
        <v>2.7</v>
      </c>
      <c r="O2347">
        <v>0.24099999999999999</v>
      </c>
      <c r="R2347">
        <v>1.01</v>
      </c>
    </row>
    <row r="2348" spans="1:18" x14ac:dyDescent="0.2">
      <c r="A2348" t="s">
        <v>4216</v>
      </c>
      <c r="B2348" t="s">
        <v>4219</v>
      </c>
      <c r="C2348">
        <v>2014</v>
      </c>
      <c r="D2348">
        <v>1</v>
      </c>
      <c r="E2348" t="s">
        <v>55</v>
      </c>
      <c r="F2348" t="s">
        <v>128</v>
      </c>
      <c r="G2348" t="s">
        <v>63</v>
      </c>
      <c r="H2348">
        <v>3</v>
      </c>
      <c r="I2348">
        <v>11.094286</v>
      </c>
      <c r="J2348">
        <v>1307</v>
      </c>
      <c r="M2348">
        <v>4.04</v>
      </c>
      <c r="O2348">
        <v>0.36</v>
      </c>
      <c r="R2348">
        <v>1.01</v>
      </c>
    </row>
    <row r="2349" spans="1:18" x14ac:dyDescent="0.2">
      <c r="A2349" t="s">
        <v>4220</v>
      </c>
      <c r="B2349" t="s">
        <v>4221</v>
      </c>
      <c r="C2349">
        <v>2014</v>
      </c>
      <c r="D2349">
        <v>1</v>
      </c>
      <c r="E2349" t="s">
        <v>55</v>
      </c>
      <c r="F2349" t="s">
        <v>128</v>
      </c>
      <c r="G2349" t="s">
        <v>63</v>
      </c>
      <c r="H2349">
        <v>3</v>
      </c>
      <c r="I2349">
        <v>6.2529719999999998</v>
      </c>
      <c r="J2349">
        <v>877</v>
      </c>
      <c r="M2349">
        <v>2.2000000000000002</v>
      </c>
      <c r="O2349">
        <v>0.19600000000000001</v>
      </c>
      <c r="R2349">
        <v>0.73</v>
      </c>
    </row>
    <row r="2350" spans="1:18" x14ac:dyDescent="0.2">
      <c r="A2350" t="s">
        <v>4220</v>
      </c>
      <c r="B2350" t="s">
        <v>4222</v>
      </c>
      <c r="C2350">
        <v>2014</v>
      </c>
      <c r="D2350">
        <v>1</v>
      </c>
      <c r="E2350" t="s">
        <v>55</v>
      </c>
      <c r="F2350" t="s">
        <v>128</v>
      </c>
      <c r="G2350" t="s">
        <v>63</v>
      </c>
      <c r="H2350">
        <v>3</v>
      </c>
      <c r="I2350">
        <v>16.068638</v>
      </c>
      <c r="J2350">
        <v>877</v>
      </c>
      <c r="M2350">
        <v>4.92</v>
      </c>
      <c r="O2350">
        <v>0.439</v>
      </c>
      <c r="R2350">
        <v>0.73</v>
      </c>
    </row>
    <row r="2351" spans="1:18" x14ac:dyDescent="0.2">
      <c r="A2351" t="s">
        <v>4220</v>
      </c>
      <c r="B2351" t="s">
        <v>4223</v>
      </c>
      <c r="C2351">
        <v>2014</v>
      </c>
      <c r="D2351">
        <v>1</v>
      </c>
      <c r="E2351" t="s">
        <v>55</v>
      </c>
      <c r="F2351" t="s">
        <v>128</v>
      </c>
      <c r="G2351" t="s">
        <v>63</v>
      </c>
      <c r="H2351">
        <v>3</v>
      </c>
      <c r="I2351">
        <v>41.194912000000002</v>
      </c>
      <c r="J2351">
        <v>877</v>
      </c>
      <c r="M2351">
        <v>3.85</v>
      </c>
      <c r="O2351">
        <v>0.34300000000000003</v>
      </c>
      <c r="R2351">
        <v>0.73</v>
      </c>
    </row>
    <row r="2352" spans="1:18" x14ac:dyDescent="0.2">
      <c r="A2352" t="s">
        <v>4224</v>
      </c>
      <c r="B2352" t="s">
        <v>4225</v>
      </c>
      <c r="C2352">
        <v>2011</v>
      </c>
      <c r="D2352">
        <v>1</v>
      </c>
      <c r="E2352" t="s">
        <v>55</v>
      </c>
      <c r="F2352" t="s">
        <v>128</v>
      </c>
      <c r="G2352" t="s">
        <v>63</v>
      </c>
      <c r="H2352">
        <v>3</v>
      </c>
      <c r="I2352">
        <v>7.1073000000000004</v>
      </c>
      <c r="J2352">
        <v>800</v>
      </c>
      <c r="L2352">
        <v>254.3</v>
      </c>
      <c r="M2352">
        <v>1.9</v>
      </c>
      <c r="N2352">
        <v>0.8</v>
      </c>
      <c r="O2352">
        <v>0.17</v>
      </c>
      <c r="R2352">
        <v>1.55</v>
      </c>
    </row>
    <row r="2353" spans="1:18" x14ac:dyDescent="0.2">
      <c r="A2353" t="s">
        <v>4224</v>
      </c>
      <c r="B2353" t="s">
        <v>4226</v>
      </c>
      <c r="C2353">
        <v>2011</v>
      </c>
      <c r="D2353">
        <v>1</v>
      </c>
      <c r="E2353" t="s">
        <v>55</v>
      </c>
      <c r="F2353" t="s">
        <v>128</v>
      </c>
      <c r="G2353" t="s">
        <v>63</v>
      </c>
      <c r="H2353">
        <v>3</v>
      </c>
      <c r="I2353">
        <v>10.742100000000001</v>
      </c>
      <c r="J2353">
        <v>800</v>
      </c>
      <c r="L2353">
        <v>858.1</v>
      </c>
      <c r="M2353">
        <v>3.2</v>
      </c>
      <c r="N2353">
        <v>2.7</v>
      </c>
      <c r="O2353">
        <v>0.28499999999999998</v>
      </c>
      <c r="R2353">
        <v>1.55</v>
      </c>
    </row>
    <row r="2354" spans="1:18" x14ac:dyDescent="0.2">
      <c r="A2354" t="s">
        <v>4224</v>
      </c>
      <c r="B2354" t="s">
        <v>4227</v>
      </c>
      <c r="C2354">
        <v>2014</v>
      </c>
      <c r="D2354">
        <v>1</v>
      </c>
      <c r="E2354" t="s">
        <v>55</v>
      </c>
      <c r="F2354" t="s">
        <v>128</v>
      </c>
      <c r="G2354" t="s">
        <v>63</v>
      </c>
      <c r="H2354">
        <v>3</v>
      </c>
      <c r="I2354">
        <v>15.274298999999999</v>
      </c>
      <c r="J2354">
        <v>800</v>
      </c>
      <c r="M2354">
        <v>2.2000000000000002</v>
      </c>
      <c r="O2354">
        <v>0.19600000000000001</v>
      </c>
      <c r="R2354">
        <v>1.55</v>
      </c>
    </row>
    <row r="2355" spans="1:18" x14ac:dyDescent="0.2">
      <c r="A2355" t="s">
        <v>4228</v>
      </c>
      <c r="B2355" t="s">
        <v>4229</v>
      </c>
      <c r="C2355">
        <v>2014</v>
      </c>
      <c r="D2355">
        <v>1</v>
      </c>
      <c r="E2355" t="s">
        <v>55</v>
      </c>
      <c r="F2355" t="s">
        <v>128</v>
      </c>
      <c r="G2355" t="s">
        <v>63</v>
      </c>
      <c r="H2355">
        <v>2</v>
      </c>
      <c r="I2355">
        <v>32.625554999999999</v>
      </c>
      <c r="J2355">
        <v>775</v>
      </c>
      <c r="M2355">
        <v>4.26</v>
      </c>
      <c r="O2355">
        <v>0.38</v>
      </c>
      <c r="R2355">
        <v>0.82</v>
      </c>
    </row>
    <row r="2356" spans="1:18" x14ac:dyDescent="0.2">
      <c r="A2356" t="s">
        <v>4228</v>
      </c>
      <c r="B2356" t="s">
        <v>4230</v>
      </c>
      <c r="C2356">
        <v>2014</v>
      </c>
      <c r="D2356">
        <v>1</v>
      </c>
      <c r="E2356" t="s">
        <v>55</v>
      </c>
      <c r="F2356" t="s">
        <v>128</v>
      </c>
      <c r="G2356" t="s">
        <v>63</v>
      </c>
      <c r="H2356">
        <v>2</v>
      </c>
      <c r="I2356">
        <v>91.773241999999996</v>
      </c>
      <c r="J2356">
        <v>775</v>
      </c>
      <c r="M2356">
        <v>2.04</v>
      </c>
      <c r="O2356">
        <v>0.182</v>
      </c>
      <c r="R2356">
        <v>0.82</v>
      </c>
    </row>
    <row r="2357" spans="1:18" x14ac:dyDescent="0.2">
      <c r="A2357" t="s">
        <v>4231</v>
      </c>
      <c r="B2357" t="s">
        <v>4232</v>
      </c>
      <c r="C2357">
        <v>2014</v>
      </c>
      <c r="D2357">
        <v>1</v>
      </c>
      <c r="E2357" t="s">
        <v>55</v>
      </c>
      <c r="F2357" t="s">
        <v>128</v>
      </c>
      <c r="G2357" t="s">
        <v>63</v>
      </c>
      <c r="H2357">
        <v>2</v>
      </c>
      <c r="I2357">
        <v>10.065275</v>
      </c>
      <c r="J2357">
        <v>325</v>
      </c>
      <c r="M2357">
        <v>1.73</v>
      </c>
      <c r="O2357">
        <v>0.154</v>
      </c>
      <c r="R2357">
        <v>0.49</v>
      </c>
    </row>
    <row r="2358" spans="1:18" x14ac:dyDescent="0.2">
      <c r="A2358" t="s">
        <v>4231</v>
      </c>
      <c r="B2358" t="s">
        <v>4233</v>
      </c>
      <c r="C2358">
        <v>2014</v>
      </c>
      <c r="D2358">
        <v>1</v>
      </c>
      <c r="E2358" t="s">
        <v>55</v>
      </c>
      <c r="F2358" t="s">
        <v>128</v>
      </c>
      <c r="G2358" t="s">
        <v>63</v>
      </c>
      <c r="H2358">
        <v>2</v>
      </c>
      <c r="I2358">
        <v>19.271566</v>
      </c>
      <c r="J2358">
        <v>325</v>
      </c>
      <c r="M2358">
        <v>1.93</v>
      </c>
      <c r="O2358">
        <v>0.17199999999999999</v>
      </c>
      <c r="R2358">
        <v>0.49</v>
      </c>
    </row>
    <row r="2359" spans="1:18" x14ac:dyDescent="0.2">
      <c r="A2359" t="s">
        <v>4234</v>
      </c>
      <c r="B2359" t="s">
        <v>4235</v>
      </c>
      <c r="C2359">
        <v>2014</v>
      </c>
      <c r="D2359">
        <v>1</v>
      </c>
      <c r="E2359" t="s">
        <v>55</v>
      </c>
      <c r="F2359" t="s">
        <v>128</v>
      </c>
      <c r="G2359" t="s">
        <v>63</v>
      </c>
      <c r="H2359">
        <v>2</v>
      </c>
      <c r="I2359">
        <v>4.431222</v>
      </c>
      <c r="J2359">
        <v>1155</v>
      </c>
      <c r="M2359">
        <v>3.08</v>
      </c>
      <c r="O2359">
        <v>0.27500000000000002</v>
      </c>
      <c r="R2359">
        <v>0.97</v>
      </c>
    </row>
    <row r="2360" spans="1:18" x14ac:dyDescent="0.2">
      <c r="A2360" t="s">
        <v>4234</v>
      </c>
      <c r="B2360" t="s">
        <v>4236</v>
      </c>
      <c r="C2360">
        <v>2014</v>
      </c>
      <c r="D2360">
        <v>1</v>
      </c>
      <c r="E2360" t="s">
        <v>55</v>
      </c>
      <c r="F2360" t="s">
        <v>128</v>
      </c>
      <c r="G2360" t="s">
        <v>63</v>
      </c>
      <c r="H2360">
        <v>2</v>
      </c>
      <c r="I2360">
        <v>11.379348999999999</v>
      </c>
      <c r="J2360">
        <v>1155</v>
      </c>
      <c r="M2360">
        <v>3.83</v>
      </c>
      <c r="O2360">
        <v>0.34200000000000003</v>
      </c>
      <c r="R2360">
        <v>0.97</v>
      </c>
    </row>
    <row r="2361" spans="1:18" x14ac:dyDescent="0.2">
      <c r="A2361" t="s">
        <v>4237</v>
      </c>
      <c r="B2361" t="s">
        <v>4238</v>
      </c>
      <c r="C2361">
        <v>2014</v>
      </c>
      <c r="D2361">
        <v>1</v>
      </c>
      <c r="E2361" t="s">
        <v>55</v>
      </c>
      <c r="F2361" t="s">
        <v>128</v>
      </c>
      <c r="G2361" t="s">
        <v>63</v>
      </c>
      <c r="H2361">
        <v>2</v>
      </c>
      <c r="I2361">
        <v>8.4723819999999996</v>
      </c>
      <c r="J2361">
        <v>825</v>
      </c>
      <c r="M2361">
        <v>2.4300000000000002</v>
      </c>
      <c r="O2361">
        <v>0.217</v>
      </c>
      <c r="R2361">
        <v>0.76</v>
      </c>
    </row>
    <row r="2362" spans="1:18" x14ac:dyDescent="0.2">
      <c r="A2362" t="s">
        <v>4237</v>
      </c>
      <c r="B2362" t="s">
        <v>4239</v>
      </c>
      <c r="C2362">
        <v>2014</v>
      </c>
      <c r="D2362">
        <v>1</v>
      </c>
      <c r="E2362" t="s">
        <v>55</v>
      </c>
      <c r="F2362" t="s">
        <v>128</v>
      </c>
      <c r="G2362" t="s">
        <v>63</v>
      </c>
      <c r="H2362">
        <v>2</v>
      </c>
      <c r="I2362">
        <v>60.418954999999997</v>
      </c>
      <c r="J2362">
        <v>825</v>
      </c>
      <c r="M2362">
        <v>2.71</v>
      </c>
      <c r="O2362">
        <v>0.24199999999999999</v>
      </c>
      <c r="R2362">
        <v>0.76</v>
      </c>
    </row>
    <row r="2363" spans="1:18" x14ac:dyDescent="0.2">
      <c r="A2363" t="s">
        <v>4240</v>
      </c>
      <c r="B2363" t="s">
        <v>4241</v>
      </c>
      <c r="C2363">
        <v>2014</v>
      </c>
      <c r="D2363">
        <v>1</v>
      </c>
      <c r="E2363" t="s">
        <v>55</v>
      </c>
      <c r="F2363" t="s">
        <v>128</v>
      </c>
      <c r="G2363" t="s">
        <v>63</v>
      </c>
      <c r="H2363">
        <v>2</v>
      </c>
      <c r="I2363">
        <v>2.711506</v>
      </c>
      <c r="J2363">
        <v>1651</v>
      </c>
      <c r="M2363">
        <v>3.7</v>
      </c>
      <c r="O2363">
        <v>0.33</v>
      </c>
      <c r="R2363">
        <v>1.1100000000000001</v>
      </c>
    </row>
    <row r="2364" spans="1:18" x14ac:dyDescent="0.2">
      <c r="A2364" t="s">
        <v>4240</v>
      </c>
      <c r="B2364" t="s">
        <v>4242</v>
      </c>
      <c r="C2364">
        <v>2014</v>
      </c>
      <c r="D2364">
        <v>1</v>
      </c>
      <c r="E2364" t="s">
        <v>55</v>
      </c>
      <c r="F2364" t="s">
        <v>128</v>
      </c>
      <c r="G2364" t="s">
        <v>63</v>
      </c>
      <c r="H2364">
        <v>2</v>
      </c>
      <c r="I2364">
        <v>7.2120499999999996</v>
      </c>
      <c r="J2364">
        <v>1651</v>
      </c>
      <c r="M2364">
        <v>3.51</v>
      </c>
      <c r="O2364">
        <v>0.313</v>
      </c>
      <c r="R2364">
        <v>1.1100000000000001</v>
      </c>
    </row>
    <row r="2365" spans="1:18" x14ac:dyDescent="0.2">
      <c r="A2365" t="s">
        <v>4243</v>
      </c>
      <c r="B2365" t="s">
        <v>4244</v>
      </c>
      <c r="C2365">
        <v>2014</v>
      </c>
      <c r="D2365">
        <v>1</v>
      </c>
      <c r="E2365" t="s">
        <v>55</v>
      </c>
      <c r="F2365" t="s">
        <v>128</v>
      </c>
      <c r="G2365" t="s">
        <v>63</v>
      </c>
      <c r="H2365">
        <v>4</v>
      </c>
      <c r="I2365">
        <v>3.3402219999999998</v>
      </c>
      <c r="J2365">
        <v>369</v>
      </c>
      <c r="M2365">
        <v>2.23</v>
      </c>
      <c r="O2365">
        <v>0.19900000000000001</v>
      </c>
      <c r="R2365">
        <v>0.55000000000000004</v>
      </c>
    </row>
    <row r="2366" spans="1:18" x14ac:dyDescent="0.2">
      <c r="A2366" t="s">
        <v>4243</v>
      </c>
      <c r="B2366" t="s">
        <v>4245</v>
      </c>
      <c r="C2366">
        <v>2014</v>
      </c>
      <c r="D2366">
        <v>1</v>
      </c>
      <c r="E2366" t="s">
        <v>55</v>
      </c>
      <c r="F2366" t="s">
        <v>128</v>
      </c>
      <c r="G2366" t="s">
        <v>63</v>
      </c>
      <c r="H2366">
        <v>4</v>
      </c>
      <c r="I2366">
        <v>7.8249040000000001</v>
      </c>
      <c r="J2366">
        <v>369</v>
      </c>
      <c r="M2366">
        <v>1.28</v>
      </c>
      <c r="O2366">
        <v>0.114</v>
      </c>
      <c r="R2366">
        <v>0.55000000000000004</v>
      </c>
    </row>
    <row r="2367" spans="1:18" x14ac:dyDescent="0.2">
      <c r="A2367" t="s">
        <v>4243</v>
      </c>
      <c r="B2367" t="s">
        <v>4246</v>
      </c>
      <c r="C2367">
        <v>2014</v>
      </c>
      <c r="D2367">
        <v>1</v>
      </c>
      <c r="E2367" t="s">
        <v>55</v>
      </c>
      <c r="F2367" t="s">
        <v>128</v>
      </c>
      <c r="G2367" t="s">
        <v>63</v>
      </c>
      <c r="H2367">
        <v>4</v>
      </c>
      <c r="I2367">
        <v>20.060548000000001</v>
      </c>
      <c r="J2367">
        <v>369</v>
      </c>
      <c r="M2367">
        <v>2.0499999999999998</v>
      </c>
      <c r="O2367">
        <v>0.183</v>
      </c>
      <c r="R2367">
        <v>0.55000000000000004</v>
      </c>
    </row>
    <row r="2368" spans="1:18" x14ac:dyDescent="0.2">
      <c r="A2368" t="s">
        <v>4243</v>
      </c>
      <c r="B2368" t="s">
        <v>4247</v>
      </c>
      <c r="C2368">
        <v>2014</v>
      </c>
      <c r="D2368">
        <v>1</v>
      </c>
      <c r="E2368" t="s">
        <v>55</v>
      </c>
      <c r="F2368" t="s">
        <v>128</v>
      </c>
      <c r="G2368" t="s">
        <v>63</v>
      </c>
      <c r="H2368">
        <v>4</v>
      </c>
      <c r="I2368">
        <v>46.183669000000002</v>
      </c>
      <c r="J2368">
        <v>369</v>
      </c>
      <c r="M2368">
        <v>2.2200000000000002</v>
      </c>
      <c r="O2368">
        <v>0.19800000000000001</v>
      </c>
      <c r="R2368">
        <v>0.55000000000000004</v>
      </c>
    </row>
    <row r="2369" spans="1:18" x14ac:dyDescent="0.2">
      <c r="A2369" t="s">
        <v>4248</v>
      </c>
      <c r="B2369" t="s">
        <v>4249</v>
      </c>
      <c r="C2369">
        <v>2014</v>
      </c>
      <c r="D2369">
        <v>1</v>
      </c>
      <c r="E2369" t="s">
        <v>55</v>
      </c>
      <c r="F2369" t="s">
        <v>128</v>
      </c>
      <c r="G2369" t="s">
        <v>63</v>
      </c>
      <c r="H2369">
        <v>2</v>
      </c>
      <c r="I2369">
        <v>8.2956109999999992</v>
      </c>
      <c r="J2369">
        <v>265</v>
      </c>
      <c r="M2369">
        <v>1.57</v>
      </c>
      <c r="O2369">
        <v>0.14000000000000001</v>
      </c>
      <c r="R2369">
        <v>0.51</v>
      </c>
    </row>
    <row r="2370" spans="1:18" x14ac:dyDescent="0.2">
      <c r="A2370" t="s">
        <v>4248</v>
      </c>
      <c r="B2370" t="s">
        <v>4250</v>
      </c>
      <c r="C2370">
        <v>2014</v>
      </c>
      <c r="D2370">
        <v>1</v>
      </c>
      <c r="E2370" t="s">
        <v>55</v>
      </c>
      <c r="F2370" t="s">
        <v>128</v>
      </c>
      <c r="G2370" t="s">
        <v>63</v>
      </c>
      <c r="H2370">
        <v>2</v>
      </c>
      <c r="I2370">
        <v>23.968126999999999</v>
      </c>
      <c r="J2370">
        <v>265</v>
      </c>
      <c r="M2370">
        <v>2</v>
      </c>
      <c r="O2370">
        <v>0.17799999999999999</v>
      </c>
      <c r="R2370">
        <v>0.51</v>
      </c>
    </row>
    <row r="2371" spans="1:18" x14ac:dyDescent="0.2">
      <c r="A2371" t="s">
        <v>4251</v>
      </c>
      <c r="B2371" t="s">
        <v>4252</v>
      </c>
      <c r="C2371">
        <v>2014</v>
      </c>
      <c r="D2371">
        <v>1</v>
      </c>
      <c r="E2371" t="s">
        <v>55</v>
      </c>
      <c r="F2371" t="s">
        <v>128</v>
      </c>
      <c r="G2371" t="s">
        <v>63</v>
      </c>
      <c r="H2371">
        <v>2</v>
      </c>
      <c r="I2371">
        <v>4.7151059999999996</v>
      </c>
      <c r="J2371">
        <v>647</v>
      </c>
      <c r="M2371">
        <v>1.41</v>
      </c>
      <c r="O2371">
        <v>0.126</v>
      </c>
      <c r="R2371">
        <v>0.72</v>
      </c>
    </row>
    <row r="2372" spans="1:18" x14ac:dyDescent="0.2">
      <c r="A2372" t="s">
        <v>4251</v>
      </c>
      <c r="B2372" t="s">
        <v>4253</v>
      </c>
      <c r="C2372">
        <v>2014</v>
      </c>
      <c r="D2372">
        <v>1</v>
      </c>
      <c r="E2372" t="s">
        <v>55</v>
      </c>
      <c r="F2372" t="s">
        <v>128</v>
      </c>
      <c r="G2372" t="s">
        <v>63</v>
      </c>
      <c r="H2372">
        <v>2</v>
      </c>
      <c r="I2372">
        <v>8.1036359999999998</v>
      </c>
      <c r="J2372">
        <v>647</v>
      </c>
      <c r="M2372">
        <v>2.08</v>
      </c>
      <c r="O2372">
        <v>0.186</v>
      </c>
      <c r="R2372">
        <v>0.72</v>
      </c>
    </row>
    <row r="2373" spans="1:18" x14ac:dyDescent="0.2">
      <c r="A2373" t="s">
        <v>4254</v>
      </c>
      <c r="B2373" t="s">
        <v>4255</v>
      </c>
      <c r="C2373">
        <v>2014</v>
      </c>
      <c r="D2373">
        <v>1</v>
      </c>
      <c r="E2373" t="s">
        <v>55</v>
      </c>
      <c r="F2373" t="s">
        <v>128</v>
      </c>
      <c r="G2373" t="s">
        <v>63</v>
      </c>
      <c r="H2373">
        <v>5</v>
      </c>
      <c r="I2373">
        <v>2.0908760000000002</v>
      </c>
      <c r="J2373">
        <v>1369</v>
      </c>
      <c r="M2373">
        <v>1.73</v>
      </c>
      <c r="O2373">
        <v>0.154</v>
      </c>
      <c r="R2373">
        <v>1.43</v>
      </c>
    </row>
    <row r="2374" spans="1:18" x14ac:dyDescent="0.2">
      <c r="A2374" t="s">
        <v>4254</v>
      </c>
      <c r="B2374" t="s">
        <v>4256</v>
      </c>
      <c r="C2374">
        <v>2014</v>
      </c>
      <c r="D2374">
        <v>1</v>
      </c>
      <c r="E2374" t="s">
        <v>55</v>
      </c>
      <c r="F2374" t="s">
        <v>128</v>
      </c>
      <c r="G2374" t="s">
        <v>63</v>
      </c>
      <c r="H2374">
        <v>5</v>
      </c>
      <c r="I2374">
        <v>6.1555569999999999</v>
      </c>
      <c r="J2374">
        <v>1369</v>
      </c>
      <c r="M2374">
        <v>2.39</v>
      </c>
      <c r="O2374">
        <v>0.21299999999999999</v>
      </c>
      <c r="R2374">
        <v>1.43</v>
      </c>
    </row>
    <row r="2375" spans="1:18" x14ac:dyDescent="0.2">
      <c r="A2375" t="s">
        <v>4254</v>
      </c>
      <c r="B2375" t="s">
        <v>4257</v>
      </c>
      <c r="C2375">
        <v>2014</v>
      </c>
      <c r="D2375">
        <v>1</v>
      </c>
      <c r="E2375" t="s">
        <v>55</v>
      </c>
      <c r="F2375" t="s">
        <v>128</v>
      </c>
      <c r="G2375" t="s">
        <v>63</v>
      </c>
      <c r="H2375">
        <v>5</v>
      </c>
      <c r="I2375">
        <v>13.233549</v>
      </c>
      <c r="J2375">
        <v>1369</v>
      </c>
      <c r="M2375">
        <v>3.07</v>
      </c>
      <c r="O2375">
        <v>0.27400000000000002</v>
      </c>
      <c r="R2375">
        <v>1.43</v>
      </c>
    </row>
    <row r="2376" spans="1:18" x14ac:dyDescent="0.2">
      <c r="A2376" t="s">
        <v>4254</v>
      </c>
      <c r="B2376" t="s">
        <v>4258</v>
      </c>
      <c r="C2376">
        <v>2013</v>
      </c>
      <c r="D2376">
        <v>1</v>
      </c>
      <c r="E2376" t="s">
        <v>55</v>
      </c>
      <c r="F2376" t="s">
        <v>128</v>
      </c>
      <c r="G2376" t="s">
        <v>63</v>
      </c>
      <c r="H2376">
        <v>5</v>
      </c>
      <c r="I2376">
        <v>23.654</v>
      </c>
      <c r="J2376">
        <v>1369</v>
      </c>
      <c r="L2376">
        <v>169.7</v>
      </c>
      <c r="M2376">
        <v>5.6</v>
      </c>
      <c r="N2376">
        <v>0.53400000000000003</v>
      </c>
      <c r="O2376">
        <v>0.5</v>
      </c>
      <c r="R2376">
        <v>1.43</v>
      </c>
    </row>
    <row r="2377" spans="1:18" x14ac:dyDescent="0.2">
      <c r="A2377" t="s">
        <v>4254</v>
      </c>
      <c r="B2377" t="s">
        <v>4259</v>
      </c>
      <c r="C2377">
        <v>2013</v>
      </c>
      <c r="D2377">
        <v>1</v>
      </c>
      <c r="E2377" t="s">
        <v>55</v>
      </c>
      <c r="F2377" t="s">
        <v>128</v>
      </c>
      <c r="G2377" t="s">
        <v>63</v>
      </c>
      <c r="H2377">
        <v>5</v>
      </c>
      <c r="I2377">
        <v>50.447000000000003</v>
      </c>
      <c r="J2377">
        <v>1369</v>
      </c>
      <c r="L2377">
        <v>13.5</v>
      </c>
      <c r="M2377">
        <v>2</v>
      </c>
      <c r="N2377">
        <v>4.2000000000000003E-2</v>
      </c>
      <c r="O2377">
        <v>0.17799999999999999</v>
      </c>
      <c r="R2377">
        <v>1.43</v>
      </c>
    </row>
    <row r="2378" spans="1:18" x14ac:dyDescent="0.2">
      <c r="A2378" t="s">
        <v>4260</v>
      </c>
      <c r="B2378" t="s">
        <v>4261</v>
      </c>
      <c r="C2378">
        <v>2014</v>
      </c>
      <c r="D2378">
        <v>1</v>
      </c>
      <c r="E2378" t="s">
        <v>55</v>
      </c>
      <c r="F2378" t="s">
        <v>128</v>
      </c>
      <c r="G2378" t="s">
        <v>63</v>
      </c>
      <c r="H2378">
        <v>2</v>
      </c>
      <c r="I2378">
        <v>11.763051000000001</v>
      </c>
      <c r="J2378">
        <v>658</v>
      </c>
      <c r="M2378">
        <v>2.33</v>
      </c>
      <c r="O2378">
        <v>0.20799999999999999</v>
      </c>
      <c r="R2378">
        <v>0.76</v>
      </c>
    </row>
    <row r="2379" spans="1:18" x14ac:dyDescent="0.2">
      <c r="A2379" t="s">
        <v>4260</v>
      </c>
      <c r="B2379" t="s">
        <v>4262</v>
      </c>
      <c r="C2379">
        <v>2014</v>
      </c>
      <c r="D2379">
        <v>1</v>
      </c>
      <c r="E2379" t="s">
        <v>55</v>
      </c>
      <c r="F2379" t="s">
        <v>128</v>
      </c>
      <c r="G2379" t="s">
        <v>63</v>
      </c>
      <c r="H2379">
        <v>2</v>
      </c>
      <c r="I2379">
        <v>56.228098000000003</v>
      </c>
      <c r="J2379">
        <v>658</v>
      </c>
      <c r="M2379">
        <v>2.5099999999999998</v>
      </c>
      <c r="O2379">
        <v>0.224</v>
      </c>
      <c r="R2379">
        <v>0.76</v>
      </c>
    </row>
    <row r="2380" spans="1:18" x14ac:dyDescent="0.2">
      <c r="A2380" t="s">
        <v>4263</v>
      </c>
      <c r="B2380" t="s">
        <v>4264</v>
      </c>
      <c r="C2380">
        <v>2011</v>
      </c>
      <c r="D2380">
        <v>1</v>
      </c>
      <c r="E2380" t="s">
        <v>55</v>
      </c>
      <c r="F2380" t="s">
        <v>128</v>
      </c>
      <c r="G2380" t="s">
        <v>63</v>
      </c>
      <c r="H2380">
        <v>4</v>
      </c>
      <c r="I2380">
        <v>8.1453000000000007</v>
      </c>
      <c r="J2380">
        <v>1200</v>
      </c>
      <c r="L2380">
        <v>508.5</v>
      </c>
      <c r="M2380">
        <v>2.4</v>
      </c>
      <c r="N2380">
        <v>1.6</v>
      </c>
      <c r="O2380">
        <v>0.214</v>
      </c>
      <c r="R2380">
        <v>1.29</v>
      </c>
    </row>
    <row r="2381" spans="1:18" x14ac:dyDescent="0.2">
      <c r="A2381" t="s">
        <v>4263</v>
      </c>
      <c r="B2381" t="s">
        <v>4265</v>
      </c>
      <c r="C2381">
        <v>2011</v>
      </c>
      <c r="D2381">
        <v>1</v>
      </c>
      <c r="E2381" t="s">
        <v>55</v>
      </c>
      <c r="F2381" t="s">
        <v>128</v>
      </c>
      <c r="G2381" t="s">
        <v>63</v>
      </c>
      <c r="H2381">
        <v>4</v>
      </c>
      <c r="I2381">
        <v>12.333500000000001</v>
      </c>
      <c r="J2381">
        <v>1200</v>
      </c>
      <c r="L2381">
        <v>508.5</v>
      </c>
      <c r="M2381">
        <v>2.8</v>
      </c>
      <c r="N2381">
        <v>1.6</v>
      </c>
      <c r="O2381">
        <v>0.25</v>
      </c>
      <c r="R2381">
        <v>1.29</v>
      </c>
    </row>
    <row r="2382" spans="1:18" x14ac:dyDescent="0.2">
      <c r="A2382" t="s">
        <v>4263</v>
      </c>
      <c r="B2382" t="s">
        <v>4266</v>
      </c>
      <c r="C2382">
        <v>2014</v>
      </c>
      <c r="D2382">
        <v>1</v>
      </c>
      <c r="E2382" t="s">
        <v>55</v>
      </c>
      <c r="F2382" t="s">
        <v>128</v>
      </c>
      <c r="G2382" t="s">
        <v>63</v>
      </c>
      <c r="H2382">
        <v>4</v>
      </c>
      <c r="I2382">
        <v>4.2443840000000002</v>
      </c>
      <c r="J2382">
        <v>1200</v>
      </c>
      <c r="M2382">
        <v>1.67</v>
      </c>
      <c r="O2382">
        <v>0.14899999999999999</v>
      </c>
      <c r="R2382">
        <v>1.29</v>
      </c>
    </row>
    <row r="2383" spans="1:18" x14ac:dyDescent="0.2">
      <c r="A2383" t="s">
        <v>4263</v>
      </c>
      <c r="B2383" t="s">
        <v>4267</v>
      </c>
      <c r="C2383">
        <v>2014</v>
      </c>
      <c r="D2383">
        <v>1</v>
      </c>
      <c r="E2383" t="s">
        <v>55</v>
      </c>
      <c r="F2383" t="s">
        <v>128</v>
      </c>
      <c r="G2383" t="s">
        <v>63</v>
      </c>
      <c r="H2383">
        <v>4</v>
      </c>
      <c r="I2383">
        <v>18.998355</v>
      </c>
      <c r="J2383">
        <v>1200</v>
      </c>
      <c r="M2383">
        <v>2.78</v>
      </c>
      <c r="O2383">
        <v>0.248</v>
      </c>
      <c r="R2383">
        <v>1.29</v>
      </c>
    </row>
    <row r="2384" spans="1:18" x14ac:dyDescent="0.2">
      <c r="A2384" t="s">
        <v>4268</v>
      </c>
      <c r="B2384" t="s">
        <v>4269</v>
      </c>
      <c r="C2384">
        <v>2014</v>
      </c>
      <c r="D2384">
        <v>1</v>
      </c>
      <c r="E2384" t="s">
        <v>55</v>
      </c>
      <c r="F2384" t="s">
        <v>128</v>
      </c>
      <c r="G2384" t="s">
        <v>63</v>
      </c>
      <c r="H2384">
        <v>2</v>
      </c>
      <c r="I2384">
        <v>4.144495</v>
      </c>
      <c r="J2384">
        <v>738</v>
      </c>
      <c r="M2384">
        <v>1.37</v>
      </c>
      <c r="O2384">
        <v>0.122</v>
      </c>
      <c r="R2384">
        <v>0.74</v>
      </c>
    </row>
    <row r="2385" spans="1:18" x14ac:dyDescent="0.2">
      <c r="A2385" t="s">
        <v>4268</v>
      </c>
      <c r="B2385" t="s">
        <v>4270</v>
      </c>
      <c r="C2385">
        <v>2014</v>
      </c>
      <c r="D2385">
        <v>1</v>
      </c>
      <c r="E2385" t="s">
        <v>55</v>
      </c>
      <c r="F2385" t="s">
        <v>128</v>
      </c>
      <c r="G2385" t="s">
        <v>63</v>
      </c>
      <c r="H2385">
        <v>2</v>
      </c>
      <c r="I2385">
        <v>7.9535280000000004</v>
      </c>
      <c r="J2385">
        <v>738</v>
      </c>
      <c r="M2385">
        <v>2.2000000000000002</v>
      </c>
      <c r="O2385">
        <v>0.19600000000000001</v>
      </c>
      <c r="R2385">
        <v>0.74</v>
      </c>
    </row>
    <row r="2386" spans="1:18" x14ac:dyDescent="0.2">
      <c r="A2386" t="s">
        <v>4271</v>
      </c>
      <c r="B2386" t="s">
        <v>4272</v>
      </c>
      <c r="C2386">
        <v>2014</v>
      </c>
      <c r="D2386">
        <v>1</v>
      </c>
      <c r="E2386" t="s">
        <v>55</v>
      </c>
      <c r="F2386" t="s">
        <v>128</v>
      </c>
      <c r="G2386" t="s">
        <v>63</v>
      </c>
      <c r="H2386">
        <v>2</v>
      </c>
      <c r="I2386">
        <v>12.718092</v>
      </c>
      <c r="J2386">
        <v>512</v>
      </c>
      <c r="M2386">
        <v>2.33</v>
      </c>
      <c r="O2386">
        <v>0.20799999999999999</v>
      </c>
      <c r="R2386">
        <v>0.67</v>
      </c>
    </row>
    <row r="2387" spans="1:18" x14ac:dyDescent="0.2">
      <c r="A2387" t="s">
        <v>4271</v>
      </c>
      <c r="B2387" t="s">
        <v>4273</v>
      </c>
      <c r="C2387">
        <v>2014</v>
      </c>
      <c r="D2387">
        <v>1</v>
      </c>
      <c r="E2387" t="s">
        <v>55</v>
      </c>
      <c r="F2387" t="s">
        <v>128</v>
      </c>
      <c r="G2387" t="s">
        <v>63</v>
      </c>
      <c r="H2387">
        <v>2</v>
      </c>
      <c r="I2387">
        <v>36.065978000000001</v>
      </c>
      <c r="J2387">
        <v>512</v>
      </c>
      <c r="M2387">
        <v>2.57</v>
      </c>
      <c r="O2387">
        <v>0.22900000000000001</v>
      </c>
      <c r="R2387">
        <v>0.67</v>
      </c>
    </row>
    <row r="2388" spans="1:18" x14ac:dyDescent="0.2">
      <c r="A2388" t="s">
        <v>4274</v>
      </c>
      <c r="B2388" t="s">
        <v>4275</v>
      </c>
      <c r="C2388">
        <v>2014</v>
      </c>
      <c r="D2388">
        <v>1</v>
      </c>
      <c r="E2388" t="s">
        <v>55</v>
      </c>
      <c r="F2388" t="s">
        <v>128</v>
      </c>
      <c r="G2388" t="s">
        <v>63</v>
      </c>
      <c r="H2388">
        <v>2</v>
      </c>
      <c r="I2388">
        <v>8.2039500000000007</v>
      </c>
      <c r="J2388">
        <v>670</v>
      </c>
      <c r="M2388">
        <v>2.61</v>
      </c>
      <c r="O2388">
        <v>0.23300000000000001</v>
      </c>
      <c r="R2388">
        <v>0.85</v>
      </c>
    </row>
    <row r="2389" spans="1:18" x14ac:dyDescent="0.2">
      <c r="A2389" t="s">
        <v>4274</v>
      </c>
      <c r="B2389" t="s">
        <v>4276</v>
      </c>
      <c r="C2389">
        <v>2014</v>
      </c>
      <c r="D2389">
        <v>1</v>
      </c>
      <c r="E2389" t="s">
        <v>55</v>
      </c>
      <c r="F2389" t="s">
        <v>128</v>
      </c>
      <c r="G2389" t="s">
        <v>63</v>
      </c>
      <c r="H2389">
        <v>2</v>
      </c>
      <c r="I2389">
        <v>14.496480999999999</v>
      </c>
      <c r="J2389">
        <v>670</v>
      </c>
      <c r="M2389">
        <v>2</v>
      </c>
      <c r="O2389">
        <v>0.17799999999999999</v>
      </c>
      <c r="R2389">
        <v>0.85</v>
      </c>
    </row>
    <row r="2390" spans="1:18" x14ac:dyDescent="0.2">
      <c r="A2390" t="s">
        <v>4277</v>
      </c>
      <c r="B2390" t="s">
        <v>4278</v>
      </c>
      <c r="C2390">
        <v>2014</v>
      </c>
      <c r="D2390">
        <v>1</v>
      </c>
      <c r="E2390" t="s">
        <v>55</v>
      </c>
      <c r="F2390" t="s">
        <v>128</v>
      </c>
      <c r="G2390" t="s">
        <v>63</v>
      </c>
      <c r="H2390">
        <v>2</v>
      </c>
      <c r="I2390">
        <v>5.7154420000000004</v>
      </c>
      <c r="J2390">
        <v>669</v>
      </c>
      <c r="M2390">
        <v>2.4500000000000002</v>
      </c>
      <c r="O2390">
        <v>0.219</v>
      </c>
      <c r="R2390">
        <v>0.84</v>
      </c>
    </row>
    <row r="2391" spans="1:18" x14ac:dyDescent="0.2">
      <c r="A2391" t="s">
        <v>4277</v>
      </c>
      <c r="B2391" t="s">
        <v>4279</v>
      </c>
      <c r="C2391">
        <v>2014</v>
      </c>
      <c r="D2391">
        <v>1</v>
      </c>
      <c r="E2391" t="s">
        <v>55</v>
      </c>
      <c r="F2391" t="s">
        <v>128</v>
      </c>
      <c r="G2391" t="s">
        <v>63</v>
      </c>
      <c r="H2391">
        <v>2</v>
      </c>
      <c r="I2391">
        <v>20.026218</v>
      </c>
      <c r="J2391">
        <v>669</v>
      </c>
      <c r="M2391">
        <v>1.99</v>
      </c>
      <c r="O2391">
        <v>0.17799999999999999</v>
      </c>
      <c r="R2391">
        <v>0.84</v>
      </c>
    </row>
    <row r="2392" spans="1:18" x14ac:dyDescent="0.2">
      <c r="A2392" t="s">
        <v>4280</v>
      </c>
      <c r="B2392" t="s">
        <v>4281</v>
      </c>
      <c r="C2392">
        <v>2014</v>
      </c>
      <c r="D2392">
        <v>1</v>
      </c>
      <c r="E2392" t="s">
        <v>55</v>
      </c>
      <c r="F2392" t="s">
        <v>128</v>
      </c>
      <c r="G2392" t="s">
        <v>63</v>
      </c>
      <c r="H2392">
        <v>3</v>
      </c>
      <c r="I2392">
        <v>4.3117919999999996</v>
      </c>
      <c r="J2392">
        <v>928</v>
      </c>
      <c r="M2392">
        <v>2.76</v>
      </c>
      <c r="O2392">
        <v>0.246</v>
      </c>
      <c r="R2392">
        <v>0.8</v>
      </c>
    </row>
    <row r="2393" spans="1:18" x14ac:dyDescent="0.2">
      <c r="A2393" t="s">
        <v>4280</v>
      </c>
      <c r="B2393" t="s">
        <v>4282</v>
      </c>
      <c r="C2393">
        <v>2014</v>
      </c>
      <c r="D2393">
        <v>1</v>
      </c>
      <c r="E2393" t="s">
        <v>55</v>
      </c>
      <c r="F2393" t="s">
        <v>128</v>
      </c>
      <c r="G2393" t="s">
        <v>63</v>
      </c>
      <c r="H2393">
        <v>3</v>
      </c>
      <c r="I2393">
        <v>9.7672919999999994</v>
      </c>
      <c r="J2393">
        <v>928</v>
      </c>
      <c r="M2393">
        <v>2.0499999999999998</v>
      </c>
      <c r="O2393">
        <v>0.183</v>
      </c>
      <c r="R2393">
        <v>0.8</v>
      </c>
    </row>
    <row r="2394" spans="1:18" x14ac:dyDescent="0.2">
      <c r="A2394" t="s">
        <v>4280</v>
      </c>
      <c r="B2394" t="s">
        <v>4283</v>
      </c>
      <c r="C2394">
        <v>2014</v>
      </c>
      <c r="D2394">
        <v>1</v>
      </c>
      <c r="E2394" t="s">
        <v>55</v>
      </c>
      <c r="F2394" t="s">
        <v>128</v>
      </c>
      <c r="G2394" t="s">
        <v>63</v>
      </c>
      <c r="H2394">
        <v>3</v>
      </c>
      <c r="I2394">
        <v>20.050401000000001</v>
      </c>
      <c r="J2394">
        <v>928</v>
      </c>
      <c r="M2394">
        <v>2.31</v>
      </c>
      <c r="O2394">
        <v>0.20599999999999999</v>
      </c>
      <c r="R2394">
        <v>0.8</v>
      </c>
    </row>
    <row r="2395" spans="1:18" x14ac:dyDescent="0.2">
      <c r="A2395" t="s">
        <v>4284</v>
      </c>
      <c r="B2395" t="s">
        <v>4285</v>
      </c>
      <c r="C2395">
        <v>2014</v>
      </c>
      <c r="D2395">
        <v>1</v>
      </c>
      <c r="E2395" t="s">
        <v>55</v>
      </c>
      <c r="F2395" t="s">
        <v>128</v>
      </c>
      <c r="G2395" t="s">
        <v>63</v>
      </c>
      <c r="H2395">
        <v>4</v>
      </c>
      <c r="I2395">
        <v>7.4901900000000001</v>
      </c>
      <c r="J2395">
        <v>866</v>
      </c>
      <c r="M2395">
        <v>2.57</v>
      </c>
      <c r="O2395">
        <v>0.22900000000000001</v>
      </c>
      <c r="R2395">
        <v>0.8</v>
      </c>
    </row>
    <row r="2396" spans="1:18" x14ac:dyDescent="0.2">
      <c r="A2396" t="s">
        <v>4284</v>
      </c>
      <c r="B2396" t="s">
        <v>4286</v>
      </c>
      <c r="C2396">
        <v>2014</v>
      </c>
      <c r="D2396">
        <v>1</v>
      </c>
      <c r="E2396" t="s">
        <v>55</v>
      </c>
      <c r="F2396" t="s">
        <v>128</v>
      </c>
      <c r="G2396" t="s">
        <v>63</v>
      </c>
      <c r="H2396">
        <v>4</v>
      </c>
      <c r="I2396">
        <v>17.460812000000001</v>
      </c>
      <c r="J2396">
        <v>866</v>
      </c>
      <c r="M2396">
        <v>2.1800000000000002</v>
      </c>
      <c r="O2396">
        <v>0.19400000000000001</v>
      </c>
      <c r="R2396">
        <v>0.8</v>
      </c>
    </row>
    <row r="2397" spans="1:18" x14ac:dyDescent="0.2">
      <c r="A2397" t="s">
        <v>4284</v>
      </c>
      <c r="B2397" t="s">
        <v>4287</v>
      </c>
      <c r="C2397">
        <v>2014</v>
      </c>
      <c r="D2397">
        <v>1</v>
      </c>
      <c r="E2397" t="s">
        <v>55</v>
      </c>
      <c r="F2397" t="s">
        <v>128</v>
      </c>
      <c r="G2397" t="s">
        <v>63</v>
      </c>
      <c r="H2397">
        <v>4</v>
      </c>
      <c r="I2397">
        <v>36.277107999999998</v>
      </c>
      <c r="J2397">
        <v>866</v>
      </c>
      <c r="M2397">
        <v>3.03</v>
      </c>
      <c r="O2397">
        <v>0.27</v>
      </c>
      <c r="R2397">
        <v>0.8</v>
      </c>
    </row>
    <row r="2398" spans="1:18" x14ac:dyDescent="0.2">
      <c r="A2398" t="s">
        <v>4284</v>
      </c>
      <c r="B2398" t="s">
        <v>4288</v>
      </c>
      <c r="C2398">
        <v>2016</v>
      </c>
      <c r="D2398">
        <v>1</v>
      </c>
      <c r="E2398" t="s">
        <v>55</v>
      </c>
      <c r="F2398" t="s">
        <v>128</v>
      </c>
      <c r="G2398" t="s">
        <v>63</v>
      </c>
      <c r="H2398">
        <v>4</v>
      </c>
      <c r="I2398">
        <v>3.2198210600000001</v>
      </c>
      <c r="J2398">
        <v>866</v>
      </c>
      <c r="M2398">
        <v>1.75</v>
      </c>
      <c r="O2398">
        <v>0.156</v>
      </c>
      <c r="R2398">
        <v>0.8</v>
      </c>
    </row>
    <row r="2399" spans="1:18" x14ac:dyDescent="0.2">
      <c r="A2399" t="s">
        <v>4289</v>
      </c>
      <c r="B2399" t="s">
        <v>4290</v>
      </c>
      <c r="C2399">
        <v>2014</v>
      </c>
      <c r="D2399">
        <v>1</v>
      </c>
      <c r="E2399" t="s">
        <v>55</v>
      </c>
      <c r="F2399" t="s">
        <v>128</v>
      </c>
      <c r="G2399" t="s">
        <v>63</v>
      </c>
      <c r="H2399">
        <v>2</v>
      </c>
      <c r="I2399">
        <v>4.60182</v>
      </c>
      <c r="J2399">
        <v>736</v>
      </c>
      <c r="M2399">
        <v>2.34</v>
      </c>
      <c r="O2399">
        <v>0.20899999999999999</v>
      </c>
      <c r="R2399">
        <v>0.83</v>
      </c>
    </row>
    <row r="2400" spans="1:18" x14ac:dyDescent="0.2">
      <c r="A2400" t="s">
        <v>4289</v>
      </c>
      <c r="B2400" t="s">
        <v>4291</v>
      </c>
      <c r="C2400">
        <v>2014</v>
      </c>
      <c r="D2400">
        <v>1</v>
      </c>
      <c r="E2400" t="s">
        <v>55</v>
      </c>
      <c r="F2400" t="s">
        <v>128</v>
      </c>
      <c r="G2400" t="s">
        <v>63</v>
      </c>
      <c r="H2400">
        <v>2</v>
      </c>
      <c r="I2400">
        <v>11.187161</v>
      </c>
      <c r="J2400">
        <v>736</v>
      </c>
      <c r="M2400">
        <v>1.5</v>
      </c>
      <c r="O2400">
        <v>0.13400000000000001</v>
      </c>
      <c r="R2400">
        <v>0.83</v>
      </c>
    </row>
    <row r="2401" spans="1:19" x14ac:dyDescent="0.2">
      <c r="A2401" t="s">
        <v>4292</v>
      </c>
      <c r="B2401" t="s">
        <v>4293</v>
      </c>
      <c r="C2401">
        <v>2014</v>
      </c>
      <c r="D2401">
        <v>1</v>
      </c>
      <c r="E2401" t="s">
        <v>55</v>
      </c>
      <c r="F2401" t="s">
        <v>128</v>
      </c>
      <c r="G2401" t="s">
        <v>63</v>
      </c>
      <c r="H2401">
        <v>3</v>
      </c>
      <c r="I2401">
        <v>3.33616</v>
      </c>
      <c r="J2401">
        <v>667</v>
      </c>
      <c r="M2401">
        <v>1.64</v>
      </c>
      <c r="O2401">
        <v>0.14599999999999999</v>
      </c>
      <c r="R2401">
        <v>0.77</v>
      </c>
    </row>
    <row r="2402" spans="1:19" x14ac:dyDescent="0.2">
      <c r="A2402" t="s">
        <v>4292</v>
      </c>
      <c r="B2402" t="s">
        <v>4294</v>
      </c>
      <c r="C2402">
        <v>2014</v>
      </c>
      <c r="D2402">
        <v>1</v>
      </c>
      <c r="E2402" t="s">
        <v>55</v>
      </c>
      <c r="F2402" t="s">
        <v>128</v>
      </c>
      <c r="G2402" t="s">
        <v>63</v>
      </c>
      <c r="H2402">
        <v>3</v>
      </c>
      <c r="I2402">
        <v>9.4394519999999993</v>
      </c>
      <c r="J2402">
        <v>667</v>
      </c>
      <c r="M2402">
        <v>4.09</v>
      </c>
      <c r="O2402">
        <v>0.36499999999999999</v>
      </c>
      <c r="R2402">
        <v>0.77</v>
      </c>
    </row>
    <row r="2403" spans="1:19" x14ac:dyDescent="0.2">
      <c r="A2403" t="s">
        <v>4292</v>
      </c>
      <c r="B2403" t="s">
        <v>4295</v>
      </c>
      <c r="C2403">
        <v>2014</v>
      </c>
      <c r="D2403">
        <v>1</v>
      </c>
      <c r="E2403" t="s">
        <v>55</v>
      </c>
      <c r="F2403" t="s">
        <v>128</v>
      </c>
      <c r="G2403" t="s">
        <v>63</v>
      </c>
      <c r="H2403">
        <v>3</v>
      </c>
      <c r="I2403">
        <v>20.477912</v>
      </c>
      <c r="J2403">
        <v>667</v>
      </c>
      <c r="M2403">
        <v>3.94</v>
      </c>
      <c r="O2403">
        <v>0.35199999999999998</v>
      </c>
      <c r="R2403">
        <v>0.77</v>
      </c>
    </row>
    <row r="2404" spans="1:19" x14ac:dyDescent="0.2">
      <c r="A2404" t="s">
        <v>4296</v>
      </c>
      <c r="B2404" t="s">
        <v>4297</v>
      </c>
      <c r="C2404">
        <v>2014</v>
      </c>
      <c r="D2404">
        <v>1</v>
      </c>
      <c r="E2404" t="s">
        <v>55</v>
      </c>
      <c r="F2404" t="s">
        <v>128</v>
      </c>
      <c r="G2404" t="s">
        <v>63</v>
      </c>
      <c r="H2404">
        <v>2</v>
      </c>
      <c r="I2404">
        <v>6.3082050000000001</v>
      </c>
      <c r="J2404">
        <v>800</v>
      </c>
      <c r="M2404">
        <v>3.02</v>
      </c>
      <c r="O2404">
        <v>0.26900000000000002</v>
      </c>
      <c r="R2404">
        <v>0.83</v>
      </c>
    </row>
    <row r="2405" spans="1:19" x14ac:dyDescent="0.2">
      <c r="A2405" t="s">
        <v>4296</v>
      </c>
      <c r="B2405" t="s">
        <v>4298</v>
      </c>
      <c r="C2405">
        <v>2014</v>
      </c>
      <c r="D2405">
        <v>1</v>
      </c>
      <c r="E2405" t="s">
        <v>55</v>
      </c>
      <c r="F2405" t="s">
        <v>128</v>
      </c>
      <c r="G2405" t="s">
        <v>63</v>
      </c>
      <c r="H2405">
        <v>2</v>
      </c>
      <c r="I2405">
        <v>16.239494000000001</v>
      </c>
      <c r="J2405">
        <v>800</v>
      </c>
      <c r="M2405">
        <v>4.07</v>
      </c>
      <c r="O2405">
        <v>0.36299999999999999</v>
      </c>
      <c r="R2405">
        <v>0.83</v>
      </c>
    </row>
    <row r="2406" spans="1:19" x14ac:dyDescent="0.2">
      <c r="A2406" t="s">
        <v>4299</v>
      </c>
      <c r="B2406" t="s">
        <v>4300</v>
      </c>
      <c r="C2406">
        <v>2014</v>
      </c>
      <c r="D2406">
        <v>1</v>
      </c>
      <c r="E2406" t="s">
        <v>55</v>
      </c>
      <c r="F2406" t="s">
        <v>128</v>
      </c>
      <c r="G2406" t="s">
        <v>63</v>
      </c>
      <c r="H2406">
        <v>3</v>
      </c>
      <c r="I2406">
        <v>3.3065389999999999</v>
      </c>
      <c r="J2406">
        <v>133</v>
      </c>
      <c r="M2406">
        <v>1.0900000000000001</v>
      </c>
      <c r="O2406">
        <v>9.7000000000000003E-2</v>
      </c>
      <c r="R2406">
        <v>0.48</v>
      </c>
    </row>
    <row r="2407" spans="1:19" x14ac:dyDescent="0.2">
      <c r="A2407" t="s">
        <v>4299</v>
      </c>
      <c r="B2407" t="s">
        <v>4301</v>
      </c>
      <c r="C2407">
        <v>2014</v>
      </c>
      <c r="D2407">
        <v>1</v>
      </c>
      <c r="E2407" t="s">
        <v>55</v>
      </c>
      <c r="F2407" t="s">
        <v>128</v>
      </c>
      <c r="G2407" t="s">
        <v>63</v>
      </c>
      <c r="H2407">
        <v>3</v>
      </c>
      <c r="I2407">
        <v>7.113702</v>
      </c>
      <c r="J2407">
        <v>133</v>
      </c>
      <c r="M2407">
        <v>1.51</v>
      </c>
      <c r="O2407">
        <v>0.13500000000000001</v>
      </c>
      <c r="R2407">
        <v>0.48</v>
      </c>
    </row>
    <row r="2408" spans="1:19" x14ac:dyDescent="0.2">
      <c r="A2408" t="s">
        <v>4299</v>
      </c>
      <c r="B2408" t="s">
        <v>4302</v>
      </c>
      <c r="C2408">
        <v>2014</v>
      </c>
      <c r="D2408">
        <v>1</v>
      </c>
      <c r="E2408" t="s">
        <v>55</v>
      </c>
      <c r="F2408" t="s">
        <v>128</v>
      </c>
      <c r="G2408" t="s">
        <v>63</v>
      </c>
      <c r="H2408">
        <v>3</v>
      </c>
      <c r="I2408">
        <v>15.368459</v>
      </c>
      <c r="J2408">
        <v>133</v>
      </c>
      <c r="M2408">
        <v>1.57</v>
      </c>
      <c r="O2408">
        <v>0.14000000000000001</v>
      </c>
      <c r="R2408">
        <v>0.48</v>
      </c>
    </row>
    <row r="2409" spans="1:19" x14ac:dyDescent="0.2">
      <c r="A2409" t="s">
        <v>4303</v>
      </c>
      <c r="B2409" t="s">
        <v>4304</v>
      </c>
      <c r="C2409">
        <v>2011</v>
      </c>
      <c r="D2409">
        <v>1</v>
      </c>
      <c r="E2409" t="s">
        <v>55</v>
      </c>
      <c r="F2409" t="s">
        <v>128</v>
      </c>
      <c r="G2409" t="s">
        <v>63</v>
      </c>
      <c r="H2409">
        <v>3</v>
      </c>
      <c r="I2409">
        <v>6.2385000000000002</v>
      </c>
      <c r="J2409">
        <v>244.96</v>
      </c>
      <c r="K2409">
        <v>11</v>
      </c>
      <c r="L2409">
        <v>9.6</v>
      </c>
      <c r="M2409">
        <v>2.71</v>
      </c>
      <c r="N2409">
        <v>3.0200000000000001E-2</v>
      </c>
      <c r="O2409">
        <v>0.24199999999999999</v>
      </c>
      <c r="P2409">
        <v>2.5</v>
      </c>
      <c r="Q2409">
        <v>1.19</v>
      </c>
      <c r="R2409">
        <v>1.31</v>
      </c>
      <c r="S2409">
        <v>0.75</v>
      </c>
    </row>
    <row r="2410" spans="1:19" x14ac:dyDescent="0.2">
      <c r="A2410" t="s">
        <v>4303</v>
      </c>
      <c r="B2410" t="s">
        <v>4305</v>
      </c>
      <c r="C2410">
        <v>2011</v>
      </c>
      <c r="D2410">
        <v>1</v>
      </c>
      <c r="E2410" t="s">
        <v>55</v>
      </c>
      <c r="F2410" t="s">
        <v>128</v>
      </c>
      <c r="G2410" t="s">
        <v>63</v>
      </c>
      <c r="H2410">
        <v>3</v>
      </c>
      <c r="I2410">
        <v>12.7204</v>
      </c>
      <c r="J2410">
        <v>244.96</v>
      </c>
      <c r="K2410">
        <v>11</v>
      </c>
      <c r="L2410">
        <v>24.6</v>
      </c>
      <c r="M2410">
        <v>5.2</v>
      </c>
      <c r="N2410">
        <v>7.7399999999999997E-2</v>
      </c>
      <c r="O2410">
        <v>0.46400000000000002</v>
      </c>
      <c r="P2410">
        <v>0.9</v>
      </c>
      <c r="Q2410">
        <v>1.19</v>
      </c>
      <c r="R2410">
        <v>1.31</v>
      </c>
      <c r="S2410">
        <v>0.75</v>
      </c>
    </row>
    <row r="2411" spans="1:19" x14ac:dyDescent="0.2">
      <c r="A2411" t="s">
        <v>4303</v>
      </c>
      <c r="B2411" t="s">
        <v>4306</v>
      </c>
      <c r="C2411">
        <v>2014</v>
      </c>
      <c r="D2411">
        <v>1</v>
      </c>
      <c r="E2411" t="s">
        <v>21</v>
      </c>
      <c r="F2411" t="s">
        <v>22</v>
      </c>
      <c r="G2411" t="s">
        <v>32</v>
      </c>
      <c r="H2411">
        <v>3</v>
      </c>
      <c r="I2411">
        <v>123</v>
      </c>
      <c r="J2411">
        <v>244.96</v>
      </c>
      <c r="K2411">
        <v>11</v>
      </c>
      <c r="L2411">
        <v>89.9</v>
      </c>
      <c r="N2411">
        <v>0.28299999999999997</v>
      </c>
      <c r="Q2411">
        <v>1.19</v>
      </c>
      <c r="R2411">
        <v>1.31</v>
      </c>
      <c r="S2411">
        <v>0.75</v>
      </c>
    </row>
    <row r="2412" spans="1:19" x14ac:dyDescent="0.2">
      <c r="A2412" t="s">
        <v>4307</v>
      </c>
      <c r="B2412" t="s">
        <v>4308</v>
      </c>
      <c r="C2412">
        <v>2014</v>
      </c>
      <c r="D2412">
        <v>1</v>
      </c>
      <c r="E2412" t="s">
        <v>55</v>
      </c>
      <c r="F2412" t="s">
        <v>128</v>
      </c>
      <c r="G2412" t="s">
        <v>63</v>
      </c>
      <c r="H2412">
        <v>3</v>
      </c>
      <c r="I2412">
        <v>4.1481409999999999</v>
      </c>
      <c r="J2412">
        <v>788</v>
      </c>
      <c r="M2412">
        <v>1.1299999999999999</v>
      </c>
      <c r="O2412">
        <v>0.10100000000000001</v>
      </c>
      <c r="R2412">
        <v>0.81</v>
      </c>
    </row>
    <row r="2413" spans="1:19" x14ac:dyDescent="0.2">
      <c r="A2413" t="s">
        <v>4307</v>
      </c>
      <c r="B2413" t="s">
        <v>4309</v>
      </c>
      <c r="C2413">
        <v>2014</v>
      </c>
      <c r="D2413">
        <v>1</v>
      </c>
      <c r="E2413" t="s">
        <v>55</v>
      </c>
      <c r="F2413" t="s">
        <v>128</v>
      </c>
      <c r="G2413" t="s">
        <v>63</v>
      </c>
      <c r="H2413">
        <v>3</v>
      </c>
      <c r="I2413">
        <v>7.1568040000000002</v>
      </c>
      <c r="J2413">
        <v>788</v>
      </c>
      <c r="M2413">
        <v>2.2799999999999998</v>
      </c>
      <c r="O2413">
        <v>0.20300000000000001</v>
      </c>
      <c r="R2413">
        <v>0.81</v>
      </c>
    </row>
    <row r="2414" spans="1:19" x14ac:dyDescent="0.2">
      <c r="A2414" t="s">
        <v>4307</v>
      </c>
      <c r="B2414" t="s">
        <v>4310</v>
      </c>
      <c r="C2414">
        <v>2014</v>
      </c>
      <c r="D2414">
        <v>1</v>
      </c>
      <c r="E2414" t="s">
        <v>55</v>
      </c>
      <c r="F2414" t="s">
        <v>128</v>
      </c>
      <c r="G2414" t="s">
        <v>63</v>
      </c>
      <c r="H2414">
        <v>3</v>
      </c>
      <c r="I2414">
        <v>17.648312000000001</v>
      </c>
      <c r="J2414">
        <v>788</v>
      </c>
      <c r="M2414">
        <v>2.1800000000000002</v>
      </c>
      <c r="O2414">
        <v>0.19400000000000001</v>
      </c>
      <c r="R2414">
        <v>0.81</v>
      </c>
    </row>
    <row r="2415" spans="1:19" x14ac:dyDescent="0.2">
      <c r="A2415" t="s">
        <v>4311</v>
      </c>
      <c r="B2415" t="s">
        <v>4312</v>
      </c>
      <c r="C2415">
        <v>2014</v>
      </c>
      <c r="D2415">
        <v>1</v>
      </c>
      <c r="E2415" t="s">
        <v>55</v>
      </c>
      <c r="F2415" t="s">
        <v>128</v>
      </c>
      <c r="G2415" t="s">
        <v>63</v>
      </c>
      <c r="H2415">
        <v>4</v>
      </c>
      <c r="I2415">
        <v>4.7909360000000003</v>
      </c>
      <c r="J2415">
        <v>1014</v>
      </c>
      <c r="M2415">
        <v>1.33</v>
      </c>
      <c r="O2415">
        <v>0.11899999999999999</v>
      </c>
      <c r="R2415">
        <v>0.89</v>
      </c>
    </row>
    <row r="2416" spans="1:19" x14ac:dyDescent="0.2">
      <c r="A2416" t="s">
        <v>4311</v>
      </c>
      <c r="B2416" t="s">
        <v>4313</v>
      </c>
      <c r="C2416">
        <v>2014</v>
      </c>
      <c r="D2416">
        <v>1</v>
      </c>
      <c r="E2416" t="s">
        <v>55</v>
      </c>
      <c r="F2416" t="s">
        <v>128</v>
      </c>
      <c r="G2416" t="s">
        <v>63</v>
      </c>
      <c r="H2416">
        <v>4</v>
      </c>
      <c r="I2416">
        <v>16.514043000000001</v>
      </c>
      <c r="J2416">
        <v>1014</v>
      </c>
      <c r="M2416">
        <v>2.77</v>
      </c>
      <c r="O2416">
        <v>0.247</v>
      </c>
      <c r="R2416">
        <v>0.89</v>
      </c>
    </row>
    <row r="2417" spans="1:18" x14ac:dyDescent="0.2">
      <c r="A2417" t="s">
        <v>4311</v>
      </c>
      <c r="B2417" t="s">
        <v>4314</v>
      </c>
      <c r="C2417">
        <v>2014</v>
      </c>
      <c r="D2417">
        <v>1</v>
      </c>
      <c r="E2417" t="s">
        <v>55</v>
      </c>
      <c r="F2417" t="s">
        <v>128</v>
      </c>
      <c r="G2417" t="s">
        <v>63</v>
      </c>
      <c r="H2417">
        <v>4</v>
      </c>
      <c r="I2417">
        <v>30.133001</v>
      </c>
      <c r="J2417">
        <v>1014</v>
      </c>
      <c r="M2417">
        <v>2.77</v>
      </c>
      <c r="O2417">
        <v>0.247</v>
      </c>
      <c r="R2417">
        <v>0.89</v>
      </c>
    </row>
    <row r="2418" spans="1:18" x14ac:dyDescent="0.2">
      <c r="A2418" t="s">
        <v>4311</v>
      </c>
      <c r="B2418" t="s">
        <v>4315</v>
      </c>
      <c r="C2418">
        <v>2014</v>
      </c>
      <c r="D2418">
        <v>1</v>
      </c>
      <c r="E2418" t="s">
        <v>55</v>
      </c>
      <c r="F2418" t="s">
        <v>128</v>
      </c>
      <c r="G2418" t="s">
        <v>63</v>
      </c>
      <c r="H2418">
        <v>4</v>
      </c>
      <c r="I2418">
        <v>99.640161000000006</v>
      </c>
      <c r="J2418">
        <v>1014</v>
      </c>
      <c r="M2418">
        <v>2.77</v>
      </c>
      <c r="O2418">
        <v>0.247</v>
      </c>
      <c r="R2418">
        <v>0.89</v>
      </c>
    </row>
    <row r="2419" spans="1:18" x14ac:dyDescent="0.2">
      <c r="A2419" t="s">
        <v>4316</v>
      </c>
      <c r="B2419" t="s">
        <v>4317</v>
      </c>
      <c r="C2419">
        <v>2014</v>
      </c>
      <c r="D2419">
        <v>1</v>
      </c>
      <c r="E2419" t="s">
        <v>55</v>
      </c>
      <c r="F2419" t="s">
        <v>128</v>
      </c>
      <c r="G2419" t="s">
        <v>63</v>
      </c>
      <c r="H2419">
        <v>2</v>
      </c>
      <c r="I2419">
        <v>6.6683909999999997</v>
      </c>
      <c r="J2419">
        <v>391</v>
      </c>
      <c r="M2419">
        <v>1.23</v>
      </c>
      <c r="O2419">
        <v>0.11</v>
      </c>
      <c r="R2419">
        <v>0.55000000000000004</v>
      </c>
    </row>
    <row r="2420" spans="1:18" x14ac:dyDescent="0.2">
      <c r="A2420" t="s">
        <v>4316</v>
      </c>
      <c r="B2420" t="s">
        <v>4318</v>
      </c>
      <c r="C2420">
        <v>2014</v>
      </c>
      <c r="D2420">
        <v>1</v>
      </c>
      <c r="E2420" t="s">
        <v>55</v>
      </c>
      <c r="F2420" t="s">
        <v>128</v>
      </c>
      <c r="G2420" t="s">
        <v>63</v>
      </c>
      <c r="H2420">
        <v>2</v>
      </c>
      <c r="I2420">
        <v>10.848463000000001</v>
      </c>
      <c r="J2420">
        <v>391</v>
      </c>
      <c r="M2420">
        <v>2.15</v>
      </c>
      <c r="O2420">
        <v>0.192</v>
      </c>
      <c r="R2420">
        <v>0.55000000000000004</v>
      </c>
    </row>
    <row r="2421" spans="1:18" x14ac:dyDescent="0.2">
      <c r="A2421" t="s">
        <v>4319</v>
      </c>
      <c r="B2421" t="s">
        <v>4320</v>
      </c>
      <c r="C2421">
        <v>2014</v>
      </c>
      <c r="D2421">
        <v>1</v>
      </c>
      <c r="E2421" t="s">
        <v>55</v>
      </c>
      <c r="F2421" t="s">
        <v>128</v>
      </c>
      <c r="G2421" t="s">
        <v>63</v>
      </c>
      <c r="H2421">
        <v>3</v>
      </c>
      <c r="I2421">
        <v>3.7839860000000001</v>
      </c>
      <c r="J2421">
        <v>849</v>
      </c>
      <c r="M2421">
        <v>1.63</v>
      </c>
      <c r="O2421">
        <v>0.14499999999999999</v>
      </c>
      <c r="R2421">
        <v>0.79</v>
      </c>
    </row>
    <row r="2422" spans="1:18" x14ac:dyDescent="0.2">
      <c r="A2422" t="s">
        <v>4319</v>
      </c>
      <c r="B2422" t="s">
        <v>4321</v>
      </c>
      <c r="C2422">
        <v>2014</v>
      </c>
      <c r="D2422">
        <v>1</v>
      </c>
      <c r="E2422" t="s">
        <v>55</v>
      </c>
      <c r="F2422" t="s">
        <v>128</v>
      </c>
      <c r="G2422" t="s">
        <v>63</v>
      </c>
      <c r="H2422">
        <v>3</v>
      </c>
      <c r="I2422">
        <v>10.281950999999999</v>
      </c>
      <c r="J2422">
        <v>849</v>
      </c>
      <c r="M2422">
        <v>2.65</v>
      </c>
      <c r="O2422">
        <v>0.23599999999999999</v>
      </c>
      <c r="R2422">
        <v>0.79</v>
      </c>
    </row>
    <row r="2423" spans="1:18" x14ac:dyDescent="0.2">
      <c r="A2423" t="s">
        <v>4319</v>
      </c>
      <c r="B2423" t="s">
        <v>4322</v>
      </c>
      <c r="C2423">
        <v>2014</v>
      </c>
      <c r="D2423">
        <v>1</v>
      </c>
      <c r="E2423" t="s">
        <v>55</v>
      </c>
      <c r="F2423" t="s">
        <v>128</v>
      </c>
      <c r="G2423" t="s">
        <v>63</v>
      </c>
      <c r="H2423">
        <v>3</v>
      </c>
      <c r="I2423">
        <v>18.119869000000001</v>
      </c>
      <c r="J2423">
        <v>849</v>
      </c>
      <c r="M2423">
        <v>3.17</v>
      </c>
      <c r="O2423">
        <v>0.28299999999999997</v>
      </c>
      <c r="R2423">
        <v>0.79</v>
      </c>
    </row>
    <row r="2424" spans="1:18" x14ac:dyDescent="0.2">
      <c r="A2424" t="s">
        <v>4323</v>
      </c>
      <c r="B2424" t="s">
        <v>4324</v>
      </c>
      <c r="C2424">
        <v>2014</v>
      </c>
      <c r="D2424">
        <v>1</v>
      </c>
      <c r="E2424" t="s">
        <v>55</v>
      </c>
      <c r="F2424" t="s">
        <v>128</v>
      </c>
      <c r="G2424" t="s">
        <v>63</v>
      </c>
      <c r="H2424">
        <v>3</v>
      </c>
      <c r="I2424">
        <v>5.8266619999999998</v>
      </c>
      <c r="J2424">
        <v>1366</v>
      </c>
      <c r="M2424">
        <v>3.87</v>
      </c>
      <c r="O2424">
        <v>0.34499999999999997</v>
      </c>
      <c r="R2424">
        <v>0.91</v>
      </c>
    </row>
    <row r="2425" spans="1:18" x14ac:dyDescent="0.2">
      <c r="A2425" t="s">
        <v>4323</v>
      </c>
      <c r="B2425" t="s">
        <v>4325</v>
      </c>
      <c r="C2425">
        <v>2014</v>
      </c>
      <c r="D2425">
        <v>1</v>
      </c>
      <c r="E2425" t="s">
        <v>55</v>
      </c>
      <c r="F2425" t="s">
        <v>128</v>
      </c>
      <c r="G2425" t="s">
        <v>63</v>
      </c>
      <c r="H2425">
        <v>3</v>
      </c>
      <c r="I2425">
        <v>12.412183000000001</v>
      </c>
      <c r="J2425">
        <v>1366</v>
      </c>
      <c r="M2425">
        <v>2.15</v>
      </c>
      <c r="O2425">
        <v>0.192</v>
      </c>
      <c r="R2425">
        <v>0.91</v>
      </c>
    </row>
    <row r="2426" spans="1:18" x14ac:dyDescent="0.2">
      <c r="A2426" t="s">
        <v>4323</v>
      </c>
      <c r="B2426" t="s">
        <v>4326</v>
      </c>
      <c r="C2426">
        <v>2014</v>
      </c>
      <c r="D2426">
        <v>1</v>
      </c>
      <c r="E2426" t="s">
        <v>55</v>
      </c>
      <c r="F2426" t="s">
        <v>128</v>
      </c>
      <c r="G2426" t="s">
        <v>63</v>
      </c>
      <c r="H2426">
        <v>3</v>
      </c>
      <c r="I2426">
        <v>18.746476999999999</v>
      </c>
      <c r="J2426">
        <v>1366</v>
      </c>
      <c r="M2426">
        <v>2.5</v>
      </c>
      <c r="O2426">
        <v>0.223</v>
      </c>
      <c r="R2426">
        <v>0.91</v>
      </c>
    </row>
    <row r="2427" spans="1:18" x14ac:dyDescent="0.2">
      <c r="A2427" t="s">
        <v>4327</v>
      </c>
      <c r="B2427" t="s">
        <v>4328</v>
      </c>
      <c r="C2427">
        <v>2014</v>
      </c>
      <c r="D2427">
        <v>1</v>
      </c>
      <c r="E2427" t="s">
        <v>55</v>
      </c>
      <c r="F2427" t="s">
        <v>128</v>
      </c>
      <c r="G2427" t="s">
        <v>63</v>
      </c>
      <c r="H2427">
        <v>3</v>
      </c>
      <c r="I2427">
        <v>5.7146059999999999</v>
      </c>
      <c r="J2427">
        <v>1011</v>
      </c>
      <c r="M2427">
        <v>1.55</v>
      </c>
      <c r="O2427">
        <v>0.13800000000000001</v>
      </c>
      <c r="R2427">
        <v>0.93</v>
      </c>
    </row>
    <row r="2428" spans="1:18" x14ac:dyDescent="0.2">
      <c r="A2428" t="s">
        <v>4327</v>
      </c>
      <c r="B2428" t="s">
        <v>4329</v>
      </c>
      <c r="C2428">
        <v>2014</v>
      </c>
      <c r="D2428">
        <v>1</v>
      </c>
      <c r="E2428" t="s">
        <v>55</v>
      </c>
      <c r="F2428" t="s">
        <v>128</v>
      </c>
      <c r="G2428" t="s">
        <v>63</v>
      </c>
      <c r="H2428">
        <v>3</v>
      </c>
      <c r="I2428">
        <v>9.9460470000000001</v>
      </c>
      <c r="J2428">
        <v>1011</v>
      </c>
      <c r="M2428">
        <v>2.99</v>
      </c>
      <c r="O2428">
        <v>0.26700000000000002</v>
      </c>
      <c r="R2428">
        <v>0.93</v>
      </c>
    </row>
    <row r="2429" spans="1:18" x14ac:dyDescent="0.2">
      <c r="A2429" t="s">
        <v>4327</v>
      </c>
      <c r="B2429" t="s">
        <v>4330</v>
      </c>
      <c r="C2429">
        <v>2016</v>
      </c>
      <c r="D2429">
        <v>1</v>
      </c>
      <c r="E2429" t="s">
        <v>55</v>
      </c>
      <c r="F2429" t="s">
        <v>128</v>
      </c>
      <c r="G2429" t="s">
        <v>63</v>
      </c>
      <c r="H2429">
        <v>3</v>
      </c>
      <c r="I2429">
        <v>1.04562266</v>
      </c>
      <c r="J2429">
        <v>1011</v>
      </c>
      <c r="M2429">
        <v>1.32</v>
      </c>
      <c r="O2429">
        <v>0.11799999999999999</v>
      </c>
      <c r="R2429">
        <v>0.93</v>
      </c>
    </row>
    <row r="2430" spans="1:18" x14ac:dyDescent="0.2">
      <c r="A2430" t="s">
        <v>4331</v>
      </c>
      <c r="B2430" t="s">
        <v>4332</v>
      </c>
      <c r="C2430">
        <v>2014</v>
      </c>
      <c r="D2430">
        <v>1</v>
      </c>
      <c r="E2430" t="s">
        <v>55</v>
      </c>
      <c r="F2430" t="s">
        <v>128</v>
      </c>
      <c r="G2430" t="s">
        <v>63</v>
      </c>
      <c r="H2430">
        <v>4</v>
      </c>
      <c r="I2430">
        <v>1.620493</v>
      </c>
      <c r="J2430">
        <v>1181</v>
      </c>
      <c r="M2430">
        <v>1.59</v>
      </c>
      <c r="O2430">
        <v>0.14199999999999999</v>
      </c>
      <c r="R2430">
        <v>1.3</v>
      </c>
    </row>
    <row r="2431" spans="1:18" x14ac:dyDescent="0.2">
      <c r="A2431" t="s">
        <v>4331</v>
      </c>
      <c r="B2431" t="s">
        <v>4333</v>
      </c>
      <c r="C2431">
        <v>2014</v>
      </c>
      <c r="D2431">
        <v>1</v>
      </c>
      <c r="E2431" t="s">
        <v>55</v>
      </c>
      <c r="F2431" t="s">
        <v>128</v>
      </c>
      <c r="G2431" t="s">
        <v>63</v>
      </c>
      <c r="H2431">
        <v>4</v>
      </c>
      <c r="I2431">
        <v>3.38802</v>
      </c>
      <c r="J2431">
        <v>1181</v>
      </c>
      <c r="M2431">
        <v>2.15</v>
      </c>
      <c r="O2431">
        <v>0.192</v>
      </c>
      <c r="R2431">
        <v>1.3</v>
      </c>
    </row>
    <row r="2432" spans="1:18" x14ac:dyDescent="0.2">
      <c r="A2432" t="s">
        <v>4331</v>
      </c>
      <c r="B2432" t="s">
        <v>4334</v>
      </c>
      <c r="C2432">
        <v>2014</v>
      </c>
      <c r="D2432">
        <v>1</v>
      </c>
      <c r="E2432" t="s">
        <v>55</v>
      </c>
      <c r="F2432" t="s">
        <v>128</v>
      </c>
      <c r="G2432" t="s">
        <v>63</v>
      </c>
      <c r="H2432">
        <v>4</v>
      </c>
      <c r="I2432">
        <v>5.8391719999999996</v>
      </c>
      <c r="J2432">
        <v>1181</v>
      </c>
      <c r="M2432">
        <v>2.48</v>
      </c>
      <c r="O2432">
        <v>0.221</v>
      </c>
      <c r="R2432">
        <v>1.3</v>
      </c>
    </row>
    <row r="2433" spans="1:18" x14ac:dyDescent="0.2">
      <c r="A2433" t="s">
        <v>4331</v>
      </c>
      <c r="B2433" t="s">
        <v>4335</v>
      </c>
      <c r="C2433">
        <v>2014</v>
      </c>
      <c r="D2433">
        <v>1</v>
      </c>
      <c r="E2433" t="s">
        <v>55</v>
      </c>
      <c r="F2433" t="s">
        <v>128</v>
      </c>
      <c r="G2433" t="s">
        <v>63</v>
      </c>
      <c r="H2433">
        <v>4</v>
      </c>
      <c r="I2433">
        <v>10.681571999999999</v>
      </c>
      <c r="J2433">
        <v>1181</v>
      </c>
      <c r="M2433">
        <v>2.35</v>
      </c>
      <c r="O2433">
        <v>0.21</v>
      </c>
      <c r="R2433">
        <v>1.3</v>
      </c>
    </row>
    <row r="2434" spans="1:18" x14ac:dyDescent="0.2">
      <c r="A2434" t="s">
        <v>4336</v>
      </c>
      <c r="B2434" t="s">
        <v>4337</v>
      </c>
      <c r="C2434">
        <v>2014</v>
      </c>
      <c r="D2434">
        <v>1</v>
      </c>
      <c r="E2434" t="s">
        <v>55</v>
      </c>
      <c r="F2434" t="s">
        <v>128</v>
      </c>
      <c r="G2434" t="s">
        <v>63</v>
      </c>
      <c r="H2434">
        <v>3</v>
      </c>
      <c r="I2434">
        <v>2.3826670000000001</v>
      </c>
      <c r="J2434">
        <v>775</v>
      </c>
      <c r="M2434">
        <v>2.61</v>
      </c>
      <c r="O2434">
        <v>0.23300000000000001</v>
      </c>
      <c r="R2434">
        <v>1.04</v>
      </c>
    </row>
    <row r="2435" spans="1:18" x14ac:dyDescent="0.2">
      <c r="A2435" t="s">
        <v>4336</v>
      </c>
      <c r="B2435" t="s">
        <v>4338</v>
      </c>
      <c r="C2435">
        <v>2014</v>
      </c>
      <c r="D2435">
        <v>1</v>
      </c>
      <c r="E2435" t="s">
        <v>55</v>
      </c>
      <c r="F2435" t="s">
        <v>128</v>
      </c>
      <c r="G2435" t="s">
        <v>63</v>
      </c>
      <c r="H2435">
        <v>3</v>
      </c>
      <c r="I2435">
        <v>6.5814839999999997</v>
      </c>
      <c r="J2435">
        <v>775</v>
      </c>
      <c r="M2435">
        <v>5.41</v>
      </c>
      <c r="O2435">
        <v>0.48299999999999998</v>
      </c>
      <c r="R2435">
        <v>1.04</v>
      </c>
    </row>
    <row r="2436" spans="1:18" x14ac:dyDescent="0.2">
      <c r="A2436" t="s">
        <v>4336</v>
      </c>
      <c r="B2436" t="s">
        <v>4339</v>
      </c>
      <c r="C2436">
        <v>2014</v>
      </c>
      <c r="D2436">
        <v>1</v>
      </c>
      <c r="E2436" t="s">
        <v>55</v>
      </c>
      <c r="F2436" t="s">
        <v>128</v>
      </c>
      <c r="G2436" t="s">
        <v>63</v>
      </c>
      <c r="H2436">
        <v>3</v>
      </c>
      <c r="I2436">
        <v>24.664550999999999</v>
      </c>
      <c r="J2436">
        <v>775</v>
      </c>
      <c r="M2436">
        <v>4.95</v>
      </c>
      <c r="O2436">
        <v>0.442</v>
      </c>
      <c r="R2436">
        <v>1.04</v>
      </c>
    </row>
    <row r="2437" spans="1:18" x14ac:dyDescent="0.2">
      <c r="A2437" t="s">
        <v>4340</v>
      </c>
      <c r="B2437" t="s">
        <v>4341</v>
      </c>
      <c r="C2437">
        <v>2014</v>
      </c>
      <c r="D2437">
        <v>1</v>
      </c>
      <c r="E2437" t="s">
        <v>55</v>
      </c>
      <c r="F2437" t="s">
        <v>128</v>
      </c>
      <c r="G2437" t="s">
        <v>63</v>
      </c>
      <c r="H2437">
        <v>2</v>
      </c>
      <c r="I2437">
        <v>13.19722</v>
      </c>
      <c r="J2437">
        <v>592</v>
      </c>
      <c r="M2437">
        <v>4.0599999999999996</v>
      </c>
      <c r="O2437">
        <v>0.36199999999999999</v>
      </c>
      <c r="R2437">
        <v>0.92</v>
      </c>
    </row>
    <row r="2438" spans="1:18" x14ac:dyDescent="0.2">
      <c r="A2438" t="s">
        <v>4340</v>
      </c>
      <c r="B2438" t="s">
        <v>4342</v>
      </c>
      <c r="C2438">
        <v>2014</v>
      </c>
      <c r="D2438">
        <v>1</v>
      </c>
      <c r="E2438" t="s">
        <v>55</v>
      </c>
      <c r="F2438" t="s">
        <v>128</v>
      </c>
      <c r="G2438" t="s">
        <v>63</v>
      </c>
      <c r="H2438">
        <v>2</v>
      </c>
      <c r="I2438">
        <v>33.653078999999998</v>
      </c>
      <c r="J2438">
        <v>592</v>
      </c>
      <c r="M2438">
        <v>3.61</v>
      </c>
      <c r="O2438">
        <v>0.32200000000000001</v>
      </c>
      <c r="R2438">
        <v>0.92</v>
      </c>
    </row>
    <row r="2439" spans="1:18" x14ac:dyDescent="0.2">
      <c r="A2439" t="s">
        <v>4343</v>
      </c>
      <c r="B2439" t="s">
        <v>4344</v>
      </c>
      <c r="C2439">
        <v>2014</v>
      </c>
      <c r="D2439">
        <v>1</v>
      </c>
      <c r="E2439" t="s">
        <v>55</v>
      </c>
      <c r="F2439" t="s">
        <v>128</v>
      </c>
      <c r="G2439" t="s">
        <v>63</v>
      </c>
      <c r="H2439">
        <v>2</v>
      </c>
      <c r="I2439">
        <v>8.1153169999999992</v>
      </c>
      <c r="J2439">
        <v>1014</v>
      </c>
      <c r="M2439">
        <v>2.8</v>
      </c>
      <c r="O2439">
        <v>0.25</v>
      </c>
      <c r="R2439">
        <v>0.9</v>
      </c>
    </row>
    <row r="2440" spans="1:18" x14ac:dyDescent="0.2">
      <c r="A2440" t="s">
        <v>4343</v>
      </c>
      <c r="B2440" t="s">
        <v>4345</v>
      </c>
      <c r="C2440">
        <v>2014</v>
      </c>
      <c r="D2440">
        <v>1</v>
      </c>
      <c r="E2440" t="s">
        <v>55</v>
      </c>
      <c r="F2440" t="s">
        <v>128</v>
      </c>
      <c r="G2440" t="s">
        <v>63</v>
      </c>
      <c r="H2440">
        <v>2</v>
      </c>
      <c r="I2440">
        <v>36.924931000000001</v>
      </c>
      <c r="J2440">
        <v>1014</v>
      </c>
      <c r="M2440">
        <v>2.7</v>
      </c>
      <c r="O2440">
        <v>0.24099999999999999</v>
      </c>
      <c r="R2440">
        <v>0.9</v>
      </c>
    </row>
    <row r="2441" spans="1:18" x14ac:dyDescent="0.2">
      <c r="A2441" t="s">
        <v>4346</v>
      </c>
      <c r="B2441" t="s">
        <v>4347</v>
      </c>
      <c r="C2441">
        <v>2011</v>
      </c>
      <c r="D2441">
        <v>1</v>
      </c>
      <c r="E2441" t="s">
        <v>55</v>
      </c>
      <c r="F2441" t="s">
        <v>128</v>
      </c>
      <c r="G2441" t="s">
        <v>63</v>
      </c>
      <c r="H2441">
        <v>4</v>
      </c>
      <c r="I2441">
        <v>12.28</v>
      </c>
      <c r="J2441">
        <v>339</v>
      </c>
      <c r="L2441">
        <v>5.12</v>
      </c>
      <c r="M2441">
        <v>2.78</v>
      </c>
      <c r="N2441">
        <v>1.6109999999999999E-2</v>
      </c>
      <c r="O2441">
        <v>0.248</v>
      </c>
      <c r="P2441">
        <v>1.26</v>
      </c>
      <c r="Q2441">
        <v>0.54</v>
      </c>
      <c r="R2441">
        <v>0.51</v>
      </c>
    </row>
    <row r="2442" spans="1:18" x14ac:dyDescent="0.2">
      <c r="A2442" t="s">
        <v>4346</v>
      </c>
      <c r="B2442" t="s">
        <v>4348</v>
      </c>
      <c r="C2442">
        <v>2011</v>
      </c>
      <c r="D2442">
        <v>1</v>
      </c>
      <c r="E2442" t="s">
        <v>55</v>
      </c>
      <c r="F2442" t="s">
        <v>128</v>
      </c>
      <c r="G2442" t="s">
        <v>63</v>
      </c>
      <c r="H2442">
        <v>4</v>
      </c>
      <c r="I2442">
        <v>17.2559</v>
      </c>
      <c r="J2442">
        <v>339</v>
      </c>
      <c r="L2442">
        <v>6.2</v>
      </c>
      <c r="M2442">
        <v>2.72</v>
      </c>
      <c r="N2442">
        <v>1.951E-2</v>
      </c>
      <c r="O2442">
        <v>0.24299999999999999</v>
      </c>
      <c r="P2442">
        <v>1.61</v>
      </c>
      <c r="Q2442">
        <v>0.54</v>
      </c>
      <c r="R2442">
        <v>0.51</v>
      </c>
    </row>
    <row r="2443" spans="1:18" x14ac:dyDescent="0.2">
      <c r="A2443" t="s">
        <v>4346</v>
      </c>
      <c r="B2443" t="s">
        <v>4349</v>
      </c>
      <c r="C2443">
        <v>2014</v>
      </c>
      <c r="D2443">
        <v>1</v>
      </c>
      <c r="E2443" t="s">
        <v>55</v>
      </c>
      <c r="F2443" t="s">
        <v>128</v>
      </c>
      <c r="G2443" t="s">
        <v>63</v>
      </c>
      <c r="H2443">
        <v>4</v>
      </c>
      <c r="I2443">
        <v>3.5439189999999998</v>
      </c>
      <c r="J2443">
        <v>339</v>
      </c>
      <c r="M2443">
        <v>1.07</v>
      </c>
      <c r="O2443">
        <v>9.5000000000000001E-2</v>
      </c>
      <c r="Q2443">
        <v>0.54</v>
      </c>
      <c r="R2443">
        <v>0.51</v>
      </c>
    </row>
    <row r="2444" spans="1:18" x14ac:dyDescent="0.2">
      <c r="A2444" t="s">
        <v>4346</v>
      </c>
      <c r="B2444" t="s">
        <v>4350</v>
      </c>
      <c r="C2444">
        <v>2014</v>
      </c>
      <c r="D2444">
        <v>1</v>
      </c>
      <c r="E2444" t="s">
        <v>55</v>
      </c>
      <c r="F2444" t="s">
        <v>128</v>
      </c>
      <c r="G2444" t="s">
        <v>63</v>
      </c>
      <c r="H2444">
        <v>4</v>
      </c>
      <c r="I2444">
        <v>46.827914999999997</v>
      </c>
      <c r="J2444">
        <v>339</v>
      </c>
      <c r="M2444">
        <v>2.41</v>
      </c>
      <c r="O2444">
        <v>0.215</v>
      </c>
      <c r="Q2444">
        <v>0.54</v>
      </c>
      <c r="R2444">
        <v>0.51</v>
      </c>
    </row>
    <row r="2445" spans="1:18" x14ac:dyDescent="0.2">
      <c r="A2445" t="s">
        <v>4351</v>
      </c>
      <c r="B2445" t="s">
        <v>4352</v>
      </c>
      <c r="C2445">
        <v>2014</v>
      </c>
      <c r="D2445">
        <v>1</v>
      </c>
      <c r="E2445" t="s">
        <v>55</v>
      </c>
      <c r="F2445" t="s">
        <v>128</v>
      </c>
      <c r="G2445" t="s">
        <v>63</v>
      </c>
      <c r="H2445">
        <v>2</v>
      </c>
      <c r="I2445">
        <v>8.1873989999999992</v>
      </c>
      <c r="J2445">
        <v>589</v>
      </c>
      <c r="M2445">
        <v>2.0099999999999998</v>
      </c>
      <c r="O2445">
        <v>0.17899999999999999</v>
      </c>
      <c r="R2445">
        <v>0.86</v>
      </c>
    </row>
    <row r="2446" spans="1:18" x14ac:dyDescent="0.2">
      <c r="A2446" t="s">
        <v>4351</v>
      </c>
      <c r="B2446" t="s">
        <v>4353</v>
      </c>
      <c r="C2446">
        <v>2014</v>
      </c>
      <c r="D2446">
        <v>1</v>
      </c>
      <c r="E2446" t="s">
        <v>55</v>
      </c>
      <c r="F2446" t="s">
        <v>128</v>
      </c>
      <c r="G2446" t="s">
        <v>63</v>
      </c>
      <c r="H2446">
        <v>2</v>
      </c>
      <c r="I2446">
        <v>76.050178000000002</v>
      </c>
      <c r="J2446">
        <v>589</v>
      </c>
      <c r="M2446">
        <v>1.74</v>
      </c>
      <c r="O2446">
        <v>0.155</v>
      </c>
      <c r="R2446">
        <v>0.86</v>
      </c>
    </row>
    <row r="2447" spans="1:18" x14ac:dyDescent="0.2">
      <c r="A2447" t="s">
        <v>4354</v>
      </c>
      <c r="B2447" t="s">
        <v>4355</v>
      </c>
      <c r="C2447">
        <v>2014</v>
      </c>
      <c r="D2447">
        <v>1</v>
      </c>
      <c r="E2447" t="s">
        <v>55</v>
      </c>
      <c r="F2447" t="s">
        <v>128</v>
      </c>
      <c r="G2447" t="s">
        <v>63</v>
      </c>
      <c r="H2447">
        <v>2</v>
      </c>
      <c r="I2447">
        <v>10.381227000000001</v>
      </c>
      <c r="J2447">
        <v>338</v>
      </c>
      <c r="M2447">
        <v>2.1800000000000002</v>
      </c>
      <c r="O2447">
        <v>0.19400000000000001</v>
      </c>
      <c r="R2447">
        <v>0.79</v>
      </c>
    </row>
    <row r="2448" spans="1:18" x14ac:dyDescent="0.2">
      <c r="A2448" t="s">
        <v>4354</v>
      </c>
      <c r="B2448" t="s">
        <v>4356</v>
      </c>
      <c r="C2448">
        <v>2014</v>
      </c>
      <c r="D2448">
        <v>1</v>
      </c>
      <c r="E2448" t="s">
        <v>55</v>
      </c>
      <c r="F2448" t="s">
        <v>128</v>
      </c>
      <c r="G2448" t="s">
        <v>63</v>
      </c>
      <c r="H2448">
        <v>2</v>
      </c>
      <c r="I2448">
        <v>24.570858000000001</v>
      </c>
      <c r="J2448">
        <v>338</v>
      </c>
      <c r="M2448">
        <v>2</v>
      </c>
      <c r="O2448">
        <v>0.17799999999999999</v>
      </c>
      <c r="R2448">
        <v>0.79</v>
      </c>
    </row>
    <row r="2449" spans="1:18" x14ac:dyDescent="0.2">
      <c r="A2449" t="s">
        <v>4357</v>
      </c>
      <c r="B2449" t="s">
        <v>4358</v>
      </c>
      <c r="C2449">
        <v>2014</v>
      </c>
      <c r="D2449">
        <v>1</v>
      </c>
      <c r="E2449" t="s">
        <v>55</v>
      </c>
      <c r="F2449" t="s">
        <v>128</v>
      </c>
      <c r="G2449" t="s">
        <v>63</v>
      </c>
      <c r="H2449">
        <v>2</v>
      </c>
      <c r="I2449">
        <v>13.060855</v>
      </c>
      <c r="J2449">
        <v>810</v>
      </c>
      <c r="M2449">
        <v>1.36</v>
      </c>
      <c r="O2449">
        <v>0.121</v>
      </c>
      <c r="R2449">
        <v>0.88</v>
      </c>
    </row>
    <row r="2450" spans="1:18" x14ac:dyDescent="0.2">
      <c r="A2450" t="s">
        <v>4357</v>
      </c>
      <c r="B2450" t="s">
        <v>4359</v>
      </c>
      <c r="C2450">
        <v>2014</v>
      </c>
      <c r="D2450">
        <v>1</v>
      </c>
      <c r="E2450" t="s">
        <v>55</v>
      </c>
      <c r="F2450" t="s">
        <v>128</v>
      </c>
      <c r="G2450" t="s">
        <v>63</v>
      </c>
      <c r="H2450">
        <v>2</v>
      </c>
      <c r="I2450">
        <v>21.853722000000001</v>
      </c>
      <c r="J2450">
        <v>810</v>
      </c>
      <c r="M2450">
        <v>1.64</v>
      </c>
      <c r="O2450">
        <v>0.14599999999999999</v>
      </c>
      <c r="R2450">
        <v>0.88</v>
      </c>
    </row>
    <row r="2451" spans="1:18" x14ac:dyDescent="0.2">
      <c r="A2451" t="s">
        <v>4360</v>
      </c>
      <c r="B2451" t="s">
        <v>4361</v>
      </c>
      <c r="C2451">
        <v>2014</v>
      </c>
      <c r="D2451">
        <v>1</v>
      </c>
      <c r="E2451" t="s">
        <v>55</v>
      </c>
      <c r="F2451" t="s">
        <v>128</v>
      </c>
      <c r="G2451" t="s">
        <v>63</v>
      </c>
      <c r="H2451">
        <v>2</v>
      </c>
      <c r="I2451">
        <v>16.568086999999998</v>
      </c>
      <c r="J2451">
        <v>891</v>
      </c>
      <c r="M2451">
        <v>2.67</v>
      </c>
      <c r="O2451">
        <v>0.23799999999999999</v>
      </c>
      <c r="R2451">
        <v>0.79</v>
      </c>
    </row>
    <row r="2452" spans="1:18" x14ac:dyDescent="0.2">
      <c r="A2452" t="s">
        <v>4360</v>
      </c>
      <c r="B2452" t="s">
        <v>4362</v>
      </c>
      <c r="C2452">
        <v>2014</v>
      </c>
      <c r="D2452">
        <v>1</v>
      </c>
      <c r="E2452" t="s">
        <v>55</v>
      </c>
      <c r="F2452" t="s">
        <v>128</v>
      </c>
      <c r="G2452" t="s">
        <v>63</v>
      </c>
      <c r="H2452">
        <v>2</v>
      </c>
      <c r="I2452">
        <v>47.332773000000003</v>
      </c>
      <c r="J2452">
        <v>891</v>
      </c>
      <c r="M2452">
        <v>2.4700000000000002</v>
      </c>
      <c r="O2452">
        <v>0.22</v>
      </c>
      <c r="R2452">
        <v>0.79</v>
      </c>
    </row>
    <row r="2453" spans="1:18" x14ac:dyDescent="0.2">
      <c r="A2453" t="s">
        <v>4363</v>
      </c>
      <c r="B2453" t="s">
        <v>4364</v>
      </c>
      <c r="C2453">
        <v>2014</v>
      </c>
      <c r="D2453">
        <v>1</v>
      </c>
      <c r="E2453" t="s">
        <v>55</v>
      </c>
      <c r="F2453" t="s">
        <v>128</v>
      </c>
      <c r="G2453" t="s">
        <v>63</v>
      </c>
      <c r="H2453">
        <v>2</v>
      </c>
      <c r="I2453">
        <v>40.806230999999997</v>
      </c>
      <c r="J2453">
        <v>955</v>
      </c>
      <c r="M2453">
        <v>3.33</v>
      </c>
      <c r="O2453">
        <v>0.29699999999999999</v>
      </c>
      <c r="R2453">
        <v>1.55</v>
      </c>
    </row>
    <row r="2454" spans="1:18" x14ac:dyDescent="0.2">
      <c r="A2454" t="s">
        <v>4363</v>
      </c>
      <c r="B2454" t="s">
        <v>4365</v>
      </c>
      <c r="C2454">
        <v>2014</v>
      </c>
      <c r="D2454">
        <v>1</v>
      </c>
      <c r="E2454" t="s">
        <v>55</v>
      </c>
      <c r="F2454" t="s">
        <v>128</v>
      </c>
      <c r="G2454" t="s">
        <v>63</v>
      </c>
      <c r="H2454">
        <v>2</v>
      </c>
      <c r="I2454">
        <v>140.10126099999999</v>
      </c>
      <c r="J2454">
        <v>955</v>
      </c>
      <c r="M2454">
        <v>2.83</v>
      </c>
      <c r="O2454">
        <v>0.252</v>
      </c>
      <c r="R2454">
        <v>1.55</v>
      </c>
    </row>
    <row r="2455" spans="1:18" x14ac:dyDescent="0.2">
      <c r="A2455" t="s">
        <v>4366</v>
      </c>
      <c r="B2455" t="s">
        <v>4367</v>
      </c>
      <c r="C2455">
        <v>2014</v>
      </c>
      <c r="D2455">
        <v>1</v>
      </c>
      <c r="E2455" t="s">
        <v>55</v>
      </c>
      <c r="F2455" t="s">
        <v>128</v>
      </c>
      <c r="G2455" t="s">
        <v>63</v>
      </c>
      <c r="H2455">
        <v>4</v>
      </c>
      <c r="I2455">
        <v>6.8462620000000003</v>
      </c>
      <c r="J2455">
        <v>1360</v>
      </c>
      <c r="M2455">
        <v>1.86</v>
      </c>
      <c r="O2455">
        <v>0.16600000000000001</v>
      </c>
      <c r="R2455">
        <v>1.1000000000000001</v>
      </c>
    </row>
    <row r="2456" spans="1:18" x14ac:dyDescent="0.2">
      <c r="A2456" t="s">
        <v>4366</v>
      </c>
      <c r="B2456" t="s">
        <v>4368</v>
      </c>
      <c r="C2456">
        <v>2014</v>
      </c>
      <c r="D2456">
        <v>1</v>
      </c>
      <c r="E2456" t="s">
        <v>55</v>
      </c>
      <c r="F2456" t="s">
        <v>128</v>
      </c>
      <c r="G2456" t="s">
        <v>63</v>
      </c>
      <c r="H2456">
        <v>4</v>
      </c>
      <c r="I2456">
        <v>17.028936999999999</v>
      </c>
      <c r="J2456">
        <v>1360</v>
      </c>
      <c r="M2456">
        <v>2.63</v>
      </c>
      <c r="O2456">
        <v>0.23499999999999999</v>
      </c>
      <c r="R2456">
        <v>1.1000000000000001</v>
      </c>
    </row>
    <row r="2457" spans="1:18" x14ac:dyDescent="0.2">
      <c r="A2457" t="s">
        <v>4366</v>
      </c>
      <c r="B2457" t="s">
        <v>4369</v>
      </c>
      <c r="C2457">
        <v>2014</v>
      </c>
      <c r="D2457">
        <v>1</v>
      </c>
      <c r="E2457" t="s">
        <v>55</v>
      </c>
      <c r="F2457" t="s">
        <v>128</v>
      </c>
      <c r="G2457" t="s">
        <v>63</v>
      </c>
      <c r="H2457">
        <v>4</v>
      </c>
      <c r="I2457">
        <v>43.130617000000001</v>
      </c>
      <c r="J2457">
        <v>1360</v>
      </c>
      <c r="M2457">
        <v>2.4900000000000002</v>
      </c>
      <c r="O2457">
        <v>0.222</v>
      </c>
      <c r="R2457">
        <v>1.1000000000000001</v>
      </c>
    </row>
    <row r="2458" spans="1:18" x14ac:dyDescent="0.2">
      <c r="A2458" t="s">
        <v>4366</v>
      </c>
      <c r="B2458" t="s">
        <v>4370</v>
      </c>
      <c r="C2458">
        <v>2014</v>
      </c>
      <c r="D2458">
        <v>1</v>
      </c>
      <c r="E2458" t="s">
        <v>55</v>
      </c>
      <c r="F2458" t="s">
        <v>128</v>
      </c>
      <c r="G2458" t="s">
        <v>63</v>
      </c>
      <c r="H2458">
        <v>4</v>
      </c>
      <c r="I2458">
        <v>67.831023999999999</v>
      </c>
      <c r="J2458">
        <v>1360</v>
      </c>
      <c r="M2458">
        <v>2.59</v>
      </c>
      <c r="O2458">
        <v>0.23100000000000001</v>
      </c>
      <c r="R2458">
        <v>1.1000000000000001</v>
      </c>
    </row>
    <row r="2459" spans="1:18" x14ac:dyDescent="0.2">
      <c r="A2459" t="s">
        <v>4371</v>
      </c>
      <c r="B2459" t="s">
        <v>4372</v>
      </c>
      <c r="C2459">
        <v>2014</v>
      </c>
      <c r="D2459">
        <v>1</v>
      </c>
      <c r="E2459" t="s">
        <v>55</v>
      </c>
      <c r="F2459" t="s">
        <v>128</v>
      </c>
      <c r="G2459" t="s">
        <v>63</v>
      </c>
      <c r="H2459">
        <v>2</v>
      </c>
      <c r="I2459">
        <v>6.6183300000000003</v>
      </c>
      <c r="J2459">
        <v>1090</v>
      </c>
      <c r="M2459">
        <v>2.48</v>
      </c>
      <c r="O2459">
        <v>0.221</v>
      </c>
      <c r="R2459">
        <v>1.03</v>
      </c>
    </row>
    <row r="2460" spans="1:18" x14ac:dyDescent="0.2">
      <c r="A2460" t="s">
        <v>4371</v>
      </c>
      <c r="B2460" t="s">
        <v>4373</v>
      </c>
      <c r="C2460">
        <v>2014</v>
      </c>
      <c r="D2460">
        <v>1</v>
      </c>
      <c r="E2460" t="s">
        <v>55</v>
      </c>
      <c r="F2460" t="s">
        <v>128</v>
      </c>
      <c r="G2460" t="s">
        <v>63</v>
      </c>
      <c r="H2460">
        <v>2</v>
      </c>
      <c r="I2460">
        <v>107.723601</v>
      </c>
      <c r="J2460">
        <v>1090</v>
      </c>
      <c r="M2460">
        <v>3.89</v>
      </c>
      <c r="O2460">
        <v>0.34699999999999998</v>
      </c>
      <c r="R2460">
        <v>1.03</v>
      </c>
    </row>
    <row r="2461" spans="1:18" x14ac:dyDescent="0.2">
      <c r="A2461" t="s">
        <v>4374</v>
      </c>
      <c r="B2461" t="s">
        <v>4375</v>
      </c>
      <c r="C2461">
        <v>2014</v>
      </c>
      <c r="D2461">
        <v>1</v>
      </c>
      <c r="E2461" t="s">
        <v>55</v>
      </c>
      <c r="F2461" t="s">
        <v>128</v>
      </c>
      <c r="G2461" t="s">
        <v>63</v>
      </c>
      <c r="H2461">
        <v>3</v>
      </c>
      <c r="I2461">
        <v>3.3537279999999998</v>
      </c>
      <c r="J2461">
        <v>281</v>
      </c>
      <c r="M2461">
        <v>1.98</v>
      </c>
      <c r="O2461">
        <v>0.17699999999999999</v>
      </c>
      <c r="R2461">
        <v>0.56000000000000005</v>
      </c>
    </row>
    <row r="2462" spans="1:18" x14ac:dyDescent="0.2">
      <c r="A2462" t="s">
        <v>4374</v>
      </c>
      <c r="B2462" t="s">
        <v>4376</v>
      </c>
      <c r="C2462">
        <v>2014</v>
      </c>
      <c r="D2462">
        <v>1</v>
      </c>
      <c r="E2462" t="s">
        <v>55</v>
      </c>
      <c r="F2462" t="s">
        <v>128</v>
      </c>
      <c r="G2462" t="s">
        <v>63</v>
      </c>
      <c r="H2462">
        <v>3</v>
      </c>
      <c r="I2462">
        <v>6.8774499999999996</v>
      </c>
      <c r="J2462">
        <v>281</v>
      </c>
      <c r="M2462">
        <v>2.13</v>
      </c>
      <c r="O2462">
        <v>0.19</v>
      </c>
      <c r="R2462">
        <v>0.56000000000000005</v>
      </c>
    </row>
    <row r="2463" spans="1:18" x14ac:dyDescent="0.2">
      <c r="A2463" t="s">
        <v>4374</v>
      </c>
      <c r="B2463" t="s">
        <v>4377</v>
      </c>
      <c r="C2463">
        <v>2014</v>
      </c>
      <c r="D2463">
        <v>1</v>
      </c>
      <c r="E2463" t="s">
        <v>55</v>
      </c>
      <c r="F2463" t="s">
        <v>128</v>
      </c>
      <c r="G2463" t="s">
        <v>63</v>
      </c>
      <c r="H2463">
        <v>3</v>
      </c>
      <c r="I2463">
        <v>28.464514999999999</v>
      </c>
      <c r="J2463">
        <v>281</v>
      </c>
      <c r="M2463">
        <v>2.27</v>
      </c>
      <c r="O2463">
        <v>0.20300000000000001</v>
      </c>
      <c r="R2463">
        <v>0.56000000000000005</v>
      </c>
    </row>
    <row r="2464" spans="1:18" x14ac:dyDescent="0.2">
      <c r="A2464" t="s">
        <v>4378</v>
      </c>
      <c r="B2464" t="s">
        <v>4379</v>
      </c>
      <c r="C2464">
        <v>2014</v>
      </c>
      <c r="D2464">
        <v>1</v>
      </c>
      <c r="E2464" t="s">
        <v>55</v>
      </c>
      <c r="F2464" t="s">
        <v>128</v>
      </c>
      <c r="G2464" t="s">
        <v>63</v>
      </c>
      <c r="H2464">
        <v>2</v>
      </c>
      <c r="I2464">
        <v>25.934138000000001</v>
      </c>
      <c r="J2464">
        <v>818</v>
      </c>
      <c r="M2464">
        <v>2.5499999999999998</v>
      </c>
      <c r="O2464">
        <v>0.22700000000000001</v>
      </c>
      <c r="R2464">
        <v>1.27</v>
      </c>
    </row>
    <row r="2465" spans="1:18" x14ac:dyDescent="0.2">
      <c r="A2465" t="s">
        <v>4378</v>
      </c>
      <c r="B2465" t="s">
        <v>4380</v>
      </c>
      <c r="C2465">
        <v>2014</v>
      </c>
      <c r="D2465">
        <v>1</v>
      </c>
      <c r="E2465" t="s">
        <v>55</v>
      </c>
      <c r="F2465" t="s">
        <v>128</v>
      </c>
      <c r="G2465" t="s">
        <v>63</v>
      </c>
      <c r="H2465">
        <v>2</v>
      </c>
      <c r="I2465">
        <v>83.446393</v>
      </c>
      <c r="J2465">
        <v>818</v>
      </c>
      <c r="M2465">
        <v>3.38</v>
      </c>
      <c r="O2465">
        <v>0.30199999999999999</v>
      </c>
      <c r="R2465">
        <v>1.27</v>
      </c>
    </row>
    <row r="2466" spans="1:18" x14ac:dyDescent="0.2">
      <c r="A2466" t="s">
        <v>4381</v>
      </c>
      <c r="B2466" t="s">
        <v>4382</v>
      </c>
      <c r="C2466">
        <v>2014</v>
      </c>
      <c r="D2466">
        <v>1</v>
      </c>
      <c r="E2466" t="s">
        <v>55</v>
      </c>
      <c r="F2466" t="s">
        <v>128</v>
      </c>
      <c r="G2466" t="s">
        <v>63</v>
      </c>
      <c r="H2466">
        <v>2</v>
      </c>
      <c r="I2466">
        <v>5.3267179999999996</v>
      </c>
      <c r="J2466">
        <v>1193</v>
      </c>
      <c r="M2466">
        <v>2.4700000000000002</v>
      </c>
      <c r="O2466">
        <v>0.22</v>
      </c>
      <c r="R2466">
        <v>0.96</v>
      </c>
    </row>
    <row r="2467" spans="1:18" x14ac:dyDescent="0.2">
      <c r="A2467" t="s">
        <v>4381</v>
      </c>
      <c r="B2467" t="s">
        <v>4383</v>
      </c>
      <c r="C2467">
        <v>2014</v>
      </c>
      <c r="D2467">
        <v>1</v>
      </c>
      <c r="E2467" t="s">
        <v>55</v>
      </c>
      <c r="F2467" t="s">
        <v>128</v>
      </c>
      <c r="G2467" t="s">
        <v>63</v>
      </c>
      <c r="H2467">
        <v>2</v>
      </c>
      <c r="I2467">
        <v>8.1278989999999993</v>
      </c>
      <c r="J2467">
        <v>1193</v>
      </c>
      <c r="M2467">
        <v>1.69</v>
      </c>
      <c r="O2467">
        <v>0.151</v>
      </c>
      <c r="R2467">
        <v>0.96</v>
      </c>
    </row>
    <row r="2468" spans="1:18" x14ac:dyDescent="0.2">
      <c r="A2468" t="s">
        <v>4384</v>
      </c>
      <c r="B2468" t="s">
        <v>4385</v>
      </c>
      <c r="C2468">
        <v>2011</v>
      </c>
      <c r="D2468">
        <v>1</v>
      </c>
      <c r="E2468" t="s">
        <v>55</v>
      </c>
      <c r="F2468" t="s">
        <v>128</v>
      </c>
      <c r="G2468" t="s">
        <v>63</v>
      </c>
      <c r="H2468">
        <v>2</v>
      </c>
      <c r="I2468">
        <v>15.3348</v>
      </c>
      <c r="J2468">
        <v>1140</v>
      </c>
      <c r="L2468">
        <v>2895.31</v>
      </c>
      <c r="M2468">
        <v>4</v>
      </c>
      <c r="N2468">
        <v>9.11</v>
      </c>
      <c r="O2468">
        <v>0.35699999999999998</v>
      </c>
      <c r="Q2468">
        <v>0.65</v>
      </c>
      <c r="R2468">
        <v>0.59</v>
      </c>
    </row>
    <row r="2469" spans="1:18" x14ac:dyDescent="0.2">
      <c r="A2469" t="s">
        <v>4384</v>
      </c>
      <c r="B2469" t="s">
        <v>4386</v>
      </c>
      <c r="C2469">
        <v>2011</v>
      </c>
      <c r="D2469">
        <v>1</v>
      </c>
      <c r="E2469" t="s">
        <v>55</v>
      </c>
      <c r="F2469" t="s">
        <v>128</v>
      </c>
      <c r="G2469" t="s">
        <v>63</v>
      </c>
      <c r="H2469">
        <v>2</v>
      </c>
      <c r="I2469">
        <v>31.3309</v>
      </c>
      <c r="J2469">
        <v>1140</v>
      </c>
      <c r="L2469">
        <v>4385.87</v>
      </c>
      <c r="M2469">
        <v>4.9000000000000004</v>
      </c>
      <c r="N2469">
        <v>13.8</v>
      </c>
      <c r="O2469">
        <v>0.437</v>
      </c>
      <c r="Q2469">
        <v>0.65</v>
      </c>
      <c r="R2469">
        <v>0.59</v>
      </c>
    </row>
    <row r="2470" spans="1:18" x14ac:dyDescent="0.2">
      <c r="A2470" t="s">
        <v>4387</v>
      </c>
      <c r="B2470" t="s">
        <v>4388</v>
      </c>
      <c r="C2470">
        <v>2014</v>
      </c>
      <c r="D2470">
        <v>1</v>
      </c>
      <c r="E2470" t="s">
        <v>55</v>
      </c>
      <c r="F2470" t="s">
        <v>128</v>
      </c>
      <c r="G2470" t="s">
        <v>63</v>
      </c>
      <c r="H2470">
        <v>2</v>
      </c>
      <c r="I2470">
        <v>11.476094</v>
      </c>
      <c r="J2470">
        <v>1019</v>
      </c>
      <c r="M2470">
        <v>2.0099999999999998</v>
      </c>
      <c r="O2470">
        <v>0.17899999999999999</v>
      </c>
      <c r="R2470">
        <v>1.46</v>
      </c>
    </row>
    <row r="2471" spans="1:18" x14ac:dyDescent="0.2">
      <c r="A2471" t="s">
        <v>4387</v>
      </c>
      <c r="B2471" t="s">
        <v>4389</v>
      </c>
      <c r="C2471">
        <v>2014</v>
      </c>
      <c r="D2471">
        <v>1</v>
      </c>
      <c r="E2471" t="s">
        <v>55</v>
      </c>
      <c r="F2471" t="s">
        <v>128</v>
      </c>
      <c r="G2471" t="s">
        <v>63</v>
      </c>
      <c r="H2471">
        <v>2</v>
      </c>
      <c r="I2471">
        <v>25.262886999999999</v>
      </c>
      <c r="J2471">
        <v>1019</v>
      </c>
      <c r="M2471">
        <v>1.77</v>
      </c>
      <c r="O2471">
        <v>0.158</v>
      </c>
      <c r="R2471">
        <v>1.46</v>
      </c>
    </row>
    <row r="2472" spans="1:18" x14ac:dyDescent="0.2">
      <c r="A2472" t="s">
        <v>4390</v>
      </c>
      <c r="B2472" t="s">
        <v>4391</v>
      </c>
      <c r="C2472">
        <v>2014</v>
      </c>
      <c r="D2472">
        <v>1</v>
      </c>
      <c r="E2472" t="s">
        <v>55</v>
      </c>
      <c r="F2472" t="s">
        <v>128</v>
      </c>
      <c r="G2472" t="s">
        <v>63</v>
      </c>
      <c r="H2472">
        <v>3</v>
      </c>
      <c r="I2472">
        <v>10.43547805</v>
      </c>
      <c r="J2472">
        <v>418</v>
      </c>
      <c r="K2472">
        <v>4.57</v>
      </c>
      <c r="M2472">
        <v>1.23</v>
      </c>
      <c r="O2472">
        <v>0.11</v>
      </c>
      <c r="Q2472">
        <v>0.9</v>
      </c>
      <c r="R2472">
        <v>0.87</v>
      </c>
    </row>
    <row r="2473" spans="1:18" x14ac:dyDescent="0.2">
      <c r="A2473" t="s">
        <v>4390</v>
      </c>
      <c r="B2473" t="s">
        <v>4392</v>
      </c>
      <c r="C2473">
        <v>2014</v>
      </c>
      <c r="D2473">
        <v>1</v>
      </c>
      <c r="E2473" t="s">
        <v>55</v>
      </c>
      <c r="F2473" t="s">
        <v>128</v>
      </c>
      <c r="G2473" t="s">
        <v>63</v>
      </c>
      <c r="H2473">
        <v>3</v>
      </c>
      <c r="I2473">
        <v>7.4108626700000002</v>
      </c>
      <c r="J2473">
        <v>418</v>
      </c>
      <c r="K2473">
        <v>4.57</v>
      </c>
      <c r="M2473">
        <v>0.95</v>
      </c>
      <c r="O2473">
        <v>8.5000000000000006E-2</v>
      </c>
      <c r="Q2473">
        <v>0.9</v>
      </c>
      <c r="R2473">
        <v>0.87</v>
      </c>
    </row>
    <row r="2474" spans="1:18" x14ac:dyDescent="0.2">
      <c r="A2474" t="s">
        <v>4390</v>
      </c>
      <c r="B2474" t="s">
        <v>4393</v>
      </c>
      <c r="C2474">
        <v>2016</v>
      </c>
      <c r="D2474">
        <v>1</v>
      </c>
      <c r="E2474" t="s">
        <v>55</v>
      </c>
      <c r="F2474" t="s">
        <v>128</v>
      </c>
      <c r="G2474" t="s">
        <v>63</v>
      </c>
      <c r="H2474">
        <v>3</v>
      </c>
      <c r="I2474">
        <v>5.2497254099999999</v>
      </c>
      <c r="J2474">
        <v>418</v>
      </c>
      <c r="K2474">
        <v>4.57</v>
      </c>
      <c r="M2474">
        <v>0.66</v>
      </c>
      <c r="O2474">
        <v>5.8999999999999997E-2</v>
      </c>
      <c r="Q2474">
        <v>0.9</v>
      </c>
      <c r="R2474">
        <v>0.87</v>
      </c>
    </row>
    <row r="2475" spans="1:18" x14ac:dyDescent="0.2">
      <c r="A2475" t="s">
        <v>4394</v>
      </c>
      <c r="B2475" t="s">
        <v>4395</v>
      </c>
      <c r="C2475">
        <v>2014</v>
      </c>
      <c r="D2475">
        <v>1</v>
      </c>
      <c r="E2475" t="s">
        <v>55</v>
      </c>
      <c r="F2475" t="s">
        <v>128</v>
      </c>
      <c r="G2475" t="s">
        <v>63</v>
      </c>
      <c r="H2475">
        <v>3</v>
      </c>
      <c r="I2475">
        <v>2.9713530000000001</v>
      </c>
      <c r="J2475">
        <v>699</v>
      </c>
      <c r="M2475">
        <v>1.43</v>
      </c>
      <c r="O2475">
        <v>0.128</v>
      </c>
      <c r="R2475">
        <v>0.93</v>
      </c>
    </row>
    <row r="2476" spans="1:18" x14ac:dyDescent="0.2">
      <c r="A2476" t="s">
        <v>4394</v>
      </c>
      <c r="B2476" t="s">
        <v>4396</v>
      </c>
      <c r="C2476">
        <v>2014</v>
      </c>
      <c r="D2476">
        <v>1</v>
      </c>
      <c r="E2476" t="s">
        <v>55</v>
      </c>
      <c r="F2476" t="s">
        <v>128</v>
      </c>
      <c r="G2476" t="s">
        <v>63</v>
      </c>
      <c r="H2476">
        <v>3</v>
      </c>
      <c r="I2476">
        <v>6.0573420000000002</v>
      </c>
      <c r="J2476">
        <v>699</v>
      </c>
      <c r="M2476">
        <v>1.79</v>
      </c>
      <c r="O2476">
        <v>0.16</v>
      </c>
      <c r="R2476">
        <v>0.93</v>
      </c>
    </row>
    <row r="2477" spans="1:18" x14ac:dyDescent="0.2">
      <c r="A2477" t="s">
        <v>4394</v>
      </c>
      <c r="B2477" t="s">
        <v>4397</v>
      </c>
      <c r="C2477">
        <v>2014</v>
      </c>
      <c r="D2477">
        <v>1</v>
      </c>
      <c r="E2477" t="s">
        <v>55</v>
      </c>
      <c r="F2477" t="s">
        <v>128</v>
      </c>
      <c r="G2477" t="s">
        <v>63</v>
      </c>
      <c r="H2477">
        <v>3</v>
      </c>
      <c r="I2477">
        <v>10.937303999999999</v>
      </c>
      <c r="J2477">
        <v>699</v>
      </c>
      <c r="M2477">
        <v>2.25</v>
      </c>
      <c r="O2477">
        <v>0.20100000000000001</v>
      </c>
      <c r="R2477">
        <v>0.93</v>
      </c>
    </row>
    <row r="2478" spans="1:18" x14ac:dyDescent="0.2">
      <c r="A2478" t="s">
        <v>4398</v>
      </c>
      <c r="B2478" t="s">
        <v>4399</v>
      </c>
      <c r="C2478">
        <v>2014</v>
      </c>
      <c r="D2478">
        <v>1</v>
      </c>
      <c r="E2478" t="s">
        <v>55</v>
      </c>
      <c r="F2478" t="s">
        <v>128</v>
      </c>
      <c r="G2478" t="s">
        <v>63</v>
      </c>
      <c r="H2478">
        <v>2</v>
      </c>
      <c r="I2478">
        <v>2.9365320000000001</v>
      </c>
      <c r="J2478">
        <v>874</v>
      </c>
      <c r="M2478">
        <v>1.5</v>
      </c>
      <c r="O2478">
        <v>0.13400000000000001</v>
      </c>
      <c r="R2478">
        <v>0.81</v>
      </c>
    </row>
    <row r="2479" spans="1:18" x14ac:dyDescent="0.2">
      <c r="A2479" t="s">
        <v>4398</v>
      </c>
      <c r="B2479" t="s">
        <v>4400</v>
      </c>
      <c r="C2479">
        <v>2014</v>
      </c>
      <c r="D2479">
        <v>1</v>
      </c>
      <c r="E2479" t="s">
        <v>55</v>
      </c>
      <c r="F2479" t="s">
        <v>128</v>
      </c>
      <c r="G2479" t="s">
        <v>63</v>
      </c>
      <c r="H2479">
        <v>2</v>
      </c>
      <c r="I2479">
        <v>8.0149270000000001</v>
      </c>
      <c r="J2479">
        <v>874</v>
      </c>
      <c r="M2479">
        <v>1.98</v>
      </c>
      <c r="O2479">
        <v>0.17699999999999999</v>
      </c>
      <c r="R2479">
        <v>0.81</v>
      </c>
    </row>
    <row r="2480" spans="1:18" x14ac:dyDescent="0.2">
      <c r="A2480" t="s">
        <v>4401</v>
      </c>
      <c r="B2480" t="s">
        <v>4402</v>
      </c>
      <c r="C2480">
        <v>2014</v>
      </c>
      <c r="D2480">
        <v>1</v>
      </c>
      <c r="E2480" t="s">
        <v>55</v>
      </c>
      <c r="F2480" t="s">
        <v>128</v>
      </c>
      <c r="G2480" t="s">
        <v>63</v>
      </c>
      <c r="H2480">
        <v>2</v>
      </c>
      <c r="I2480">
        <v>11.634788</v>
      </c>
      <c r="J2480">
        <v>1172</v>
      </c>
      <c r="M2480">
        <v>1.54</v>
      </c>
      <c r="O2480">
        <v>0.13700000000000001</v>
      </c>
      <c r="R2480">
        <v>1.01</v>
      </c>
    </row>
    <row r="2481" spans="1:18" x14ac:dyDescent="0.2">
      <c r="A2481" t="s">
        <v>4401</v>
      </c>
      <c r="B2481" t="s">
        <v>4403</v>
      </c>
      <c r="C2481">
        <v>2014</v>
      </c>
      <c r="D2481">
        <v>1</v>
      </c>
      <c r="E2481" t="s">
        <v>55</v>
      </c>
      <c r="F2481" t="s">
        <v>128</v>
      </c>
      <c r="G2481" t="s">
        <v>63</v>
      </c>
      <c r="H2481">
        <v>2</v>
      </c>
      <c r="I2481">
        <v>33.197861000000003</v>
      </c>
      <c r="J2481">
        <v>1172</v>
      </c>
      <c r="M2481">
        <v>1.84</v>
      </c>
      <c r="O2481">
        <v>0.16400000000000001</v>
      </c>
      <c r="R2481">
        <v>1.01</v>
      </c>
    </row>
    <row r="2482" spans="1:18" x14ac:dyDescent="0.2">
      <c r="A2482" t="s">
        <v>4404</v>
      </c>
      <c r="B2482" t="s">
        <v>4405</v>
      </c>
      <c r="C2482">
        <v>2014</v>
      </c>
      <c r="D2482">
        <v>1</v>
      </c>
      <c r="E2482" t="s">
        <v>55</v>
      </c>
      <c r="F2482" t="s">
        <v>128</v>
      </c>
      <c r="G2482" t="s">
        <v>63</v>
      </c>
      <c r="H2482">
        <v>3</v>
      </c>
      <c r="I2482">
        <v>10.300682</v>
      </c>
      <c r="J2482">
        <v>1818</v>
      </c>
      <c r="M2482">
        <v>2.34</v>
      </c>
      <c r="O2482">
        <v>0.20899999999999999</v>
      </c>
      <c r="R2482">
        <v>1.38</v>
      </c>
    </row>
    <row r="2483" spans="1:18" x14ac:dyDescent="0.2">
      <c r="A2483" t="s">
        <v>4404</v>
      </c>
      <c r="B2483" t="s">
        <v>4406</v>
      </c>
      <c r="C2483">
        <v>2014</v>
      </c>
      <c r="D2483">
        <v>1</v>
      </c>
      <c r="E2483" t="s">
        <v>55</v>
      </c>
      <c r="F2483" t="s">
        <v>128</v>
      </c>
      <c r="G2483" t="s">
        <v>63</v>
      </c>
      <c r="H2483">
        <v>3</v>
      </c>
      <c r="I2483">
        <v>16.088134</v>
      </c>
      <c r="J2483">
        <v>1818</v>
      </c>
      <c r="M2483">
        <v>3.38</v>
      </c>
      <c r="O2483">
        <v>0.30199999999999999</v>
      </c>
      <c r="R2483">
        <v>1.38</v>
      </c>
    </row>
    <row r="2484" spans="1:18" x14ac:dyDescent="0.2">
      <c r="A2484" t="s">
        <v>4404</v>
      </c>
      <c r="B2484" t="s">
        <v>4407</v>
      </c>
      <c r="C2484">
        <v>2014</v>
      </c>
      <c r="D2484">
        <v>1</v>
      </c>
      <c r="E2484" t="s">
        <v>55</v>
      </c>
      <c r="F2484" t="s">
        <v>128</v>
      </c>
      <c r="G2484" t="s">
        <v>63</v>
      </c>
      <c r="H2484">
        <v>3</v>
      </c>
      <c r="I2484">
        <v>35.676062000000002</v>
      </c>
      <c r="J2484">
        <v>1818</v>
      </c>
      <c r="M2484">
        <v>3.33</v>
      </c>
      <c r="O2484">
        <v>0.29699999999999999</v>
      </c>
      <c r="R2484">
        <v>1.38</v>
      </c>
    </row>
    <row r="2485" spans="1:18" x14ac:dyDescent="0.2">
      <c r="A2485" t="s">
        <v>4408</v>
      </c>
      <c r="B2485" t="s">
        <v>4409</v>
      </c>
      <c r="C2485">
        <v>2014</v>
      </c>
      <c r="D2485">
        <v>1</v>
      </c>
      <c r="E2485" t="s">
        <v>55</v>
      </c>
      <c r="F2485" t="s">
        <v>128</v>
      </c>
      <c r="G2485" t="s">
        <v>63</v>
      </c>
      <c r="H2485">
        <v>3</v>
      </c>
      <c r="I2485">
        <v>14.128410000000001</v>
      </c>
      <c r="J2485">
        <v>1326</v>
      </c>
      <c r="M2485">
        <v>2.87</v>
      </c>
      <c r="O2485">
        <v>0.25600000000000001</v>
      </c>
      <c r="R2485">
        <v>1.05</v>
      </c>
    </row>
    <row r="2486" spans="1:18" x14ac:dyDescent="0.2">
      <c r="A2486" t="s">
        <v>4408</v>
      </c>
      <c r="B2486" t="s">
        <v>4410</v>
      </c>
      <c r="C2486">
        <v>2013</v>
      </c>
      <c r="D2486">
        <v>1</v>
      </c>
      <c r="E2486" t="s">
        <v>55</v>
      </c>
      <c r="F2486" t="s">
        <v>128</v>
      </c>
      <c r="G2486" t="s">
        <v>63</v>
      </c>
      <c r="H2486">
        <v>3</v>
      </c>
      <c r="I2486">
        <v>31.884</v>
      </c>
      <c r="J2486">
        <v>1326</v>
      </c>
      <c r="L2486">
        <v>16.600000000000001</v>
      </c>
      <c r="M2486">
        <v>2.9</v>
      </c>
      <c r="N2486">
        <v>5.1999999999999998E-2</v>
      </c>
      <c r="O2486">
        <v>0.25900000000000001</v>
      </c>
      <c r="R2486">
        <v>1.05</v>
      </c>
    </row>
    <row r="2487" spans="1:18" x14ac:dyDescent="0.2">
      <c r="A2487" t="s">
        <v>4408</v>
      </c>
      <c r="B2487" t="s">
        <v>4411</v>
      </c>
      <c r="C2487">
        <v>2013</v>
      </c>
      <c r="D2487">
        <v>1</v>
      </c>
      <c r="E2487" t="s">
        <v>55</v>
      </c>
      <c r="F2487" t="s">
        <v>128</v>
      </c>
      <c r="G2487" t="s">
        <v>63</v>
      </c>
      <c r="H2487">
        <v>3</v>
      </c>
      <c r="I2487">
        <v>48.648000000000003</v>
      </c>
      <c r="J2487">
        <v>1326</v>
      </c>
      <c r="L2487">
        <v>16.3</v>
      </c>
      <c r="M2487">
        <v>2.8</v>
      </c>
      <c r="N2487">
        <v>5.0999999999999997E-2</v>
      </c>
      <c r="O2487">
        <v>0.25</v>
      </c>
      <c r="R2487">
        <v>1.05</v>
      </c>
    </row>
    <row r="2488" spans="1:18" x14ac:dyDescent="0.2">
      <c r="A2488" t="s">
        <v>4412</v>
      </c>
      <c r="B2488" t="s">
        <v>4413</v>
      </c>
      <c r="C2488">
        <v>2013</v>
      </c>
      <c r="D2488">
        <v>1</v>
      </c>
      <c r="E2488" t="s">
        <v>55</v>
      </c>
      <c r="F2488" t="s">
        <v>128</v>
      </c>
      <c r="G2488" t="s">
        <v>63</v>
      </c>
      <c r="H2488">
        <v>2</v>
      </c>
      <c r="I2488">
        <v>17.324000000000002</v>
      </c>
      <c r="J2488">
        <v>859</v>
      </c>
      <c r="L2488">
        <v>87.3</v>
      </c>
      <c r="M2488">
        <v>2.92</v>
      </c>
      <c r="N2488">
        <v>0.27500000000000002</v>
      </c>
      <c r="O2488">
        <v>0.26100000000000001</v>
      </c>
      <c r="R2488">
        <v>1.65</v>
      </c>
    </row>
    <row r="2489" spans="1:18" x14ac:dyDescent="0.2">
      <c r="A2489" t="s">
        <v>4412</v>
      </c>
      <c r="B2489" t="s">
        <v>4414</v>
      </c>
      <c r="C2489">
        <v>2013</v>
      </c>
      <c r="D2489">
        <v>1</v>
      </c>
      <c r="E2489" t="s">
        <v>55</v>
      </c>
      <c r="F2489" t="s">
        <v>128</v>
      </c>
      <c r="G2489" t="s">
        <v>63</v>
      </c>
      <c r="H2489">
        <v>2</v>
      </c>
      <c r="I2489">
        <v>33.006</v>
      </c>
      <c r="J2489">
        <v>859</v>
      </c>
      <c r="L2489">
        <v>64.2</v>
      </c>
      <c r="M2489">
        <v>3.36</v>
      </c>
      <c r="N2489">
        <v>0.20200000000000001</v>
      </c>
      <c r="O2489">
        <v>0.3</v>
      </c>
      <c r="R2489">
        <v>1.65</v>
      </c>
    </row>
    <row r="2490" spans="1:18" x14ac:dyDescent="0.2">
      <c r="A2490" t="s">
        <v>4415</v>
      </c>
      <c r="B2490" t="s">
        <v>4416</v>
      </c>
      <c r="C2490">
        <v>2014</v>
      </c>
      <c r="D2490">
        <v>1</v>
      </c>
      <c r="E2490" t="s">
        <v>55</v>
      </c>
      <c r="F2490" t="s">
        <v>128</v>
      </c>
      <c r="G2490" t="s">
        <v>63</v>
      </c>
      <c r="H2490">
        <v>2</v>
      </c>
      <c r="I2490">
        <v>30.160546</v>
      </c>
      <c r="J2490">
        <v>431</v>
      </c>
      <c r="M2490">
        <v>4.07</v>
      </c>
      <c r="O2490">
        <v>0.36299999999999999</v>
      </c>
      <c r="R2490">
        <v>2.94</v>
      </c>
    </row>
    <row r="2491" spans="1:18" x14ac:dyDescent="0.2">
      <c r="A2491" t="s">
        <v>4415</v>
      </c>
      <c r="B2491" t="s">
        <v>4417</v>
      </c>
      <c r="C2491">
        <v>2014</v>
      </c>
      <c r="D2491">
        <v>1</v>
      </c>
      <c r="E2491" t="s">
        <v>55</v>
      </c>
      <c r="F2491" t="s">
        <v>128</v>
      </c>
      <c r="G2491" t="s">
        <v>63</v>
      </c>
      <c r="H2491">
        <v>2</v>
      </c>
      <c r="I2491">
        <v>51.078775</v>
      </c>
      <c r="J2491">
        <v>431</v>
      </c>
      <c r="M2491">
        <v>3.59</v>
      </c>
      <c r="O2491">
        <v>0.32</v>
      </c>
      <c r="R2491">
        <v>2.94</v>
      </c>
    </row>
    <row r="2492" spans="1:18" x14ac:dyDescent="0.2">
      <c r="A2492" t="s">
        <v>4418</v>
      </c>
      <c r="B2492" t="s">
        <v>4419</v>
      </c>
      <c r="C2492">
        <v>2014</v>
      </c>
      <c r="D2492">
        <v>1</v>
      </c>
      <c r="E2492" t="s">
        <v>55</v>
      </c>
      <c r="F2492" t="s">
        <v>128</v>
      </c>
      <c r="G2492" t="s">
        <v>63</v>
      </c>
      <c r="H2492">
        <v>3</v>
      </c>
      <c r="I2492">
        <v>12.309680999999999</v>
      </c>
      <c r="J2492">
        <v>1223</v>
      </c>
      <c r="M2492">
        <v>3.62</v>
      </c>
      <c r="O2492">
        <v>0.32300000000000001</v>
      </c>
      <c r="R2492">
        <v>1.75</v>
      </c>
    </row>
    <row r="2493" spans="1:18" x14ac:dyDescent="0.2">
      <c r="A2493" t="s">
        <v>4418</v>
      </c>
      <c r="B2493" t="s">
        <v>4420</v>
      </c>
      <c r="C2493">
        <v>2013</v>
      </c>
      <c r="D2493">
        <v>1</v>
      </c>
      <c r="E2493" t="s">
        <v>55</v>
      </c>
      <c r="F2493" t="s">
        <v>128</v>
      </c>
      <c r="G2493" t="s">
        <v>63</v>
      </c>
      <c r="H2493">
        <v>3</v>
      </c>
      <c r="I2493">
        <v>35.735999999999997</v>
      </c>
      <c r="J2493">
        <v>1223</v>
      </c>
      <c r="L2493">
        <v>49.4</v>
      </c>
      <c r="M2493">
        <v>4.3</v>
      </c>
      <c r="N2493">
        <v>0.155</v>
      </c>
      <c r="O2493">
        <v>0.38400000000000001</v>
      </c>
      <c r="R2493">
        <v>1.75</v>
      </c>
    </row>
    <row r="2494" spans="1:18" x14ac:dyDescent="0.2">
      <c r="A2494" t="s">
        <v>4418</v>
      </c>
      <c r="B2494" t="s">
        <v>4421</v>
      </c>
      <c r="C2494">
        <v>2013</v>
      </c>
      <c r="D2494">
        <v>1</v>
      </c>
      <c r="E2494" t="s">
        <v>55</v>
      </c>
      <c r="F2494" t="s">
        <v>128</v>
      </c>
      <c r="G2494" t="s">
        <v>63</v>
      </c>
      <c r="H2494">
        <v>3</v>
      </c>
      <c r="I2494">
        <v>54.414000000000001</v>
      </c>
      <c r="J2494">
        <v>1223</v>
      </c>
      <c r="L2494">
        <v>37.5</v>
      </c>
      <c r="M2494">
        <v>3.1</v>
      </c>
      <c r="N2494">
        <v>0.11799999999999999</v>
      </c>
      <c r="O2494">
        <v>0.27700000000000002</v>
      </c>
      <c r="R2494">
        <v>1.75</v>
      </c>
    </row>
    <row r="2495" spans="1:18" x14ac:dyDescent="0.2">
      <c r="A2495" t="s">
        <v>4422</v>
      </c>
      <c r="B2495" t="s">
        <v>4423</v>
      </c>
      <c r="C2495">
        <v>2011</v>
      </c>
      <c r="D2495">
        <v>1</v>
      </c>
      <c r="E2495" t="s">
        <v>55</v>
      </c>
      <c r="F2495" t="s">
        <v>128</v>
      </c>
      <c r="G2495" t="s">
        <v>63</v>
      </c>
      <c r="H2495">
        <v>2</v>
      </c>
      <c r="I2495">
        <v>5.9123000000000001</v>
      </c>
      <c r="J2495">
        <v>472</v>
      </c>
      <c r="L2495">
        <v>479.9</v>
      </c>
      <c r="M2495">
        <v>3.6</v>
      </c>
      <c r="N2495">
        <v>1.51</v>
      </c>
      <c r="O2495">
        <v>0.32100000000000001</v>
      </c>
      <c r="Q2495">
        <v>0.75</v>
      </c>
      <c r="R2495">
        <v>0.7</v>
      </c>
    </row>
    <row r="2496" spans="1:18" x14ac:dyDescent="0.2">
      <c r="A2496" t="s">
        <v>4422</v>
      </c>
      <c r="B2496" t="s">
        <v>4424</v>
      </c>
      <c r="C2496">
        <v>2011</v>
      </c>
      <c r="D2496">
        <v>1</v>
      </c>
      <c r="E2496" t="s">
        <v>55</v>
      </c>
      <c r="F2496" t="s">
        <v>128</v>
      </c>
      <c r="G2496" t="s">
        <v>63</v>
      </c>
      <c r="H2496">
        <v>2</v>
      </c>
      <c r="I2496">
        <v>8.9857999999999993</v>
      </c>
      <c r="J2496">
        <v>472</v>
      </c>
      <c r="L2496">
        <v>432.23</v>
      </c>
      <c r="M2496">
        <v>3.4</v>
      </c>
      <c r="N2496">
        <v>1.36</v>
      </c>
      <c r="O2496">
        <v>0.30299999999999999</v>
      </c>
      <c r="Q2496">
        <v>0.75</v>
      </c>
      <c r="R2496">
        <v>0.7</v>
      </c>
    </row>
    <row r="2497" spans="1:18" x14ac:dyDescent="0.2">
      <c r="A2497" t="s">
        <v>4425</v>
      </c>
      <c r="B2497" t="s">
        <v>4426</v>
      </c>
      <c r="C2497">
        <v>2014</v>
      </c>
      <c r="D2497">
        <v>1</v>
      </c>
      <c r="E2497" t="s">
        <v>55</v>
      </c>
      <c r="F2497" t="s">
        <v>128</v>
      </c>
      <c r="G2497" t="s">
        <v>63</v>
      </c>
      <c r="H2497">
        <v>2</v>
      </c>
      <c r="I2497">
        <v>2.1395420000000001</v>
      </c>
      <c r="J2497">
        <v>751</v>
      </c>
      <c r="M2497">
        <v>1.45</v>
      </c>
      <c r="O2497">
        <v>0.129</v>
      </c>
      <c r="R2497">
        <v>0.89</v>
      </c>
    </row>
    <row r="2498" spans="1:18" x14ac:dyDescent="0.2">
      <c r="A2498" t="s">
        <v>4425</v>
      </c>
      <c r="B2498" t="s">
        <v>4427</v>
      </c>
      <c r="C2498">
        <v>2014</v>
      </c>
      <c r="D2498">
        <v>1</v>
      </c>
      <c r="E2498" t="s">
        <v>55</v>
      </c>
      <c r="F2498" t="s">
        <v>128</v>
      </c>
      <c r="G2498" t="s">
        <v>63</v>
      </c>
      <c r="H2498">
        <v>2</v>
      </c>
      <c r="I2498">
        <v>4.8070909999999998</v>
      </c>
      <c r="J2498">
        <v>751</v>
      </c>
      <c r="M2498">
        <v>2.0099999999999998</v>
      </c>
      <c r="O2498">
        <v>0.17899999999999999</v>
      </c>
      <c r="R2498">
        <v>0.89</v>
      </c>
    </row>
    <row r="2499" spans="1:18" x14ac:dyDescent="0.2">
      <c r="A2499" t="s">
        <v>4428</v>
      </c>
      <c r="B2499" t="s">
        <v>4429</v>
      </c>
      <c r="C2499">
        <v>2014</v>
      </c>
      <c r="D2499">
        <v>1</v>
      </c>
      <c r="E2499" t="s">
        <v>55</v>
      </c>
      <c r="F2499" t="s">
        <v>128</v>
      </c>
      <c r="G2499" t="s">
        <v>63</v>
      </c>
      <c r="H2499">
        <v>2</v>
      </c>
      <c r="I2499">
        <v>14.646008</v>
      </c>
      <c r="J2499">
        <v>1276</v>
      </c>
      <c r="M2499">
        <v>2.82</v>
      </c>
      <c r="O2499">
        <v>0.252</v>
      </c>
      <c r="R2499">
        <v>0.9</v>
      </c>
    </row>
    <row r="2500" spans="1:18" x14ac:dyDescent="0.2">
      <c r="A2500" t="s">
        <v>4428</v>
      </c>
      <c r="B2500" t="s">
        <v>4430</v>
      </c>
      <c r="C2500">
        <v>2014</v>
      </c>
      <c r="D2500">
        <v>1</v>
      </c>
      <c r="E2500" t="s">
        <v>55</v>
      </c>
      <c r="F2500" t="s">
        <v>128</v>
      </c>
      <c r="G2500" t="s">
        <v>63</v>
      </c>
      <c r="H2500">
        <v>2</v>
      </c>
      <c r="I2500">
        <v>36.337372999999999</v>
      </c>
      <c r="J2500">
        <v>1276</v>
      </c>
      <c r="M2500">
        <v>5.31</v>
      </c>
      <c r="O2500">
        <v>0.47399999999999998</v>
      </c>
      <c r="R2500">
        <v>0.9</v>
      </c>
    </row>
    <row r="2501" spans="1:18" x14ac:dyDescent="0.2">
      <c r="A2501" t="s">
        <v>4431</v>
      </c>
      <c r="B2501" t="s">
        <v>4432</v>
      </c>
      <c r="C2501">
        <v>2014</v>
      </c>
      <c r="D2501">
        <v>1</v>
      </c>
      <c r="E2501" t="s">
        <v>55</v>
      </c>
      <c r="F2501" t="s">
        <v>128</v>
      </c>
      <c r="G2501" t="s">
        <v>63</v>
      </c>
      <c r="H2501">
        <v>4</v>
      </c>
      <c r="I2501">
        <v>9.2205239999999993</v>
      </c>
      <c r="J2501">
        <v>1048</v>
      </c>
      <c r="M2501">
        <v>1.01</v>
      </c>
      <c r="O2501">
        <v>0.09</v>
      </c>
      <c r="R2501">
        <v>0.9</v>
      </c>
    </row>
    <row r="2502" spans="1:18" x14ac:dyDescent="0.2">
      <c r="A2502" t="s">
        <v>4431</v>
      </c>
      <c r="B2502" t="s">
        <v>4433</v>
      </c>
      <c r="C2502">
        <v>2014</v>
      </c>
      <c r="D2502">
        <v>1</v>
      </c>
      <c r="E2502" t="s">
        <v>55</v>
      </c>
      <c r="F2502" t="s">
        <v>128</v>
      </c>
      <c r="G2502" t="s">
        <v>63</v>
      </c>
      <c r="H2502">
        <v>4</v>
      </c>
      <c r="I2502">
        <v>13.638723000000001</v>
      </c>
      <c r="J2502">
        <v>1048</v>
      </c>
      <c r="M2502">
        <v>1.2</v>
      </c>
      <c r="O2502">
        <v>0.107</v>
      </c>
      <c r="R2502">
        <v>0.9</v>
      </c>
    </row>
    <row r="2503" spans="1:18" x14ac:dyDescent="0.2">
      <c r="A2503" t="s">
        <v>4431</v>
      </c>
      <c r="B2503" t="s">
        <v>4434</v>
      </c>
      <c r="C2503">
        <v>2013</v>
      </c>
      <c r="D2503">
        <v>1</v>
      </c>
      <c r="E2503" t="s">
        <v>55</v>
      </c>
      <c r="F2503" t="s">
        <v>128</v>
      </c>
      <c r="G2503" t="s">
        <v>63</v>
      </c>
      <c r="H2503">
        <v>4</v>
      </c>
      <c r="I2503">
        <v>24.806000000000001</v>
      </c>
      <c r="J2503">
        <v>1048</v>
      </c>
      <c r="L2503">
        <v>61</v>
      </c>
      <c r="M2503">
        <v>2.46</v>
      </c>
      <c r="N2503">
        <v>0.192</v>
      </c>
      <c r="O2503">
        <v>0.219</v>
      </c>
      <c r="R2503">
        <v>0.9</v>
      </c>
    </row>
    <row r="2504" spans="1:18" x14ac:dyDescent="0.2">
      <c r="A2504" t="s">
        <v>4431</v>
      </c>
      <c r="B2504" t="s">
        <v>4435</v>
      </c>
      <c r="C2504">
        <v>2013</v>
      </c>
      <c r="D2504">
        <v>1</v>
      </c>
      <c r="E2504" t="s">
        <v>55</v>
      </c>
      <c r="F2504" t="s">
        <v>128</v>
      </c>
      <c r="G2504" t="s">
        <v>63</v>
      </c>
      <c r="H2504">
        <v>4</v>
      </c>
      <c r="I2504">
        <v>44.347000000000001</v>
      </c>
      <c r="J2504">
        <v>1048</v>
      </c>
      <c r="L2504">
        <v>56.2</v>
      </c>
      <c r="M2504">
        <v>3.1</v>
      </c>
      <c r="N2504">
        <v>0.17699999999999999</v>
      </c>
      <c r="O2504">
        <v>0.27700000000000002</v>
      </c>
      <c r="R2504">
        <v>0.9</v>
      </c>
    </row>
    <row r="2505" spans="1:18" x14ac:dyDescent="0.2">
      <c r="A2505" t="s">
        <v>4436</v>
      </c>
      <c r="B2505" t="s">
        <v>4437</v>
      </c>
      <c r="C2505">
        <v>2014</v>
      </c>
      <c r="D2505">
        <v>1</v>
      </c>
      <c r="E2505" t="s">
        <v>55</v>
      </c>
      <c r="F2505" t="s">
        <v>128</v>
      </c>
      <c r="G2505" t="s">
        <v>63</v>
      </c>
      <c r="H2505">
        <v>2</v>
      </c>
      <c r="I2505">
        <v>11.008151</v>
      </c>
      <c r="J2505">
        <v>453</v>
      </c>
      <c r="M2505">
        <v>2.13</v>
      </c>
      <c r="O2505">
        <v>0.19</v>
      </c>
      <c r="R2505">
        <v>0.56999999999999995</v>
      </c>
    </row>
    <row r="2506" spans="1:18" x14ac:dyDescent="0.2">
      <c r="A2506" t="s">
        <v>4436</v>
      </c>
      <c r="B2506" t="s">
        <v>4438</v>
      </c>
      <c r="C2506">
        <v>2014</v>
      </c>
      <c r="D2506">
        <v>1</v>
      </c>
      <c r="E2506" t="s">
        <v>55</v>
      </c>
      <c r="F2506" t="s">
        <v>128</v>
      </c>
      <c r="G2506" t="s">
        <v>63</v>
      </c>
      <c r="H2506">
        <v>2</v>
      </c>
      <c r="I2506">
        <v>92.743711000000005</v>
      </c>
      <c r="J2506">
        <v>453</v>
      </c>
      <c r="M2506">
        <v>1.82</v>
      </c>
      <c r="O2506">
        <v>0.16200000000000001</v>
      </c>
      <c r="R2506">
        <v>0.56999999999999995</v>
      </c>
    </row>
    <row r="2507" spans="1:18" x14ac:dyDescent="0.2">
      <c r="A2507" t="s">
        <v>4439</v>
      </c>
      <c r="B2507" t="s">
        <v>4440</v>
      </c>
      <c r="C2507">
        <v>2014</v>
      </c>
      <c r="D2507">
        <v>1</v>
      </c>
      <c r="E2507" t="s">
        <v>55</v>
      </c>
      <c r="F2507" t="s">
        <v>128</v>
      </c>
      <c r="G2507" t="s">
        <v>63</v>
      </c>
      <c r="H2507">
        <v>2</v>
      </c>
      <c r="I2507">
        <v>12.699149</v>
      </c>
      <c r="J2507">
        <v>1219</v>
      </c>
      <c r="M2507">
        <v>2.2400000000000002</v>
      </c>
      <c r="O2507">
        <v>0.2</v>
      </c>
      <c r="R2507">
        <v>0.81</v>
      </c>
    </row>
    <row r="2508" spans="1:18" x14ac:dyDescent="0.2">
      <c r="A2508" t="s">
        <v>4439</v>
      </c>
      <c r="B2508" t="s">
        <v>4441</v>
      </c>
      <c r="C2508">
        <v>2014</v>
      </c>
      <c r="D2508">
        <v>1</v>
      </c>
      <c r="E2508" t="s">
        <v>55</v>
      </c>
      <c r="F2508" t="s">
        <v>128</v>
      </c>
      <c r="G2508" t="s">
        <v>63</v>
      </c>
      <c r="H2508">
        <v>2</v>
      </c>
      <c r="I2508">
        <v>37.514456000000003</v>
      </c>
      <c r="J2508">
        <v>1219</v>
      </c>
      <c r="M2508">
        <v>2.61</v>
      </c>
      <c r="O2508">
        <v>0.23300000000000001</v>
      </c>
      <c r="R2508">
        <v>0.81</v>
      </c>
    </row>
    <row r="2509" spans="1:18" x14ac:dyDescent="0.2">
      <c r="A2509" t="s">
        <v>4442</v>
      </c>
      <c r="B2509" t="s">
        <v>4443</v>
      </c>
      <c r="C2509">
        <v>2014</v>
      </c>
      <c r="D2509">
        <v>1</v>
      </c>
      <c r="E2509" t="s">
        <v>55</v>
      </c>
      <c r="F2509" t="s">
        <v>128</v>
      </c>
      <c r="G2509" t="s">
        <v>63</v>
      </c>
      <c r="H2509">
        <v>2</v>
      </c>
      <c r="I2509">
        <v>2.633867</v>
      </c>
      <c r="J2509">
        <v>789</v>
      </c>
      <c r="M2509">
        <v>1.34</v>
      </c>
      <c r="O2509">
        <v>0.12</v>
      </c>
      <c r="R2509">
        <v>0.81</v>
      </c>
    </row>
    <row r="2510" spans="1:18" x14ac:dyDescent="0.2">
      <c r="A2510" t="s">
        <v>4442</v>
      </c>
      <c r="B2510" t="s">
        <v>4444</v>
      </c>
      <c r="C2510">
        <v>2014</v>
      </c>
      <c r="D2510">
        <v>1</v>
      </c>
      <c r="E2510" t="s">
        <v>55</v>
      </c>
      <c r="F2510" t="s">
        <v>128</v>
      </c>
      <c r="G2510" t="s">
        <v>63</v>
      </c>
      <c r="H2510">
        <v>2</v>
      </c>
      <c r="I2510">
        <v>6.1866760000000003</v>
      </c>
      <c r="J2510">
        <v>789</v>
      </c>
      <c r="M2510">
        <v>1.1200000000000001</v>
      </c>
      <c r="O2510">
        <v>0.1</v>
      </c>
      <c r="R2510">
        <v>0.81</v>
      </c>
    </row>
    <row r="2511" spans="1:18" x14ac:dyDescent="0.2">
      <c r="A2511" t="s">
        <v>4445</v>
      </c>
      <c r="B2511" t="s">
        <v>4446</v>
      </c>
      <c r="C2511">
        <v>2014</v>
      </c>
      <c r="D2511">
        <v>1</v>
      </c>
      <c r="E2511" t="s">
        <v>55</v>
      </c>
      <c r="F2511" t="s">
        <v>128</v>
      </c>
      <c r="G2511" t="s">
        <v>63</v>
      </c>
      <c r="H2511">
        <v>4</v>
      </c>
      <c r="I2511">
        <v>1.7963020000000001</v>
      </c>
      <c r="J2511">
        <v>1281</v>
      </c>
      <c r="M2511">
        <v>1.24</v>
      </c>
      <c r="O2511">
        <v>0.111</v>
      </c>
      <c r="R2511">
        <v>0.86</v>
      </c>
    </row>
    <row r="2512" spans="1:18" x14ac:dyDescent="0.2">
      <c r="A2512" t="s">
        <v>4445</v>
      </c>
      <c r="B2512" t="s">
        <v>4447</v>
      </c>
      <c r="C2512">
        <v>2014</v>
      </c>
      <c r="D2512">
        <v>1</v>
      </c>
      <c r="E2512" t="s">
        <v>55</v>
      </c>
      <c r="F2512" t="s">
        <v>128</v>
      </c>
      <c r="G2512" t="s">
        <v>63</v>
      </c>
      <c r="H2512">
        <v>4</v>
      </c>
      <c r="I2512">
        <v>3.4680949999999999</v>
      </c>
      <c r="J2512">
        <v>1281</v>
      </c>
      <c r="M2512">
        <v>1.37</v>
      </c>
      <c r="O2512">
        <v>0.122</v>
      </c>
      <c r="R2512">
        <v>0.86</v>
      </c>
    </row>
    <row r="2513" spans="1:19" x14ac:dyDescent="0.2">
      <c r="A2513" t="s">
        <v>4445</v>
      </c>
      <c r="B2513" t="s">
        <v>4448</v>
      </c>
      <c r="C2513">
        <v>2014</v>
      </c>
      <c r="D2513">
        <v>1</v>
      </c>
      <c r="E2513" t="s">
        <v>55</v>
      </c>
      <c r="F2513" t="s">
        <v>128</v>
      </c>
      <c r="G2513" t="s">
        <v>63</v>
      </c>
      <c r="H2513">
        <v>4</v>
      </c>
      <c r="I2513">
        <v>5.9143230000000004</v>
      </c>
      <c r="J2513">
        <v>1281</v>
      </c>
      <c r="M2513">
        <v>1.33</v>
      </c>
      <c r="O2513">
        <v>0.11899999999999999</v>
      </c>
      <c r="R2513">
        <v>0.86</v>
      </c>
    </row>
    <row r="2514" spans="1:19" x14ac:dyDescent="0.2">
      <c r="A2514" t="s">
        <v>4445</v>
      </c>
      <c r="B2514" t="s">
        <v>4449</v>
      </c>
      <c r="C2514">
        <v>2014</v>
      </c>
      <c r="D2514">
        <v>1</v>
      </c>
      <c r="E2514" t="s">
        <v>55</v>
      </c>
      <c r="F2514" t="s">
        <v>128</v>
      </c>
      <c r="G2514" t="s">
        <v>63</v>
      </c>
      <c r="H2514">
        <v>4</v>
      </c>
      <c r="I2514">
        <v>29.221288999999999</v>
      </c>
      <c r="J2514">
        <v>1281</v>
      </c>
      <c r="M2514">
        <v>1.77</v>
      </c>
      <c r="O2514">
        <v>0.158</v>
      </c>
      <c r="R2514">
        <v>0.86</v>
      </c>
    </row>
    <row r="2515" spans="1:19" x14ac:dyDescent="0.2">
      <c r="A2515" t="s">
        <v>4450</v>
      </c>
      <c r="B2515" t="s">
        <v>4451</v>
      </c>
      <c r="C2515">
        <v>2014</v>
      </c>
      <c r="D2515">
        <v>1</v>
      </c>
      <c r="E2515" t="s">
        <v>55</v>
      </c>
      <c r="F2515" t="s">
        <v>128</v>
      </c>
      <c r="G2515" t="s">
        <v>63</v>
      </c>
      <c r="H2515">
        <v>2</v>
      </c>
      <c r="I2515">
        <v>20.342199000000001</v>
      </c>
      <c r="J2515">
        <v>866</v>
      </c>
      <c r="M2515">
        <v>2.33</v>
      </c>
      <c r="O2515">
        <v>0.20799999999999999</v>
      </c>
      <c r="R2515">
        <v>1.03</v>
      </c>
    </row>
    <row r="2516" spans="1:19" x14ac:dyDescent="0.2">
      <c r="A2516" t="s">
        <v>4450</v>
      </c>
      <c r="B2516" t="s">
        <v>4452</v>
      </c>
      <c r="C2516">
        <v>2014</v>
      </c>
      <c r="D2516">
        <v>1</v>
      </c>
      <c r="E2516" t="s">
        <v>55</v>
      </c>
      <c r="F2516" t="s">
        <v>128</v>
      </c>
      <c r="G2516" t="s">
        <v>63</v>
      </c>
      <c r="H2516">
        <v>2</v>
      </c>
      <c r="I2516">
        <v>44.851896000000004</v>
      </c>
      <c r="J2516">
        <v>866</v>
      </c>
      <c r="M2516">
        <v>3.26</v>
      </c>
      <c r="O2516">
        <v>0.29099999999999998</v>
      </c>
      <c r="R2516">
        <v>1.03</v>
      </c>
    </row>
    <row r="2517" spans="1:19" x14ac:dyDescent="0.2">
      <c r="A2517" t="s">
        <v>4453</v>
      </c>
      <c r="B2517" t="s">
        <v>4454</v>
      </c>
      <c r="C2517">
        <v>2014</v>
      </c>
      <c r="D2517">
        <v>1</v>
      </c>
      <c r="E2517" t="s">
        <v>55</v>
      </c>
      <c r="F2517" t="s">
        <v>128</v>
      </c>
      <c r="G2517" t="s">
        <v>63</v>
      </c>
      <c r="H2517">
        <v>3</v>
      </c>
      <c r="I2517">
        <v>6.0973259999999998</v>
      </c>
      <c r="J2517">
        <v>1176</v>
      </c>
      <c r="M2517">
        <v>1.67</v>
      </c>
      <c r="O2517">
        <v>0.14899999999999999</v>
      </c>
      <c r="R2517">
        <v>1.0900000000000001</v>
      </c>
    </row>
    <row r="2518" spans="1:19" x14ac:dyDescent="0.2">
      <c r="A2518" t="s">
        <v>4453</v>
      </c>
      <c r="B2518" t="s">
        <v>4455</v>
      </c>
      <c r="C2518">
        <v>2014</v>
      </c>
      <c r="D2518">
        <v>1</v>
      </c>
      <c r="E2518" t="s">
        <v>55</v>
      </c>
      <c r="F2518" t="s">
        <v>128</v>
      </c>
      <c r="G2518" t="s">
        <v>63</v>
      </c>
      <c r="H2518">
        <v>3</v>
      </c>
      <c r="I2518">
        <v>19.305772000000001</v>
      </c>
      <c r="J2518">
        <v>1176</v>
      </c>
      <c r="M2518">
        <v>2.85</v>
      </c>
      <c r="O2518">
        <v>0.254</v>
      </c>
      <c r="R2518">
        <v>1.0900000000000001</v>
      </c>
    </row>
    <row r="2519" spans="1:19" x14ac:dyDescent="0.2">
      <c r="A2519" t="s">
        <v>4453</v>
      </c>
      <c r="B2519" t="s">
        <v>4456</v>
      </c>
      <c r="C2519">
        <v>2014</v>
      </c>
      <c r="D2519">
        <v>1</v>
      </c>
      <c r="E2519" t="s">
        <v>55</v>
      </c>
      <c r="F2519" t="s">
        <v>128</v>
      </c>
      <c r="G2519" t="s">
        <v>63</v>
      </c>
      <c r="H2519">
        <v>3</v>
      </c>
      <c r="I2519">
        <v>56.633741999999998</v>
      </c>
      <c r="J2519">
        <v>1176</v>
      </c>
      <c r="M2519">
        <v>2.67</v>
      </c>
      <c r="O2519">
        <v>0.23799999999999999</v>
      </c>
      <c r="R2519">
        <v>1.0900000000000001</v>
      </c>
    </row>
    <row r="2520" spans="1:19" x14ac:dyDescent="0.2">
      <c r="A2520" t="s">
        <v>4457</v>
      </c>
      <c r="B2520" t="s">
        <v>4458</v>
      </c>
      <c r="C2520">
        <v>2014</v>
      </c>
      <c r="D2520">
        <v>1</v>
      </c>
      <c r="E2520" t="s">
        <v>55</v>
      </c>
      <c r="F2520" t="s">
        <v>128</v>
      </c>
      <c r="G2520" t="s">
        <v>63</v>
      </c>
      <c r="H2520">
        <v>3</v>
      </c>
      <c r="I2520">
        <v>34.545000000000002</v>
      </c>
      <c r="J2520">
        <v>700</v>
      </c>
      <c r="K2520">
        <v>0.65</v>
      </c>
      <c r="L2520">
        <v>7.3</v>
      </c>
      <c r="M2520">
        <v>2.15</v>
      </c>
      <c r="N2520">
        <v>2.3E-2</v>
      </c>
      <c r="O2520">
        <v>0.192</v>
      </c>
      <c r="P2520">
        <v>4.0999999999999996</v>
      </c>
      <c r="Q2520">
        <v>1.08</v>
      </c>
      <c r="R2520">
        <v>1</v>
      </c>
      <c r="S2520">
        <v>1.58</v>
      </c>
    </row>
    <row r="2521" spans="1:19" x14ac:dyDescent="0.2">
      <c r="A2521" t="s">
        <v>4457</v>
      </c>
      <c r="B2521" t="s">
        <v>4459</v>
      </c>
      <c r="C2521">
        <v>2014</v>
      </c>
      <c r="D2521">
        <v>1</v>
      </c>
      <c r="E2521" t="s">
        <v>55</v>
      </c>
      <c r="F2521" t="s">
        <v>128</v>
      </c>
      <c r="G2521" t="s">
        <v>63</v>
      </c>
      <c r="H2521">
        <v>3</v>
      </c>
      <c r="I2521">
        <v>125.8518</v>
      </c>
      <c r="J2521">
        <v>700</v>
      </c>
      <c r="K2521">
        <v>0.65</v>
      </c>
      <c r="L2521">
        <v>132</v>
      </c>
      <c r="M2521">
        <v>11.59</v>
      </c>
      <c r="N2521">
        <v>0.42</v>
      </c>
      <c r="O2521">
        <v>1.034</v>
      </c>
      <c r="P2521">
        <v>0.47</v>
      </c>
      <c r="Q2521">
        <v>1.08</v>
      </c>
      <c r="R2521">
        <v>1</v>
      </c>
      <c r="S2521">
        <v>1.58</v>
      </c>
    </row>
    <row r="2522" spans="1:19" x14ac:dyDescent="0.2">
      <c r="A2522" t="s">
        <v>4457</v>
      </c>
      <c r="B2522" t="s">
        <v>4460</v>
      </c>
      <c r="C2522">
        <v>2014</v>
      </c>
      <c r="D2522">
        <v>1</v>
      </c>
      <c r="E2522" t="s">
        <v>55</v>
      </c>
      <c r="F2522" t="s">
        <v>128</v>
      </c>
      <c r="G2522" t="s">
        <v>63</v>
      </c>
      <c r="H2522">
        <v>3</v>
      </c>
      <c r="I2522">
        <v>66.063400000000001</v>
      </c>
      <c r="J2522">
        <v>700</v>
      </c>
      <c r="K2522">
        <v>0.65</v>
      </c>
      <c r="L2522">
        <v>4</v>
      </c>
      <c r="M2522">
        <v>2.68</v>
      </c>
      <c r="N2522">
        <v>1.2999999999999999E-2</v>
      </c>
      <c r="O2522">
        <v>0.23899999999999999</v>
      </c>
      <c r="P2522">
        <v>1.2</v>
      </c>
      <c r="Q2522">
        <v>1.08</v>
      </c>
      <c r="R2522">
        <v>1</v>
      </c>
      <c r="S2522">
        <v>1.58</v>
      </c>
    </row>
    <row r="2523" spans="1:19" x14ac:dyDescent="0.2">
      <c r="A2523" t="s">
        <v>4461</v>
      </c>
      <c r="B2523" t="s">
        <v>4462</v>
      </c>
      <c r="C2523">
        <v>2011</v>
      </c>
      <c r="D2523">
        <v>1</v>
      </c>
      <c r="E2523" t="s">
        <v>55</v>
      </c>
      <c r="F2523" t="s">
        <v>128</v>
      </c>
      <c r="G2523" t="s">
        <v>63</v>
      </c>
      <c r="H2523">
        <v>2</v>
      </c>
      <c r="I2523">
        <v>10.3384</v>
      </c>
      <c r="J2523">
        <v>1400</v>
      </c>
      <c r="L2523">
        <v>4.51</v>
      </c>
      <c r="M2523">
        <v>3.35</v>
      </c>
      <c r="N2523">
        <v>1.4189999999999999E-2</v>
      </c>
      <c r="O2523">
        <v>0.29899999999999999</v>
      </c>
      <c r="P2523">
        <v>0.65</v>
      </c>
      <c r="Q2523">
        <v>0.98</v>
      </c>
      <c r="R2523">
        <v>0.93</v>
      </c>
    </row>
    <row r="2524" spans="1:19" x14ac:dyDescent="0.2">
      <c r="A2524" t="s">
        <v>4461</v>
      </c>
      <c r="B2524" t="s">
        <v>4463</v>
      </c>
      <c r="C2524">
        <v>2011</v>
      </c>
      <c r="D2524">
        <v>1</v>
      </c>
      <c r="E2524" t="s">
        <v>55</v>
      </c>
      <c r="F2524" t="s">
        <v>128</v>
      </c>
      <c r="G2524" t="s">
        <v>63</v>
      </c>
      <c r="H2524">
        <v>2</v>
      </c>
      <c r="I2524">
        <v>13.288399999999999</v>
      </c>
      <c r="J2524">
        <v>1400</v>
      </c>
      <c r="L2524">
        <v>4</v>
      </c>
      <c r="M2524">
        <v>3.14</v>
      </c>
      <c r="N2524">
        <v>1.259E-2</v>
      </c>
      <c r="O2524">
        <v>0.28000000000000003</v>
      </c>
      <c r="P2524">
        <v>0.7</v>
      </c>
      <c r="Q2524">
        <v>0.98</v>
      </c>
      <c r="R2524">
        <v>0.93</v>
      </c>
    </row>
    <row r="2525" spans="1:19" x14ac:dyDescent="0.2">
      <c r="A2525" t="s">
        <v>4464</v>
      </c>
      <c r="B2525" t="s">
        <v>4465</v>
      </c>
      <c r="C2525">
        <v>2014</v>
      </c>
      <c r="D2525">
        <v>1</v>
      </c>
      <c r="E2525" t="s">
        <v>55</v>
      </c>
      <c r="F2525" t="s">
        <v>128</v>
      </c>
      <c r="G2525" t="s">
        <v>63</v>
      </c>
      <c r="H2525">
        <v>2</v>
      </c>
      <c r="I2525">
        <v>14.589347</v>
      </c>
      <c r="J2525">
        <v>741</v>
      </c>
      <c r="M2525">
        <v>2.25</v>
      </c>
      <c r="O2525">
        <v>0.20100000000000001</v>
      </c>
      <c r="R2525">
        <v>0.74</v>
      </c>
    </row>
    <row r="2526" spans="1:19" x14ac:dyDescent="0.2">
      <c r="A2526" t="s">
        <v>4464</v>
      </c>
      <c r="B2526" t="s">
        <v>4466</v>
      </c>
      <c r="C2526">
        <v>2014</v>
      </c>
      <c r="D2526">
        <v>1</v>
      </c>
      <c r="E2526" t="s">
        <v>55</v>
      </c>
      <c r="F2526" t="s">
        <v>128</v>
      </c>
      <c r="G2526" t="s">
        <v>63</v>
      </c>
      <c r="H2526">
        <v>2</v>
      </c>
      <c r="I2526">
        <v>36.770310000000002</v>
      </c>
      <c r="J2526">
        <v>741</v>
      </c>
      <c r="M2526">
        <v>2.7</v>
      </c>
      <c r="O2526">
        <v>0.24099999999999999</v>
      </c>
      <c r="R2526">
        <v>0.74</v>
      </c>
    </row>
    <row r="2527" spans="1:19" x14ac:dyDescent="0.2">
      <c r="A2527" t="s">
        <v>4467</v>
      </c>
      <c r="B2527" t="s">
        <v>4468</v>
      </c>
      <c r="C2527">
        <v>2014</v>
      </c>
      <c r="D2527">
        <v>1</v>
      </c>
      <c r="E2527" t="s">
        <v>55</v>
      </c>
      <c r="F2527" t="s">
        <v>128</v>
      </c>
      <c r="G2527" t="s">
        <v>63</v>
      </c>
      <c r="H2527">
        <v>2</v>
      </c>
      <c r="I2527">
        <v>3.5465110000000002</v>
      </c>
      <c r="J2527">
        <v>1296</v>
      </c>
      <c r="M2527">
        <v>2.16</v>
      </c>
      <c r="O2527">
        <v>0.193</v>
      </c>
      <c r="R2527">
        <v>1.02</v>
      </c>
    </row>
    <row r="2528" spans="1:19" x14ac:dyDescent="0.2">
      <c r="A2528" t="s">
        <v>4467</v>
      </c>
      <c r="B2528" t="s">
        <v>4469</v>
      </c>
      <c r="C2528">
        <v>2014</v>
      </c>
      <c r="D2528">
        <v>1</v>
      </c>
      <c r="E2528" t="s">
        <v>55</v>
      </c>
      <c r="F2528" t="s">
        <v>128</v>
      </c>
      <c r="G2528" t="s">
        <v>63</v>
      </c>
      <c r="H2528">
        <v>2</v>
      </c>
      <c r="I2528">
        <v>5.7007859999999999</v>
      </c>
      <c r="J2528">
        <v>1296</v>
      </c>
      <c r="M2528">
        <v>1.88</v>
      </c>
      <c r="O2528">
        <v>0.16800000000000001</v>
      </c>
      <c r="R2528">
        <v>1.02</v>
      </c>
    </row>
    <row r="2529" spans="1:19" x14ac:dyDescent="0.2">
      <c r="A2529" t="s">
        <v>4470</v>
      </c>
      <c r="B2529" t="s">
        <v>4471</v>
      </c>
      <c r="C2529">
        <v>2014</v>
      </c>
      <c r="D2529">
        <v>1</v>
      </c>
      <c r="E2529" t="s">
        <v>55</v>
      </c>
      <c r="F2529" t="s">
        <v>128</v>
      </c>
      <c r="G2529" t="s">
        <v>63</v>
      </c>
      <c r="H2529">
        <v>5</v>
      </c>
      <c r="I2529">
        <v>2.5808270000000002</v>
      </c>
      <c r="J2529">
        <v>1051</v>
      </c>
      <c r="M2529">
        <v>1.32</v>
      </c>
      <c r="O2529">
        <v>0.11799999999999999</v>
      </c>
      <c r="R2529">
        <v>0.83</v>
      </c>
    </row>
    <row r="2530" spans="1:19" x14ac:dyDescent="0.2">
      <c r="A2530" t="s">
        <v>4470</v>
      </c>
      <c r="B2530" t="s">
        <v>4472</v>
      </c>
      <c r="C2530">
        <v>2014</v>
      </c>
      <c r="D2530">
        <v>1</v>
      </c>
      <c r="E2530" t="s">
        <v>55</v>
      </c>
      <c r="F2530" t="s">
        <v>128</v>
      </c>
      <c r="G2530" t="s">
        <v>63</v>
      </c>
      <c r="H2530">
        <v>5</v>
      </c>
      <c r="I2530">
        <v>3.7153350000000001</v>
      </c>
      <c r="J2530">
        <v>1051</v>
      </c>
      <c r="M2530">
        <v>1.47</v>
      </c>
      <c r="O2530">
        <v>0.13100000000000001</v>
      </c>
      <c r="R2530">
        <v>0.83</v>
      </c>
    </row>
    <row r="2531" spans="1:19" x14ac:dyDescent="0.2">
      <c r="A2531" t="s">
        <v>4470</v>
      </c>
      <c r="B2531" t="s">
        <v>4473</v>
      </c>
      <c r="C2531">
        <v>2014</v>
      </c>
      <c r="D2531">
        <v>1</v>
      </c>
      <c r="E2531" t="s">
        <v>55</v>
      </c>
      <c r="F2531" t="s">
        <v>128</v>
      </c>
      <c r="G2531" t="s">
        <v>63</v>
      </c>
      <c r="H2531">
        <v>5</v>
      </c>
      <c r="I2531">
        <v>7.0556789999999996</v>
      </c>
      <c r="J2531">
        <v>1051</v>
      </c>
      <c r="M2531">
        <v>2.23</v>
      </c>
      <c r="O2531">
        <v>0.19900000000000001</v>
      </c>
      <c r="R2531">
        <v>0.83</v>
      </c>
    </row>
    <row r="2532" spans="1:19" x14ac:dyDescent="0.2">
      <c r="A2532" t="s">
        <v>4470</v>
      </c>
      <c r="B2532" t="s">
        <v>4474</v>
      </c>
      <c r="C2532">
        <v>2014</v>
      </c>
      <c r="D2532">
        <v>1</v>
      </c>
      <c r="E2532" t="s">
        <v>55</v>
      </c>
      <c r="F2532" t="s">
        <v>128</v>
      </c>
      <c r="G2532" t="s">
        <v>63</v>
      </c>
      <c r="H2532">
        <v>5</v>
      </c>
      <c r="I2532">
        <v>11.979010000000001</v>
      </c>
      <c r="J2532">
        <v>1051</v>
      </c>
      <c r="M2532">
        <v>2.67</v>
      </c>
      <c r="O2532">
        <v>0.23799999999999999</v>
      </c>
      <c r="R2532">
        <v>0.83</v>
      </c>
    </row>
    <row r="2533" spans="1:19" x14ac:dyDescent="0.2">
      <c r="A2533" t="s">
        <v>4470</v>
      </c>
      <c r="B2533" t="s">
        <v>4475</v>
      </c>
      <c r="C2533">
        <v>2014</v>
      </c>
      <c r="D2533">
        <v>1</v>
      </c>
      <c r="E2533" t="s">
        <v>55</v>
      </c>
      <c r="F2533" t="s">
        <v>128</v>
      </c>
      <c r="G2533" t="s">
        <v>63</v>
      </c>
      <c r="H2533">
        <v>5</v>
      </c>
      <c r="I2533">
        <v>20.834237000000002</v>
      </c>
      <c r="J2533">
        <v>1051</v>
      </c>
      <c r="M2533">
        <v>2.35</v>
      </c>
      <c r="O2533">
        <v>0.21</v>
      </c>
      <c r="R2533">
        <v>0.83</v>
      </c>
    </row>
    <row r="2534" spans="1:19" x14ac:dyDescent="0.2">
      <c r="A2534" t="s">
        <v>4476</v>
      </c>
      <c r="B2534" t="s">
        <v>4477</v>
      </c>
      <c r="C2534">
        <v>2014</v>
      </c>
      <c r="D2534">
        <v>1</v>
      </c>
      <c r="E2534" t="s">
        <v>55</v>
      </c>
      <c r="F2534" t="s">
        <v>128</v>
      </c>
      <c r="G2534" t="s">
        <v>63</v>
      </c>
      <c r="H2534">
        <v>2</v>
      </c>
      <c r="I2534">
        <v>19.254196</v>
      </c>
      <c r="J2534">
        <v>1068</v>
      </c>
      <c r="M2534">
        <v>3.07</v>
      </c>
      <c r="O2534">
        <v>0.27400000000000002</v>
      </c>
      <c r="R2534">
        <v>0.96</v>
      </c>
    </row>
    <row r="2535" spans="1:19" x14ac:dyDescent="0.2">
      <c r="A2535" t="s">
        <v>4476</v>
      </c>
      <c r="B2535" t="s">
        <v>4478</v>
      </c>
      <c r="C2535">
        <v>2014</v>
      </c>
      <c r="D2535">
        <v>1</v>
      </c>
      <c r="E2535" t="s">
        <v>55</v>
      </c>
      <c r="F2535" t="s">
        <v>128</v>
      </c>
      <c r="G2535" t="s">
        <v>63</v>
      </c>
      <c r="H2535">
        <v>2</v>
      </c>
      <c r="I2535">
        <v>54.155743000000001</v>
      </c>
      <c r="J2535">
        <v>1068</v>
      </c>
      <c r="M2535">
        <v>3.83</v>
      </c>
      <c r="O2535">
        <v>0.34200000000000003</v>
      </c>
      <c r="R2535">
        <v>0.96</v>
      </c>
    </row>
    <row r="2536" spans="1:19" x14ac:dyDescent="0.2">
      <c r="A2536" t="s">
        <v>4479</v>
      </c>
      <c r="B2536" t="s">
        <v>4480</v>
      </c>
      <c r="C2536">
        <v>2014</v>
      </c>
      <c r="D2536">
        <v>1</v>
      </c>
      <c r="E2536" t="s">
        <v>55</v>
      </c>
      <c r="F2536" t="s">
        <v>128</v>
      </c>
      <c r="G2536" t="s">
        <v>63</v>
      </c>
      <c r="H2536">
        <v>2</v>
      </c>
      <c r="I2536">
        <v>3.7012119999999999</v>
      </c>
      <c r="J2536">
        <v>1364</v>
      </c>
      <c r="M2536">
        <v>1.77</v>
      </c>
      <c r="O2536">
        <v>0.158</v>
      </c>
      <c r="R2536">
        <v>0.98</v>
      </c>
    </row>
    <row r="2537" spans="1:19" x14ac:dyDescent="0.2">
      <c r="A2537" t="s">
        <v>4479</v>
      </c>
      <c r="B2537" t="s">
        <v>4481</v>
      </c>
      <c r="C2537">
        <v>2014</v>
      </c>
      <c r="D2537">
        <v>1</v>
      </c>
      <c r="E2537" t="s">
        <v>55</v>
      </c>
      <c r="F2537" t="s">
        <v>128</v>
      </c>
      <c r="G2537" t="s">
        <v>63</v>
      </c>
      <c r="H2537">
        <v>2</v>
      </c>
      <c r="I2537">
        <v>6.6264000000000003</v>
      </c>
      <c r="J2537">
        <v>1364</v>
      </c>
      <c r="M2537">
        <v>2.71</v>
      </c>
      <c r="O2537">
        <v>0.24199999999999999</v>
      </c>
      <c r="R2537">
        <v>0.98</v>
      </c>
    </row>
    <row r="2538" spans="1:19" x14ac:dyDescent="0.2">
      <c r="A2538" t="s">
        <v>4482</v>
      </c>
      <c r="B2538" t="s">
        <v>4483</v>
      </c>
      <c r="C2538">
        <v>2014</v>
      </c>
      <c r="D2538">
        <v>1</v>
      </c>
      <c r="E2538" t="s">
        <v>55</v>
      </c>
      <c r="F2538" t="s">
        <v>128</v>
      </c>
      <c r="G2538" t="s">
        <v>63</v>
      </c>
      <c r="H2538">
        <v>3</v>
      </c>
      <c r="I2538">
        <v>12.645163999999999</v>
      </c>
      <c r="J2538">
        <v>630</v>
      </c>
      <c r="M2538">
        <v>1.22</v>
      </c>
      <c r="O2538">
        <v>0.109</v>
      </c>
      <c r="R2538">
        <v>0.9</v>
      </c>
    </row>
    <row r="2539" spans="1:19" x14ac:dyDescent="0.2">
      <c r="A2539" t="s">
        <v>4482</v>
      </c>
      <c r="B2539" t="s">
        <v>4484</v>
      </c>
      <c r="C2539">
        <v>2014</v>
      </c>
      <c r="D2539">
        <v>1</v>
      </c>
      <c r="E2539" t="s">
        <v>55</v>
      </c>
      <c r="F2539" t="s">
        <v>128</v>
      </c>
      <c r="G2539" t="s">
        <v>63</v>
      </c>
      <c r="H2539">
        <v>3</v>
      </c>
      <c r="I2539">
        <v>21.526257999999999</v>
      </c>
      <c r="J2539">
        <v>630</v>
      </c>
      <c r="M2539">
        <v>1.17</v>
      </c>
      <c r="O2539">
        <v>0.104</v>
      </c>
      <c r="R2539">
        <v>0.9</v>
      </c>
    </row>
    <row r="2540" spans="1:19" x14ac:dyDescent="0.2">
      <c r="A2540" t="s">
        <v>4482</v>
      </c>
      <c r="B2540" t="s">
        <v>4485</v>
      </c>
      <c r="C2540">
        <v>2014</v>
      </c>
      <c r="D2540">
        <v>1</v>
      </c>
      <c r="E2540" t="s">
        <v>55</v>
      </c>
      <c r="F2540" t="s">
        <v>128</v>
      </c>
      <c r="G2540" t="s">
        <v>63</v>
      </c>
      <c r="H2540">
        <v>3</v>
      </c>
      <c r="I2540">
        <v>33.884053999999999</v>
      </c>
      <c r="J2540">
        <v>630</v>
      </c>
      <c r="M2540">
        <v>1.36</v>
      </c>
      <c r="O2540">
        <v>0.121</v>
      </c>
      <c r="R2540">
        <v>0.9</v>
      </c>
    </row>
    <row r="2541" spans="1:19" x14ac:dyDescent="0.2">
      <c r="A2541" t="s">
        <v>4486</v>
      </c>
      <c r="B2541" t="s">
        <v>4487</v>
      </c>
      <c r="C2541">
        <v>2014</v>
      </c>
      <c r="D2541">
        <v>1</v>
      </c>
      <c r="E2541" t="s">
        <v>55</v>
      </c>
      <c r="F2541" t="s">
        <v>128</v>
      </c>
      <c r="G2541" t="s">
        <v>63</v>
      </c>
      <c r="H2541">
        <v>5</v>
      </c>
      <c r="I2541">
        <v>10.864383999999999</v>
      </c>
      <c r="J2541">
        <v>226</v>
      </c>
      <c r="M2541">
        <v>1.61</v>
      </c>
      <c r="O2541">
        <v>0.14399999999999999</v>
      </c>
      <c r="Q2541">
        <v>0.5</v>
      </c>
      <c r="R2541">
        <v>0.48</v>
      </c>
      <c r="S2541">
        <v>6.4</v>
      </c>
    </row>
    <row r="2542" spans="1:19" x14ac:dyDescent="0.2">
      <c r="A2542" t="s">
        <v>4486</v>
      </c>
      <c r="B2542" t="s">
        <v>4488</v>
      </c>
      <c r="C2542">
        <v>2014</v>
      </c>
      <c r="D2542">
        <v>1</v>
      </c>
      <c r="E2542" t="s">
        <v>55</v>
      </c>
      <c r="F2542" t="s">
        <v>128</v>
      </c>
      <c r="G2542" t="s">
        <v>63</v>
      </c>
      <c r="H2542">
        <v>5</v>
      </c>
      <c r="I2542">
        <v>5.8416366000000002</v>
      </c>
      <c r="J2542">
        <v>226</v>
      </c>
      <c r="M2542">
        <v>2</v>
      </c>
      <c r="O2542">
        <v>0.17799999999999999</v>
      </c>
      <c r="Q2542">
        <v>0.5</v>
      </c>
      <c r="R2542">
        <v>0.48</v>
      </c>
      <c r="S2542">
        <v>6.4</v>
      </c>
    </row>
    <row r="2543" spans="1:19" x14ac:dyDescent="0.2">
      <c r="A2543" t="s">
        <v>4486</v>
      </c>
      <c r="B2543" t="s">
        <v>4489</v>
      </c>
      <c r="C2543">
        <v>2014</v>
      </c>
      <c r="D2543">
        <v>1</v>
      </c>
      <c r="E2543" t="s">
        <v>55</v>
      </c>
      <c r="F2543" t="s">
        <v>128</v>
      </c>
      <c r="G2543" t="s">
        <v>63</v>
      </c>
      <c r="H2543">
        <v>5</v>
      </c>
      <c r="I2543">
        <v>19.850290999999999</v>
      </c>
      <c r="J2543">
        <v>226</v>
      </c>
      <c r="M2543">
        <v>2.09</v>
      </c>
      <c r="O2543">
        <v>0.186</v>
      </c>
      <c r="Q2543">
        <v>0.5</v>
      </c>
      <c r="R2543">
        <v>0.48</v>
      </c>
      <c r="S2543">
        <v>6.4</v>
      </c>
    </row>
    <row r="2544" spans="1:19" x14ac:dyDescent="0.2">
      <c r="A2544" t="s">
        <v>4486</v>
      </c>
      <c r="B2544" t="s">
        <v>4490</v>
      </c>
      <c r="C2544">
        <v>2014</v>
      </c>
      <c r="D2544">
        <v>1</v>
      </c>
      <c r="E2544" t="s">
        <v>55</v>
      </c>
      <c r="F2544" t="s">
        <v>128</v>
      </c>
      <c r="G2544" t="s">
        <v>63</v>
      </c>
      <c r="H2544">
        <v>5</v>
      </c>
      <c r="I2544">
        <v>34.142110000000002</v>
      </c>
      <c r="J2544">
        <v>226</v>
      </c>
      <c r="M2544">
        <v>1.53</v>
      </c>
      <c r="O2544">
        <v>0.13600000000000001</v>
      </c>
      <c r="Q2544">
        <v>0.5</v>
      </c>
      <c r="R2544">
        <v>0.48</v>
      </c>
      <c r="S2544">
        <v>6.4</v>
      </c>
    </row>
    <row r="2545" spans="1:19" x14ac:dyDescent="0.2">
      <c r="A2545" t="s">
        <v>4486</v>
      </c>
      <c r="B2545" t="s">
        <v>4491</v>
      </c>
      <c r="C2545">
        <v>2014</v>
      </c>
      <c r="D2545">
        <v>1</v>
      </c>
      <c r="E2545" t="s">
        <v>55</v>
      </c>
      <c r="F2545" t="s">
        <v>128</v>
      </c>
      <c r="G2545" t="s">
        <v>63</v>
      </c>
      <c r="H2545">
        <v>5</v>
      </c>
      <c r="I2545">
        <v>63.336269999999999</v>
      </c>
      <c r="J2545">
        <v>226</v>
      </c>
      <c r="M2545">
        <v>1.8</v>
      </c>
      <c r="O2545">
        <v>0.161</v>
      </c>
      <c r="Q2545">
        <v>0.5</v>
      </c>
      <c r="R2545">
        <v>0.48</v>
      </c>
      <c r="S2545">
        <v>6.4</v>
      </c>
    </row>
    <row r="2546" spans="1:19" x14ac:dyDescent="0.2">
      <c r="A2546" t="s">
        <v>4492</v>
      </c>
      <c r="B2546" t="s">
        <v>4493</v>
      </c>
      <c r="C2546">
        <v>2014</v>
      </c>
      <c r="D2546">
        <v>1</v>
      </c>
      <c r="E2546" t="s">
        <v>55</v>
      </c>
      <c r="F2546" t="s">
        <v>128</v>
      </c>
      <c r="G2546" t="s">
        <v>63</v>
      </c>
      <c r="H2546">
        <v>2</v>
      </c>
      <c r="I2546">
        <v>38.871825999999999</v>
      </c>
      <c r="J2546">
        <v>745</v>
      </c>
      <c r="M2546">
        <v>2.87</v>
      </c>
      <c r="O2546">
        <v>0.25600000000000001</v>
      </c>
      <c r="R2546">
        <v>0.92</v>
      </c>
    </row>
    <row r="2547" spans="1:19" x14ac:dyDescent="0.2">
      <c r="A2547" t="s">
        <v>4492</v>
      </c>
      <c r="B2547" t="s">
        <v>4494</v>
      </c>
      <c r="C2547">
        <v>2014</v>
      </c>
      <c r="D2547">
        <v>1</v>
      </c>
      <c r="E2547" t="s">
        <v>55</v>
      </c>
      <c r="F2547" t="s">
        <v>128</v>
      </c>
      <c r="G2547" t="s">
        <v>63</v>
      </c>
      <c r="H2547">
        <v>2</v>
      </c>
      <c r="I2547">
        <v>74.920136999999997</v>
      </c>
      <c r="J2547">
        <v>745</v>
      </c>
      <c r="M2547">
        <v>6.54</v>
      </c>
      <c r="O2547">
        <v>0.58299999999999996</v>
      </c>
      <c r="R2547">
        <v>0.92</v>
      </c>
    </row>
    <row r="2548" spans="1:19" x14ac:dyDescent="0.2">
      <c r="A2548" t="s">
        <v>4495</v>
      </c>
      <c r="B2548" t="s">
        <v>4496</v>
      </c>
      <c r="C2548">
        <v>2014</v>
      </c>
      <c r="D2548">
        <v>1</v>
      </c>
      <c r="E2548" t="s">
        <v>55</v>
      </c>
      <c r="F2548" t="s">
        <v>128</v>
      </c>
      <c r="G2548" t="s">
        <v>63</v>
      </c>
      <c r="H2548">
        <v>3</v>
      </c>
      <c r="I2548">
        <v>10.475464000000001</v>
      </c>
      <c r="J2548">
        <v>504</v>
      </c>
      <c r="M2548">
        <v>1.96</v>
      </c>
      <c r="O2548">
        <v>0.17499999999999999</v>
      </c>
      <c r="R2548">
        <v>0.57999999999999996</v>
      </c>
    </row>
    <row r="2549" spans="1:19" x14ac:dyDescent="0.2">
      <c r="A2549" t="s">
        <v>4495</v>
      </c>
      <c r="B2549" t="s">
        <v>4497</v>
      </c>
      <c r="C2549">
        <v>2014</v>
      </c>
      <c r="D2549">
        <v>1</v>
      </c>
      <c r="E2549" t="s">
        <v>55</v>
      </c>
      <c r="F2549" t="s">
        <v>128</v>
      </c>
      <c r="G2549" t="s">
        <v>63</v>
      </c>
      <c r="H2549">
        <v>3</v>
      </c>
      <c r="I2549">
        <v>22.928809999999999</v>
      </c>
      <c r="J2549">
        <v>504</v>
      </c>
      <c r="M2549">
        <v>1.93</v>
      </c>
      <c r="O2549">
        <v>0.17199999999999999</v>
      </c>
      <c r="R2549">
        <v>0.57999999999999996</v>
      </c>
    </row>
    <row r="2550" spans="1:19" x14ac:dyDescent="0.2">
      <c r="A2550" t="s">
        <v>4495</v>
      </c>
      <c r="B2550" t="s">
        <v>4498</v>
      </c>
      <c r="C2550">
        <v>2014</v>
      </c>
      <c r="D2550">
        <v>1</v>
      </c>
      <c r="E2550" t="s">
        <v>55</v>
      </c>
      <c r="F2550" t="s">
        <v>128</v>
      </c>
      <c r="G2550" t="s">
        <v>63</v>
      </c>
      <c r="H2550">
        <v>3</v>
      </c>
      <c r="I2550">
        <v>77.473633000000007</v>
      </c>
      <c r="J2550">
        <v>504</v>
      </c>
      <c r="M2550">
        <v>2.5</v>
      </c>
      <c r="O2550">
        <v>0.223</v>
      </c>
      <c r="R2550">
        <v>0.57999999999999996</v>
      </c>
    </row>
    <row r="2551" spans="1:19" x14ac:dyDescent="0.2">
      <c r="A2551" t="s">
        <v>4499</v>
      </c>
      <c r="B2551" t="s">
        <v>4500</v>
      </c>
      <c r="C2551">
        <v>2014</v>
      </c>
      <c r="D2551">
        <v>1</v>
      </c>
      <c r="E2551" t="s">
        <v>55</v>
      </c>
      <c r="F2551" t="s">
        <v>128</v>
      </c>
      <c r="G2551" t="s">
        <v>63</v>
      </c>
      <c r="H2551">
        <v>4</v>
      </c>
      <c r="I2551">
        <v>2.9271280000000002</v>
      </c>
      <c r="J2551">
        <v>1024</v>
      </c>
      <c r="M2551">
        <v>1.32</v>
      </c>
      <c r="O2551">
        <v>0.11799999999999999</v>
      </c>
      <c r="R2551">
        <v>1.03</v>
      </c>
    </row>
    <row r="2552" spans="1:19" x14ac:dyDescent="0.2">
      <c r="A2552" t="s">
        <v>4499</v>
      </c>
      <c r="B2552" t="s">
        <v>4501</v>
      </c>
      <c r="C2552">
        <v>2014</v>
      </c>
      <c r="D2552">
        <v>1</v>
      </c>
      <c r="E2552" t="s">
        <v>55</v>
      </c>
      <c r="F2552" t="s">
        <v>128</v>
      </c>
      <c r="G2552" t="s">
        <v>63</v>
      </c>
      <c r="H2552">
        <v>4</v>
      </c>
      <c r="I2552">
        <v>6.8858750000000004</v>
      </c>
      <c r="J2552">
        <v>1024</v>
      </c>
      <c r="M2552">
        <v>2.65</v>
      </c>
      <c r="O2552">
        <v>0.23599999999999999</v>
      </c>
      <c r="R2552">
        <v>1.03</v>
      </c>
    </row>
    <row r="2553" spans="1:19" x14ac:dyDescent="0.2">
      <c r="A2553" t="s">
        <v>4499</v>
      </c>
      <c r="B2553" t="s">
        <v>4502</v>
      </c>
      <c r="C2553">
        <v>2014</v>
      </c>
      <c r="D2553">
        <v>1</v>
      </c>
      <c r="E2553" t="s">
        <v>55</v>
      </c>
      <c r="F2553" t="s">
        <v>128</v>
      </c>
      <c r="G2553" t="s">
        <v>63</v>
      </c>
      <c r="H2553">
        <v>4</v>
      </c>
      <c r="I2553">
        <v>15.054786</v>
      </c>
      <c r="J2553">
        <v>1024</v>
      </c>
      <c r="M2553">
        <v>1.86</v>
      </c>
      <c r="O2553">
        <v>0.16600000000000001</v>
      </c>
      <c r="R2553">
        <v>1.03</v>
      </c>
    </row>
    <row r="2554" spans="1:19" x14ac:dyDescent="0.2">
      <c r="A2554" t="s">
        <v>4499</v>
      </c>
      <c r="B2554" t="s">
        <v>4503</v>
      </c>
      <c r="C2554">
        <v>2014</v>
      </c>
      <c r="D2554">
        <v>1</v>
      </c>
      <c r="E2554" t="s">
        <v>55</v>
      </c>
      <c r="F2554" t="s">
        <v>128</v>
      </c>
      <c r="G2554" t="s">
        <v>63</v>
      </c>
      <c r="H2554">
        <v>4</v>
      </c>
      <c r="I2554">
        <v>38.285488999999998</v>
      </c>
      <c r="J2554">
        <v>1024</v>
      </c>
      <c r="M2554">
        <v>1.87</v>
      </c>
      <c r="O2554">
        <v>0.16700000000000001</v>
      </c>
      <c r="R2554">
        <v>1.03</v>
      </c>
    </row>
    <row r="2555" spans="1:19" x14ac:dyDescent="0.2">
      <c r="A2555" t="s">
        <v>4504</v>
      </c>
      <c r="B2555" t="s">
        <v>4505</v>
      </c>
      <c r="C2555">
        <v>2012</v>
      </c>
      <c r="D2555">
        <v>1</v>
      </c>
      <c r="E2555" t="s">
        <v>55</v>
      </c>
      <c r="F2555" t="s">
        <v>128</v>
      </c>
      <c r="G2555" t="s">
        <v>63</v>
      </c>
      <c r="H2555">
        <v>3</v>
      </c>
      <c r="I2555">
        <v>29.334340000000001</v>
      </c>
      <c r="J2555">
        <v>1400</v>
      </c>
      <c r="K2555">
        <v>2</v>
      </c>
      <c r="L2555">
        <v>11.3</v>
      </c>
      <c r="M2555">
        <v>3.9</v>
      </c>
      <c r="N2555">
        <v>3.5999999999999997E-2</v>
      </c>
      <c r="O2555">
        <v>0.34799999999999998</v>
      </c>
      <c r="P2555">
        <v>1.02</v>
      </c>
      <c r="Q2555">
        <v>0.99</v>
      </c>
      <c r="R2555">
        <v>0.95</v>
      </c>
      <c r="S2555">
        <v>2</v>
      </c>
    </row>
    <row r="2556" spans="1:19" x14ac:dyDescent="0.2">
      <c r="A2556" t="s">
        <v>4504</v>
      </c>
      <c r="B2556" t="s">
        <v>4506</v>
      </c>
      <c r="C2556">
        <v>2012</v>
      </c>
      <c r="D2556">
        <v>1</v>
      </c>
      <c r="E2556" t="s">
        <v>55</v>
      </c>
      <c r="F2556" t="s">
        <v>128</v>
      </c>
      <c r="G2556" t="s">
        <v>63</v>
      </c>
      <c r="H2556">
        <v>3</v>
      </c>
      <c r="I2556">
        <v>60.323104999999998</v>
      </c>
      <c r="J2556">
        <v>1400</v>
      </c>
      <c r="K2556">
        <v>2</v>
      </c>
      <c r="L2556">
        <v>640</v>
      </c>
      <c r="M2556">
        <v>12.3</v>
      </c>
      <c r="N2556">
        <v>2.0099999999999998</v>
      </c>
      <c r="O2556">
        <v>1.097</v>
      </c>
      <c r="P2556">
        <v>1.88</v>
      </c>
      <c r="Q2556">
        <v>0.99</v>
      </c>
      <c r="R2556">
        <v>0.95</v>
      </c>
      <c r="S2556">
        <v>2</v>
      </c>
    </row>
    <row r="2557" spans="1:19" x14ac:dyDescent="0.2">
      <c r="A2557" t="s">
        <v>4504</v>
      </c>
      <c r="B2557" t="s">
        <v>4507</v>
      </c>
      <c r="C2557">
        <v>2012</v>
      </c>
      <c r="D2557">
        <v>1</v>
      </c>
      <c r="E2557" t="s">
        <v>55</v>
      </c>
      <c r="F2557" t="s">
        <v>128</v>
      </c>
      <c r="G2557" t="s">
        <v>63</v>
      </c>
      <c r="H2557">
        <v>3</v>
      </c>
      <c r="I2557">
        <v>143.34394</v>
      </c>
      <c r="J2557">
        <v>1400</v>
      </c>
      <c r="K2557">
        <v>2</v>
      </c>
      <c r="L2557">
        <v>23.1</v>
      </c>
      <c r="M2557">
        <v>8.8000000000000007</v>
      </c>
      <c r="N2557">
        <v>7.2999999999999995E-2</v>
      </c>
      <c r="O2557">
        <v>0.78500000000000003</v>
      </c>
      <c r="P2557">
        <v>0.19</v>
      </c>
      <c r="Q2557">
        <v>0.99</v>
      </c>
      <c r="R2557">
        <v>0.95</v>
      </c>
      <c r="S2557">
        <v>2</v>
      </c>
    </row>
    <row r="2558" spans="1:19" x14ac:dyDescent="0.2">
      <c r="A2558" t="s">
        <v>4508</v>
      </c>
      <c r="B2558" t="s">
        <v>4509</v>
      </c>
      <c r="C2558">
        <v>2014</v>
      </c>
      <c r="D2558">
        <v>1</v>
      </c>
      <c r="E2558" t="s">
        <v>55</v>
      </c>
      <c r="F2558" t="s">
        <v>128</v>
      </c>
      <c r="G2558" t="s">
        <v>63</v>
      </c>
      <c r="H2558">
        <v>2</v>
      </c>
      <c r="I2558">
        <v>10.446346999999999</v>
      </c>
      <c r="J2558">
        <v>872</v>
      </c>
      <c r="M2558">
        <v>1.67</v>
      </c>
      <c r="O2558">
        <v>0.14899999999999999</v>
      </c>
      <c r="R2558">
        <v>0.9</v>
      </c>
    </row>
    <row r="2559" spans="1:19" x14ac:dyDescent="0.2">
      <c r="A2559" t="s">
        <v>4508</v>
      </c>
      <c r="B2559" t="s">
        <v>4510</v>
      </c>
      <c r="C2559">
        <v>2014</v>
      </c>
      <c r="D2559">
        <v>1</v>
      </c>
      <c r="E2559" t="s">
        <v>55</v>
      </c>
      <c r="F2559" t="s">
        <v>128</v>
      </c>
      <c r="G2559" t="s">
        <v>63</v>
      </c>
      <c r="H2559">
        <v>2</v>
      </c>
      <c r="I2559">
        <v>40.714955000000003</v>
      </c>
      <c r="J2559">
        <v>872</v>
      </c>
      <c r="M2559">
        <v>2.25</v>
      </c>
      <c r="O2559">
        <v>0.20100000000000001</v>
      </c>
      <c r="R2559">
        <v>0.9</v>
      </c>
    </row>
    <row r="2560" spans="1:19" x14ac:dyDescent="0.2">
      <c r="A2560" t="s">
        <v>4511</v>
      </c>
      <c r="B2560" t="s">
        <v>4512</v>
      </c>
      <c r="C2560">
        <v>2014</v>
      </c>
      <c r="D2560">
        <v>1</v>
      </c>
      <c r="E2560" t="s">
        <v>55</v>
      </c>
      <c r="F2560" t="s">
        <v>128</v>
      </c>
      <c r="G2560" t="s">
        <v>63</v>
      </c>
      <c r="H2560">
        <v>3</v>
      </c>
      <c r="I2560">
        <v>2.508553</v>
      </c>
      <c r="J2560">
        <v>742</v>
      </c>
      <c r="M2560">
        <v>1.35</v>
      </c>
      <c r="O2560">
        <v>0.12</v>
      </c>
      <c r="R2560">
        <v>0.9</v>
      </c>
    </row>
    <row r="2561" spans="1:18" x14ac:dyDescent="0.2">
      <c r="A2561" t="s">
        <v>4511</v>
      </c>
      <c r="B2561" t="s">
        <v>4513</v>
      </c>
      <c r="C2561">
        <v>2014</v>
      </c>
      <c r="D2561">
        <v>1</v>
      </c>
      <c r="E2561" t="s">
        <v>55</v>
      </c>
      <c r="F2561" t="s">
        <v>128</v>
      </c>
      <c r="G2561" t="s">
        <v>63</v>
      </c>
      <c r="H2561">
        <v>3</v>
      </c>
      <c r="I2561">
        <v>5.4190259999999997</v>
      </c>
      <c r="J2561">
        <v>742</v>
      </c>
      <c r="M2561">
        <v>1.35</v>
      </c>
      <c r="O2561">
        <v>0.12</v>
      </c>
      <c r="R2561">
        <v>0.9</v>
      </c>
    </row>
    <row r="2562" spans="1:18" x14ac:dyDescent="0.2">
      <c r="A2562" t="s">
        <v>4511</v>
      </c>
      <c r="B2562" t="s">
        <v>4514</v>
      </c>
      <c r="C2562">
        <v>2014</v>
      </c>
      <c r="D2562">
        <v>1</v>
      </c>
      <c r="E2562" t="s">
        <v>55</v>
      </c>
      <c r="F2562" t="s">
        <v>128</v>
      </c>
      <c r="G2562" t="s">
        <v>63</v>
      </c>
      <c r="H2562">
        <v>3</v>
      </c>
      <c r="I2562">
        <v>13.751243000000001</v>
      </c>
      <c r="J2562">
        <v>742</v>
      </c>
      <c r="M2562">
        <v>1.75</v>
      </c>
      <c r="O2562">
        <v>0.156</v>
      </c>
      <c r="R2562">
        <v>0.9</v>
      </c>
    </row>
    <row r="2563" spans="1:18" x14ac:dyDescent="0.2">
      <c r="A2563" t="s">
        <v>4515</v>
      </c>
      <c r="B2563" t="s">
        <v>4516</v>
      </c>
      <c r="C2563">
        <v>2014</v>
      </c>
      <c r="D2563">
        <v>1</v>
      </c>
      <c r="E2563" t="s">
        <v>55</v>
      </c>
      <c r="F2563" t="s">
        <v>128</v>
      </c>
      <c r="G2563" t="s">
        <v>63</v>
      </c>
      <c r="H2563">
        <v>2</v>
      </c>
      <c r="I2563">
        <v>30.184104000000001</v>
      </c>
      <c r="J2563">
        <v>1433</v>
      </c>
      <c r="M2563">
        <v>4.0599999999999996</v>
      </c>
      <c r="O2563">
        <v>0.36199999999999999</v>
      </c>
      <c r="R2563">
        <v>1.22</v>
      </c>
    </row>
    <row r="2564" spans="1:18" x14ac:dyDescent="0.2">
      <c r="A2564" t="s">
        <v>4515</v>
      </c>
      <c r="B2564" t="s">
        <v>4517</v>
      </c>
      <c r="C2564">
        <v>2014</v>
      </c>
      <c r="D2564">
        <v>1</v>
      </c>
      <c r="E2564" t="s">
        <v>55</v>
      </c>
      <c r="F2564" t="s">
        <v>128</v>
      </c>
      <c r="G2564" t="s">
        <v>63</v>
      </c>
      <c r="H2564">
        <v>2</v>
      </c>
      <c r="I2564">
        <v>127.282184</v>
      </c>
      <c r="J2564">
        <v>1433</v>
      </c>
      <c r="M2564">
        <v>12.45</v>
      </c>
      <c r="O2564">
        <v>1.111</v>
      </c>
      <c r="R2564">
        <v>1.22</v>
      </c>
    </row>
    <row r="2565" spans="1:18" x14ac:dyDescent="0.2">
      <c r="A2565" t="s">
        <v>4518</v>
      </c>
      <c r="B2565" t="s">
        <v>4519</v>
      </c>
      <c r="C2565">
        <v>2014</v>
      </c>
      <c r="D2565">
        <v>1</v>
      </c>
      <c r="E2565" t="s">
        <v>55</v>
      </c>
      <c r="F2565" t="s">
        <v>128</v>
      </c>
      <c r="G2565" t="s">
        <v>63</v>
      </c>
      <c r="H2565">
        <v>2</v>
      </c>
      <c r="I2565">
        <v>1.937055</v>
      </c>
      <c r="J2565">
        <v>175</v>
      </c>
      <c r="M2565">
        <v>0.89</v>
      </c>
      <c r="O2565">
        <v>7.9000000000000001E-2</v>
      </c>
      <c r="R2565">
        <v>0.48</v>
      </c>
    </row>
    <row r="2566" spans="1:18" x14ac:dyDescent="0.2">
      <c r="A2566" t="s">
        <v>4518</v>
      </c>
      <c r="B2566" t="s">
        <v>4520</v>
      </c>
      <c r="C2566">
        <v>2014</v>
      </c>
      <c r="D2566">
        <v>1</v>
      </c>
      <c r="E2566" t="s">
        <v>55</v>
      </c>
      <c r="F2566" t="s">
        <v>128</v>
      </c>
      <c r="G2566" t="s">
        <v>63</v>
      </c>
      <c r="H2566">
        <v>2</v>
      </c>
      <c r="I2566">
        <v>7.0611490000000003</v>
      </c>
      <c r="J2566">
        <v>175</v>
      </c>
      <c r="M2566">
        <v>1.1399999999999999</v>
      </c>
      <c r="O2566">
        <v>0.10199999999999999</v>
      </c>
      <c r="R2566">
        <v>0.48</v>
      </c>
    </row>
    <row r="2567" spans="1:18" x14ac:dyDescent="0.2">
      <c r="A2567" t="s">
        <v>4521</v>
      </c>
      <c r="B2567" t="s">
        <v>4522</v>
      </c>
      <c r="C2567">
        <v>2014</v>
      </c>
      <c r="D2567">
        <v>1</v>
      </c>
      <c r="E2567" t="s">
        <v>55</v>
      </c>
      <c r="F2567" t="s">
        <v>128</v>
      </c>
      <c r="G2567" t="s">
        <v>63</v>
      </c>
      <c r="H2567">
        <v>4</v>
      </c>
      <c r="I2567">
        <v>3.295709</v>
      </c>
      <c r="J2567">
        <v>483</v>
      </c>
      <c r="M2567">
        <v>2.86</v>
      </c>
      <c r="O2567">
        <v>0.255</v>
      </c>
      <c r="R2567">
        <v>0.69</v>
      </c>
    </row>
    <row r="2568" spans="1:18" x14ac:dyDescent="0.2">
      <c r="A2568" t="s">
        <v>4521</v>
      </c>
      <c r="B2568" t="s">
        <v>4523</v>
      </c>
      <c r="C2568">
        <v>2014</v>
      </c>
      <c r="D2568">
        <v>1</v>
      </c>
      <c r="E2568" t="s">
        <v>55</v>
      </c>
      <c r="F2568" t="s">
        <v>128</v>
      </c>
      <c r="G2568" t="s">
        <v>63</v>
      </c>
      <c r="H2568">
        <v>4</v>
      </c>
      <c r="I2568">
        <v>5.3159460000000003</v>
      </c>
      <c r="J2568">
        <v>483</v>
      </c>
      <c r="M2568">
        <v>2.17</v>
      </c>
      <c r="O2568">
        <v>0.19400000000000001</v>
      </c>
      <c r="R2568">
        <v>0.69</v>
      </c>
    </row>
    <row r="2569" spans="1:18" x14ac:dyDescent="0.2">
      <c r="A2569" t="s">
        <v>4521</v>
      </c>
      <c r="B2569" t="s">
        <v>4524</v>
      </c>
      <c r="C2569">
        <v>2014</v>
      </c>
      <c r="D2569">
        <v>1</v>
      </c>
      <c r="E2569" t="s">
        <v>55</v>
      </c>
      <c r="F2569" t="s">
        <v>128</v>
      </c>
      <c r="G2569" t="s">
        <v>63</v>
      </c>
      <c r="H2569">
        <v>4</v>
      </c>
      <c r="I2569">
        <v>9.6534709999999997</v>
      </c>
      <c r="J2569">
        <v>483</v>
      </c>
      <c r="M2569">
        <v>2.75</v>
      </c>
      <c r="O2569">
        <v>0.245</v>
      </c>
      <c r="R2569">
        <v>0.69</v>
      </c>
    </row>
    <row r="2570" spans="1:18" x14ac:dyDescent="0.2">
      <c r="A2570" t="s">
        <v>4521</v>
      </c>
      <c r="B2570" t="s">
        <v>4525</v>
      </c>
      <c r="C2570">
        <v>2016</v>
      </c>
      <c r="D2570">
        <v>1</v>
      </c>
      <c r="E2570" t="s">
        <v>55</v>
      </c>
      <c r="F2570" t="s">
        <v>128</v>
      </c>
      <c r="G2570" t="s">
        <v>63</v>
      </c>
      <c r="H2570">
        <v>4</v>
      </c>
      <c r="I2570">
        <v>1.4991469500000001</v>
      </c>
      <c r="J2570">
        <v>483</v>
      </c>
      <c r="M2570">
        <v>1.2</v>
      </c>
      <c r="O2570">
        <v>0.107</v>
      </c>
      <c r="R2570">
        <v>0.69</v>
      </c>
    </row>
    <row r="2571" spans="1:18" x14ac:dyDescent="0.2">
      <c r="A2571" t="s">
        <v>4526</v>
      </c>
      <c r="B2571" t="s">
        <v>4527</v>
      </c>
      <c r="C2571">
        <v>2013</v>
      </c>
      <c r="D2571">
        <v>1</v>
      </c>
      <c r="E2571" t="s">
        <v>55</v>
      </c>
      <c r="F2571" t="s">
        <v>128</v>
      </c>
      <c r="G2571" t="s">
        <v>63</v>
      </c>
      <c r="H2571">
        <v>3</v>
      </c>
      <c r="I2571">
        <v>5.4870000000000001</v>
      </c>
      <c r="J2571">
        <v>864</v>
      </c>
      <c r="L2571">
        <v>10.5</v>
      </c>
      <c r="M2571">
        <v>3.6</v>
      </c>
      <c r="N2571">
        <v>3.3000000000000002E-2</v>
      </c>
      <c r="O2571">
        <v>0.32100000000000001</v>
      </c>
      <c r="R2571">
        <v>0.79</v>
      </c>
    </row>
    <row r="2572" spans="1:18" x14ac:dyDescent="0.2">
      <c r="A2572" t="s">
        <v>4526</v>
      </c>
      <c r="B2572" t="s">
        <v>4528</v>
      </c>
      <c r="C2572">
        <v>2013</v>
      </c>
      <c r="D2572">
        <v>1</v>
      </c>
      <c r="E2572" t="s">
        <v>55</v>
      </c>
      <c r="F2572" t="s">
        <v>128</v>
      </c>
      <c r="G2572" t="s">
        <v>63</v>
      </c>
      <c r="H2572">
        <v>3</v>
      </c>
      <c r="I2572">
        <v>8.2910000000000004</v>
      </c>
      <c r="J2572">
        <v>864</v>
      </c>
      <c r="L2572">
        <v>6</v>
      </c>
      <c r="M2572">
        <v>3.3</v>
      </c>
      <c r="N2572">
        <v>1.9E-2</v>
      </c>
      <c r="O2572">
        <v>0.29399999999999998</v>
      </c>
      <c r="R2572">
        <v>0.79</v>
      </c>
    </row>
    <row r="2573" spans="1:18" x14ac:dyDescent="0.2">
      <c r="A2573" t="s">
        <v>4526</v>
      </c>
      <c r="B2573" t="s">
        <v>4529</v>
      </c>
      <c r="C2573">
        <v>2014</v>
      </c>
      <c r="D2573">
        <v>1</v>
      </c>
      <c r="E2573" t="s">
        <v>55</v>
      </c>
      <c r="F2573" t="s">
        <v>128</v>
      </c>
      <c r="G2573" t="s">
        <v>63</v>
      </c>
      <c r="H2573">
        <v>3</v>
      </c>
      <c r="I2573">
        <v>16.738661</v>
      </c>
      <c r="J2573">
        <v>864</v>
      </c>
      <c r="M2573">
        <v>2.71</v>
      </c>
      <c r="O2573">
        <v>0.24199999999999999</v>
      </c>
      <c r="R2573">
        <v>0.79</v>
      </c>
    </row>
    <row r="2574" spans="1:18" x14ac:dyDescent="0.2">
      <c r="A2574" t="s">
        <v>4530</v>
      </c>
      <c r="B2574" t="s">
        <v>4531</v>
      </c>
      <c r="C2574">
        <v>2014</v>
      </c>
      <c r="D2574">
        <v>1</v>
      </c>
      <c r="E2574" t="s">
        <v>55</v>
      </c>
      <c r="F2574" t="s">
        <v>128</v>
      </c>
      <c r="G2574" t="s">
        <v>63</v>
      </c>
      <c r="H2574">
        <v>4</v>
      </c>
      <c r="I2574">
        <v>4.6461860000000001</v>
      </c>
      <c r="J2574">
        <v>753</v>
      </c>
      <c r="M2574">
        <v>1.52</v>
      </c>
      <c r="O2574">
        <v>0.13600000000000001</v>
      </c>
      <c r="R2574">
        <v>0.72</v>
      </c>
    </row>
    <row r="2575" spans="1:18" x14ac:dyDescent="0.2">
      <c r="A2575" t="s">
        <v>4530</v>
      </c>
      <c r="B2575" t="s">
        <v>4532</v>
      </c>
      <c r="C2575">
        <v>2014</v>
      </c>
      <c r="D2575">
        <v>1</v>
      </c>
      <c r="E2575" t="s">
        <v>55</v>
      </c>
      <c r="F2575" t="s">
        <v>128</v>
      </c>
      <c r="G2575" t="s">
        <v>63</v>
      </c>
      <c r="H2575">
        <v>4</v>
      </c>
      <c r="I2575">
        <v>7.2401929999999997</v>
      </c>
      <c r="J2575">
        <v>753</v>
      </c>
      <c r="M2575">
        <v>2.35</v>
      </c>
      <c r="O2575">
        <v>0.21</v>
      </c>
      <c r="R2575">
        <v>0.72</v>
      </c>
    </row>
    <row r="2576" spans="1:18" x14ac:dyDescent="0.2">
      <c r="A2576" t="s">
        <v>4530</v>
      </c>
      <c r="B2576" t="s">
        <v>4533</v>
      </c>
      <c r="C2576">
        <v>2014</v>
      </c>
      <c r="D2576">
        <v>1</v>
      </c>
      <c r="E2576" t="s">
        <v>55</v>
      </c>
      <c r="F2576" t="s">
        <v>128</v>
      </c>
      <c r="G2576" t="s">
        <v>63</v>
      </c>
      <c r="H2576">
        <v>4</v>
      </c>
      <c r="I2576">
        <v>17.326644000000002</v>
      </c>
      <c r="J2576">
        <v>753</v>
      </c>
      <c r="M2576">
        <v>2.4700000000000002</v>
      </c>
      <c r="O2576">
        <v>0.22</v>
      </c>
      <c r="R2576">
        <v>0.72</v>
      </c>
    </row>
    <row r="2577" spans="1:18" x14ac:dyDescent="0.2">
      <c r="A2577" t="s">
        <v>4530</v>
      </c>
      <c r="B2577" t="s">
        <v>4534</v>
      </c>
      <c r="C2577">
        <v>2014</v>
      </c>
      <c r="D2577">
        <v>1</v>
      </c>
      <c r="E2577" t="s">
        <v>55</v>
      </c>
      <c r="F2577" t="s">
        <v>128</v>
      </c>
      <c r="G2577" t="s">
        <v>63</v>
      </c>
      <c r="H2577">
        <v>4</v>
      </c>
      <c r="I2577">
        <v>44.840975</v>
      </c>
      <c r="J2577">
        <v>753</v>
      </c>
      <c r="M2577">
        <v>2.27</v>
      </c>
      <c r="O2577">
        <v>0.20300000000000001</v>
      </c>
      <c r="R2577">
        <v>0.72</v>
      </c>
    </row>
    <row r="2578" spans="1:18" x14ac:dyDescent="0.2">
      <c r="A2578" t="s">
        <v>4535</v>
      </c>
      <c r="B2578" t="s">
        <v>4536</v>
      </c>
      <c r="C2578">
        <v>2013</v>
      </c>
      <c r="D2578">
        <v>1</v>
      </c>
      <c r="E2578" t="s">
        <v>55</v>
      </c>
      <c r="F2578" t="s">
        <v>128</v>
      </c>
      <c r="G2578" t="s">
        <v>63</v>
      </c>
      <c r="H2578">
        <v>2</v>
      </c>
      <c r="I2578">
        <v>10.4208</v>
      </c>
      <c r="J2578">
        <v>600</v>
      </c>
      <c r="L2578">
        <v>7.44</v>
      </c>
      <c r="M2578">
        <v>2.4300000000000002</v>
      </c>
      <c r="N2578">
        <v>2.341E-2</v>
      </c>
      <c r="O2578">
        <v>0.217</v>
      </c>
      <c r="P2578">
        <v>2.62</v>
      </c>
      <c r="Q2578">
        <v>0.91</v>
      </c>
      <c r="R2578">
        <v>0.81</v>
      </c>
    </row>
    <row r="2579" spans="1:18" x14ac:dyDescent="0.2">
      <c r="A2579" t="s">
        <v>4535</v>
      </c>
      <c r="B2579" t="s">
        <v>4537</v>
      </c>
      <c r="C2579">
        <v>2013</v>
      </c>
      <c r="D2579">
        <v>1</v>
      </c>
      <c r="E2579" t="s">
        <v>55</v>
      </c>
      <c r="F2579" t="s">
        <v>128</v>
      </c>
      <c r="G2579" t="s">
        <v>63</v>
      </c>
      <c r="H2579">
        <v>2</v>
      </c>
      <c r="I2579">
        <v>13.072900000000001</v>
      </c>
      <c r="J2579">
        <v>600</v>
      </c>
      <c r="L2579">
        <v>3.64</v>
      </c>
      <c r="M2579">
        <v>2.2000000000000002</v>
      </c>
      <c r="N2579">
        <v>1.145E-2</v>
      </c>
      <c r="O2579">
        <v>0.19600000000000001</v>
      </c>
      <c r="P2579">
        <v>1.74</v>
      </c>
      <c r="Q2579">
        <v>0.91</v>
      </c>
      <c r="R2579">
        <v>0.81</v>
      </c>
    </row>
    <row r="2580" spans="1:18" x14ac:dyDescent="0.2">
      <c r="A2580" t="s">
        <v>4538</v>
      </c>
      <c r="B2580" t="s">
        <v>4539</v>
      </c>
      <c r="C2580">
        <v>2014</v>
      </c>
      <c r="D2580">
        <v>1</v>
      </c>
      <c r="E2580" t="s">
        <v>55</v>
      </c>
      <c r="F2580" t="s">
        <v>128</v>
      </c>
      <c r="G2580" t="s">
        <v>63</v>
      </c>
      <c r="H2580">
        <v>2</v>
      </c>
      <c r="I2580">
        <v>9.6949280000000009</v>
      </c>
      <c r="J2580">
        <v>1284</v>
      </c>
      <c r="M2580">
        <v>2.12</v>
      </c>
      <c r="O2580">
        <v>0.189</v>
      </c>
      <c r="R2580">
        <v>0.94</v>
      </c>
    </row>
    <row r="2581" spans="1:18" x14ac:dyDescent="0.2">
      <c r="A2581" t="s">
        <v>4538</v>
      </c>
      <c r="B2581" t="s">
        <v>4540</v>
      </c>
      <c r="C2581">
        <v>2014</v>
      </c>
      <c r="D2581">
        <v>1</v>
      </c>
      <c r="E2581" t="s">
        <v>55</v>
      </c>
      <c r="F2581" t="s">
        <v>128</v>
      </c>
      <c r="G2581" t="s">
        <v>63</v>
      </c>
      <c r="H2581">
        <v>2</v>
      </c>
      <c r="I2581">
        <v>15.38231</v>
      </c>
      <c r="J2581">
        <v>1284</v>
      </c>
      <c r="M2581">
        <v>2.16</v>
      </c>
      <c r="O2581">
        <v>0.193</v>
      </c>
      <c r="R2581">
        <v>0.94</v>
      </c>
    </row>
    <row r="2582" spans="1:18" x14ac:dyDescent="0.2">
      <c r="A2582" t="s">
        <v>4541</v>
      </c>
      <c r="B2582" t="s">
        <v>4542</v>
      </c>
      <c r="C2582">
        <v>2014</v>
      </c>
      <c r="D2582">
        <v>1</v>
      </c>
      <c r="E2582" t="s">
        <v>55</v>
      </c>
      <c r="F2582" t="s">
        <v>128</v>
      </c>
      <c r="G2582" t="s">
        <v>63</v>
      </c>
      <c r="H2582">
        <v>2</v>
      </c>
      <c r="I2582">
        <v>5.9236529999999998</v>
      </c>
      <c r="J2582">
        <v>524</v>
      </c>
      <c r="M2582">
        <v>1.56</v>
      </c>
      <c r="O2582">
        <v>0.13900000000000001</v>
      </c>
      <c r="R2582">
        <v>0.72</v>
      </c>
    </row>
    <row r="2583" spans="1:18" x14ac:dyDescent="0.2">
      <c r="A2583" t="s">
        <v>4541</v>
      </c>
      <c r="B2583" t="s">
        <v>4543</v>
      </c>
      <c r="C2583">
        <v>2014</v>
      </c>
      <c r="D2583">
        <v>1</v>
      </c>
      <c r="E2583" t="s">
        <v>55</v>
      </c>
      <c r="F2583" t="s">
        <v>128</v>
      </c>
      <c r="G2583" t="s">
        <v>63</v>
      </c>
      <c r="H2583">
        <v>2</v>
      </c>
      <c r="I2583">
        <v>105.35638299999999</v>
      </c>
      <c r="J2583">
        <v>524</v>
      </c>
      <c r="M2583">
        <v>2.5099999999999998</v>
      </c>
      <c r="O2583">
        <v>0.224</v>
      </c>
      <c r="R2583">
        <v>0.72</v>
      </c>
    </row>
    <row r="2584" spans="1:18" x14ac:dyDescent="0.2">
      <c r="A2584" t="s">
        <v>4544</v>
      </c>
      <c r="B2584" t="s">
        <v>4545</v>
      </c>
      <c r="C2584">
        <v>2011</v>
      </c>
      <c r="D2584">
        <v>1</v>
      </c>
      <c r="E2584" t="s">
        <v>55</v>
      </c>
      <c r="F2584" t="s">
        <v>128</v>
      </c>
      <c r="G2584" t="s">
        <v>63</v>
      </c>
      <c r="H2584">
        <v>3</v>
      </c>
      <c r="I2584">
        <v>20.8613</v>
      </c>
      <c r="J2584">
        <v>2100</v>
      </c>
      <c r="M2584">
        <v>5.5</v>
      </c>
      <c r="O2584">
        <v>0.49099999999999999</v>
      </c>
      <c r="Q2584">
        <v>1.21</v>
      </c>
      <c r="R2584">
        <v>1.22</v>
      </c>
    </row>
    <row r="2585" spans="1:18" x14ac:dyDescent="0.2">
      <c r="A2585" t="s">
        <v>4544</v>
      </c>
      <c r="B2585" t="s">
        <v>4546</v>
      </c>
      <c r="C2585">
        <v>2011</v>
      </c>
      <c r="D2585">
        <v>1</v>
      </c>
      <c r="E2585" t="s">
        <v>55</v>
      </c>
      <c r="F2585" t="s">
        <v>128</v>
      </c>
      <c r="G2585" t="s">
        <v>63</v>
      </c>
      <c r="H2585">
        <v>3</v>
      </c>
      <c r="I2585">
        <v>42.631799999999998</v>
      </c>
      <c r="J2585">
        <v>2100</v>
      </c>
      <c r="L2585">
        <v>1493.7</v>
      </c>
      <c r="M2585">
        <v>5.3</v>
      </c>
      <c r="N2585">
        <v>4.7</v>
      </c>
      <c r="O2585">
        <v>0.47299999999999998</v>
      </c>
      <c r="Q2585">
        <v>1.21</v>
      </c>
      <c r="R2585">
        <v>1.22</v>
      </c>
    </row>
    <row r="2586" spans="1:18" x14ac:dyDescent="0.2">
      <c r="A2586" t="s">
        <v>4544</v>
      </c>
      <c r="B2586" t="s">
        <v>4547</v>
      </c>
      <c r="C2586">
        <v>2014</v>
      </c>
      <c r="D2586">
        <v>1</v>
      </c>
      <c r="E2586" t="s">
        <v>55</v>
      </c>
      <c r="F2586" t="s">
        <v>128</v>
      </c>
      <c r="G2586" t="s">
        <v>63</v>
      </c>
      <c r="H2586">
        <v>3</v>
      </c>
      <c r="I2586">
        <v>87.645099999999999</v>
      </c>
      <c r="J2586">
        <v>2100</v>
      </c>
      <c r="L2586">
        <v>2161.2440000000001</v>
      </c>
      <c r="M2586">
        <v>3.9</v>
      </c>
      <c r="N2586">
        <v>6.8</v>
      </c>
      <c r="O2586">
        <v>0.34799999999999998</v>
      </c>
      <c r="Q2586">
        <v>1.21</v>
      </c>
      <c r="R2586">
        <v>1.22</v>
      </c>
    </row>
    <row r="2587" spans="1:18" x14ac:dyDescent="0.2">
      <c r="A2587" t="s">
        <v>4548</v>
      </c>
      <c r="B2587" t="s">
        <v>4549</v>
      </c>
      <c r="C2587">
        <v>2014</v>
      </c>
      <c r="D2587">
        <v>1</v>
      </c>
      <c r="E2587" t="s">
        <v>55</v>
      </c>
      <c r="F2587" t="s">
        <v>128</v>
      </c>
      <c r="G2587" t="s">
        <v>63</v>
      </c>
      <c r="H2587">
        <v>3</v>
      </c>
      <c r="I2587">
        <v>13.930698</v>
      </c>
      <c r="J2587">
        <v>634</v>
      </c>
      <c r="M2587">
        <v>1.19</v>
      </c>
      <c r="O2587">
        <v>0.106</v>
      </c>
      <c r="R2587">
        <v>0.88</v>
      </c>
    </row>
    <row r="2588" spans="1:18" x14ac:dyDescent="0.2">
      <c r="A2588" t="s">
        <v>4548</v>
      </c>
      <c r="B2588" t="s">
        <v>4550</v>
      </c>
      <c r="C2588">
        <v>2014</v>
      </c>
      <c r="D2588">
        <v>1</v>
      </c>
      <c r="E2588" t="s">
        <v>55</v>
      </c>
      <c r="F2588" t="s">
        <v>128</v>
      </c>
      <c r="G2588" t="s">
        <v>63</v>
      </c>
      <c r="H2588">
        <v>3</v>
      </c>
      <c r="I2588">
        <v>56.47542</v>
      </c>
      <c r="J2588">
        <v>634</v>
      </c>
      <c r="M2588">
        <v>3.38</v>
      </c>
      <c r="O2588">
        <v>0.30199999999999999</v>
      </c>
      <c r="R2588">
        <v>0.88</v>
      </c>
    </row>
    <row r="2589" spans="1:18" x14ac:dyDescent="0.2">
      <c r="A2589" t="s">
        <v>4548</v>
      </c>
      <c r="B2589" t="s">
        <v>4551</v>
      </c>
      <c r="C2589">
        <v>2014</v>
      </c>
      <c r="D2589">
        <v>1</v>
      </c>
      <c r="E2589" t="s">
        <v>55</v>
      </c>
      <c r="F2589" t="s">
        <v>128</v>
      </c>
      <c r="G2589" t="s">
        <v>63</v>
      </c>
      <c r="H2589">
        <v>3</v>
      </c>
      <c r="I2589">
        <v>92.876125000000002</v>
      </c>
      <c r="J2589">
        <v>634</v>
      </c>
      <c r="M2589">
        <v>2.4700000000000002</v>
      </c>
      <c r="O2589">
        <v>0.22</v>
      </c>
      <c r="R2589">
        <v>0.88</v>
      </c>
    </row>
    <row r="2590" spans="1:18" x14ac:dyDescent="0.2">
      <c r="A2590" t="s">
        <v>4552</v>
      </c>
      <c r="B2590" t="s">
        <v>4553</v>
      </c>
      <c r="C2590">
        <v>2014</v>
      </c>
      <c r="D2590">
        <v>1</v>
      </c>
      <c r="E2590" t="s">
        <v>55</v>
      </c>
      <c r="F2590" t="s">
        <v>128</v>
      </c>
      <c r="G2590" t="s">
        <v>63</v>
      </c>
      <c r="H2590">
        <v>2</v>
      </c>
      <c r="I2590">
        <v>9.1760920000000006</v>
      </c>
      <c r="J2590">
        <v>774</v>
      </c>
      <c r="M2590">
        <v>1.7</v>
      </c>
      <c r="O2590">
        <v>0.152</v>
      </c>
      <c r="R2590">
        <v>1.19</v>
      </c>
    </row>
    <row r="2591" spans="1:18" x14ac:dyDescent="0.2">
      <c r="A2591" t="s">
        <v>4552</v>
      </c>
      <c r="B2591" t="s">
        <v>4554</v>
      </c>
      <c r="C2591">
        <v>2014</v>
      </c>
      <c r="D2591">
        <v>1</v>
      </c>
      <c r="E2591" t="s">
        <v>55</v>
      </c>
      <c r="F2591" t="s">
        <v>128</v>
      </c>
      <c r="G2591" t="s">
        <v>63</v>
      </c>
      <c r="H2591">
        <v>2</v>
      </c>
      <c r="I2591">
        <v>19.738285999999999</v>
      </c>
      <c r="J2591">
        <v>774</v>
      </c>
      <c r="M2591">
        <v>1.43</v>
      </c>
      <c r="O2591">
        <v>0.128</v>
      </c>
      <c r="R2591">
        <v>1.19</v>
      </c>
    </row>
    <row r="2592" spans="1:18" x14ac:dyDescent="0.2">
      <c r="A2592" t="s">
        <v>4555</v>
      </c>
      <c r="B2592" t="s">
        <v>4556</v>
      </c>
      <c r="C2592">
        <v>2014</v>
      </c>
      <c r="D2592">
        <v>1</v>
      </c>
      <c r="E2592" t="s">
        <v>55</v>
      </c>
      <c r="F2592" t="s">
        <v>128</v>
      </c>
      <c r="G2592" t="s">
        <v>63</v>
      </c>
      <c r="H2592">
        <v>2</v>
      </c>
      <c r="I2592">
        <v>1.772419</v>
      </c>
      <c r="J2592">
        <v>569</v>
      </c>
      <c r="M2592">
        <v>1.29</v>
      </c>
      <c r="O2592">
        <v>0.115</v>
      </c>
      <c r="R2592">
        <v>1.47</v>
      </c>
    </row>
    <row r="2593" spans="1:18" x14ac:dyDescent="0.2">
      <c r="A2593" t="s">
        <v>4555</v>
      </c>
      <c r="B2593" t="s">
        <v>4557</v>
      </c>
      <c r="C2593">
        <v>2014</v>
      </c>
      <c r="D2593">
        <v>1</v>
      </c>
      <c r="E2593" t="s">
        <v>55</v>
      </c>
      <c r="F2593" t="s">
        <v>128</v>
      </c>
      <c r="G2593" t="s">
        <v>63</v>
      </c>
      <c r="H2593">
        <v>2</v>
      </c>
      <c r="I2593">
        <v>19.747412000000001</v>
      </c>
      <c r="J2593">
        <v>569</v>
      </c>
      <c r="M2593">
        <v>3.15</v>
      </c>
      <c r="O2593">
        <v>0.28100000000000003</v>
      </c>
      <c r="R2593">
        <v>1.47</v>
      </c>
    </row>
    <row r="2594" spans="1:18" x14ac:dyDescent="0.2">
      <c r="A2594" t="s">
        <v>4558</v>
      </c>
      <c r="B2594" t="s">
        <v>4559</v>
      </c>
      <c r="C2594">
        <v>2014</v>
      </c>
      <c r="D2594">
        <v>1</v>
      </c>
      <c r="E2594" t="s">
        <v>55</v>
      </c>
      <c r="F2594" t="s">
        <v>128</v>
      </c>
      <c r="G2594" t="s">
        <v>63</v>
      </c>
      <c r="H2594">
        <v>2</v>
      </c>
      <c r="I2594">
        <v>14.970418</v>
      </c>
      <c r="J2594">
        <v>954</v>
      </c>
      <c r="M2594">
        <v>2.5299999999999998</v>
      </c>
      <c r="O2594">
        <v>0.22600000000000001</v>
      </c>
      <c r="R2594">
        <v>1.54</v>
      </c>
    </row>
    <row r="2595" spans="1:18" x14ac:dyDescent="0.2">
      <c r="A2595" t="s">
        <v>4558</v>
      </c>
      <c r="B2595" t="s">
        <v>4560</v>
      </c>
      <c r="C2595">
        <v>2014</v>
      </c>
      <c r="D2595">
        <v>1</v>
      </c>
      <c r="E2595" t="s">
        <v>55</v>
      </c>
      <c r="F2595" t="s">
        <v>128</v>
      </c>
      <c r="G2595" t="s">
        <v>63</v>
      </c>
      <c r="H2595">
        <v>2</v>
      </c>
      <c r="I2595">
        <v>32.273273000000003</v>
      </c>
      <c r="J2595">
        <v>954</v>
      </c>
      <c r="M2595">
        <v>2.57</v>
      </c>
      <c r="O2595">
        <v>0.22900000000000001</v>
      </c>
      <c r="R2595">
        <v>1.54</v>
      </c>
    </row>
    <row r="2596" spans="1:18" x14ac:dyDescent="0.2">
      <c r="A2596" t="s">
        <v>4561</v>
      </c>
      <c r="B2596" t="s">
        <v>4562</v>
      </c>
      <c r="C2596">
        <v>2014</v>
      </c>
      <c r="D2596">
        <v>1</v>
      </c>
      <c r="E2596" t="s">
        <v>55</v>
      </c>
      <c r="F2596" t="s">
        <v>128</v>
      </c>
      <c r="G2596" t="s">
        <v>63</v>
      </c>
      <c r="H2596">
        <v>2</v>
      </c>
      <c r="I2596">
        <v>2.4610690000000002</v>
      </c>
      <c r="J2596">
        <v>263</v>
      </c>
      <c r="M2596">
        <v>0.83</v>
      </c>
      <c r="O2596">
        <v>7.3999999999999996E-2</v>
      </c>
      <c r="R2596">
        <v>0.95</v>
      </c>
    </row>
    <row r="2597" spans="1:18" x14ac:dyDescent="0.2">
      <c r="A2597" t="s">
        <v>4561</v>
      </c>
      <c r="B2597" t="s">
        <v>4563</v>
      </c>
      <c r="C2597">
        <v>2014</v>
      </c>
      <c r="D2597">
        <v>1</v>
      </c>
      <c r="E2597" t="s">
        <v>55</v>
      </c>
      <c r="F2597" t="s">
        <v>128</v>
      </c>
      <c r="G2597" t="s">
        <v>63</v>
      </c>
      <c r="H2597">
        <v>2</v>
      </c>
      <c r="I2597">
        <v>5.9603919999999997</v>
      </c>
      <c r="J2597">
        <v>263</v>
      </c>
      <c r="M2597">
        <v>2.9</v>
      </c>
      <c r="O2597">
        <v>0.25900000000000001</v>
      </c>
      <c r="R2597">
        <v>0.95</v>
      </c>
    </row>
    <row r="2598" spans="1:18" x14ac:dyDescent="0.2">
      <c r="A2598" t="s">
        <v>4564</v>
      </c>
      <c r="B2598" t="s">
        <v>4565</v>
      </c>
      <c r="C2598">
        <v>2014</v>
      </c>
      <c r="D2598">
        <v>1</v>
      </c>
      <c r="E2598" t="s">
        <v>55</v>
      </c>
      <c r="F2598" t="s">
        <v>128</v>
      </c>
      <c r="G2598" t="s">
        <v>63</v>
      </c>
      <c r="H2598">
        <v>2</v>
      </c>
      <c r="I2598">
        <v>96.101140999999998</v>
      </c>
      <c r="J2598">
        <v>1112</v>
      </c>
      <c r="M2598">
        <v>3.77</v>
      </c>
      <c r="O2598">
        <v>0.33600000000000002</v>
      </c>
      <c r="R2598">
        <v>1.04</v>
      </c>
    </row>
    <row r="2599" spans="1:18" x14ac:dyDescent="0.2">
      <c r="A2599" t="s">
        <v>4564</v>
      </c>
      <c r="B2599" t="s">
        <v>4566</v>
      </c>
      <c r="C2599">
        <v>2014</v>
      </c>
      <c r="D2599">
        <v>1</v>
      </c>
      <c r="E2599" t="s">
        <v>55</v>
      </c>
      <c r="F2599" t="s">
        <v>128</v>
      </c>
      <c r="G2599" t="s">
        <v>63</v>
      </c>
      <c r="H2599">
        <v>2</v>
      </c>
      <c r="I2599">
        <v>265.469335</v>
      </c>
      <c r="J2599">
        <v>1112</v>
      </c>
      <c r="M2599">
        <v>4.1500000000000004</v>
      </c>
      <c r="O2599">
        <v>0.37</v>
      </c>
      <c r="R2599">
        <v>1.04</v>
      </c>
    </row>
    <row r="2600" spans="1:18" x14ac:dyDescent="0.2">
      <c r="A2600" t="s">
        <v>4567</v>
      </c>
      <c r="B2600" t="s">
        <v>4568</v>
      </c>
      <c r="C2600">
        <v>2014</v>
      </c>
      <c r="D2600">
        <v>1</v>
      </c>
      <c r="E2600" t="s">
        <v>55</v>
      </c>
      <c r="F2600" t="s">
        <v>128</v>
      </c>
      <c r="G2600" t="s">
        <v>63</v>
      </c>
      <c r="H2600">
        <v>2</v>
      </c>
      <c r="I2600">
        <v>2.2405080000000002</v>
      </c>
      <c r="J2600">
        <v>342</v>
      </c>
      <c r="M2600">
        <v>1.06</v>
      </c>
      <c r="O2600">
        <v>9.5000000000000001E-2</v>
      </c>
      <c r="R2600">
        <v>0.52</v>
      </c>
    </row>
    <row r="2601" spans="1:18" x14ac:dyDescent="0.2">
      <c r="A2601" t="s">
        <v>4567</v>
      </c>
      <c r="B2601" t="s">
        <v>4569</v>
      </c>
      <c r="C2601">
        <v>2014</v>
      </c>
      <c r="D2601">
        <v>1</v>
      </c>
      <c r="E2601" t="s">
        <v>55</v>
      </c>
      <c r="F2601" t="s">
        <v>128</v>
      </c>
      <c r="G2601" t="s">
        <v>63</v>
      </c>
      <c r="H2601">
        <v>2</v>
      </c>
      <c r="I2601">
        <v>6.8277659999999996</v>
      </c>
      <c r="J2601">
        <v>342</v>
      </c>
      <c r="M2601">
        <v>1.1599999999999999</v>
      </c>
      <c r="O2601">
        <v>0.10299999999999999</v>
      </c>
      <c r="R2601">
        <v>0.52</v>
      </c>
    </row>
    <row r="2602" spans="1:18" x14ac:dyDescent="0.2">
      <c r="A2602" t="s">
        <v>4570</v>
      </c>
      <c r="B2602" t="s">
        <v>4571</v>
      </c>
      <c r="C2602">
        <v>2014</v>
      </c>
      <c r="D2602">
        <v>1</v>
      </c>
      <c r="E2602" t="s">
        <v>55</v>
      </c>
      <c r="F2602" t="s">
        <v>128</v>
      </c>
      <c r="G2602" t="s">
        <v>63</v>
      </c>
      <c r="H2602">
        <v>2</v>
      </c>
      <c r="I2602">
        <v>5.5242420000000001</v>
      </c>
      <c r="J2602">
        <v>1220</v>
      </c>
      <c r="M2602">
        <v>2.09</v>
      </c>
      <c r="O2602">
        <v>0.186</v>
      </c>
      <c r="R2602">
        <v>0.94</v>
      </c>
    </row>
    <row r="2603" spans="1:18" x14ac:dyDescent="0.2">
      <c r="A2603" t="s">
        <v>4570</v>
      </c>
      <c r="B2603" t="s">
        <v>4572</v>
      </c>
      <c r="C2603">
        <v>2014</v>
      </c>
      <c r="D2603">
        <v>1</v>
      </c>
      <c r="E2603" t="s">
        <v>55</v>
      </c>
      <c r="F2603" t="s">
        <v>128</v>
      </c>
      <c r="G2603" t="s">
        <v>63</v>
      </c>
      <c r="H2603">
        <v>2</v>
      </c>
      <c r="I2603">
        <v>8.77501</v>
      </c>
      <c r="J2603">
        <v>1220</v>
      </c>
      <c r="M2603">
        <v>1.72</v>
      </c>
      <c r="O2603">
        <v>0.153</v>
      </c>
      <c r="R2603">
        <v>0.94</v>
      </c>
    </row>
    <row r="2604" spans="1:18" x14ac:dyDescent="0.2">
      <c r="A2604" t="s">
        <v>4573</v>
      </c>
      <c r="B2604" t="s">
        <v>4574</v>
      </c>
      <c r="C2604">
        <v>2014</v>
      </c>
      <c r="D2604">
        <v>1</v>
      </c>
      <c r="E2604" t="s">
        <v>55</v>
      </c>
      <c r="F2604" t="s">
        <v>128</v>
      </c>
      <c r="G2604" t="s">
        <v>63</v>
      </c>
      <c r="H2604">
        <v>2</v>
      </c>
      <c r="I2604">
        <v>4.6627150000000004</v>
      </c>
      <c r="J2604">
        <v>463</v>
      </c>
      <c r="M2604">
        <v>4.71</v>
      </c>
      <c r="O2604">
        <v>0.42</v>
      </c>
      <c r="R2604">
        <v>1.19</v>
      </c>
    </row>
    <row r="2605" spans="1:18" x14ac:dyDescent="0.2">
      <c r="A2605" t="s">
        <v>4573</v>
      </c>
      <c r="B2605" t="s">
        <v>4575</v>
      </c>
      <c r="C2605">
        <v>2014</v>
      </c>
      <c r="D2605">
        <v>1</v>
      </c>
      <c r="E2605" t="s">
        <v>55</v>
      </c>
      <c r="F2605" t="s">
        <v>128</v>
      </c>
      <c r="G2605" t="s">
        <v>63</v>
      </c>
      <c r="H2605">
        <v>2</v>
      </c>
      <c r="I2605">
        <v>11.815007</v>
      </c>
      <c r="J2605">
        <v>463</v>
      </c>
      <c r="M2605">
        <v>3.68</v>
      </c>
      <c r="O2605">
        <v>0.32800000000000001</v>
      </c>
      <c r="R2605">
        <v>1.19</v>
      </c>
    </row>
    <row r="2606" spans="1:18" x14ac:dyDescent="0.2">
      <c r="A2606" t="s">
        <v>4576</v>
      </c>
      <c r="B2606" t="s">
        <v>4577</v>
      </c>
      <c r="C2606">
        <v>2014</v>
      </c>
      <c r="D2606">
        <v>1</v>
      </c>
      <c r="E2606" t="s">
        <v>55</v>
      </c>
      <c r="F2606" t="s">
        <v>128</v>
      </c>
      <c r="G2606" t="s">
        <v>63</v>
      </c>
      <c r="H2606">
        <v>3</v>
      </c>
      <c r="I2606">
        <v>4.3627050000000001</v>
      </c>
      <c r="J2606">
        <v>549</v>
      </c>
      <c r="M2606">
        <v>1.63</v>
      </c>
      <c r="O2606">
        <v>0.14499999999999999</v>
      </c>
      <c r="R2606">
        <v>0.9</v>
      </c>
    </row>
    <row r="2607" spans="1:18" x14ac:dyDescent="0.2">
      <c r="A2607" t="s">
        <v>4576</v>
      </c>
      <c r="B2607" t="s">
        <v>4578</v>
      </c>
      <c r="C2607">
        <v>2014</v>
      </c>
      <c r="D2607">
        <v>1</v>
      </c>
      <c r="E2607" t="s">
        <v>55</v>
      </c>
      <c r="F2607" t="s">
        <v>128</v>
      </c>
      <c r="G2607" t="s">
        <v>63</v>
      </c>
      <c r="H2607">
        <v>3</v>
      </c>
      <c r="I2607">
        <v>6.941357</v>
      </c>
      <c r="J2607">
        <v>549</v>
      </c>
      <c r="M2607">
        <v>2.63</v>
      </c>
      <c r="O2607">
        <v>0.23499999999999999</v>
      </c>
      <c r="R2607">
        <v>0.9</v>
      </c>
    </row>
    <row r="2608" spans="1:18" x14ac:dyDescent="0.2">
      <c r="A2608" t="s">
        <v>4576</v>
      </c>
      <c r="B2608" t="s">
        <v>4579</v>
      </c>
      <c r="C2608">
        <v>2014</v>
      </c>
      <c r="D2608">
        <v>1</v>
      </c>
      <c r="E2608" t="s">
        <v>55</v>
      </c>
      <c r="F2608" t="s">
        <v>128</v>
      </c>
      <c r="G2608" t="s">
        <v>63</v>
      </c>
      <c r="H2608">
        <v>3</v>
      </c>
      <c r="I2608">
        <v>31.781925000000001</v>
      </c>
      <c r="J2608">
        <v>549</v>
      </c>
      <c r="M2608">
        <v>2.29</v>
      </c>
      <c r="O2608">
        <v>0.20399999999999999</v>
      </c>
      <c r="R2608">
        <v>0.9</v>
      </c>
    </row>
    <row r="2609" spans="1:18" x14ac:dyDescent="0.2">
      <c r="A2609" t="s">
        <v>4580</v>
      </c>
      <c r="B2609" t="s">
        <v>4581</v>
      </c>
      <c r="C2609">
        <v>2011</v>
      </c>
      <c r="D2609">
        <v>1</v>
      </c>
      <c r="E2609" t="s">
        <v>55</v>
      </c>
      <c r="F2609" t="s">
        <v>128</v>
      </c>
      <c r="G2609" t="s">
        <v>63</v>
      </c>
      <c r="H2609">
        <v>5</v>
      </c>
      <c r="I2609">
        <v>5.9012399999999996</v>
      </c>
      <c r="J2609">
        <v>303</v>
      </c>
      <c r="L2609">
        <v>1303</v>
      </c>
      <c r="M2609">
        <v>2.2000000000000002</v>
      </c>
      <c r="N2609">
        <v>4.0999999999999996</v>
      </c>
      <c r="O2609">
        <v>0.19600000000000001</v>
      </c>
      <c r="Q2609">
        <v>0.57999999999999996</v>
      </c>
      <c r="R2609">
        <v>0.53</v>
      </c>
    </row>
    <row r="2610" spans="1:18" x14ac:dyDescent="0.2">
      <c r="A2610" t="s">
        <v>4580</v>
      </c>
      <c r="B2610" t="s">
        <v>4582</v>
      </c>
      <c r="C2610">
        <v>2011</v>
      </c>
      <c r="D2610">
        <v>1</v>
      </c>
      <c r="E2610" t="s">
        <v>55</v>
      </c>
      <c r="F2610" t="s">
        <v>128</v>
      </c>
      <c r="G2610" t="s">
        <v>63</v>
      </c>
      <c r="H2610">
        <v>5</v>
      </c>
      <c r="I2610">
        <v>8.7522000000000002</v>
      </c>
      <c r="J2610">
        <v>303</v>
      </c>
      <c r="L2610">
        <v>158.9</v>
      </c>
      <c r="M2610">
        <v>2</v>
      </c>
      <c r="N2610">
        <v>0.5</v>
      </c>
      <c r="O2610">
        <v>0.17799999999999999</v>
      </c>
      <c r="Q2610">
        <v>0.57999999999999996</v>
      </c>
      <c r="R2610">
        <v>0.53</v>
      </c>
    </row>
    <row r="2611" spans="1:18" x14ac:dyDescent="0.2">
      <c r="A2611" t="s">
        <v>4580</v>
      </c>
      <c r="B2611" t="s">
        <v>4583</v>
      </c>
      <c r="C2611">
        <v>2012</v>
      </c>
      <c r="D2611">
        <v>1</v>
      </c>
      <c r="E2611" t="s">
        <v>55</v>
      </c>
      <c r="F2611" t="s">
        <v>128</v>
      </c>
      <c r="G2611" t="s">
        <v>63</v>
      </c>
      <c r="H2611">
        <v>5</v>
      </c>
      <c r="I2611">
        <v>22.780200000000001</v>
      </c>
      <c r="J2611">
        <v>303</v>
      </c>
      <c r="M2611">
        <v>2.7</v>
      </c>
      <c r="O2611">
        <v>0.24099999999999999</v>
      </c>
      <c r="Q2611">
        <v>0.57999999999999996</v>
      </c>
      <c r="R2611">
        <v>0.53</v>
      </c>
    </row>
    <row r="2612" spans="1:18" x14ac:dyDescent="0.2">
      <c r="A2612" t="s">
        <v>4580</v>
      </c>
      <c r="B2612" t="s">
        <v>4584</v>
      </c>
      <c r="C2612">
        <v>2012</v>
      </c>
      <c r="D2612">
        <v>1</v>
      </c>
      <c r="E2612" t="s">
        <v>55</v>
      </c>
      <c r="F2612" t="s">
        <v>128</v>
      </c>
      <c r="G2612" t="s">
        <v>63</v>
      </c>
      <c r="H2612">
        <v>5</v>
      </c>
      <c r="I2612">
        <v>2.8959999999999999</v>
      </c>
      <c r="J2612">
        <v>303</v>
      </c>
      <c r="M2612">
        <v>1.5</v>
      </c>
      <c r="O2612">
        <v>0.13400000000000001</v>
      </c>
      <c r="Q2612">
        <v>0.57999999999999996</v>
      </c>
      <c r="R2612">
        <v>0.53</v>
      </c>
    </row>
    <row r="2613" spans="1:18" x14ac:dyDescent="0.2">
      <c r="A2613" t="s">
        <v>4580</v>
      </c>
      <c r="B2613" t="s">
        <v>4585</v>
      </c>
      <c r="C2613">
        <v>2012</v>
      </c>
      <c r="D2613">
        <v>1</v>
      </c>
      <c r="E2613" t="s">
        <v>55</v>
      </c>
      <c r="F2613" t="s">
        <v>128</v>
      </c>
      <c r="G2613" t="s">
        <v>63</v>
      </c>
      <c r="H2613">
        <v>5</v>
      </c>
      <c r="I2613">
        <v>0.74295999999999995</v>
      </c>
      <c r="J2613">
        <v>303</v>
      </c>
      <c r="M2613">
        <v>0.82</v>
      </c>
      <c r="O2613">
        <v>7.2999999999999995E-2</v>
      </c>
      <c r="Q2613">
        <v>0.57999999999999996</v>
      </c>
      <c r="R2613">
        <v>0.53</v>
      </c>
    </row>
    <row r="2614" spans="1:18" x14ac:dyDescent="0.2">
      <c r="A2614" t="s">
        <v>4586</v>
      </c>
      <c r="B2614" t="s">
        <v>4587</v>
      </c>
      <c r="C2614">
        <v>2014</v>
      </c>
      <c r="D2614">
        <v>1</v>
      </c>
      <c r="E2614" t="s">
        <v>55</v>
      </c>
      <c r="F2614" t="s">
        <v>128</v>
      </c>
      <c r="G2614" t="s">
        <v>63</v>
      </c>
      <c r="H2614">
        <v>2</v>
      </c>
      <c r="I2614">
        <v>8.3715539999999997</v>
      </c>
      <c r="J2614">
        <v>1022</v>
      </c>
      <c r="M2614">
        <v>1.1399999999999999</v>
      </c>
      <c r="O2614">
        <v>0.10199999999999999</v>
      </c>
      <c r="R2614">
        <v>1.1100000000000001</v>
      </c>
    </row>
    <row r="2615" spans="1:18" x14ac:dyDescent="0.2">
      <c r="A2615" t="s">
        <v>4586</v>
      </c>
      <c r="B2615" t="s">
        <v>4588</v>
      </c>
      <c r="C2615">
        <v>2014</v>
      </c>
      <c r="D2615">
        <v>1</v>
      </c>
      <c r="E2615" t="s">
        <v>55</v>
      </c>
      <c r="F2615" t="s">
        <v>128</v>
      </c>
      <c r="G2615" t="s">
        <v>63</v>
      </c>
      <c r="H2615">
        <v>2</v>
      </c>
      <c r="I2615">
        <v>17.934937000000001</v>
      </c>
      <c r="J2615">
        <v>1022</v>
      </c>
      <c r="M2615">
        <v>1.37</v>
      </c>
      <c r="O2615">
        <v>0.122</v>
      </c>
      <c r="R2615">
        <v>1.1100000000000001</v>
      </c>
    </row>
    <row r="2616" spans="1:18" x14ac:dyDescent="0.2">
      <c r="A2616" t="s">
        <v>4589</v>
      </c>
      <c r="B2616" t="s">
        <v>4590</v>
      </c>
      <c r="C2616">
        <v>2014</v>
      </c>
      <c r="D2616">
        <v>1</v>
      </c>
      <c r="E2616" t="s">
        <v>55</v>
      </c>
      <c r="F2616" t="s">
        <v>128</v>
      </c>
      <c r="G2616" t="s">
        <v>63</v>
      </c>
      <c r="H2616">
        <v>2</v>
      </c>
      <c r="I2616">
        <v>4.9153789999999997</v>
      </c>
      <c r="J2616">
        <v>377</v>
      </c>
      <c r="M2616">
        <v>1.77</v>
      </c>
      <c r="O2616">
        <v>0.158</v>
      </c>
      <c r="R2616">
        <v>1.19</v>
      </c>
    </row>
    <row r="2617" spans="1:18" x14ac:dyDescent="0.2">
      <c r="A2617" t="s">
        <v>4589</v>
      </c>
      <c r="B2617" t="s">
        <v>4591</v>
      </c>
      <c r="C2617">
        <v>2014</v>
      </c>
      <c r="D2617">
        <v>1</v>
      </c>
      <c r="E2617" t="s">
        <v>55</v>
      </c>
      <c r="F2617" t="s">
        <v>128</v>
      </c>
      <c r="G2617" t="s">
        <v>63</v>
      </c>
      <c r="H2617">
        <v>2</v>
      </c>
      <c r="I2617">
        <v>13.093921</v>
      </c>
      <c r="J2617">
        <v>377</v>
      </c>
      <c r="M2617">
        <v>2.3199999999999998</v>
      </c>
      <c r="O2617">
        <v>0.20699999999999999</v>
      </c>
      <c r="R2617">
        <v>1.19</v>
      </c>
    </row>
    <row r="2618" spans="1:18" x14ac:dyDescent="0.2">
      <c r="A2618" t="s">
        <v>4592</v>
      </c>
      <c r="B2618" t="s">
        <v>4593</v>
      </c>
      <c r="C2618">
        <v>2014</v>
      </c>
      <c r="D2618">
        <v>1</v>
      </c>
      <c r="E2618" t="s">
        <v>55</v>
      </c>
      <c r="F2618" t="s">
        <v>128</v>
      </c>
      <c r="G2618" t="s">
        <v>63</v>
      </c>
      <c r="H2618">
        <v>2</v>
      </c>
      <c r="I2618">
        <v>1.653888</v>
      </c>
      <c r="J2618">
        <v>428</v>
      </c>
      <c r="M2618">
        <v>1.01</v>
      </c>
      <c r="O2618">
        <v>0.09</v>
      </c>
      <c r="R2618">
        <v>0.89</v>
      </c>
    </row>
    <row r="2619" spans="1:18" x14ac:dyDescent="0.2">
      <c r="A2619" t="s">
        <v>4592</v>
      </c>
      <c r="B2619" t="s">
        <v>4594</v>
      </c>
      <c r="C2619">
        <v>2014</v>
      </c>
      <c r="D2619">
        <v>1</v>
      </c>
      <c r="E2619" t="s">
        <v>55</v>
      </c>
      <c r="F2619" t="s">
        <v>128</v>
      </c>
      <c r="G2619" t="s">
        <v>63</v>
      </c>
      <c r="H2619">
        <v>2</v>
      </c>
      <c r="I2619">
        <v>4.3372339999999996</v>
      </c>
      <c r="J2619">
        <v>428</v>
      </c>
      <c r="M2619">
        <v>1.67</v>
      </c>
      <c r="O2619">
        <v>0.14899999999999999</v>
      </c>
      <c r="R2619">
        <v>0.89</v>
      </c>
    </row>
    <row r="2620" spans="1:18" x14ac:dyDescent="0.2">
      <c r="A2620" t="s">
        <v>4595</v>
      </c>
      <c r="B2620" t="s">
        <v>4596</v>
      </c>
      <c r="C2620">
        <v>2014</v>
      </c>
      <c r="D2620">
        <v>1</v>
      </c>
      <c r="E2620" t="s">
        <v>55</v>
      </c>
      <c r="F2620" t="s">
        <v>128</v>
      </c>
      <c r="G2620" t="s">
        <v>63</v>
      </c>
      <c r="H2620">
        <v>2</v>
      </c>
      <c r="I2620">
        <v>1.6783269999999999</v>
      </c>
      <c r="J2620">
        <v>473</v>
      </c>
      <c r="M2620">
        <v>1.43</v>
      </c>
      <c r="O2620">
        <v>0.128</v>
      </c>
      <c r="R2620">
        <v>1.18</v>
      </c>
    </row>
    <row r="2621" spans="1:18" x14ac:dyDescent="0.2">
      <c r="A2621" t="s">
        <v>4595</v>
      </c>
      <c r="B2621" t="s">
        <v>4597</v>
      </c>
      <c r="C2621">
        <v>2014</v>
      </c>
      <c r="D2621">
        <v>1</v>
      </c>
      <c r="E2621" t="s">
        <v>55</v>
      </c>
      <c r="F2621" t="s">
        <v>128</v>
      </c>
      <c r="G2621" t="s">
        <v>63</v>
      </c>
      <c r="H2621">
        <v>2</v>
      </c>
      <c r="I2621">
        <v>3.5538219999999998</v>
      </c>
      <c r="J2621">
        <v>473</v>
      </c>
      <c r="M2621">
        <v>1.63</v>
      </c>
      <c r="O2621">
        <v>0.14499999999999999</v>
      </c>
      <c r="R2621">
        <v>1.18</v>
      </c>
    </row>
    <row r="2622" spans="1:18" x14ac:dyDescent="0.2">
      <c r="A2622" t="s">
        <v>4598</v>
      </c>
      <c r="B2622" t="s">
        <v>4599</v>
      </c>
      <c r="C2622">
        <v>2014</v>
      </c>
      <c r="D2622">
        <v>1</v>
      </c>
      <c r="E2622" t="s">
        <v>55</v>
      </c>
      <c r="F2622" t="s">
        <v>128</v>
      </c>
      <c r="G2622" t="s">
        <v>63</v>
      </c>
      <c r="H2622">
        <v>2</v>
      </c>
      <c r="I2622">
        <v>4.3853150000000003</v>
      </c>
      <c r="J2622">
        <v>492</v>
      </c>
      <c r="M2622">
        <v>1.1399999999999999</v>
      </c>
      <c r="O2622">
        <v>0.10199999999999999</v>
      </c>
      <c r="R2622">
        <v>0.84</v>
      </c>
    </row>
    <row r="2623" spans="1:18" x14ac:dyDescent="0.2">
      <c r="A2623" t="s">
        <v>4598</v>
      </c>
      <c r="B2623" t="s">
        <v>4600</v>
      </c>
      <c r="C2623">
        <v>2014</v>
      </c>
      <c r="D2623">
        <v>1</v>
      </c>
      <c r="E2623" t="s">
        <v>55</v>
      </c>
      <c r="F2623" t="s">
        <v>128</v>
      </c>
      <c r="G2623" t="s">
        <v>63</v>
      </c>
      <c r="H2623">
        <v>2</v>
      </c>
      <c r="I2623">
        <v>51.805612000000004</v>
      </c>
      <c r="J2623">
        <v>492</v>
      </c>
      <c r="M2623">
        <v>3.15</v>
      </c>
      <c r="O2623">
        <v>0.28100000000000003</v>
      </c>
      <c r="R2623">
        <v>0.84</v>
      </c>
    </row>
    <row r="2624" spans="1:18" x14ac:dyDescent="0.2">
      <c r="A2624" t="s">
        <v>4601</v>
      </c>
      <c r="B2624" t="s">
        <v>4602</v>
      </c>
      <c r="C2624">
        <v>2014</v>
      </c>
      <c r="D2624">
        <v>1</v>
      </c>
      <c r="E2624" t="s">
        <v>55</v>
      </c>
      <c r="F2624" t="s">
        <v>128</v>
      </c>
      <c r="G2624" t="s">
        <v>63</v>
      </c>
      <c r="H2624">
        <v>3</v>
      </c>
      <c r="I2624">
        <v>4.5444389999999997</v>
      </c>
      <c r="J2624">
        <v>883</v>
      </c>
      <c r="M2624">
        <v>2.91</v>
      </c>
      <c r="O2624">
        <v>0.26</v>
      </c>
      <c r="R2624">
        <v>1</v>
      </c>
    </row>
    <row r="2625" spans="1:19" x14ac:dyDescent="0.2">
      <c r="A2625" t="s">
        <v>4601</v>
      </c>
      <c r="B2625" t="s">
        <v>4603</v>
      </c>
      <c r="C2625">
        <v>2014</v>
      </c>
      <c r="D2625">
        <v>1</v>
      </c>
      <c r="E2625" t="s">
        <v>55</v>
      </c>
      <c r="F2625" t="s">
        <v>128</v>
      </c>
      <c r="G2625" t="s">
        <v>63</v>
      </c>
      <c r="H2625">
        <v>3</v>
      </c>
      <c r="I2625">
        <v>12.762172</v>
      </c>
      <c r="J2625">
        <v>883</v>
      </c>
      <c r="M2625">
        <v>2.54</v>
      </c>
      <c r="O2625">
        <v>0.22700000000000001</v>
      </c>
      <c r="R2625">
        <v>1</v>
      </c>
    </row>
    <row r="2626" spans="1:19" x14ac:dyDescent="0.2">
      <c r="A2626" t="s">
        <v>4601</v>
      </c>
      <c r="B2626" t="s">
        <v>4604</v>
      </c>
      <c r="C2626">
        <v>2014</v>
      </c>
      <c r="D2626">
        <v>1</v>
      </c>
      <c r="E2626" t="s">
        <v>55</v>
      </c>
      <c r="F2626" t="s">
        <v>128</v>
      </c>
      <c r="G2626" t="s">
        <v>63</v>
      </c>
      <c r="H2626">
        <v>3</v>
      </c>
      <c r="I2626">
        <v>38.715184999999998</v>
      </c>
      <c r="J2626">
        <v>883</v>
      </c>
      <c r="M2626">
        <v>2.79</v>
      </c>
      <c r="O2626">
        <v>0.249</v>
      </c>
      <c r="R2626">
        <v>1</v>
      </c>
    </row>
    <row r="2627" spans="1:19" x14ac:dyDescent="0.2">
      <c r="A2627" t="s">
        <v>4605</v>
      </c>
      <c r="B2627" t="s">
        <v>4606</v>
      </c>
      <c r="C2627">
        <v>2014</v>
      </c>
      <c r="D2627">
        <v>1</v>
      </c>
      <c r="E2627" t="s">
        <v>55</v>
      </c>
      <c r="F2627" t="s">
        <v>128</v>
      </c>
      <c r="G2627" t="s">
        <v>63</v>
      </c>
      <c r="H2627">
        <v>3</v>
      </c>
      <c r="I2627">
        <v>2.248329</v>
      </c>
      <c r="J2627">
        <v>355</v>
      </c>
      <c r="M2627">
        <v>1.52</v>
      </c>
      <c r="O2627">
        <v>0.13600000000000001</v>
      </c>
      <c r="R2627">
        <v>0.8</v>
      </c>
    </row>
    <row r="2628" spans="1:19" x14ac:dyDescent="0.2">
      <c r="A2628" t="s">
        <v>4605</v>
      </c>
      <c r="B2628" t="s">
        <v>4607</v>
      </c>
      <c r="C2628">
        <v>2014</v>
      </c>
      <c r="D2628">
        <v>1</v>
      </c>
      <c r="E2628" t="s">
        <v>55</v>
      </c>
      <c r="F2628" t="s">
        <v>128</v>
      </c>
      <c r="G2628" t="s">
        <v>63</v>
      </c>
      <c r="H2628">
        <v>3</v>
      </c>
      <c r="I2628">
        <v>4.5803580000000004</v>
      </c>
      <c r="J2628">
        <v>355</v>
      </c>
      <c r="M2628">
        <v>1.4</v>
      </c>
      <c r="O2628">
        <v>0.125</v>
      </c>
      <c r="R2628">
        <v>0.8</v>
      </c>
    </row>
    <row r="2629" spans="1:19" x14ac:dyDescent="0.2">
      <c r="A2629" t="s">
        <v>4605</v>
      </c>
      <c r="B2629" t="s">
        <v>4608</v>
      </c>
      <c r="C2629">
        <v>2014</v>
      </c>
      <c r="D2629">
        <v>1</v>
      </c>
      <c r="E2629" t="s">
        <v>55</v>
      </c>
      <c r="F2629" t="s">
        <v>128</v>
      </c>
      <c r="G2629" t="s">
        <v>63</v>
      </c>
      <c r="H2629">
        <v>3</v>
      </c>
      <c r="I2629">
        <v>6.7668879999999998</v>
      </c>
      <c r="J2629">
        <v>355</v>
      </c>
      <c r="M2629">
        <v>1.21</v>
      </c>
      <c r="O2629">
        <v>0.108</v>
      </c>
      <c r="R2629">
        <v>0.8</v>
      </c>
    </row>
    <row r="2630" spans="1:19" x14ac:dyDescent="0.2">
      <c r="A2630" t="s">
        <v>4609</v>
      </c>
      <c r="B2630" t="s">
        <v>4610</v>
      </c>
      <c r="C2630">
        <v>2014</v>
      </c>
      <c r="D2630">
        <v>1</v>
      </c>
      <c r="E2630" t="s">
        <v>55</v>
      </c>
      <c r="F2630" t="s">
        <v>128</v>
      </c>
      <c r="G2630" t="s">
        <v>63</v>
      </c>
      <c r="H2630">
        <v>3</v>
      </c>
      <c r="I2630">
        <v>2.5495749999999999</v>
      </c>
      <c r="J2630">
        <v>217</v>
      </c>
      <c r="M2630">
        <v>1.1100000000000001</v>
      </c>
      <c r="O2630">
        <v>9.9000000000000005E-2</v>
      </c>
      <c r="R2630">
        <v>0.49</v>
      </c>
    </row>
    <row r="2631" spans="1:19" x14ac:dyDescent="0.2">
      <c r="A2631" t="s">
        <v>4609</v>
      </c>
      <c r="B2631" t="s">
        <v>4611</v>
      </c>
      <c r="C2631">
        <v>2014</v>
      </c>
      <c r="D2631">
        <v>1</v>
      </c>
      <c r="E2631" t="s">
        <v>55</v>
      </c>
      <c r="F2631" t="s">
        <v>128</v>
      </c>
      <c r="G2631" t="s">
        <v>63</v>
      </c>
      <c r="H2631">
        <v>3</v>
      </c>
      <c r="I2631">
        <v>5.2123330000000001</v>
      </c>
      <c r="J2631">
        <v>217</v>
      </c>
      <c r="M2631">
        <v>1.03</v>
      </c>
      <c r="O2631">
        <v>9.1999999999999998E-2</v>
      </c>
      <c r="R2631">
        <v>0.49</v>
      </c>
    </row>
    <row r="2632" spans="1:19" x14ac:dyDescent="0.2">
      <c r="A2632" t="s">
        <v>4609</v>
      </c>
      <c r="B2632" t="s">
        <v>4612</v>
      </c>
      <c r="C2632">
        <v>2014</v>
      </c>
      <c r="D2632">
        <v>1</v>
      </c>
      <c r="E2632" t="s">
        <v>55</v>
      </c>
      <c r="F2632" t="s">
        <v>128</v>
      </c>
      <c r="G2632" t="s">
        <v>63</v>
      </c>
      <c r="H2632">
        <v>3</v>
      </c>
      <c r="I2632">
        <v>13.969457</v>
      </c>
      <c r="J2632">
        <v>217</v>
      </c>
      <c r="M2632">
        <v>1.73</v>
      </c>
      <c r="O2632">
        <v>0.154</v>
      </c>
      <c r="R2632">
        <v>0.49</v>
      </c>
    </row>
    <row r="2633" spans="1:19" x14ac:dyDescent="0.2">
      <c r="A2633" t="s">
        <v>4613</v>
      </c>
      <c r="B2633" t="s">
        <v>4614</v>
      </c>
      <c r="C2633">
        <v>2013</v>
      </c>
      <c r="D2633">
        <v>1</v>
      </c>
      <c r="E2633" t="s">
        <v>55</v>
      </c>
      <c r="F2633" t="s">
        <v>128</v>
      </c>
      <c r="G2633" t="s">
        <v>63</v>
      </c>
      <c r="H2633">
        <v>2</v>
      </c>
      <c r="I2633">
        <v>34.920999999999999</v>
      </c>
      <c r="J2633">
        <v>2078</v>
      </c>
      <c r="L2633">
        <v>28.5</v>
      </c>
      <c r="M2633">
        <v>2.2999999999999998</v>
      </c>
      <c r="N2633">
        <v>0.09</v>
      </c>
      <c r="O2633">
        <v>0.20499999999999999</v>
      </c>
      <c r="Q2633">
        <v>1.1000000000000001</v>
      </c>
      <c r="R2633">
        <v>1</v>
      </c>
    </row>
    <row r="2634" spans="1:19" x14ac:dyDescent="0.2">
      <c r="A2634" t="s">
        <v>4613</v>
      </c>
      <c r="B2634" t="s">
        <v>4615</v>
      </c>
      <c r="C2634">
        <v>2013</v>
      </c>
      <c r="D2634">
        <v>1</v>
      </c>
      <c r="E2634" t="s">
        <v>55</v>
      </c>
      <c r="F2634" t="s">
        <v>128</v>
      </c>
      <c r="G2634" t="s">
        <v>63</v>
      </c>
      <c r="H2634">
        <v>2</v>
      </c>
      <c r="I2634">
        <v>71.311999999999998</v>
      </c>
      <c r="J2634">
        <v>2078</v>
      </c>
      <c r="L2634">
        <v>39.4</v>
      </c>
      <c r="M2634">
        <v>5.4</v>
      </c>
      <c r="N2634">
        <v>0.124</v>
      </c>
      <c r="O2634">
        <v>0.48199999999999998</v>
      </c>
      <c r="Q2634">
        <v>1.1000000000000001</v>
      </c>
      <c r="R2634">
        <v>1</v>
      </c>
    </row>
    <row r="2635" spans="1:19" x14ac:dyDescent="0.2">
      <c r="A2635" t="s">
        <v>4616</v>
      </c>
      <c r="B2635" t="s">
        <v>4617</v>
      </c>
      <c r="C2635">
        <v>2014</v>
      </c>
      <c r="D2635">
        <v>1</v>
      </c>
      <c r="E2635" t="s">
        <v>55</v>
      </c>
      <c r="F2635" t="s">
        <v>128</v>
      </c>
      <c r="G2635" t="s">
        <v>63</v>
      </c>
      <c r="H2635">
        <v>2</v>
      </c>
      <c r="I2635">
        <v>7.4163969999999999</v>
      </c>
      <c r="J2635">
        <v>338</v>
      </c>
      <c r="M2635">
        <v>1.4</v>
      </c>
      <c r="O2635">
        <v>0.125</v>
      </c>
      <c r="R2635">
        <v>0.52</v>
      </c>
    </row>
    <row r="2636" spans="1:19" x14ac:dyDescent="0.2">
      <c r="A2636" t="s">
        <v>4616</v>
      </c>
      <c r="B2636" t="s">
        <v>4618</v>
      </c>
      <c r="C2636">
        <v>2014</v>
      </c>
      <c r="D2636">
        <v>1</v>
      </c>
      <c r="E2636" t="s">
        <v>55</v>
      </c>
      <c r="F2636" t="s">
        <v>128</v>
      </c>
      <c r="G2636" t="s">
        <v>63</v>
      </c>
      <c r="H2636">
        <v>2</v>
      </c>
      <c r="I2636">
        <v>18.684736999999998</v>
      </c>
      <c r="J2636">
        <v>338</v>
      </c>
      <c r="M2636">
        <v>1.93</v>
      </c>
      <c r="O2636">
        <v>0.17199999999999999</v>
      </c>
      <c r="R2636">
        <v>0.52</v>
      </c>
    </row>
    <row r="2637" spans="1:19" x14ac:dyDescent="0.2">
      <c r="A2637" t="s">
        <v>4619</v>
      </c>
      <c r="B2637" t="s">
        <v>4620</v>
      </c>
      <c r="C2637">
        <v>2011</v>
      </c>
      <c r="D2637">
        <v>1</v>
      </c>
      <c r="E2637" t="s">
        <v>55</v>
      </c>
      <c r="F2637" t="s">
        <v>128</v>
      </c>
      <c r="G2637" t="s">
        <v>63</v>
      </c>
      <c r="H2637">
        <v>5</v>
      </c>
      <c r="I2637">
        <v>5.6679300000000001</v>
      </c>
      <c r="J2637">
        <v>1113</v>
      </c>
      <c r="K2637">
        <v>4.2699999999999996</v>
      </c>
      <c r="M2637">
        <v>1.74</v>
      </c>
      <c r="O2637">
        <v>0.155</v>
      </c>
      <c r="Q2637">
        <v>1.29</v>
      </c>
      <c r="R2637">
        <v>1.82</v>
      </c>
      <c r="S2637">
        <v>0.3</v>
      </c>
    </row>
    <row r="2638" spans="1:19" x14ac:dyDescent="0.2">
      <c r="A2638" t="s">
        <v>4619</v>
      </c>
      <c r="B2638" t="s">
        <v>4621</v>
      </c>
      <c r="C2638">
        <v>2011</v>
      </c>
      <c r="D2638">
        <v>1</v>
      </c>
      <c r="E2638" t="s">
        <v>55</v>
      </c>
      <c r="F2638" t="s">
        <v>128</v>
      </c>
      <c r="G2638" t="s">
        <v>63</v>
      </c>
      <c r="H2638">
        <v>5</v>
      </c>
      <c r="I2638">
        <v>13.17562</v>
      </c>
      <c r="J2638">
        <v>1113</v>
      </c>
      <c r="K2638">
        <v>4.2699999999999996</v>
      </c>
      <c r="M2638">
        <v>3.2</v>
      </c>
      <c r="O2638">
        <v>0.28499999999999998</v>
      </c>
      <c r="Q2638">
        <v>1.29</v>
      </c>
      <c r="R2638">
        <v>1.82</v>
      </c>
      <c r="S2638">
        <v>0.3</v>
      </c>
    </row>
    <row r="2639" spans="1:19" x14ac:dyDescent="0.2">
      <c r="A2639" t="s">
        <v>4619</v>
      </c>
      <c r="B2639" t="s">
        <v>4622</v>
      </c>
      <c r="C2639">
        <v>2011</v>
      </c>
      <c r="D2639">
        <v>1</v>
      </c>
      <c r="E2639" t="s">
        <v>55</v>
      </c>
      <c r="F2639" t="s">
        <v>128</v>
      </c>
      <c r="G2639" t="s">
        <v>63</v>
      </c>
      <c r="H2639">
        <v>5</v>
      </c>
      <c r="I2639">
        <v>21.775960000000001</v>
      </c>
      <c r="J2639">
        <v>1113</v>
      </c>
      <c r="K2639">
        <v>4.2699999999999996</v>
      </c>
      <c r="M2639">
        <v>5.35</v>
      </c>
      <c r="O2639">
        <v>0.47699999999999998</v>
      </c>
      <c r="Q2639">
        <v>1.29</v>
      </c>
      <c r="R2639">
        <v>1.82</v>
      </c>
      <c r="S2639">
        <v>0.3</v>
      </c>
    </row>
    <row r="2640" spans="1:19" x14ac:dyDescent="0.2">
      <c r="A2640" t="s">
        <v>4619</v>
      </c>
      <c r="B2640" t="s">
        <v>4623</v>
      </c>
      <c r="C2640">
        <v>2011</v>
      </c>
      <c r="D2640">
        <v>1</v>
      </c>
      <c r="E2640" t="s">
        <v>55</v>
      </c>
      <c r="F2640" t="s">
        <v>128</v>
      </c>
      <c r="G2640" t="s">
        <v>63</v>
      </c>
      <c r="H2640">
        <v>5</v>
      </c>
      <c r="I2640">
        <v>31.784400000000002</v>
      </c>
      <c r="J2640">
        <v>1113</v>
      </c>
      <c r="K2640">
        <v>4.2699999999999996</v>
      </c>
      <c r="M2640">
        <v>4.0199999999999996</v>
      </c>
      <c r="O2640">
        <v>0.35899999999999999</v>
      </c>
      <c r="Q2640">
        <v>1.29</v>
      </c>
      <c r="R2640">
        <v>1.82</v>
      </c>
      <c r="S2640">
        <v>0.3</v>
      </c>
    </row>
    <row r="2641" spans="1:19" x14ac:dyDescent="0.2">
      <c r="A2641" t="s">
        <v>4619</v>
      </c>
      <c r="B2641" t="s">
        <v>4624</v>
      </c>
      <c r="C2641">
        <v>2011</v>
      </c>
      <c r="D2641">
        <v>1</v>
      </c>
      <c r="E2641" t="s">
        <v>55</v>
      </c>
      <c r="F2641" t="s">
        <v>128</v>
      </c>
      <c r="G2641" t="s">
        <v>63</v>
      </c>
      <c r="H2641">
        <v>5</v>
      </c>
      <c r="I2641">
        <v>41.029020000000003</v>
      </c>
      <c r="J2641">
        <v>1113</v>
      </c>
      <c r="K2641">
        <v>4.2699999999999996</v>
      </c>
      <c r="M2641">
        <v>4.46</v>
      </c>
      <c r="O2641">
        <v>0.39800000000000002</v>
      </c>
      <c r="Q2641">
        <v>1.29</v>
      </c>
      <c r="R2641">
        <v>1.82</v>
      </c>
      <c r="S2641">
        <v>0.3</v>
      </c>
    </row>
    <row r="2642" spans="1:19" x14ac:dyDescent="0.2">
      <c r="A2642" t="s">
        <v>4625</v>
      </c>
      <c r="B2642" t="s">
        <v>4626</v>
      </c>
      <c r="C2642">
        <v>2014</v>
      </c>
      <c r="D2642">
        <v>1</v>
      </c>
      <c r="E2642" t="s">
        <v>55</v>
      </c>
      <c r="F2642" t="s">
        <v>128</v>
      </c>
      <c r="G2642" t="s">
        <v>63</v>
      </c>
      <c r="H2642">
        <v>2</v>
      </c>
      <c r="I2642">
        <v>8.2597799999999992</v>
      </c>
      <c r="J2642">
        <v>686</v>
      </c>
      <c r="M2642">
        <v>1.35</v>
      </c>
      <c r="O2642">
        <v>0.12</v>
      </c>
      <c r="R2642">
        <v>0.72</v>
      </c>
    </row>
    <row r="2643" spans="1:19" x14ac:dyDescent="0.2">
      <c r="A2643" t="s">
        <v>4625</v>
      </c>
      <c r="B2643" t="s">
        <v>4627</v>
      </c>
      <c r="C2643">
        <v>2014</v>
      </c>
      <c r="D2643">
        <v>1</v>
      </c>
      <c r="E2643" t="s">
        <v>55</v>
      </c>
      <c r="F2643" t="s">
        <v>128</v>
      </c>
      <c r="G2643" t="s">
        <v>63</v>
      </c>
      <c r="H2643">
        <v>2</v>
      </c>
      <c r="I2643">
        <v>15.955387</v>
      </c>
      <c r="J2643">
        <v>686</v>
      </c>
      <c r="M2643">
        <v>1.95</v>
      </c>
      <c r="O2643">
        <v>0.17399999999999999</v>
      </c>
      <c r="R2643">
        <v>0.72</v>
      </c>
    </row>
    <row r="2644" spans="1:19" x14ac:dyDescent="0.2">
      <c r="A2644" t="s">
        <v>4628</v>
      </c>
      <c r="B2644" t="s">
        <v>4629</v>
      </c>
      <c r="C2644">
        <v>2014</v>
      </c>
      <c r="D2644">
        <v>1</v>
      </c>
      <c r="E2644" t="s">
        <v>55</v>
      </c>
      <c r="F2644" t="s">
        <v>128</v>
      </c>
      <c r="G2644" t="s">
        <v>63</v>
      </c>
      <c r="H2644">
        <v>3</v>
      </c>
      <c r="I2644">
        <v>8.4574960000000008</v>
      </c>
      <c r="J2644">
        <v>626</v>
      </c>
      <c r="M2644">
        <v>1.82</v>
      </c>
      <c r="O2644">
        <v>0.16200000000000001</v>
      </c>
      <c r="R2644">
        <v>0.49</v>
      </c>
    </row>
    <row r="2645" spans="1:19" x14ac:dyDescent="0.2">
      <c r="A2645" t="s">
        <v>4628</v>
      </c>
      <c r="B2645" t="s">
        <v>4630</v>
      </c>
      <c r="C2645">
        <v>2014</v>
      </c>
      <c r="D2645">
        <v>1</v>
      </c>
      <c r="E2645" t="s">
        <v>55</v>
      </c>
      <c r="F2645" t="s">
        <v>128</v>
      </c>
      <c r="G2645" t="s">
        <v>63</v>
      </c>
      <c r="H2645">
        <v>3</v>
      </c>
      <c r="I2645">
        <v>17.281110000000002</v>
      </c>
      <c r="J2645">
        <v>626</v>
      </c>
      <c r="M2645">
        <v>1.84</v>
      </c>
      <c r="O2645">
        <v>0.16400000000000001</v>
      </c>
      <c r="R2645">
        <v>0.49</v>
      </c>
    </row>
    <row r="2646" spans="1:19" x14ac:dyDescent="0.2">
      <c r="A2646" t="s">
        <v>4628</v>
      </c>
      <c r="B2646" t="s">
        <v>4631</v>
      </c>
      <c r="C2646">
        <v>2014</v>
      </c>
      <c r="D2646">
        <v>1</v>
      </c>
      <c r="E2646" t="s">
        <v>55</v>
      </c>
      <c r="F2646" t="s">
        <v>128</v>
      </c>
      <c r="G2646" t="s">
        <v>63</v>
      </c>
      <c r="H2646">
        <v>3</v>
      </c>
      <c r="I2646">
        <v>32.134327999999996</v>
      </c>
      <c r="J2646">
        <v>626</v>
      </c>
      <c r="M2646">
        <v>1.64</v>
      </c>
      <c r="O2646">
        <v>0.14599999999999999</v>
      </c>
      <c r="R2646">
        <v>0.49</v>
      </c>
    </row>
    <row r="2647" spans="1:19" x14ac:dyDescent="0.2">
      <c r="A2647" t="s">
        <v>4632</v>
      </c>
      <c r="B2647" t="s">
        <v>4633</v>
      </c>
      <c r="C2647">
        <v>2014</v>
      </c>
      <c r="D2647">
        <v>1</v>
      </c>
      <c r="E2647" t="s">
        <v>55</v>
      </c>
      <c r="F2647" t="s">
        <v>128</v>
      </c>
      <c r="G2647" t="s">
        <v>63</v>
      </c>
      <c r="H2647">
        <v>3</v>
      </c>
      <c r="I2647">
        <v>7.6263240000000003</v>
      </c>
      <c r="J2647">
        <v>372</v>
      </c>
      <c r="M2647">
        <v>1.17</v>
      </c>
      <c r="O2647">
        <v>0.104</v>
      </c>
      <c r="R2647">
        <v>0.72</v>
      </c>
    </row>
    <row r="2648" spans="1:19" x14ac:dyDescent="0.2">
      <c r="A2648" t="s">
        <v>4632</v>
      </c>
      <c r="B2648" t="s">
        <v>4634</v>
      </c>
      <c r="C2648">
        <v>2014</v>
      </c>
      <c r="D2648">
        <v>1</v>
      </c>
      <c r="E2648" t="s">
        <v>55</v>
      </c>
      <c r="F2648" t="s">
        <v>128</v>
      </c>
      <c r="G2648" t="s">
        <v>63</v>
      </c>
      <c r="H2648">
        <v>3</v>
      </c>
      <c r="I2648">
        <v>15.995621999999999</v>
      </c>
      <c r="J2648">
        <v>372</v>
      </c>
      <c r="M2648">
        <v>1.0900000000000001</v>
      </c>
      <c r="O2648">
        <v>9.7000000000000003E-2</v>
      </c>
      <c r="R2648">
        <v>0.72</v>
      </c>
    </row>
    <row r="2649" spans="1:19" x14ac:dyDescent="0.2">
      <c r="A2649" t="s">
        <v>4632</v>
      </c>
      <c r="B2649" t="s">
        <v>4635</v>
      </c>
      <c r="C2649">
        <v>2014</v>
      </c>
      <c r="D2649">
        <v>1</v>
      </c>
      <c r="E2649" t="s">
        <v>55</v>
      </c>
      <c r="F2649" t="s">
        <v>128</v>
      </c>
      <c r="G2649" t="s">
        <v>63</v>
      </c>
      <c r="H2649">
        <v>3</v>
      </c>
      <c r="I2649">
        <v>34.211539999999999</v>
      </c>
      <c r="J2649">
        <v>372</v>
      </c>
      <c r="M2649">
        <v>1.18</v>
      </c>
      <c r="O2649">
        <v>0.105</v>
      </c>
      <c r="R2649">
        <v>0.72</v>
      </c>
    </row>
    <row r="2650" spans="1:19" x14ac:dyDescent="0.2">
      <c r="A2650" t="s">
        <v>4636</v>
      </c>
      <c r="B2650" t="s">
        <v>4637</v>
      </c>
      <c r="C2650">
        <v>2014</v>
      </c>
      <c r="D2650">
        <v>1</v>
      </c>
      <c r="E2650" t="s">
        <v>55</v>
      </c>
      <c r="F2650" t="s">
        <v>128</v>
      </c>
      <c r="G2650" t="s">
        <v>63</v>
      </c>
      <c r="H2650">
        <v>2</v>
      </c>
      <c r="I2650">
        <v>12.551157999999999</v>
      </c>
      <c r="J2650">
        <v>300</v>
      </c>
      <c r="M2650">
        <v>1.32</v>
      </c>
      <c r="O2650">
        <v>0.11799999999999999</v>
      </c>
      <c r="R2650">
        <v>0.53</v>
      </c>
    </row>
    <row r="2651" spans="1:19" x14ac:dyDescent="0.2">
      <c r="A2651" t="s">
        <v>4636</v>
      </c>
      <c r="B2651" t="s">
        <v>4638</v>
      </c>
      <c r="C2651">
        <v>2014</v>
      </c>
      <c r="D2651">
        <v>1</v>
      </c>
      <c r="E2651" t="s">
        <v>55</v>
      </c>
      <c r="F2651" t="s">
        <v>128</v>
      </c>
      <c r="G2651" t="s">
        <v>63</v>
      </c>
      <c r="H2651">
        <v>2</v>
      </c>
      <c r="I2651">
        <v>24.08821</v>
      </c>
      <c r="J2651">
        <v>300</v>
      </c>
      <c r="M2651">
        <v>1.1100000000000001</v>
      </c>
      <c r="O2651">
        <v>9.9000000000000005E-2</v>
      </c>
      <c r="R2651">
        <v>0.53</v>
      </c>
    </row>
    <row r="2652" spans="1:19" x14ac:dyDescent="0.2">
      <c r="A2652" t="s">
        <v>4639</v>
      </c>
      <c r="B2652" t="s">
        <v>4640</v>
      </c>
      <c r="C2652">
        <v>2014</v>
      </c>
      <c r="D2652">
        <v>1</v>
      </c>
      <c r="E2652" t="s">
        <v>55</v>
      </c>
      <c r="F2652" t="s">
        <v>128</v>
      </c>
      <c r="G2652" t="s">
        <v>63</v>
      </c>
      <c r="H2652">
        <v>3</v>
      </c>
      <c r="I2652">
        <v>5.4703189999999999</v>
      </c>
      <c r="J2652">
        <v>473</v>
      </c>
      <c r="M2652">
        <v>1.1200000000000001</v>
      </c>
      <c r="O2652">
        <v>0.1</v>
      </c>
      <c r="R2652">
        <v>1.07</v>
      </c>
    </row>
    <row r="2653" spans="1:19" x14ac:dyDescent="0.2">
      <c r="A2653" t="s">
        <v>4639</v>
      </c>
      <c r="B2653" t="s">
        <v>4641</v>
      </c>
      <c r="C2653">
        <v>2014</v>
      </c>
      <c r="D2653">
        <v>1</v>
      </c>
      <c r="E2653" t="s">
        <v>55</v>
      </c>
      <c r="F2653" t="s">
        <v>128</v>
      </c>
      <c r="G2653" t="s">
        <v>63</v>
      </c>
      <c r="H2653">
        <v>3</v>
      </c>
      <c r="I2653">
        <v>12.758005000000001</v>
      </c>
      <c r="J2653">
        <v>473</v>
      </c>
      <c r="M2653">
        <v>1.43</v>
      </c>
      <c r="O2653">
        <v>0.128</v>
      </c>
      <c r="R2653">
        <v>1.07</v>
      </c>
    </row>
    <row r="2654" spans="1:19" x14ac:dyDescent="0.2">
      <c r="A2654" t="s">
        <v>4639</v>
      </c>
      <c r="B2654" t="s">
        <v>4642</v>
      </c>
      <c r="C2654">
        <v>2014</v>
      </c>
      <c r="D2654">
        <v>1</v>
      </c>
      <c r="E2654" t="s">
        <v>55</v>
      </c>
      <c r="F2654" t="s">
        <v>128</v>
      </c>
      <c r="G2654" t="s">
        <v>63</v>
      </c>
      <c r="H2654">
        <v>3</v>
      </c>
      <c r="I2654">
        <v>25.098490000000002</v>
      </c>
      <c r="J2654">
        <v>473</v>
      </c>
      <c r="M2654">
        <v>1.41</v>
      </c>
      <c r="O2654">
        <v>0.126</v>
      </c>
      <c r="R2654">
        <v>1.07</v>
      </c>
    </row>
    <row r="2655" spans="1:19" x14ac:dyDescent="0.2">
      <c r="A2655" t="s">
        <v>4643</v>
      </c>
      <c r="B2655" t="s">
        <v>4644</v>
      </c>
      <c r="C2655">
        <v>2014</v>
      </c>
      <c r="D2655">
        <v>1</v>
      </c>
      <c r="E2655" t="s">
        <v>55</v>
      </c>
      <c r="F2655" t="s">
        <v>128</v>
      </c>
      <c r="G2655" t="s">
        <v>63</v>
      </c>
      <c r="H2655">
        <v>2</v>
      </c>
      <c r="I2655">
        <v>6.5623310000000004</v>
      </c>
      <c r="J2655">
        <v>1174</v>
      </c>
      <c r="M2655">
        <v>3.39</v>
      </c>
      <c r="O2655">
        <v>0.30199999999999999</v>
      </c>
      <c r="R2655">
        <v>1.85</v>
      </c>
    </row>
    <row r="2656" spans="1:19" x14ac:dyDescent="0.2">
      <c r="A2656" t="s">
        <v>4643</v>
      </c>
      <c r="B2656" t="s">
        <v>4645</v>
      </c>
      <c r="C2656">
        <v>2014</v>
      </c>
      <c r="D2656">
        <v>1</v>
      </c>
      <c r="E2656" t="s">
        <v>55</v>
      </c>
      <c r="F2656" t="s">
        <v>128</v>
      </c>
      <c r="G2656" t="s">
        <v>63</v>
      </c>
      <c r="H2656">
        <v>2</v>
      </c>
      <c r="I2656">
        <v>67.844469000000004</v>
      </c>
      <c r="J2656">
        <v>1174</v>
      </c>
      <c r="M2656">
        <v>3.07</v>
      </c>
      <c r="O2656">
        <v>0.27400000000000002</v>
      </c>
      <c r="R2656">
        <v>1.85</v>
      </c>
    </row>
    <row r="2657" spans="1:18" x14ac:dyDescent="0.2">
      <c r="A2657" t="s">
        <v>4646</v>
      </c>
      <c r="B2657" t="s">
        <v>4647</v>
      </c>
      <c r="C2657">
        <v>2014</v>
      </c>
      <c r="D2657">
        <v>1</v>
      </c>
      <c r="E2657" t="s">
        <v>55</v>
      </c>
      <c r="F2657" t="s">
        <v>128</v>
      </c>
      <c r="G2657" t="s">
        <v>63</v>
      </c>
      <c r="H2657">
        <v>3</v>
      </c>
      <c r="I2657">
        <v>2.024823</v>
      </c>
      <c r="J2657">
        <v>721</v>
      </c>
      <c r="M2657">
        <v>1.02</v>
      </c>
      <c r="O2657">
        <v>9.0999999999999998E-2</v>
      </c>
      <c r="R2657">
        <v>1.3</v>
      </c>
    </row>
    <row r="2658" spans="1:18" x14ac:dyDescent="0.2">
      <c r="A2658" t="s">
        <v>4646</v>
      </c>
      <c r="B2658" t="s">
        <v>4648</v>
      </c>
      <c r="C2658">
        <v>2014</v>
      </c>
      <c r="D2658">
        <v>1</v>
      </c>
      <c r="E2658" t="s">
        <v>55</v>
      </c>
      <c r="F2658" t="s">
        <v>128</v>
      </c>
      <c r="G2658" t="s">
        <v>63</v>
      </c>
      <c r="H2658">
        <v>3</v>
      </c>
      <c r="I2658">
        <v>9.6000010000000007</v>
      </c>
      <c r="J2658">
        <v>721</v>
      </c>
      <c r="M2658">
        <v>2.1</v>
      </c>
      <c r="O2658">
        <v>0.187</v>
      </c>
      <c r="R2658">
        <v>1.3</v>
      </c>
    </row>
    <row r="2659" spans="1:18" x14ac:dyDescent="0.2">
      <c r="A2659" t="s">
        <v>4646</v>
      </c>
      <c r="B2659" t="s">
        <v>4649</v>
      </c>
      <c r="C2659">
        <v>2014</v>
      </c>
      <c r="D2659">
        <v>1</v>
      </c>
      <c r="E2659" t="s">
        <v>55</v>
      </c>
      <c r="F2659" t="s">
        <v>128</v>
      </c>
      <c r="G2659" t="s">
        <v>63</v>
      </c>
      <c r="H2659">
        <v>3</v>
      </c>
      <c r="I2659">
        <v>20.678771999999999</v>
      </c>
      <c r="J2659">
        <v>721</v>
      </c>
      <c r="M2659">
        <v>2.37</v>
      </c>
      <c r="O2659">
        <v>0.21099999999999999</v>
      </c>
      <c r="R2659">
        <v>1.3</v>
      </c>
    </row>
    <row r="2660" spans="1:18" x14ac:dyDescent="0.2">
      <c r="A2660" t="s">
        <v>4650</v>
      </c>
      <c r="B2660" t="s">
        <v>4651</v>
      </c>
      <c r="C2660">
        <v>2014</v>
      </c>
      <c r="D2660">
        <v>1</v>
      </c>
      <c r="E2660" t="s">
        <v>55</v>
      </c>
      <c r="F2660" t="s">
        <v>128</v>
      </c>
      <c r="G2660" t="s">
        <v>63</v>
      </c>
      <c r="H2660">
        <v>2</v>
      </c>
      <c r="I2660">
        <v>3.2927810000000002</v>
      </c>
      <c r="J2660">
        <v>518</v>
      </c>
      <c r="M2660">
        <v>1.54</v>
      </c>
      <c r="O2660">
        <v>0.13700000000000001</v>
      </c>
      <c r="R2660">
        <v>1.76</v>
      </c>
    </row>
    <row r="2661" spans="1:18" x14ac:dyDescent="0.2">
      <c r="A2661" t="s">
        <v>4650</v>
      </c>
      <c r="B2661" t="s">
        <v>4652</v>
      </c>
      <c r="C2661">
        <v>2014</v>
      </c>
      <c r="D2661">
        <v>1</v>
      </c>
      <c r="E2661" t="s">
        <v>55</v>
      </c>
      <c r="F2661" t="s">
        <v>128</v>
      </c>
      <c r="G2661" t="s">
        <v>63</v>
      </c>
      <c r="H2661">
        <v>2</v>
      </c>
      <c r="I2661">
        <v>9.6932010000000002</v>
      </c>
      <c r="J2661">
        <v>518</v>
      </c>
      <c r="M2661">
        <v>2.0499999999999998</v>
      </c>
      <c r="O2661">
        <v>0.183</v>
      </c>
      <c r="R2661">
        <v>1.76</v>
      </c>
    </row>
    <row r="2662" spans="1:18" x14ac:dyDescent="0.2">
      <c r="A2662" t="s">
        <v>4653</v>
      </c>
      <c r="B2662" t="s">
        <v>4654</v>
      </c>
      <c r="C2662">
        <v>2014</v>
      </c>
      <c r="D2662">
        <v>1</v>
      </c>
      <c r="E2662" t="s">
        <v>55</v>
      </c>
      <c r="F2662" t="s">
        <v>128</v>
      </c>
      <c r="G2662" t="s">
        <v>63</v>
      </c>
      <c r="H2662">
        <v>4</v>
      </c>
      <c r="I2662">
        <v>13.726976000000001</v>
      </c>
      <c r="J2662">
        <v>568</v>
      </c>
      <c r="M2662">
        <v>2.44</v>
      </c>
      <c r="O2662">
        <v>0.218</v>
      </c>
      <c r="R2662">
        <v>1.74</v>
      </c>
    </row>
    <row r="2663" spans="1:18" x14ac:dyDescent="0.2">
      <c r="A2663" t="s">
        <v>4653</v>
      </c>
      <c r="B2663" t="s">
        <v>4655</v>
      </c>
      <c r="C2663">
        <v>2014</v>
      </c>
      <c r="D2663">
        <v>1</v>
      </c>
      <c r="E2663" t="s">
        <v>55</v>
      </c>
      <c r="F2663" t="s">
        <v>128</v>
      </c>
      <c r="G2663" t="s">
        <v>63</v>
      </c>
      <c r="H2663">
        <v>4</v>
      </c>
      <c r="I2663">
        <v>24.310856000000001</v>
      </c>
      <c r="J2663">
        <v>568</v>
      </c>
      <c r="M2663">
        <v>2.34</v>
      </c>
      <c r="O2663">
        <v>0.20899999999999999</v>
      </c>
      <c r="R2663">
        <v>1.74</v>
      </c>
    </row>
    <row r="2664" spans="1:18" x14ac:dyDescent="0.2">
      <c r="A2664" t="s">
        <v>4653</v>
      </c>
      <c r="B2664" t="s">
        <v>4656</v>
      </c>
      <c r="C2664">
        <v>2014</v>
      </c>
      <c r="D2664">
        <v>1</v>
      </c>
      <c r="E2664" t="s">
        <v>55</v>
      </c>
      <c r="F2664" t="s">
        <v>128</v>
      </c>
      <c r="G2664" t="s">
        <v>63</v>
      </c>
      <c r="H2664">
        <v>4</v>
      </c>
      <c r="I2664">
        <v>44.431013999999998</v>
      </c>
      <c r="J2664">
        <v>568</v>
      </c>
      <c r="M2664">
        <v>3</v>
      </c>
      <c r="O2664">
        <v>0.26800000000000002</v>
      </c>
      <c r="R2664">
        <v>1.74</v>
      </c>
    </row>
    <row r="2665" spans="1:18" x14ac:dyDescent="0.2">
      <c r="A2665" t="s">
        <v>4653</v>
      </c>
      <c r="B2665" t="s">
        <v>4657</v>
      </c>
      <c r="C2665">
        <v>2014</v>
      </c>
      <c r="D2665">
        <v>1</v>
      </c>
      <c r="E2665" t="s">
        <v>55</v>
      </c>
      <c r="F2665" t="s">
        <v>2343</v>
      </c>
      <c r="G2665" t="s">
        <v>63</v>
      </c>
      <c r="H2665">
        <v>4</v>
      </c>
      <c r="I2665">
        <v>9.3409999999999993</v>
      </c>
      <c r="J2665">
        <v>568</v>
      </c>
      <c r="L2665">
        <v>8.5</v>
      </c>
      <c r="M2665">
        <v>1.56</v>
      </c>
      <c r="N2665">
        <v>2.7E-2</v>
      </c>
      <c r="O2665">
        <v>0.13900000000000001</v>
      </c>
      <c r="R2665">
        <v>1.74</v>
      </c>
    </row>
    <row r="2666" spans="1:18" x14ac:dyDescent="0.2">
      <c r="A2666" t="s">
        <v>4658</v>
      </c>
      <c r="B2666" t="s">
        <v>4659</v>
      </c>
      <c r="C2666">
        <v>2014</v>
      </c>
      <c r="D2666">
        <v>1</v>
      </c>
      <c r="E2666" t="s">
        <v>55</v>
      </c>
      <c r="F2666" t="s">
        <v>128</v>
      </c>
      <c r="G2666" t="s">
        <v>63</v>
      </c>
      <c r="H2666">
        <v>3</v>
      </c>
      <c r="I2666">
        <v>4.9776559999999996</v>
      </c>
      <c r="J2666">
        <v>722</v>
      </c>
      <c r="M2666">
        <v>1.42</v>
      </c>
      <c r="O2666">
        <v>0.127</v>
      </c>
      <c r="R2666">
        <v>0.8</v>
      </c>
    </row>
    <row r="2667" spans="1:18" x14ac:dyDescent="0.2">
      <c r="A2667" t="s">
        <v>4658</v>
      </c>
      <c r="B2667" t="s">
        <v>4660</v>
      </c>
      <c r="C2667">
        <v>2014</v>
      </c>
      <c r="D2667">
        <v>1</v>
      </c>
      <c r="E2667" t="s">
        <v>55</v>
      </c>
      <c r="F2667" t="s">
        <v>128</v>
      </c>
      <c r="G2667" t="s">
        <v>63</v>
      </c>
      <c r="H2667">
        <v>3</v>
      </c>
      <c r="I2667">
        <v>6.9880550000000001</v>
      </c>
      <c r="J2667">
        <v>722</v>
      </c>
      <c r="M2667">
        <v>1.1499999999999999</v>
      </c>
      <c r="O2667">
        <v>0.10299999999999999</v>
      </c>
      <c r="R2667">
        <v>0.8</v>
      </c>
    </row>
    <row r="2668" spans="1:18" x14ac:dyDescent="0.2">
      <c r="A2668" t="s">
        <v>4658</v>
      </c>
      <c r="B2668" t="s">
        <v>4661</v>
      </c>
      <c r="C2668">
        <v>2014</v>
      </c>
      <c r="D2668">
        <v>1</v>
      </c>
      <c r="E2668" t="s">
        <v>55</v>
      </c>
      <c r="F2668" t="s">
        <v>128</v>
      </c>
      <c r="G2668" t="s">
        <v>63</v>
      </c>
      <c r="H2668">
        <v>3</v>
      </c>
      <c r="I2668">
        <v>10.558344999999999</v>
      </c>
      <c r="J2668">
        <v>722</v>
      </c>
      <c r="M2668">
        <v>1.17</v>
      </c>
      <c r="O2668">
        <v>0.104</v>
      </c>
      <c r="R2668">
        <v>0.8</v>
      </c>
    </row>
    <row r="2669" spans="1:18" x14ac:dyDescent="0.2">
      <c r="A2669" t="s">
        <v>4662</v>
      </c>
      <c r="B2669" t="s">
        <v>4663</v>
      </c>
      <c r="C2669">
        <v>2011</v>
      </c>
      <c r="D2669">
        <v>1</v>
      </c>
      <c r="E2669" t="s">
        <v>55</v>
      </c>
      <c r="F2669" t="s">
        <v>128</v>
      </c>
      <c r="G2669" t="s">
        <v>63</v>
      </c>
      <c r="H2669">
        <v>1</v>
      </c>
      <c r="I2669">
        <v>288.822</v>
      </c>
      <c r="J2669">
        <v>1499</v>
      </c>
      <c r="L2669">
        <v>69.92</v>
      </c>
      <c r="M2669">
        <v>8.5640000000000001</v>
      </c>
      <c r="N2669">
        <v>0.22</v>
      </c>
      <c r="O2669">
        <v>0.76400000000000001</v>
      </c>
      <c r="P2669">
        <v>0.61299999999999999</v>
      </c>
      <c r="Q2669">
        <v>1.05</v>
      </c>
      <c r="R2669">
        <v>1.1599999999999999</v>
      </c>
    </row>
    <row r="2670" spans="1:18" x14ac:dyDescent="0.2">
      <c r="A2670" t="s">
        <v>4664</v>
      </c>
      <c r="B2670" t="s">
        <v>4665</v>
      </c>
      <c r="C2670">
        <v>2014</v>
      </c>
      <c r="D2670">
        <v>1</v>
      </c>
      <c r="E2670" t="s">
        <v>55</v>
      </c>
      <c r="F2670" t="s">
        <v>128</v>
      </c>
      <c r="G2670" t="s">
        <v>63</v>
      </c>
      <c r="H2670">
        <v>2</v>
      </c>
      <c r="I2670">
        <v>14.844386999999999</v>
      </c>
      <c r="J2670">
        <v>1060</v>
      </c>
      <c r="M2670">
        <v>2.5299999999999998</v>
      </c>
      <c r="O2670">
        <v>0.22600000000000001</v>
      </c>
      <c r="R2670">
        <v>1.85</v>
      </c>
    </row>
    <row r="2671" spans="1:18" x14ac:dyDescent="0.2">
      <c r="A2671" t="s">
        <v>4664</v>
      </c>
      <c r="B2671" t="s">
        <v>4666</v>
      </c>
      <c r="C2671">
        <v>2014</v>
      </c>
      <c r="D2671">
        <v>1</v>
      </c>
      <c r="E2671" t="s">
        <v>55</v>
      </c>
      <c r="F2671" t="s">
        <v>128</v>
      </c>
      <c r="G2671" t="s">
        <v>63</v>
      </c>
      <c r="H2671">
        <v>2</v>
      </c>
      <c r="I2671">
        <v>22.824669</v>
      </c>
      <c r="J2671">
        <v>1060</v>
      </c>
      <c r="M2671">
        <v>3.37</v>
      </c>
      <c r="O2671">
        <v>0.30099999999999999</v>
      </c>
      <c r="R2671">
        <v>1.85</v>
      </c>
    </row>
    <row r="2672" spans="1:18" x14ac:dyDescent="0.2">
      <c r="A2672" t="s">
        <v>4667</v>
      </c>
      <c r="B2672" t="s">
        <v>4668</v>
      </c>
      <c r="C2672">
        <v>2014</v>
      </c>
      <c r="D2672">
        <v>1</v>
      </c>
      <c r="E2672" t="s">
        <v>55</v>
      </c>
      <c r="F2672" t="s">
        <v>128</v>
      </c>
      <c r="G2672" t="s">
        <v>63</v>
      </c>
      <c r="H2672">
        <v>4</v>
      </c>
      <c r="I2672">
        <v>5.1955280000000004</v>
      </c>
      <c r="J2672">
        <v>873</v>
      </c>
      <c r="M2672">
        <v>1.18</v>
      </c>
      <c r="O2672">
        <v>0.105</v>
      </c>
      <c r="R2672">
        <v>1.02</v>
      </c>
    </row>
    <row r="2673" spans="1:18" x14ac:dyDescent="0.2">
      <c r="A2673" t="s">
        <v>4667</v>
      </c>
      <c r="B2673" t="s">
        <v>4669</v>
      </c>
      <c r="C2673">
        <v>2014</v>
      </c>
      <c r="D2673">
        <v>1</v>
      </c>
      <c r="E2673" t="s">
        <v>55</v>
      </c>
      <c r="F2673" t="s">
        <v>128</v>
      </c>
      <c r="G2673" t="s">
        <v>63</v>
      </c>
      <c r="H2673">
        <v>4</v>
      </c>
      <c r="I2673">
        <v>8.0104100000000003</v>
      </c>
      <c r="J2673">
        <v>873</v>
      </c>
      <c r="M2673">
        <v>1.7</v>
      </c>
      <c r="O2673">
        <v>0.152</v>
      </c>
      <c r="R2673">
        <v>1.02</v>
      </c>
    </row>
    <row r="2674" spans="1:18" x14ac:dyDescent="0.2">
      <c r="A2674" t="s">
        <v>4667</v>
      </c>
      <c r="B2674" t="s">
        <v>4670</v>
      </c>
      <c r="C2674">
        <v>2014</v>
      </c>
      <c r="D2674">
        <v>1</v>
      </c>
      <c r="E2674" t="s">
        <v>55</v>
      </c>
      <c r="F2674" t="s">
        <v>128</v>
      </c>
      <c r="G2674" t="s">
        <v>63</v>
      </c>
      <c r="H2674">
        <v>4</v>
      </c>
      <c r="I2674">
        <v>27.666312999999999</v>
      </c>
      <c r="J2674">
        <v>873</v>
      </c>
      <c r="M2674">
        <v>1.85</v>
      </c>
      <c r="O2674">
        <v>0.16500000000000001</v>
      </c>
      <c r="R2674">
        <v>1.02</v>
      </c>
    </row>
    <row r="2675" spans="1:18" x14ac:dyDescent="0.2">
      <c r="A2675" t="s">
        <v>4667</v>
      </c>
      <c r="B2675" t="s">
        <v>4671</v>
      </c>
      <c r="C2675">
        <v>2014</v>
      </c>
      <c r="D2675">
        <v>1</v>
      </c>
      <c r="E2675" t="s">
        <v>55</v>
      </c>
      <c r="F2675" t="s">
        <v>128</v>
      </c>
      <c r="G2675" t="s">
        <v>63</v>
      </c>
      <c r="H2675">
        <v>4</v>
      </c>
      <c r="I2675">
        <v>42.473269000000002</v>
      </c>
      <c r="J2675">
        <v>873</v>
      </c>
      <c r="M2675">
        <v>1.99</v>
      </c>
      <c r="O2675">
        <v>0.17799999999999999</v>
      </c>
      <c r="R2675">
        <v>1.02</v>
      </c>
    </row>
    <row r="2676" spans="1:18" x14ac:dyDescent="0.2">
      <c r="A2676" t="s">
        <v>4672</v>
      </c>
      <c r="B2676" t="s">
        <v>4673</v>
      </c>
      <c r="C2676">
        <v>2014</v>
      </c>
      <c r="D2676">
        <v>1</v>
      </c>
      <c r="E2676" t="s">
        <v>55</v>
      </c>
      <c r="F2676" t="s">
        <v>128</v>
      </c>
      <c r="G2676" t="s">
        <v>63</v>
      </c>
      <c r="H2676">
        <v>4</v>
      </c>
      <c r="I2676">
        <v>15.170318</v>
      </c>
      <c r="J2676">
        <v>772</v>
      </c>
      <c r="M2676">
        <v>2.25</v>
      </c>
      <c r="O2676">
        <v>0.20100000000000001</v>
      </c>
      <c r="R2676">
        <v>1.47</v>
      </c>
    </row>
    <row r="2677" spans="1:18" x14ac:dyDescent="0.2">
      <c r="A2677" t="s">
        <v>4672</v>
      </c>
      <c r="B2677" t="s">
        <v>4674</v>
      </c>
      <c r="C2677">
        <v>2014</v>
      </c>
      <c r="D2677">
        <v>1</v>
      </c>
      <c r="E2677" t="s">
        <v>55</v>
      </c>
      <c r="F2677" t="s">
        <v>128</v>
      </c>
      <c r="G2677" t="s">
        <v>63</v>
      </c>
      <c r="H2677">
        <v>4</v>
      </c>
      <c r="I2677">
        <v>26.234138000000002</v>
      </c>
      <c r="J2677">
        <v>772</v>
      </c>
      <c r="M2677">
        <v>1.96</v>
      </c>
      <c r="O2677">
        <v>0.17499999999999999</v>
      </c>
      <c r="R2677">
        <v>1.47</v>
      </c>
    </row>
    <row r="2678" spans="1:18" x14ac:dyDescent="0.2">
      <c r="A2678" t="s">
        <v>4672</v>
      </c>
      <c r="B2678" t="s">
        <v>4675</v>
      </c>
      <c r="C2678">
        <v>2014</v>
      </c>
      <c r="D2678">
        <v>1</v>
      </c>
      <c r="E2678" t="s">
        <v>55</v>
      </c>
      <c r="F2678" t="s">
        <v>128</v>
      </c>
      <c r="G2678" t="s">
        <v>63</v>
      </c>
      <c r="H2678">
        <v>4</v>
      </c>
      <c r="I2678">
        <v>39.459356999999997</v>
      </c>
      <c r="J2678">
        <v>772</v>
      </c>
      <c r="M2678">
        <v>2.4900000000000002</v>
      </c>
      <c r="O2678">
        <v>0.222</v>
      </c>
      <c r="R2678">
        <v>1.47</v>
      </c>
    </row>
    <row r="2679" spans="1:18" x14ac:dyDescent="0.2">
      <c r="A2679" t="s">
        <v>4672</v>
      </c>
      <c r="B2679" t="s">
        <v>4676</v>
      </c>
      <c r="C2679">
        <v>2016</v>
      </c>
      <c r="D2679">
        <v>1</v>
      </c>
      <c r="E2679" t="s">
        <v>55</v>
      </c>
      <c r="F2679" t="s">
        <v>128</v>
      </c>
      <c r="G2679" t="s">
        <v>63</v>
      </c>
      <c r="H2679">
        <v>4</v>
      </c>
      <c r="I2679">
        <v>1.64422461</v>
      </c>
      <c r="J2679">
        <v>772</v>
      </c>
      <c r="M2679">
        <v>0.88</v>
      </c>
      <c r="O2679">
        <v>7.9000000000000001E-2</v>
      </c>
      <c r="R2679">
        <v>1.47</v>
      </c>
    </row>
    <row r="2680" spans="1:18" x14ac:dyDescent="0.2">
      <c r="A2680" t="s">
        <v>4677</v>
      </c>
      <c r="B2680" t="s">
        <v>4678</v>
      </c>
      <c r="C2680">
        <v>2014</v>
      </c>
      <c r="D2680">
        <v>1</v>
      </c>
      <c r="E2680" t="s">
        <v>55</v>
      </c>
      <c r="F2680" t="s">
        <v>128</v>
      </c>
      <c r="G2680" t="s">
        <v>63</v>
      </c>
      <c r="H2680">
        <v>2</v>
      </c>
      <c r="I2680">
        <v>8.9685500000000005</v>
      </c>
      <c r="J2680">
        <v>987</v>
      </c>
      <c r="M2680">
        <v>2.41</v>
      </c>
      <c r="O2680">
        <v>0.215</v>
      </c>
      <c r="R2680">
        <v>1.43</v>
      </c>
    </row>
    <row r="2681" spans="1:18" x14ac:dyDescent="0.2">
      <c r="A2681" t="s">
        <v>4677</v>
      </c>
      <c r="B2681" t="s">
        <v>4679</v>
      </c>
      <c r="C2681">
        <v>2014</v>
      </c>
      <c r="D2681">
        <v>1</v>
      </c>
      <c r="E2681" t="s">
        <v>55</v>
      </c>
      <c r="F2681" t="s">
        <v>128</v>
      </c>
      <c r="G2681" t="s">
        <v>63</v>
      </c>
      <c r="H2681">
        <v>2</v>
      </c>
      <c r="I2681">
        <v>23.221820000000001</v>
      </c>
      <c r="J2681">
        <v>987</v>
      </c>
      <c r="M2681">
        <v>2.02</v>
      </c>
      <c r="O2681">
        <v>0.18</v>
      </c>
      <c r="R2681">
        <v>1.43</v>
      </c>
    </row>
    <row r="2682" spans="1:18" x14ac:dyDescent="0.2">
      <c r="A2682" t="s">
        <v>4680</v>
      </c>
      <c r="B2682" t="s">
        <v>4681</v>
      </c>
      <c r="C2682">
        <v>2014</v>
      </c>
      <c r="D2682">
        <v>1</v>
      </c>
      <c r="E2682" t="s">
        <v>55</v>
      </c>
      <c r="F2682" t="s">
        <v>128</v>
      </c>
      <c r="G2682" t="s">
        <v>63</v>
      </c>
      <c r="H2682">
        <v>2</v>
      </c>
      <c r="I2682">
        <v>21.963944999999999</v>
      </c>
      <c r="J2682">
        <v>1027</v>
      </c>
      <c r="M2682">
        <v>2.61</v>
      </c>
      <c r="O2682">
        <v>0.23300000000000001</v>
      </c>
      <c r="R2682">
        <v>0.98</v>
      </c>
    </row>
    <row r="2683" spans="1:18" x14ac:dyDescent="0.2">
      <c r="A2683" t="s">
        <v>4680</v>
      </c>
      <c r="B2683" t="s">
        <v>4682</v>
      </c>
      <c r="C2683">
        <v>2014</v>
      </c>
      <c r="D2683">
        <v>1</v>
      </c>
      <c r="E2683" t="s">
        <v>55</v>
      </c>
      <c r="F2683" t="s">
        <v>128</v>
      </c>
      <c r="G2683" t="s">
        <v>63</v>
      </c>
      <c r="H2683">
        <v>2</v>
      </c>
      <c r="I2683">
        <v>125.59680899999999</v>
      </c>
      <c r="J2683">
        <v>1027</v>
      </c>
      <c r="M2683">
        <v>2.95</v>
      </c>
      <c r="O2683">
        <v>0.26300000000000001</v>
      </c>
      <c r="R2683">
        <v>0.98</v>
      </c>
    </row>
    <row r="2684" spans="1:18" x14ac:dyDescent="0.2">
      <c r="A2684" t="s">
        <v>4683</v>
      </c>
      <c r="B2684" t="s">
        <v>4684</v>
      </c>
      <c r="C2684">
        <v>2014</v>
      </c>
      <c r="D2684">
        <v>1</v>
      </c>
      <c r="E2684" t="s">
        <v>55</v>
      </c>
      <c r="F2684" t="s">
        <v>128</v>
      </c>
      <c r="G2684" t="s">
        <v>63</v>
      </c>
      <c r="H2684">
        <v>2</v>
      </c>
      <c r="I2684">
        <v>7.4155629999999997</v>
      </c>
      <c r="J2684">
        <v>260</v>
      </c>
      <c r="M2684">
        <v>0.74</v>
      </c>
      <c r="O2684">
        <v>6.6000000000000003E-2</v>
      </c>
      <c r="R2684">
        <v>0.62</v>
      </c>
    </row>
    <row r="2685" spans="1:18" x14ac:dyDescent="0.2">
      <c r="A2685" t="s">
        <v>4683</v>
      </c>
      <c r="B2685" t="s">
        <v>4685</v>
      </c>
      <c r="C2685">
        <v>2014</v>
      </c>
      <c r="D2685">
        <v>1</v>
      </c>
      <c r="E2685" t="s">
        <v>55</v>
      </c>
      <c r="F2685" t="s">
        <v>128</v>
      </c>
      <c r="G2685" t="s">
        <v>63</v>
      </c>
      <c r="H2685">
        <v>2</v>
      </c>
      <c r="I2685">
        <v>9.3874270000000006</v>
      </c>
      <c r="J2685">
        <v>260</v>
      </c>
      <c r="M2685">
        <v>1.2</v>
      </c>
      <c r="O2685">
        <v>0.107</v>
      </c>
      <c r="R2685">
        <v>0.62</v>
      </c>
    </row>
    <row r="2686" spans="1:18" x14ac:dyDescent="0.2">
      <c r="A2686" t="s">
        <v>4686</v>
      </c>
      <c r="B2686" t="s">
        <v>4687</v>
      </c>
      <c r="C2686">
        <v>2014</v>
      </c>
      <c r="D2686">
        <v>1</v>
      </c>
      <c r="E2686" t="s">
        <v>55</v>
      </c>
      <c r="F2686" t="s">
        <v>128</v>
      </c>
      <c r="G2686" t="s">
        <v>63</v>
      </c>
      <c r="H2686">
        <v>2</v>
      </c>
      <c r="I2686">
        <v>6.5111270000000001</v>
      </c>
      <c r="J2686">
        <v>1032</v>
      </c>
      <c r="M2686">
        <v>2.66</v>
      </c>
      <c r="O2686">
        <v>0.23699999999999999</v>
      </c>
      <c r="R2686">
        <v>1.02</v>
      </c>
    </row>
    <row r="2687" spans="1:18" x14ac:dyDescent="0.2">
      <c r="A2687" t="s">
        <v>4686</v>
      </c>
      <c r="B2687" t="s">
        <v>4688</v>
      </c>
      <c r="C2687">
        <v>2014</v>
      </c>
      <c r="D2687">
        <v>1</v>
      </c>
      <c r="E2687" t="s">
        <v>55</v>
      </c>
      <c r="F2687" t="s">
        <v>128</v>
      </c>
      <c r="G2687" t="s">
        <v>63</v>
      </c>
      <c r="H2687">
        <v>2</v>
      </c>
      <c r="I2687">
        <v>23.851548999999999</v>
      </c>
      <c r="J2687">
        <v>1032</v>
      </c>
      <c r="M2687">
        <v>3.07</v>
      </c>
      <c r="O2687">
        <v>0.27400000000000002</v>
      </c>
      <c r="R2687">
        <v>1.02</v>
      </c>
    </row>
    <row r="2688" spans="1:18" x14ac:dyDescent="0.2">
      <c r="A2688" t="s">
        <v>4689</v>
      </c>
      <c r="B2688" t="s">
        <v>4690</v>
      </c>
      <c r="C2688">
        <v>2014</v>
      </c>
      <c r="D2688">
        <v>1</v>
      </c>
      <c r="E2688" t="s">
        <v>55</v>
      </c>
      <c r="F2688" t="s">
        <v>128</v>
      </c>
      <c r="G2688" t="s">
        <v>63</v>
      </c>
      <c r="H2688">
        <v>2</v>
      </c>
      <c r="I2688">
        <v>12.798360000000001</v>
      </c>
      <c r="J2688">
        <v>950</v>
      </c>
      <c r="M2688">
        <v>1.97</v>
      </c>
      <c r="O2688">
        <v>0.17599999999999999</v>
      </c>
      <c r="R2688">
        <v>1</v>
      </c>
    </row>
    <row r="2689" spans="1:18" x14ac:dyDescent="0.2">
      <c r="A2689" t="s">
        <v>4689</v>
      </c>
      <c r="B2689" t="s">
        <v>4691</v>
      </c>
      <c r="C2689">
        <v>2014</v>
      </c>
      <c r="D2689">
        <v>1</v>
      </c>
      <c r="E2689" t="s">
        <v>55</v>
      </c>
      <c r="F2689" t="s">
        <v>128</v>
      </c>
      <c r="G2689" t="s">
        <v>63</v>
      </c>
      <c r="H2689">
        <v>2</v>
      </c>
      <c r="I2689">
        <v>27.320871</v>
      </c>
      <c r="J2689">
        <v>950</v>
      </c>
      <c r="M2689">
        <v>1.75</v>
      </c>
      <c r="O2689">
        <v>0.156</v>
      </c>
      <c r="R2689">
        <v>1</v>
      </c>
    </row>
    <row r="2690" spans="1:18" x14ac:dyDescent="0.2">
      <c r="A2690" t="s">
        <v>4692</v>
      </c>
      <c r="B2690" t="s">
        <v>4693</v>
      </c>
      <c r="C2690">
        <v>2014</v>
      </c>
      <c r="D2690">
        <v>1</v>
      </c>
      <c r="E2690" t="s">
        <v>55</v>
      </c>
      <c r="F2690" t="s">
        <v>128</v>
      </c>
      <c r="G2690" t="s">
        <v>63</v>
      </c>
      <c r="H2690">
        <v>2</v>
      </c>
      <c r="I2690">
        <v>7.0567700000000002</v>
      </c>
      <c r="J2690">
        <v>623</v>
      </c>
      <c r="M2690">
        <v>1.52</v>
      </c>
      <c r="O2690">
        <v>0.13600000000000001</v>
      </c>
      <c r="R2690">
        <v>1.36</v>
      </c>
    </row>
    <row r="2691" spans="1:18" x14ac:dyDescent="0.2">
      <c r="A2691" t="s">
        <v>4692</v>
      </c>
      <c r="B2691" t="s">
        <v>4694</v>
      </c>
      <c r="C2691">
        <v>2014</v>
      </c>
      <c r="D2691">
        <v>1</v>
      </c>
      <c r="E2691" t="s">
        <v>55</v>
      </c>
      <c r="F2691" t="s">
        <v>128</v>
      </c>
      <c r="G2691" t="s">
        <v>63</v>
      </c>
      <c r="H2691">
        <v>2</v>
      </c>
      <c r="I2691">
        <v>17.265426999999999</v>
      </c>
      <c r="J2691">
        <v>623</v>
      </c>
      <c r="M2691">
        <v>1.33</v>
      </c>
      <c r="O2691">
        <v>0.11899999999999999</v>
      </c>
      <c r="R2691">
        <v>1.36</v>
      </c>
    </row>
    <row r="2692" spans="1:18" x14ac:dyDescent="0.2">
      <c r="A2692" t="s">
        <v>4695</v>
      </c>
      <c r="B2692" t="s">
        <v>4696</v>
      </c>
      <c r="C2692">
        <v>2014</v>
      </c>
      <c r="D2692">
        <v>1</v>
      </c>
      <c r="E2692" t="s">
        <v>55</v>
      </c>
      <c r="F2692" t="s">
        <v>128</v>
      </c>
      <c r="G2692" t="s">
        <v>63</v>
      </c>
      <c r="H2692">
        <v>2</v>
      </c>
      <c r="I2692">
        <v>5.9297779999999998</v>
      </c>
      <c r="J2692">
        <v>1172</v>
      </c>
      <c r="M2692">
        <v>1.9</v>
      </c>
      <c r="O2692">
        <v>0.17</v>
      </c>
      <c r="R2692">
        <v>0.93</v>
      </c>
    </row>
    <row r="2693" spans="1:18" x14ac:dyDescent="0.2">
      <c r="A2693" t="s">
        <v>4695</v>
      </c>
      <c r="B2693" t="s">
        <v>4697</v>
      </c>
      <c r="C2693">
        <v>2014</v>
      </c>
      <c r="D2693">
        <v>1</v>
      </c>
      <c r="E2693" t="s">
        <v>55</v>
      </c>
      <c r="F2693" t="s">
        <v>128</v>
      </c>
      <c r="G2693" t="s">
        <v>63</v>
      </c>
      <c r="H2693">
        <v>2</v>
      </c>
      <c r="I2693">
        <v>12.247629</v>
      </c>
      <c r="J2693">
        <v>1172</v>
      </c>
      <c r="M2693">
        <v>1.96</v>
      </c>
      <c r="O2693">
        <v>0.17499999999999999</v>
      </c>
      <c r="R2693">
        <v>0.93</v>
      </c>
    </row>
    <row r="2694" spans="1:18" x14ac:dyDescent="0.2">
      <c r="A2694" t="s">
        <v>4698</v>
      </c>
      <c r="B2694" t="s">
        <v>4699</v>
      </c>
      <c r="C2694">
        <v>2011</v>
      </c>
      <c r="D2694">
        <v>1</v>
      </c>
      <c r="E2694" t="s">
        <v>55</v>
      </c>
      <c r="F2694" t="s">
        <v>128</v>
      </c>
      <c r="G2694" t="s">
        <v>63</v>
      </c>
      <c r="H2694">
        <v>1</v>
      </c>
      <c r="I2694">
        <v>131.458</v>
      </c>
      <c r="J2694">
        <v>1645</v>
      </c>
      <c r="L2694">
        <v>40.363</v>
      </c>
      <c r="M2694">
        <v>8.16</v>
      </c>
      <c r="N2694">
        <v>0.127</v>
      </c>
      <c r="O2694">
        <v>0.72799999999999998</v>
      </c>
      <c r="P2694">
        <v>0.41</v>
      </c>
      <c r="Q2694">
        <v>0.89</v>
      </c>
      <c r="R2694">
        <v>1.03</v>
      </c>
    </row>
    <row r="2695" spans="1:18" x14ac:dyDescent="0.2">
      <c r="A2695" t="s">
        <v>4700</v>
      </c>
      <c r="B2695" t="s">
        <v>4701</v>
      </c>
      <c r="C2695">
        <v>2014</v>
      </c>
      <c r="D2695">
        <v>1</v>
      </c>
      <c r="E2695" t="s">
        <v>55</v>
      </c>
      <c r="F2695" t="s">
        <v>128</v>
      </c>
      <c r="G2695" t="s">
        <v>63</v>
      </c>
      <c r="H2695">
        <v>3</v>
      </c>
      <c r="I2695">
        <v>11.189562</v>
      </c>
      <c r="J2695">
        <v>931</v>
      </c>
      <c r="M2695">
        <v>1.85</v>
      </c>
      <c r="O2695">
        <v>0.16500000000000001</v>
      </c>
      <c r="R2695">
        <v>1.53</v>
      </c>
    </row>
    <row r="2696" spans="1:18" x14ac:dyDescent="0.2">
      <c r="A2696" t="s">
        <v>4700</v>
      </c>
      <c r="B2696" t="s">
        <v>4702</v>
      </c>
      <c r="C2696">
        <v>2013</v>
      </c>
      <c r="D2696">
        <v>1</v>
      </c>
      <c r="E2696" t="s">
        <v>55</v>
      </c>
      <c r="F2696" t="s">
        <v>128</v>
      </c>
      <c r="G2696" t="s">
        <v>63</v>
      </c>
      <c r="H2696">
        <v>3</v>
      </c>
      <c r="I2696">
        <v>17.849</v>
      </c>
      <c r="J2696">
        <v>931</v>
      </c>
      <c r="L2696">
        <v>6.1</v>
      </c>
      <c r="M2696">
        <v>3.1</v>
      </c>
      <c r="N2696">
        <v>1.9E-2</v>
      </c>
      <c r="O2696">
        <v>0.27700000000000002</v>
      </c>
      <c r="R2696">
        <v>1.53</v>
      </c>
    </row>
    <row r="2697" spans="1:18" x14ac:dyDescent="0.2">
      <c r="A2697" t="s">
        <v>4700</v>
      </c>
      <c r="B2697" t="s">
        <v>4703</v>
      </c>
      <c r="C2697">
        <v>2013</v>
      </c>
      <c r="D2697">
        <v>1</v>
      </c>
      <c r="E2697" t="s">
        <v>55</v>
      </c>
      <c r="F2697" t="s">
        <v>128</v>
      </c>
      <c r="G2697" t="s">
        <v>63</v>
      </c>
      <c r="H2697">
        <v>3</v>
      </c>
      <c r="I2697">
        <v>26.135999999999999</v>
      </c>
      <c r="J2697">
        <v>931</v>
      </c>
      <c r="L2697">
        <v>14.9</v>
      </c>
      <c r="M2697">
        <v>2.8</v>
      </c>
      <c r="N2697">
        <v>4.7E-2</v>
      </c>
      <c r="O2697">
        <v>0.25</v>
      </c>
      <c r="R2697">
        <v>1.53</v>
      </c>
    </row>
    <row r="2698" spans="1:18" x14ac:dyDescent="0.2">
      <c r="A2698" t="s">
        <v>4704</v>
      </c>
      <c r="B2698" t="s">
        <v>4705</v>
      </c>
      <c r="C2698">
        <v>2014</v>
      </c>
      <c r="D2698">
        <v>1</v>
      </c>
      <c r="E2698" t="s">
        <v>55</v>
      </c>
      <c r="F2698" t="s">
        <v>128</v>
      </c>
      <c r="G2698" t="s">
        <v>63</v>
      </c>
      <c r="H2698">
        <v>3</v>
      </c>
      <c r="I2698">
        <v>37.054918999999998</v>
      </c>
      <c r="J2698">
        <v>1078</v>
      </c>
      <c r="M2698">
        <v>3.06</v>
      </c>
      <c r="O2698">
        <v>0.27300000000000002</v>
      </c>
      <c r="R2698">
        <v>0.85</v>
      </c>
    </row>
    <row r="2699" spans="1:18" x14ac:dyDescent="0.2">
      <c r="A2699" t="s">
        <v>4704</v>
      </c>
      <c r="B2699" t="s">
        <v>4706</v>
      </c>
      <c r="C2699">
        <v>2014</v>
      </c>
      <c r="D2699">
        <v>1</v>
      </c>
      <c r="E2699" t="s">
        <v>55</v>
      </c>
      <c r="F2699" t="s">
        <v>128</v>
      </c>
      <c r="G2699" t="s">
        <v>63</v>
      </c>
      <c r="H2699">
        <v>3</v>
      </c>
      <c r="I2699">
        <v>57.248089999999998</v>
      </c>
      <c r="J2699">
        <v>1078</v>
      </c>
      <c r="M2699">
        <v>3.19</v>
      </c>
      <c r="O2699">
        <v>0.28499999999999998</v>
      </c>
      <c r="R2699">
        <v>0.85</v>
      </c>
    </row>
    <row r="2700" spans="1:18" x14ac:dyDescent="0.2">
      <c r="A2700" t="s">
        <v>4704</v>
      </c>
      <c r="B2700" t="s">
        <v>4707</v>
      </c>
      <c r="C2700">
        <v>2016</v>
      </c>
      <c r="D2700">
        <v>1</v>
      </c>
      <c r="E2700" t="s">
        <v>55</v>
      </c>
      <c r="F2700" t="s">
        <v>128</v>
      </c>
      <c r="G2700" t="s">
        <v>63</v>
      </c>
      <c r="H2700">
        <v>3</v>
      </c>
      <c r="I2700">
        <v>142.54424700000001</v>
      </c>
      <c r="J2700">
        <v>1078</v>
      </c>
      <c r="M2700">
        <v>2.72</v>
      </c>
      <c r="O2700">
        <v>0.24299999999999999</v>
      </c>
      <c r="R2700">
        <v>0.85</v>
      </c>
    </row>
    <row r="2701" spans="1:18" x14ac:dyDescent="0.2">
      <c r="A2701" t="s">
        <v>4708</v>
      </c>
      <c r="B2701" t="s">
        <v>4709</v>
      </c>
      <c r="C2701">
        <v>2014</v>
      </c>
      <c r="D2701">
        <v>1</v>
      </c>
      <c r="E2701" t="s">
        <v>55</v>
      </c>
      <c r="F2701" t="s">
        <v>128</v>
      </c>
      <c r="G2701" t="s">
        <v>63</v>
      </c>
      <c r="H2701">
        <v>2</v>
      </c>
      <c r="I2701">
        <v>10.05537</v>
      </c>
      <c r="J2701">
        <v>279</v>
      </c>
      <c r="M2701">
        <v>0.86</v>
      </c>
      <c r="O2701">
        <v>7.6999999999999999E-2</v>
      </c>
      <c r="R2701">
        <v>0.78</v>
      </c>
    </row>
    <row r="2702" spans="1:18" x14ac:dyDescent="0.2">
      <c r="A2702" t="s">
        <v>4708</v>
      </c>
      <c r="B2702" t="s">
        <v>4710</v>
      </c>
      <c r="C2702">
        <v>2014</v>
      </c>
      <c r="D2702">
        <v>1</v>
      </c>
      <c r="E2702" t="s">
        <v>55</v>
      </c>
      <c r="F2702" t="s">
        <v>128</v>
      </c>
      <c r="G2702" t="s">
        <v>63</v>
      </c>
      <c r="H2702">
        <v>2</v>
      </c>
      <c r="I2702">
        <v>16.332995</v>
      </c>
      <c r="J2702">
        <v>279</v>
      </c>
      <c r="M2702">
        <v>1.24</v>
      </c>
      <c r="O2702">
        <v>0.111</v>
      </c>
      <c r="R2702">
        <v>0.78</v>
      </c>
    </row>
    <row r="2703" spans="1:18" x14ac:dyDescent="0.2">
      <c r="A2703" t="s">
        <v>4711</v>
      </c>
      <c r="B2703" t="s">
        <v>4712</v>
      </c>
      <c r="C2703">
        <v>2014</v>
      </c>
      <c r="D2703">
        <v>1</v>
      </c>
      <c r="E2703" t="s">
        <v>55</v>
      </c>
      <c r="F2703" t="s">
        <v>128</v>
      </c>
      <c r="G2703" t="s">
        <v>63</v>
      </c>
      <c r="H2703">
        <v>2</v>
      </c>
      <c r="I2703">
        <v>5.7952779999999997</v>
      </c>
      <c r="J2703">
        <v>333</v>
      </c>
      <c r="M2703">
        <v>0.89</v>
      </c>
      <c r="O2703">
        <v>7.9000000000000001E-2</v>
      </c>
      <c r="R2703">
        <v>0.5</v>
      </c>
    </row>
    <row r="2704" spans="1:18" x14ac:dyDescent="0.2">
      <c r="A2704" t="s">
        <v>4711</v>
      </c>
      <c r="B2704" t="s">
        <v>4713</v>
      </c>
      <c r="C2704">
        <v>2014</v>
      </c>
      <c r="D2704">
        <v>1</v>
      </c>
      <c r="E2704" t="s">
        <v>55</v>
      </c>
      <c r="F2704" t="s">
        <v>128</v>
      </c>
      <c r="G2704" t="s">
        <v>63</v>
      </c>
      <c r="H2704">
        <v>2</v>
      </c>
      <c r="I2704">
        <v>8.4108940000000008</v>
      </c>
      <c r="J2704">
        <v>333</v>
      </c>
      <c r="M2704">
        <v>1.38</v>
      </c>
      <c r="O2704">
        <v>0.123</v>
      </c>
      <c r="R2704">
        <v>0.5</v>
      </c>
    </row>
    <row r="2705" spans="1:19" x14ac:dyDescent="0.2">
      <c r="A2705" t="s">
        <v>4714</v>
      </c>
      <c r="B2705" t="s">
        <v>4715</v>
      </c>
      <c r="C2705">
        <v>2014</v>
      </c>
      <c r="D2705">
        <v>1</v>
      </c>
      <c r="E2705" t="s">
        <v>55</v>
      </c>
      <c r="F2705" t="s">
        <v>128</v>
      </c>
      <c r="G2705" t="s">
        <v>63</v>
      </c>
      <c r="H2705">
        <v>3</v>
      </c>
      <c r="I2705">
        <v>5.4766599999999999</v>
      </c>
      <c r="J2705">
        <v>574</v>
      </c>
      <c r="M2705">
        <v>1.84</v>
      </c>
      <c r="O2705">
        <v>0.16400000000000001</v>
      </c>
      <c r="R2705">
        <v>0.67</v>
      </c>
    </row>
    <row r="2706" spans="1:19" x14ac:dyDescent="0.2">
      <c r="A2706" t="s">
        <v>4714</v>
      </c>
      <c r="B2706" t="s">
        <v>4716</v>
      </c>
      <c r="C2706">
        <v>2014</v>
      </c>
      <c r="D2706">
        <v>1</v>
      </c>
      <c r="E2706" t="s">
        <v>55</v>
      </c>
      <c r="F2706" t="s">
        <v>128</v>
      </c>
      <c r="G2706" t="s">
        <v>63</v>
      </c>
      <c r="H2706">
        <v>3</v>
      </c>
      <c r="I2706">
        <v>16.934401999999999</v>
      </c>
      <c r="J2706">
        <v>574</v>
      </c>
      <c r="M2706">
        <v>1.31</v>
      </c>
      <c r="O2706">
        <v>0.11700000000000001</v>
      </c>
      <c r="R2706">
        <v>0.67</v>
      </c>
    </row>
    <row r="2707" spans="1:19" x14ac:dyDescent="0.2">
      <c r="A2707" t="s">
        <v>4714</v>
      </c>
      <c r="B2707" t="s">
        <v>4717</v>
      </c>
      <c r="C2707">
        <v>2014</v>
      </c>
      <c r="D2707">
        <v>1</v>
      </c>
      <c r="E2707" t="s">
        <v>55</v>
      </c>
      <c r="F2707" t="s">
        <v>128</v>
      </c>
      <c r="G2707" t="s">
        <v>63</v>
      </c>
      <c r="H2707">
        <v>3</v>
      </c>
      <c r="I2707">
        <v>24.209841999999998</v>
      </c>
      <c r="J2707">
        <v>574</v>
      </c>
      <c r="M2707">
        <v>1.24</v>
      </c>
      <c r="O2707">
        <v>0.111</v>
      </c>
      <c r="R2707">
        <v>0.67</v>
      </c>
    </row>
    <row r="2708" spans="1:19" x14ac:dyDescent="0.2">
      <c r="A2708" t="s">
        <v>4718</v>
      </c>
      <c r="B2708" t="s">
        <v>4719</v>
      </c>
      <c r="C2708">
        <v>2014</v>
      </c>
      <c r="D2708">
        <v>1</v>
      </c>
      <c r="E2708" t="s">
        <v>55</v>
      </c>
      <c r="F2708" t="s">
        <v>128</v>
      </c>
      <c r="G2708" t="s">
        <v>63</v>
      </c>
      <c r="H2708">
        <v>2</v>
      </c>
      <c r="I2708">
        <v>11.031890000000001</v>
      </c>
      <c r="J2708">
        <v>1143</v>
      </c>
      <c r="M2708">
        <v>1.46</v>
      </c>
      <c r="O2708">
        <v>0.13</v>
      </c>
      <c r="R2708">
        <v>1.07</v>
      </c>
    </row>
    <row r="2709" spans="1:19" x14ac:dyDescent="0.2">
      <c r="A2709" t="s">
        <v>4718</v>
      </c>
      <c r="B2709" t="s">
        <v>4720</v>
      </c>
      <c r="C2709">
        <v>2014</v>
      </c>
      <c r="D2709">
        <v>1</v>
      </c>
      <c r="E2709" t="s">
        <v>55</v>
      </c>
      <c r="F2709" t="s">
        <v>128</v>
      </c>
      <c r="G2709" t="s">
        <v>63</v>
      </c>
      <c r="H2709">
        <v>2</v>
      </c>
      <c r="I2709">
        <v>25.762294000000001</v>
      </c>
      <c r="J2709">
        <v>1143</v>
      </c>
      <c r="M2709">
        <v>2.71</v>
      </c>
      <c r="O2709">
        <v>0.24199999999999999</v>
      </c>
      <c r="R2709">
        <v>1.07</v>
      </c>
    </row>
    <row r="2710" spans="1:19" x14ac:dyDescent="0.2">
      <c r="A2710" t="s">
        <v>4721</v>
      </c>
      <c r="B2710" t="s">
        <v>4722</v>
      </c>
      <c r="C2710">
        <v>2014</v>
      </c>
      <c r="D2710">
        <v>1</v>
      </c>
      <c r="E2710" t="s">
        <v>55</v>
      </c>
      <c r="F2710" t="s">
        <v>128</v>
      </c>
      <c r="G2710" t="s">
        <v>63</v>
      </c>
      <c r="H2710">
        <v>2</v>
      </c>
      <c r="I2710">
        <v>4.6126959999999997</v>
      </c>
      <c r="J2710">
        <v>639</v>
      </c>
      <c r="M2710">
        <v>1.57</v>
      </c>
      <c r="O2710">
        <v>0.14000000000000001</v>
      </c>
      <c r="R2710">
        <v>1.33</v>
      </c>
    </row>
    <row r="2711" spans="1:19" x14ac:dyDescent="0.2">
      <c r="A2711" t="s">
        <v>4721</v>
      </c>
      <c r="B2711" t="s">
        <v>4723</v>
      </c>
      <c r="C2711">
        <v>2014</v>
      </c>
      <c r="D2711">
        <v>1</v>
      </c>
      <c r="E2711" t="s">
        <v>55</v>
      </c>
      <c r="F2711" t="s">
        <v>128</v>
      </c>
      <c r="G2711" t="s">
        <v>63</v>
      </c>
      <c r="H2711">
        <v>2</v>
      </c>
      <c r="I2711">
        <v>13.121632</v>
      </c>
      <c r="J2711">
        <v>639</v>
      </c>
      <c r="M2711">
        <v>1.81</v>
      </c>
      <c r="O2711">
        <v>0.161</v>
      </c>
      <c r="R2711">
        <v>1.33</v>
      </c>
    </row>
    <row r="2712" spans="1:19" x14ac:dyDescent="0.2">
      <c r="A2712" t="s">
        <v>4724</v>
      </c>
      <c r="B2712" t="s">
        <v>4725</v>
      </c>
      <c r="C2712">
        <v>2014</v>
      </c>
      <c r="D2712">
        <v>1</v>
      </c>
      <c r="E2712" t="s">
        <v>55</v>
      </c>
      <c r="F2712" t="s">
        <v>128</v>
      </c>
      <c r="G2712" t="s">
        <v>63</v>
      </c>
      <c r="H2712">
        <v>3</v>
      </c>
      <c r="I2712">
        <v>6.4754339999999999</v>
      </c>
      <c r="J2712">
        <v>741</v>
      </c>
      <c r="M2712">
        <v>1.84</v>
      </c>
      <c r="O2712">
        <v>0.16400000000000001</v>
      </c>
      <c r="R2712">
        <v>0.83</v>
      </c>
    </row>
    <row r="2713" spans="1:19" x14ac:dyDescent="0.2">
      <c r="A2713" t="s">
        <v>4724</v>
      </c>
      <c r="B2713" t="s">
        <v>4726</v>
      </c>
      <c r="C2713">
        <v>2014</v>
      </c>
      <c r="D2713">
        <v>1</v>
      </c>
      <c r="E2713" t="s">
        <v>55</v>
      </c>
      <c r="F2713" t="s">
        <v>128</v>
      </c>
      <c r="G2713" t="s">
        <v>63</v>
      </c>
      <c r="H2713">
        <v>3</v>
      </c>
      <c r="I2713">
        <v>16.858370000000001</v>
      </c>
      <c r="J2713">
        <v>741</v>
      </c>
      <c r="M2713">
        <v>2.67</v>
      </c>
      <c r="O2713">
        <v>0.23799999999999999</v>
      </c>
      <c r="R2713">
        <v>0.83</v>
      </c>
    </row>
    <row r="2714" spans="1:19" x14ac:dyDescent="0.2">
      <c r="A2714" t="s">
        <v>4724</v>
      </c>
      <c r="B2714" t="s">
        <v>4727</v>
      </c>
      <c r="C2714">
        <v>2014</v>
      </c>
      <c r="D2714">
        <v>1</v>
      </c>
      <c r="E2714" t="s">
        <v>55</v>
      </c>
      <c r="F2714" t="s">
        <v>128</v>
      </c>
      <c r="G2714" t="s">
        <v>63</v>
      </c>
      <c r="H2714">
        <v>3</v>
      </c>
      <c r="I2714">
        <v>49.499875000000003</v>
      </c>
      <c r="J2714">
        <v>741</v>
      </c>
      <c r="M2714">
        <v>3.43</v>
      </c>
      <c r="O2714">
        <v>0.30599999999999999</v>
      </c>
      <c r="R2714">
        <v>0.83</v>
      </c>
    </row>
    <row r="2715" spans="1:19" x14ac:dyDescent="0.2">
      <c r="A2715" t="s">
        <v>4728</v>
      </c>
      <c r="B2715" t="s">
        <v>4729</v>
      </c>
      <c r="C2715">
        <v>2014</v>
      </c>
      <c r="D2715">
        <v>1</v>
      </c>
      <c r="E2715" t="s">
        <v>55</v>
      </c>
      <c r="F2715" t="s">
        <v>128</v>
      </c>
      <c r="G2715" t="s">
        <v>63</v>
      </c>
      <c r="H2715">
        <v>2</v>
      </c>
      <c r="I2715">
        <v>34.060467000000003</v>
      </c>
      <c r="J2715">
        <v>1067</v>
      </c>
      <c r="M2715">
        <v>2.72</v>
      </c>
      <c r="O2715">
        <v>0.24299999999999999</v>
      </c>
      <c r="R2715">
        <v>0.95</v>
      </c>
    </row>
    <row r="2716" spans="1:19" x14ac:dyDescent="0.2">
      <c r="A2716" t="s">
        <v>4728</v>
      </c>
      <c r="B2716" t="s">
        <v>4730</v>
      </c>
      <c r="C2716">
        <v>2014</v>
      </c>
      <c r="D2716">
        <v>1</v>
      </c>
      <c r="E2716" t="s">
        <v>55</v>
      </c>
      <c r="F2716" t="s">
        <v>128</v>
      </c>
      <c r="G2716" t="s">
        <v>63</v>
      </c>
      <c r="H2716">
        <v>2</v>
      </c>
      <c r="I2716">
        <v>83.488369000000006</v>
      </c>
      <c r="J2716">
        <v>1067</v>
      </c>
      <c r="M2716">
        <v>2.85</v>
      </c>
      <c r="O2716">
        <v>0.254</v>
      </c>
      <c r="R2716">
        <v>0.95</v>
      </c>
    </row>
    <row r="2717" spans="1:19" x14ac:dyDescent="0.2">
      <c r="A2717" t="s">
        <v>4731</v>
      </c>
      <c r="B2717" t="s">
        <v>4732</v>
      </c>
      <c r="C2717">
        <v>2014</v>
      </c>
      <c r="D2717">
        <v>1</v>
      </c>
      <c r="E2717" t="s">
        <v>55</v>
      </c>
      <c r="F2717" t="s">
        <v>128</v>
      </c>
      <c r="G2717" t="s">
        <v>63</v>
      </c>
      <c r="H2717">
        <v>3</v>
      </c>
      <c r="I2717">
        <v>25.563222</v>
      </c>
      <c r="J2717">
        <v>2037</v>
      </c>
      <c r="M2717">
        <v>3.53</v>
      </c>
      <c r="O2717">
        <v>0.315</v>
      </c>
      <c r="R2717">
        <v>1.0900000000000001</v>
      </c>
    </row>
    <row r="2718" spans="1:19" x14ac:dyDescent="0.2">
      <c r="A2718" t="s">
        <v>4731</v>
      </c>
      <c r="B2718" t="s">
        <v>4733</v>
      </c>
      <c r="C2718">
        <v>2014</v>
      </c>
      <c r="D2718">
        <v>1</v>
      </c>
      <c r="E2718" t="s">
        <v>55</v>
      </c>
      <c r="F2718" t="s">
        <v>128</v>
      </c>
      <c r="G2718" t="s">
        <v>63</v>
      </c>
      <c r="H2718">
        <v>3</v>
      </c>
      <c r="I2718">
        <v>57.688020000000002</v>
      </c>
      <c r="J2718">
        <v>2037</v>
      </c>
      <c r="M2718">
        <v>4.3</v>
      </c>
      <c r="O2718">
        <v>0.38400000000000001</v>
      </c>
      <c r="R2718">
        <v>1.0900000000000001</v>
      </c>
    </row>
    <row r="2719" spans="1:19" x14ac:dyDescent="0.2">
      <c r="A2719" t="s">
        <v>4731</v>
      </c>
      <c r="B2719" t="s">
        <v>4734</v>
      </c>
      <c r="C2719">
        <v>2014</v>
      </c>
      <c r="D2719">
        <v>1</v>
      </c>
      <c r="E2719" t="s">
        <v>55</v>
      </c>
      <c r="F2719" t="s">
        <v>128</v>
      </c>
      <c r="G2719" t="s">
        <v>63</v>
      </c>
      <c r="H2719">
        <v>3</v>
      </c>
      <c r="I2719">
        <v>77.095691000000002</v>
      </c>
      <c r="J2719">
        <v>2037</v>
      </c>
      <c r="M2719">
        <v>4.01</v>
      </c>
      <c r="O2719">
        <v>0.35799999999999998</v>
      </c>
      <c r="R2719">
        <v>1.0900000000000001</v>
      </c>
    </row>
    <row r="2720" spans="1:19" x14ac:dyDescent="0.2">
      <c r="A2720" t="s">
        <v>4735</v>
      </c>
      <c r="B2720" t="s">
        <v>4736</v>
      </c>
      <c r="C2720">
        <v>2012</v>
      </c>
      <c r="D2720">
        <v>1</v>
      </c>
      <c r="E2720" t="s">
        <v>55</v>
      </c>
      <c r="F2720" t="s">
        <v>128</v>
      </c>
      <c r="G2720" t="s">
        <v>63</v>
      </c>
      <c r="H2720">
        <v>2</v>
      </c>
      <c r="I2720">
        <v>13.83989</v>
      </c>
      <c r="J2720">
        <v>470</v>
      </c>
      <c r="K2720">
        <v>6.8</v>
      </c>
      <c r="L2720">
        <v>4.45</v>
      </c>
      <c r="M2720">
        <v>1.486</v>
      </c>
      <c r="N2720">
        <v>1.4E-2</v>
      </c>
      <c r="O2720">
        <v>0.13300000000000001</v>
      </c>
      <c r="P2720">
        <v>7.46</v>
      </c>
      <c r="Q2720">
        <v>1.07</v>
      </c>
      <c r="R2720">
        <v>1.63</v>
      </c>
      <c r="S2720">
        <v>0.3508</v>
      </c>
    </row>
    <row r="2721" spans="1:19" x14ac:dyDescent="0.2">
      <c r="A2721" t="s">
        <v>4735</v>
      </c>
      <c r="B2721" t="s">
        <v>4737</v>
      </c>
      <c r="C2721">
        <v>2012</v>
      </c>
      <c r="D2721">
        <v>1</v>
      </c>
      <c r="E2721" t="s">
        <v>55</v>
      </c>
      <c r="F2721" t="s">
        <v>128</v>
      </c>
      <c r="G2721" t="s">
        <v>63</v>
      </c>
      <c r="H2721">
        <v>2</v>
      </c>
      <c r="I2721">
        <v>16.23855</v>
      </c>
      <c r="J2721">
        <v>470</v>
      </c>
      <c r="K2721">
        <v>6.8</v>
      </c>
      <c r="L2721">
        <v>8.08</v>
      </c>
      <c r="M2721">
        <v>3.6789999999999998</v>
      </c>
      <c r="N2721">
        <v>2.5000000000000001E-2</v>
      </c>
      <c r="O2721">
        <v>0.32800000000000001</v>
      </c>
      <c r="P2721">
        <v>0.89</v>
      </c>
      <c r="Q2721">
        <v>1.07</v>
      </c>
      <c r="R2721">
        <v>1.63</v>
      </c>
      <c r="S2721">
        <v>0.3508</v>
      </c>
    </row>
    <row r="2722" spans="1:19" x14ac:dyDescent="0.2">
      <c r="A2722" t="s">
        <v>4738</v>
      </c>
      <c r="B2722" t="s">
        <v>4739</v>
      </c>
      <c r="C2722">
        <v>2014</v>
      </c>
      <c r="D2722">
        <v>1</v>
      </c>
      <c r="E2722" t="s">
        <v>55</v>
      </c>
      <c r="F2722" t="s">
        <v>128</v>
      </c>
      <c r="G2722" t="s">
        <v>63</v>
      </c>
      <c r="H2722">
        <v>2</v>
      </c>
      <c r="I2722">
        <v>3.2896719999999999</v>
      </c>
      <c r="J2722">
        <v>881</v>
      </c>
      <c r="M2722">
        <v>1.65</v>
      </c>
      <c r="O2722">
        <v>0.14699999999999999</v>
      </c>
      <c r="R2722">
        <v>1.06</v>
      </c>
    </row>
    <row r="2723" spans="1:19" x14ac:dyDescent="0.2">
      <c r="A2723" t="s">
        <v>4738</v>
      </c>
      <c r="B2723" t="s">
        <v>4740</v>
      </c>
      <c r="C2723">
        <v>2014</v>
      </c>
      <c r="D2723">
        <v>1</v>
      </c>
      <c r="E2723" t="s">
        <v>55</v>
      </c>
      <c r="F2723" t="s">
        <v>128</v>
      </c>
      <c r="G2723" t="s">
        <v>63</v>
      </c>
      <c r="H2723">
        <v>2</v>
      </c>
      <c r="I2723">
        <v>7.1864340000000002</v>
      </c>
      <c r="J2723">
        <v>881</v>
      </c>
      <c r="M2723">
        <v>2.1</v>
      </c>
      <c r="O2723">
        <v>0.187</v>
      </c>
      <c r="R2723">
        <v>1.06</v>
      </c>
    </row>
    <row r="2724" spans="1:19" x14ac:dyDescent="0.2">
      <c r="A2724" t="s">
        <v>4741</v>
      </c>
      <c r="B2724" t="s">
        <v>4742</v>
      </c>
      <c r="C2724">
        <v>2014</v>
      </c>
      <c r="D2724">
        <v>1</v>
      </c>
      <c r="E2724" t="s">
        <v>55</v>
      </c>
      <c r="F2724" t="s">
        <v>128</v>
      </c>
      <c r="G2724" t="s">
        <v>63</v>
      </c>
      <c r="H2724">
        <v>2</v>
      </c>
      <c r="I2724">
        <v>8.4866159999999997</v>
      </c>
      <c r="J2724">
        <v>800</v>
      </c>
      <c r="M2724">
        <v>1.45</v>
      </c>
      <c r="O2724">
        <v>0.129</v>
      </c>
      <c r="R2724">
        <v>1.34</v>
      </c>
    </row>
    <row r="2725" spans="1:19" x14ac:dyDescent="0.2">
      <c r="A2725" t="s">
        <v>4741</v>
      </c>
      <c r="B2725" t="s">
        <v>4743</v>
      </c>
      <c r="C2725">
        <v>2014</v>
      </c>
      <c r="D2725">
        <v>1</v>
      </c>
      <c r="E2725" t="s">
        <v>55</v>
      </c>
      <c r="F2725" t="s">
        <v>128</v>
      </c>
      <c r="G2725" t="s">
        <v>63</v>
      </c>
      <c r="H2725">
        <v>2</v>
      </c>
      <c r="I2725">
        <v>55.188023000000001</v>
      </c>
      <c r="J2725">
        <v>800</v>
      </c>
      <c r="M2725">
        <v>2.52</v>
      </c>
      <c r="O2725">
        <v>0.22500000000000001</v>
      </c>
      <c r="R2725">
        <v>1.34</v>
      </c>
    </row>
    <row r="2726" spans="1:19" x14ac:dyDescent="0.2">
      <c r="A2726" t="s">
        <v>4744</v>
      </c>
      <c r="B2726" t="s">
        <v>4745</v>
      </c>
      <c r="C2726">
        <v>2014</v>
      </c>
      <c r="D2726">
        <v>1</v>
      </c>
      <c r="E2726" t="s">
        <v>55</v>
      </c>
      <c r="F2726" t="s">
        <v>128</v>
      </c>
      <c r="G2726" t="s">
        <v>63</v>
      </c>
      <c r="H2726">
        <v>2</v>
      </c>
      <c r="I2726">
        <v>10.327185999999999</v>
      </c>
      <c r="J2726">
        <v>658</v>
      </c>
      <c r="M2726">
        <v>0.88</v>
      </c>
      <c r="O2726">
        <v>7.9000000000000001E-2</v>
      </c>
      <c r="R2726">
        <v>0.72</v>
      </c>
    </row>
    <row r="2727" spans="1:19" x14ac:dyDescent="0.2">
      <c r="A2727" t="s">
        <v>4744</v>
      </c>
      <c r="B2727" t="s">
        <v>4746</v>
      </c>
      <c r="C2727">
        <v>2014</v>
      </c>
      <c r="D2727">
        <v>1</v>
      </c>
      <c r="E2727" t="s">
        <v>55</v>
      </c>
      <c r="F2727" t="s">
        <v>128</v>
      </c>
      <c r="G2727" t="s">
        <v>63</v>
      </c>
      <c r="H2727">
        <v>2</v>
      </c>
      <c r="I2727">
        <v>37.866281000000001</v>
      </c>
      <c r="J2727">
        <v>658</v>
      </c>
      <c r="M2727">
        <v>1.45</v>
      </c>
      <c r="O2727">
        <v>0.129</v>
      </c>
      <c r="R2727">
        <v>0.72</v>
      </c>
    </row>
    <row r="2728" spans="1:19" x14ac:dyDescent="0.2">
      <c r="A2728" t="s">
        <v>4747</v>
      </c>
      <c r="B2728" t="s">
        <v>4748</v>
      </c>
      <c r="C2728">
        <v>2014</v>
      </c>
      <c r="D2728">
        <v>1</v>
      </c>
      <c r="E2728" t="s">
        <v>55</v>
      </c>
      <c r="F2728" t="s">
        <v>128</v>
      </c>
      <c r="G2728" t="s">
        <v>63</v>
      </c>
      <c r="H2728">
        <v>3</v>
      </c>
      <c r="I2728">
        <v>3.6145679999999998</v>
      </c>
      <c r="J2728">
        <v>606</v>
      </c>
      <c r="M2728">
        <v>1.1599999999999999</v>
      </c>
      <c r="O2728">
        <v>0.10299999999999999</v>
      </c>
      <c r="R2728">
        <v>1.49</v>
      </c>
    </row>
    <row r="2729" spans="1:19" x14ac:dyDescent="0.2">
      <c r="A2729" t="s">
        <v>4747</v>
      </c>
      <c r="B2729" t="s">
        <v>4749</v>
      </c>
      <c r="C2729">
        <v>2014</v>
      </c>
      <c r="D2729">
        <v>1</v>
      </c>
      <c r="E2729" t="s">
        <v>55</v>
      </c>
      <c r="F2729" t="s">
        <v>128</v>
      </c>
      <c r="G2729" t="s">
        <v>63</v>
      </c>
      <c r="H2729">
        <v>3</v>
      </c>
      <c r="I2729">
        <v>7.542427</v>
      </c>
      <c r="J2729">
        <v>606</v>
      </c>
      <c r="M2729">
        <v>1.69</v>
      </c>
      <c r="O2729">
        <v>0.151</v>
      </c>
      <c r="R2729">
        <v>1.49</v>
      </c>
    </row>
    <row r="2730" spans="1:19" x14ac:dyDescent="0.2">
      <c r="A2730" t="s">
        <v>4747</v>
      </c>
      <c r="B2730" t="s">
        <v>4750</v>
      </c>
      <c r="C2730">
        <v>2014</v>
      </c>
      <c r="D2730">
        <v>1</v>
      </c>
      <c r="E2730" t="s">
        <v>55</v>
      </c>
      <c r="F2730" t="s">
        <v>128</v>
      </c>
      <c r="G2730" t="s">
        <v>63</v>
      </c>
      <c r="H2730">
        <v>3</v>
      </c>
      <c r="I2730">
        <v>11.932124999999999</v>
      </c>
      <c r="J2730">
        <v>606</v>
      </c>
      <c r="M2730">
        <v>2.0499999999999998</v>
      </c>
      <c r="O2730">
        <v>0.183</v>
      </c>
      <c r="R2730">
        <v>1.49</v>
      </c>
    </row>
    <row r="2731" spans="1:19" x14ac:dyDescent="0.2">
      <c r="A2731" t="s">
        <v>4751</v>
      </c>
      <c r="B2731" t="s">
        <v>4752</v>
      </c>
      <c r="C2731">
        <v>2014</v>
      </c>
      <c r="D2731">
        <v>1</v>
      </c>
      <c r="E2731" t="s">
        <v>55</v>
      </c>
      <c r="F2731" t="s">
        <v>128</v>
      </c>
      <c r="G2731" t="s">
        <v>63</v>
      </c>
      <c r="H2731">
        <v>2</v>
      </c>
      <c r="I2731">
        <v>25.745718</v>
      </c>
      <c r="J2731">
        <v>941</v>
      </c>
      <c r="M2731">
        <v>1.55</v>
      </c>
      <c r="O2731">
        <v>0.13800000000000001</v>
      </c>
      <c r="R2731">
        <v>1.28</v>
      </c>
    </row>
    <row r="2732" spans="1:19" x14ac:dyDescent="0.2">
      <c r="A2732" t="s">
        <v>4751</v>
      </c>
      <c r="B2732" t="s">
        <v>4753</v>
      </c>
      <c r="C2732">
        <v>2014</v>
      </c>
      <c r="D2732">
        <v>1</v>
      </c>
      <c r="E2732" t="s">
        <v>55</v>
      </c>
      <c r="F2732" t="s">
        <v>128</v>
      </c>
      <c r="G2732" t="s">
        <v>63</v>
      </c>
      <c r="H2732">
        <v>2</v>
      </c>
      <c r="I2732">
        <v>59.980626999999998</v>
      </c>
      <c r="J2732">
        <v>941</v>
      </c>
      <c r="M2732">
        <v>2.15</v>
      </c>
      <c r="O2732">
        <v>0.192</v>
      </c>
      <c r="R2732">
        <v>1.28</v>
      </c>
    </row>
    <row r="2733" spans="1:19" x14ac:dyDescent="0.2">
      <c r="A2733" t="s">
        <v>4754</v>
      </c>
      <c r="B2733" t="s">
        <v>4755</v>
      </c>
      <c r="C2733">
        <v>2014</v>
      </c>
      <c r="D2733">
        <v>1</v>
      </c>
      <c r="E2733" t="s">
        <v>55</v>
      </c>
      <c r="F2733" t="s">
        <v>128</v>
      </c>
      <c r="G2733" t="s">
        <v>63</v>
      </c>
      <c r="H2733">
        <v>2</v>
      </c>
      <c r="I2733">
        <v>10.664903000000001</v>
      </c>
      <c r="J2733">
        <v>950</v>
      </c>
      <c r="M2733">
        <v>2.04</v>
      </c>
      <c r="O2733">
        <v>0.182</v>
      </c>
      <c r="R2733">
        <v>1.05</v>
      </c>
    </row>
    <row r="2734" spans="1:19" x14ac:dyDescent="0.2">
      <c r="A2734" t="s">
        <v>4754</v>
      </c>
      <c r="B2734" t="s">
        <v>4756</v>
      </c>
      <c r="C2734">
        <v>2014</v>
      </c>
      <c r="D2734">
        <v>1</v>
      </c>
      <c r="E2734" t="s">
        <v>55</v>
      </c>
      <c r="F2734" t="s">
        <v>128</v>
      </c>
      <c r="G2734" t="s">
        <v>63</v>
      </c>
      <c r="H2734">
        <v>2</v>
      </c>
      <c r="I2734">
        <v>17.784129</v>
      </c>
      <c r="J2734">
        <v>950</v>
      </c>
      <c r="M2734">
        <v>1.64</v>
      </c>
      <c r="O2734">
        <v>0.14599999999999999</v>
      </c>
      <c r="R2734">
        <v>1.05</v>
      </c>
    </row>
    <row r="2735" spans="1:19" x14ac:dyDescent="0.2">
      <c r="A2735" t="s">
        <v>4757</v>
      </c>
      <c r="B2735" t="s">
        <v>4758</v>
      </c>
      <c r="C2735">
        <v>2014</v>
      </c>
      <c r="D2735">
        <v>1</v>
      </c>
      <c r="E2735" t="s">
        <v>55</v>
      </c>
      <c r="F2735" t="s">
        <v>128</v>
      </c>
      <c r="G2735" t="s">
        <v>63</v>
      </c>
      <c r="H2735">
        <v>2</v>
      </c>
      <c r="I2735">
        <v>3.2819590000000001</v>
      </c>
      <c r="J2735">
        <v>1156</v>
      </c>
      <c r="M2735">
        <v>1.46</v>
      </c>
      <c r="O2735">
        <v>0.13</v>
      </c>
      <c r="R2735">
        <v>1.05</v>
      </c>
    </row>
    <row r="2736" spans="1:19" x14ac:dyDescent="0.2">
      <c r="A2736" t="s">
        <v>4757</v>
      </c>
      <c r="B2736" t="s">
        <v>4759</v>
      </c>
      <c r="C2736">
        <v>2014</v>
      </c>
      <c r="D2736">
        <v>1</v>
      </c>
      <c r="E2736" t="s">
        <v>55</v>
      </c>
      <c r="F2736" t="s">
        <v>128</v>
      </c>
      <c r="G2736" t="s">
        <v>63</v>
      </c>
      <c r="H2736">
        <v>2</v>
      </c>
      <c r="I2736">
        <v>12.516159999999999</v>
      </c>
      <c r="J2736">
        <v>1156</v>
      </c>
      <c r="M2736">
        <v>1.79</v>
      </c>
      <c r="O2736">
        <v>0.16</v>
      </c>
      <c r="R2736">
        <v>1.05</v>
      </c>
    </row>
    <row r="2737" spans="1:19" x14ac:dyDescent="0.2">
      <c r="A2737" t="s">
        <v>4760</v>
      </c>
      <c r="B2737" t="s">
        <v>4761</v>
      </c>
      <c r="C2737">
        <v>2014</v>
      </c>
      <c r="D2737">
        <v>1</v>
      </c>
      <c r="E2737" t="s">
        <v>55</v>
      </c>
      <c r="F2737" t="s">
        <v>128</v>
      </c>
      <c r="G2737" t="s">
        <v>63</v>
      </c>
      <c r="H2737">
        <v>2</v>
      </c>
      <c r="I2737">
        <v>37.815724000000003</v>
      </c>
      <c r="J2737">
        <v>198</v>
      </c>
      <c r="M2737">
        <v>1.3</v>
      </c>
      <c r="O2737">
        <v>0.11600000000000001</v>
      </c>
      <c r="R2737">
        <v>0.69</v>
      </c>
    </row>
    <row r="2738" spans="1:19" x14ac:dyDescent="0.2">
      <c r="A2738" t="s">
        <v>4760</v>
      </c>
      <c r="B2738" t="s">
        <v>4762</v>
      </c>
      <c r="C2738">
        <v>2014</v>
      </c>
      <c r="D2738">
        <v>1</v>
      </c>
      <c r="E2738" t="s">
        <v>55</v>
      </c>
      <c r="F2738" t="s">
        <v>128</v>
      </c>
      <c r="G2738" t="s">
        <v>63</v>
      </c>
      <c r="H2738">
        <v>2</v>
      </c>
      <c r="I2738">
        <v>53.578637000000001</v>
      </c>
      <c r="J2738">
        <v>198</v>
      </c>
      <c r="M2738">
        <v>1.2</v>
      </c>
      <c r="O2738">
        <v>0.107</v>
      </c>
      <c r="R2738">
        <v>0.69</v>
      </c>
    </row>
    <row r="2739" spans="1:19" x14ac:dyDescent="0.2">
      <c r="A2739" t="s">
        <v>4763</v>
      </c>
      <c r="B2739" t="s">
        <v>4764</v>
      </c>
      <c r="C2739">
        <v>2014</v>
      </c>
      <c r="D2739">
        <v>1</v>
      </c>
      <c r="E2739" t="s">
        <v>55</v>
      </c>
      <c r="F2739" t="s">
        <v>128</v>
      </c>
      <c r="G2739" t="s">
        <v>63</v>
      </c>
      <c r="H2739">
        <v>2</v>
      </c>
      <c r="I2739">
        <v>26.84768</v>
      </c>
      <c r="J2739">
        <v>488</v>
      </c>
      <c r="M2739">
        <v>3.26</v>
      </c>
      <c r="O2739">
        <v>0.29099999999999998</v>
      </c>
      <c r="R2739">
        <v>2.02</v>
      </c>
    </row>
    <row r="2740" spans="1:19" x14ac:dyDescent="0.2">
      <c r="A2740" t="s">
        <v>4763</v>
      </c>
      <c r="B2740" t="s">
        <v>4765</v>
      </c>
      <c r="C2740">
        <v>2014</v>
      </c>
      <c r="D2740">
        <v>1</v>
      </c>
      <c r="E2740" t="s">
        <v>55</v>
      </c>
      <c r="F2740" t="s">
        <v>128</v>
      </c>
      <c r="G2740" t="s">
        <v>63</v>
      </c>
      <c r="H2740">
        <v>2</v>
      </c>
      <c r="I2740">
        <v>72.379334</v>
      </c>
      <c r="J2740">
        <v>488</v>
      </c>
      <c r="M2740">
        <v>3.88</v>
      </c>
      <c r="O2740">
        <v>0.34599999999999997</v>
      </c>
      <c r="R2740">
        <v>2.02</v>
      </c>
    </row>
    <row r="2741" spans="1:19" x14ac:dyDescent="0.2">
      <c r="A2741" t="s">
        <v>4766</v>
      </c>
      <c r="B2741" t="s">
        <v>4767</v>
      </c>
      <c r="C2741">
        <v>2014</v>
      </c>
      <c r="D2741">
        <v>1</v>
      </c>
      <c r="E2741" t="s">
        <v>55</v>
      </c>
      <c r="F2741" t="s">
        <v>128</v>
      </c>
      <c r="G2741" t="s">
        <v>63</v>
      </c>
      <c r="H2741">
        <v>2</v>
      </c>
      <c r="I2741">
        <v>2.7327560000000002</v>
      </c>
      <c r="J2741">
        <v>214</v>
      </c>
      <c r="M2741">
        <v>1.1299999999999999</v>
      </c>
      <c r="O2741">
        <v>0.10100000000000001</v>
      </c>
      <c r="R2741">
        <v>0.47</v>
      </c>
    </row>
    <row r="2742" spans="1:19" x14ac:dyDescent="0.2">
      <c r="A2742" t="s">
        <v>4766</v>
      </c>
      <c r="B2742" t="s">
        <v>4768</v>
      </c>
      <c r="C2742">
        <v>2014</v>
      </c>
      <c r="D2742">
        <v>1</v>
      </c>
      <c r="E2742" t="s">
        <v>55</v>
      </c>
      <c r="F2742" t="s">
        <v>128</v>
      </c>
      <c r="G2742" t="s">
        <v>63</v>
      </c>
      <c r="H2742">
        <v>2</v>
      </c>
      <c r="I2742">
        <v>14.871572</v>
      </c>
      <c r="J2742">
        <v>214</v>
      </c>
      <c r="M2742">
        <v>1.41</v>
      </c>
      <c r="O2742">
        <v>0.126</v>
      </c>
      <c r="R2742">
        <v>0.47</v>
      </c>
    </row>
    <row r="2743" spans="1:19" x14ac:dyDescent="0.2">
      <c r="A2743" t="s">
        <v>4769</v>
      </c>
      <c r="B2743" t="s">
        <v>4770</v>
      </c>
      <c r="C2743">
        <v>2013</v>
      </c>
      <c r="D2743">
        <v>1</v>
      </c>
      <c r="E2743" t="s">
        <v>55</v>
      </c>
      <c r="F2743" t="s">
        <v>128</v>
      </c>
      <c r="G2743" t="s">
        <v>63</v>
      </c>
      <c r="H2743">
        <v>4</v>
      </c>
      <c r="I2743">
        <v>13.36731</v>
      </c>
      <c r="J2743">
        <v>66</v>
      </c>
      <c r="L2743">
        <v>3.1783000000000001</v>
      </c>
      <c r="M2743">
        <v>0.33600000000000002</v>
      </c>
      <c r="N2743">
        <v>0.01</v>
      </c>
      <c r="O2743">
        <v>0.03</v>
      </c>
      <c r="Q2743">
        <v>0.87</v>
      </c>
      <c r="R2743">
        <v>0.79</v>
      </c>
      <c r="S2743">
        <v>2.5</v>
      </c>
    </row>
    <row r="2744" spans="1:19" x14ac:dyDescent="0.2">
      <c r="A2744" t="s">
        <v>4769</v>
      </c>
      <c r="B2744" t="s">
        <v>4771</v>
      </c>
      <c r="C2744">
        <v>2013</v>
      </c>
      <c r="D2744">
        <v>1</v>
      </c>
      <c r="E2744" t="s">
        <v>55</v>
      </c>
      <c r="F2744" t="s">
        <v>128</v>
      </c>
      <c r="G2744" t="s">
        <v>63</v>
      </c>
      <c r="H2744">
        <v>4</v>
      </c>
      <c r="I2744">
        <v>21.302</v>
      </c>
      <c r="J2744">
        <v>66</v>
      </c>
      <c r="L2744">
        <v>12</v>
      </c>
      <c r="M2744">
        <v>0.75</v>
      </c>
      <c r="N2744">
        <v>3.7760000000000002E-2</v>
      </c>
      <c r="O2744">
        <v>6.7000000000000004E-2</v>
      </c>
      <c r="Q2744">
        <v>0.87</v>
      </c>
      <c r="R2744">
        <v>0.79</v>
      </c>
      <c r="S2744">
        <v>2.5</v>
      </c>
    </row>
    <row r="2745" spans="1:19" x14ac:dyDescent="0.2">
      <c r="A2745" t="s">
        <v>4769</v>
      </c>
      <c r="B2745" t="s">
        <v>4772</v>
      </c>
      <c r="C2745">
        <v>2013</v>
      </c>
      <c r="D2745">
        <v>1</v>
      </c>
      <c r="E2745" t="s">
        <v>55</v>
      </c>
      <c r="F2745" t="s">
        <v>128</v>
      </c>
      <c r="G2745" t="s">
        <v>63</v>
      </c>
      <c r="H2745">
        <v>4</v>
      </c>
      <c r="I2745">
        <v>39.792200000000001</v>
      </c>
      <c r="J2745">
        <v>66</v>
      </c>
      <c r="L2745">
        <v>12.2</v>
      </c>
      <c r="M2745">
        <v>1.94</v>
      </c>
      <c r="N2745">
        <v>3.8390000000000001E-2</v>
      </c>
      <c r="O2745">
        <v>0.17299999999999999</v>
      </c>
      <c r="Q2745">
        <v>0.87</v>
      </c>
      <c r="R2745">
        <v>0.79</v>
      </c>
      <c r="S2745">
        <v>2.5</v>
      </c>
    </row>
    <row r="2746" spans="1:19" x14ac:dyDescent="0.2">
      <c r="A2746" t="s">
        <v>4769</v>
      </c>
      <c r="B2746" t="s">
        <v>4773</v>
      </c>
      <c r="C2746">
        <v>2014</v>
      </c>
      <c r="D2746">
        <v>1</v>
      </c>
      <c r="E2746" t="s">
        <v>55</v>
      </c>
      <c r="F2746" t="s">
        <v>2343</v>
      </c>
      <c r="G2746" t="s">
        <v>63</v>
      </c>
      <c r="H2746">
        <v>4</v>
      </c>
      <c r="I2746">
        <v>51.195999999999998</v>
      </c>
      <c r="J2746">
        <v>66</v>
      </c>
      <c r="Q2746">
        <v>0.87</v>
      </c>
      <c r="R2746">
        <v>0.79</v>
      </c>
      <c r="S2746">
        <v>2.5</v>
      </c>
    </row>
    <row r="2747" spans="1:19" x14ac:dyDescent="0.2">
      <c r="A2747" t="s">
        <v>4774</v>
      </c>
      <c r="B2747" t="s">
        <v>4775</v>
      </c>
      <c r="C2747">
        <v>2014</v>
      </c>
      <c r="D2747">
        <v>1</v>
      </c>
      <c r="E2747" t="s">
        <v>55</v>
      </c>
      <c r="F2747" t="s">
        <v>128</v>
      </c>
      <c r="G2747" t="s">
        <v>63</v>
      </c>
      <c r="H2747">
        <v>2</v>
      </c>
      <c r="I2747">
        <v>4.5795300000000001</v>
      </c>
      <c r="J2747">
        <v>1078</v>
      </c>
      <c r="M2747">
        <v>1.59</v>
      </c>
      <c r="O2747">
        <v>0.14199999999999999</v>
      </c>
      <c r="R2747">
        <v>0.9</v>
      </c>
    </row>
    <row r="2748" spans="1:19" x14ac:dyDescent="0.2">
      <c r="A2748" t="s">
        <v>4774</v>
      </c>
      <c r="B2748" t="s">
        <v>4776</v>
      </c>
      <c r="C2748">
        <v>2014</v>
      </c>
      <c r="D2748">
        <v>1</v>
      </c>
      <c r="E2748" t="s">
        <v>55</v>
      </c>
      <c r="F2748" t="s">
        <v>128</v>
      </c>
      <c r="G2748" t="s">
        <v>63</v>
      </c>
      <c r="H2748">
        <v>2</v>
      </c>
      <c r="I2748">
        <v>19.022929999999999</v>
      </c>
      <c r="J2748">
        <v>1078</v>
      </c>
      <c r="M2748">
        <v>1.91</v>
      </c>
      <c r="O2748">
        <v>0.17</v>
      </c>
      <c r="R2748">
        <v>0.9</v>
      </c>
    </row>
    <row r="2749" spans="1:19" x14ac:dyDescent="0.2">
      <c r="A2749" t="s">
        <v>4777</v>
      </c>
      <c r="B2749" t="s">
        <v>4778</v>
      </c>
      <c r="C2749">
        <v>2014</v>
      </c>
      <c r="D2749">
        <v>1</v>
      </c>
      <c r="E2749" t="s">
        <v>55</v>
      </c>
      <c r="F2749" t="s">
        <v>128</v>
      </c>
      <c r="G2749" t="s">
        <v>63</v>
      </c>
      <c r="H2749">
        <v>2</v>
      </c>
      <c r="I2749">
        <v>34.763278</v>
      </c>
      <c r="J2749">
        <v>603</v>
      </c>
      <c r="M2749">
        <v>1.89</v>
      </c>
      <c r="O2749">
        <v>0.16900000000000001</v>
      </c>
      <c r="R2749">
        <v>0.99</v>
      </c>
    </row>
    <row r="2750" spans="1:19" x14ac:dyDescent="0.2">
      <c r="A2750" t="s">
        <v>4777</v>
      </c>
      <c r="B2750" t="s">
        <v>4779</v>
      </c>
      <c r="C2750">
        <v>2014</v>
      </c>
      <c r="D2750">
        <v>1</v>
      </c>
      <c r="E2750" t="s">
        <v>55</v>
      </c>
      <c r="F2750" t="s">
        <v>128</v>
      </c>
      <c r="G2750" t="s">
        <v>63</v>
      </c>
      <c r="H2750">
        <v>2</v>
      </c>
      <c r="I2750">
        <v>67.968014999999994</v>
      </c>
      <c r="J2750">
        <v>603</v>
      </c>
      <c r="M2750">
        <v>1.78</v>
      </c>
      <c r="O2750">
        <v>0.159</v>
      </c>
      <c r="R2750">
        <v>0.99</v>
      </c>
    </row>
    <row r="2751" spans="1:19" x14ac:dyDescent="0.2">
      <c r="A2751" t="s">
        <v>4780</v>
      </c>
      <c r="B2751" t="s">
        <v>4781</v>
      </c>
      <c r="C2751">
        <v>2014</v>
      </c>
      <c r="D2751">
        <v>1</v>
      </c>
      <c r="E2751" t="s">
        <v>55</v>
      </c>
      <c r="F2751" t="s">
        <v>128</v>
      </c>
      <c r="G2751" t="s">
        <v>63</v>
      </c>
      <c r="H2751">
        <v>3</v>
      </c>
      <c r="I2751">
        <v>6.8496920000000001</v>
      </c>
      <c r="J2751">
        <v>1378</v>
      </c>
      <c r="M2751">
        <v>1.36</v>
      </c>
      <c r="O2751">
        <v>0.121</v>
      </c>
      <c r="R2751">
        <v>1.1399999999999999</v>
      </c>
    </row>
    <row r="2752" spans="1:19" x14ac:dyDescent="0.2">
      <c r="A2752" t="s">
        <v>4780</v>
      </c>
      <c r="B2752" t="s">
        <v>4782</v>
      </c>
      <c r="C2752">
        <v>2014</v>
      </c>
      <c r="D2752">
        <v>1</v>
      </c>
      <c r="E2752" t="s">
        <v>55</v>
      </c>
      <c r="F2752" t="s">
        <v>128</v>
      </c>
      <c r="G2752" t="s">
        <v>63</v>
      </c>
      <c r="H2752">
        <v>3</v>
      </c>
      <c r="I2752">
        <v>20.053763</v>
      </c>
      <c r="J2752">
        <v>1378</v>
      </c>
      <c r="M2752">
        <v>2.09</v>
      </c>
      <c r="O2752">
        <v>0.186</v>
      </c>
      <c r="R2752">
        <v>1.1399999999999999</v>
      </c>
    </row>
    <row r="2753" spans="1:18" x14ac:dyDescent="0.2">
      <c r="A2753" t="s">
        <v>4780</v>
      </c>
      <c r="B2753" t="s">
        <v>4783</v>
      </c>
      <c r="C2753">
        <v>2014</v>
      </c>
      <c r="D2753">
        <v>1</v>
      </c>
      <c r="E2753" t="s">
        <v>55</v>
      </c>
      <c r="F2753" t="s">
        <v>128</v>
      </c>
      <c r="G2753" t="s">
        <v>63</v>
      </c>
      <c r="H2753">
        <v>3</v>
      </c>
      <c r="I2753">
        <v>30.092568</v>
      </c>
      <c r="J2753">
        <v>1378</v>
      </c>
      <c r="M2753">
        <v>1.69</v>
      </c>
      <c r="O2753">
        <v>0.151</v>
      </c>
      <c r="R2753">
        <v>1.1399999999999999</v>
      </c>
    </row>
    <row r="2754" spans="1:18" x14ac:dyDescent="0.2">
      <c r="A2754" t="s">
        <v>4784</v>
      </c>
      <c r="B2754" t="s">
        <v>4785</v>
      </c>
      <c r="C2754">
        <v>2014</v>
      </c>
      <c r="D2754">
        <v>1</v>
      </c>
      <c r="E2754" t="s">
        <v>55</v>
      </c>
      <c r="F2754" t="s">
        <v>128</v>
      </c>
      <c r="G2754" t="s">
        <v>63</v>
      </c>
      <c r="H2754">
        <v>2</v>
      </c>
      <c r="I2754">
        <v>5.5353089999999998</v>
      </c>
      <c r="J2754">
        <v>718</v>
      </c>
      <c r="M2754">
        <v>1.36</v>
      </c>
      <c r="O2754">
        <v>0.121</v>
      </c>
      <c r="R2754">
        <v>0.84</v>
      </c>
    </row>
    <row r="2755" spans="1:18" x14ac:dyDescent="0.2">
      <c r="A2755" t="s">
        <v>4784</v>
      </c>
      <c r="B2755" t="s">
        <v>4786</v>
      </c>
      <c r="C2755">
        <v>2014</v>
      </c>
      <c r="D2755">
        <v>1</v>
      </c>
      <c r="E2755" t="s">
        <v>55</v>
      </c>
      <c r="F2755" t="s">
        <v>128</v>
      </c>
      <c r="G2755" t="s">
        <v>63</v>
      </c>
      <c r="H2755">
        <v>2</v>
      </c>
      <c r="I2755">
        <v>16.725947999999999</v>
      </c>
      <c r="J2755">
        <v>718</v>
      </c>
      <c r="M2755">
        <v>1.24</v>
      </c>
      <c r="O2755">
        <v>0.111</v>
      </c>
      <c r="R2755">
        <v>0.84</v>
      </c>
    </row>
    <row r="2756" spans="1:18" x14ac:dyDescent="0.2">
      <c r="A2756" t="s">
        <v>4787</v>
      </c>
      <c r="B2756" t="s">
        <v>4788</v>
      </c>
      <c r="C2756">
        <v>2014</v>
      </c>
      <c r="D2756">
        <v>1</v>
      </c>
      <c r="E2756" t="s">
        <v>55</v>
      </c>
      <c r="F2756" t="s">
        <v>128</v>
      </c>
      <c r="G2756" t="s">
        <v>63</v>
      </c>
      <c r="H2756">
        <v>3</v>
      </c>
      <c r="I2756">
        <v>1.8978060000000001</v>
      </c>
      <c r="J2756">
        <v>978</v>
      </c>
      <c r="M2756">
        <v>1.03</v>
      </c>
      <c r="O2756">
        <v>9.1999999999999998E-2</v>
      </c>
      <c r="R2756">
        <v>0.91</v>
      </c>
    </row>
    <row r="2757" spans="1:18" x14ac:dyDescent="0.2">
      <c r="A2757" t="s">
        <v>4787</v>
      </c>
      <c r="B2757" t="s">
        <v>4789</v>
      </c>
      <c r="C2757">
        <v>2014</v>
      </c>
      <c r="D2757">
        <v>1</v>
      </c>
      <c r="E2757" t="s">
        <v>55</v>
      </c>
      <c r="F2757" t="s">
        <v>128</v>
      </c>
      <c r="G2757" t="s">
        <v>63</v>
      </c>
      <c r="H2757">
        <v>3</v>
      </c>
      <c r="I2757">
        <v>3.282807</v>
      </c>
      <c r="J2757">
        <v>978</v>
      </c>
      <c r="M2757">
        <v>1.1000000000000001</v>
      </c>
      <c r="O2757">
        <v>9.8000000000000004E-2</v>
      </c>
      <c r="R2757">
        <v>0.91</v>
      </c>
    </row>
    <row r="2758" spans="1:18" x14ac:dyDescent="0.2">
      <c r="A2758" t="s">
        <v>4787</v>
      </c>
      <c r="B2758" t="s">
        <v>4790</v>
      </c>
      <c r="C2758">
        <v>2014</v>
      </c>
      <c r="D2758">
        <v>1</v>
      </c>
      <c r="E2758" t="s">
        <v>55</v>
      </c>
      <c r="F2758" t="s">
        <v>128</v>
      </c>
      <c r="G2758" t="s">
        <v>63</v>
      </c>
      <c r="H2758">
        <v>3</v>
      </c>
      <c r="I2758">
        <v>5.028219</v>
      </c>
      <c r="J2758">
        <v>978</v>
      </c>
      <c r="M2758">
        <v>1.31</v>
      </c>
      <c r="O2758">
        <v>0.11700000000000001</v>
      </c>
      <c r="R2758">
        <v>0.91</v>
      </c>
    </row>
    <row r="2759" spans="1:18" x14ac:dyDescent="0.2">
      <c r="A2759" t="s">
        <v>4791</v>
      </c>
      <c r="B2759" t="s">
        <v>4792</v>
      </c>
      <c r="C2759">
        <v>2014</v>
      </c>
      <c r="D2759">
        <v>1</v>
      </c>
      <c r="E2759" t="s">
        <v>55</v>
      </c>
      <c r="F2759" t="s">
        <v>128</v>
      </c>
      <c r="G2759" t="s">
        <v>63</v>
      </c>
      <c r="H2759">
        <v>2</v>
      </c>
      <c r="I2759">
        <v>12.125934000000001</v>
      </c>
      <c r="J2759">
        <v>1209</v>
      </c>
      <c r="M2759">
        <v>1.45</v>
      </c>
      <c r="O2759">
        <v>0.129</v>
      </c>
      <c r="R2759">
        <v>0.84</v>
      </c>
    </row>
    <row r="2760" spans="1:18" x14ac:dyDescent="0.2">
      <c r="A2760" t="s">
        <v>4791</v>
      </c>
      <c r="B2760" t="s">
        <v>4793</v>
      </c>
      <c r="C2760">
        <v>2014</v>
      </c>
      <c r="D2760">
        <v>1</v>
      </c>
      <c r="E2760" t="s">
        <v>55</v>
      </c>
      <c r="F2760" t="s">
        <v>128</v>
      </c>
      <c r="G2760" t="s">
        <v>63</v>
      </c>
      <c r="H2760">
        <v>2</v>
      </c>
      <c r="I2760">
        <v>19.986325999999998</v>
      </c>
      <c r="J2760">
        <v>1209</v>
      </c>
      <c r="M2760">
        <v>2.65</v>
      </c>
      <c r="O2760">
        <v>0.23599999999999999</v>
      </c>
      <c r="R2760">
        <v>0.84</v>
      </c>
    </row>
    <row r="2761" spans="1:18" x14ac:dyDescent="0.2">
      <c r="A2761" t="s">
        <v>4794</v>
      </c>
      <c r="B2761" t="s">
        <v>4795</v>
      </c>
      <c r="C2761">
        <v>2014</v>
      </c>
      <c r="D2761">
        <v>1</v>
      </c>
      <c r="E2761" t="s">
        <v>55</v>
      </c>
      <c r="F2761" t="s">
        <v>128</v>
      </c>
      <c r="G2761" t="s">
        <v>63</v>
      </c>
      <c r="H2761">
        <v>2</v>
      </c>
      <c r="I2761">
        <v>4.9201990000000002</v>
      </c>
      <c r="J2761">
        <v>806</v>
      </c>
      <c r="M2761">
        <v>1.07</v>
      </c>
      <c r="O2761">
        <v>9.5000000000000001E-2</v>
      </c>
      <c r="R2761">
        <v>1.18</v>
      </c>
    </row>
    <row r="2762" spans="1:18" x14ac:dyDescent="0.2">
      <c r="A2762" t="s">
        <v>4794</v>
      </c>
      <c r="B2762" t="s">
        <v>4796</v>
      </c>
      <c r="C2762">
        <v>2014</v>
      </c>
      <c r="D2762">
        <v>1</v>
      </c>
      <c r="E2762" t="s">
        <v>55</v>
      </c>
      <c r="F2762" t="s">
        <v>128</v>
      </c>
      <c r="G2762" t="s">
        <v>63</v>
      </c>
      <c r="H2762">
        <v>2</v>
      </c>
      <c r="I2762">
        <v>14.172326999999999</v>
      </c>
      <c r="J2762">
        <v>806</v>
      </c>
      <c r="M2762">
        <v>1.79</v>
      </c>
      <c r="O2762">
        <v>0.16</v>
      </c>
      <c r="R2762">
        <v>1.18</v>
      </c>
    </row>
    <row r="2763" spans="1:18" x14ac:dyDescent="0.2">
      <c r="A2763" t="s">
        <v>4797</v>
      </c>
      <c r="B2763" t="s">
        <v>4798</v>
      </c>
      <c r="C2763">
        <v>2014</v>
      </c>
      <c r="D2763">
        <v>1</v>
      </c>
      <c r="E2763" t="s">
        <v>55</v>
      </c>
      <c r="F2763" t="s">
        <v>128</v>
      </c>
      <c r="G2763" t="s">
        <v>63</v>
      </c>
      <c r="H2763">
        <v>2</v>
      </c>
      <c r="I2763">
        <v>12.509529000000001</v>
      </c>
      <c r="J2763">
        <v>791</v>
      </c>
      <c r="M2763">
        <v>1.39</v>
      </c>
      <c r="O2763">
        <v>0.124</v>
      </c>
      <c r="R2763">
        <v>1.22</v>
      </c>
    </row>
    <row r="2764" spans="1:18" x14ac:dyDescent="0.2">
      <c r="A2764" t="s">
        <v>4797</v>
      </c>
      <c r="B2764" t="s">
        <v>4799</v>
      </c>
      <c r="C2764">
        <v>2014</v>
      </c>
      <c r="D2764">
        <v>1</v>
      </c>
      <c r="E2764" t="s">
        <v>55</v>
      </c>
      <c r="F2764" t="s">
        <v>128</v>
      </c>
      <c r="G2764" t="s">
        <v>63</v>
      </c>
      <c r="H2764">
        <v>2</v>
      </c>
      <c r="I2764">
        <v>27.014976000000001</v>
      </c>
      <c r="J2764">
        <v>791</v>
      </c>
      <c r="M2764">
        <v>2.06</v>
      </c>
      <c r="O2764">
        <v>0.184</v>
      </c>
      <c r="R2764">
        <v>1.22</v>
      </c>
    </row>
    <row r="2765" spans="1:18" x14ac:dyDescent="0.2">
      <c r="A2765" t="s">
        <v>4800</v>
      </c>
      <c r="B2765" t="s">
        <v>4801</v>
      </c>
      <c r="C2765">
        <v>2014</v>
      </c>
      <c r="D2765">
        <v>1</v>
      </c>
      <c r="E2765" t="s">
        <v>55</v>
      </c>
      <c r="F2765" t="s">
        <v>128</v>
      </c>
      <c r="G2765" t="s">
        <v>63</v>
      </c>
      <c r="H2765">
        <v>2</v>
      </c>
      <c r="I2765">
        <v>16.092361</v>
      </c>
      <c r="J2765">
        <v>155</v>
      </c>
      <c r="M2765">
        <v>0.75</v>
      </c>
      <c r="O2765">
        <v>6.7000000000000004E-2</v>
      </c>
      <c r="R2765">
        <v>0.67</v>
      </c>
    </row>
    <row r="2766" spans="1:18" x14ac:dyDescent="0.2">
      <c r="A2766" t="s">
        <v>4800</v>
      </c>
      <c r="B2766" t="s">
        <v>4802</v>
      </c>
      <c r="C2766">
        <v>2014</v>
      </c>
      <c r="D2766">
        <v>1</v>
      </c>
      <c r="E2766" t="s">
        <v>55</v>
      </c>
      <c r="F2766" t="s">
        <v>128</v>
      </c>
      <c r="G2766" t="s">
        <v>63</v>
      </c>
      <c r="H2766">
        <v>2</v>
      </c>
      <c r="I2766">
        <v>28.906009000000001</v>
      </c>
      <c r="J2766">
        <v>155</v>
      </c>
      <c r="M2766">
        <v>0.7</v>
      </c>
      <c r="O2766">
        <v>6.2E-2</v>
      </c>
      <c r="R2766">
        <v>0.67</v>
      </c>
    </row>
    <row r="2767" spans="1:18" x14ac:dyDescent="0.2">
      <c r="A2767" t="s">
        <v>4803</v>
      </c>
      <c r="B2767" t="s">
        <v>4804</v>
      </c>
      <c r="C2767">
        <v>2014</v>
      </c>
      <c r="D2767">
        <v>1</v>
      </c>
      <c r="E2767" t="s">
        <v>55</v>
      </c>
      <c r="F2767" t="s">
        <v>128</v>
      </c>
      <c r="G2767" t="s">
        <v>63</v>
      </c>
      <c r="H2767">
        <v>2</v>
      </c>
      <c r="I2767">
        <v>20.098379999999999</v>
      </c>
      <c r="J2767">
        <v>719</v>
      </c>
      <c r="M2767">
        <v>1.66</v>
      </c>
      <c r="O2767">
        <v>0.14799999999999999</v>
      </c>
      <c r="R2767">
        <v>1.31</v>
      </c>
    </row>
    <row r="2768" spans="1:18" x14ac:dyDescent="0.2">
      <c r="A2768" t="s">
        <v>4803</v>
      </c>
      <c r="B2768" t="s">
        <v>4805</v>
      </c>
      <c r="C2768">
        <v>2014</v>
      </c>
      <c r="D2768">
        <v>1</v>
      </c>
      <c r="E2768" t="s">
        <v>55</v>
      </c>
      <c r="F2768" t="s">
        <v>128</v>
      </c>
      <c r="G2768" t="s">
        <v>63</v>
      </c>
      <c r="H2768">
        <v>2</v>
      </c>
      <c r="I2768">
        <v>62.784697000000001</v>
      </c>
      <c r="J2768">
        <v>719</v>
      </c>
      <c r="M2768">
        <v>2.29</v>
      </c>
      <c r="O2768">
        <v>0.20399999999999999</v>
      </c>
      <c r="R2768">
        <v>1.31</v>
      </c>
    </row>
    <row r="2769" spans="1:19" x14ac:dyDescent="0.2">
      <c r="A2769" t="s">
        <v>4806</v>
      </c>
      <c r="B2769" t="s">
        <v>4807</v>
      </c>
      <c r="C2769">
        <v>2012</v>
      </c>
      <c r="D2769">
        <v>1</v>
      </c>
      <c r="E2769" t="s">
        <v>55</v>
      </c>
      <c r="F2769" t="s">
        <v>128</v>
      </c>
      <c r="G2769" t="s">
        <v>63</v>
      </c>
      <c r="H2769">
        <v>1</v>
      </c>
      <c r="I2769">
        <v>105.599</v>
      </c>
      <c r="J2769">
        <v>600</v>
      </c>
      <c r="K2769">
        <v>10</v>
      </c>
      <c r="L2769">
        <v>122</v>
      </c>
      <c r="M2769">
        <v>4.3</v>
      </c>
      <c r="N2769">
        <v>0.38400000000000001</v>
      </c>
      <c r="O2769">
        <v>0.38400000000000001</v>
      </c>
      <c r="Q2769">
        <v>0.94</v>
      </c>
      <c r="R2769">
        <v>1.75</v>
      </c>
      <c r="S2769">
        <v>0.17499999999999999</v>
      </c>
    </row>
    <row r="2770" spans="1:19" x14ac:dyDescent="0.2">
      <c r="A2770" t="s">
        <v>4808</v>
      </c>
      <c r="B2770" t="s">
        <v>4809</v>
      </c>
      <c r="C2770">
        <v>2014</v>
      </c>
      <c r="D2770">
        <v>1</v>
      </c>
      <c r="E2770" t="s">
        <v>55</v>
      </c>
      <c r="F2770" t="s">
        <v>128</v>
      </c>
      <c r="G2770" t="s">
        <v>63</v>
      </c>
      <c r="H2770">
        <v>2</v>
      </c>
      <c r="I2770">
        <v>3.9308209999999999</v>
      </c>
      <c r="J2770">
        <v>741</v>
      </c>
      <c r="M2770">
        <v>1.19</v>
      </c>
      <c r="O2770">
        <v>0.106</v>
      </c>
      <c r="R2770">
        <v>1.22</v>
      </c>
    </row>
    <row r="2771" spans="1:19" x14ac:dyDescent="0.2">
      <c r="A2771" t="s">
        <v>4808</v>
      </c>
      <c r="B2771" t="s">
        <v>4810</v>
      </c>
      <c r="C2771">
        <v>2014</v>
      </c>
      <c r="D2771">
        <v>1</v>
      </c>
      <c r="E2771" t="s">
        <v>55</v>
      </c>
      <c r="F2771" t="s">
        <v>128</v>
      </c>
      <c r="G2771" t="s">
        <v>63</v>
      </c>
      <c r="H2771">
        <v>2</v>
      </c>
      <c r="I2771">
        <v>7.6300039999999996</v>
      </c>
      <c r="J2771">
        <v>741</v>
      </c>
      <c r="M2771">
        <v>1.27</v>
      </c>
      <c r="O2771">
        <v>0.113</v>
      </c>
      <c r="R2771">
        <v>1.22</v>
      </c>
    </row>
    <row r="2772" spans="1:19" x14ac:dyDescent="0.2">
      <c r="A2772" t="s">
        <v>4811</v>
      </c>
      <c r="B2772" t="s">
        <v>4812</v>
      </c>
      <c r="C2772">
        <v>2014</v>
      </c>
      <c r="D2772">
        <v>1</v>
      </c>
      <c r="E2772" t="s">
        <v>55</v>
      </c>
      <c r="F2772" t="s">
        <v>128</v>
      </c>
      <c r="G2772" t="s">
        <v>63</v>
      </c>
      <c r="H2772">
        <v>2</v>
      </c>
      <c r="I2772">
        <v>5.6290209999999998</v>
      </c>
      <c r="J2772">
        <v>368</v>
      </c>
      <c r="M2772">
        <v>0.99</v>
      </c>
      <c r="O2772">
        <v>8.7999999999999995E-2</v>
      </c>
      <c r="R2772">
        <v>1.57</v>
      </c>
    </row>
    <row r="2773" spans="1:19" x14ac:dyDescent="0.2">
      <c r="A2773" t="s">
        <v>4811</v>
      </c>
      <c r="B2773" t="s">
        <v>4813</v>
      </c>
      <c r="C2773">
        <v>2014</v>
      </c>
      <c r="D2773">
        <v>1</v>
      </c>
      <c r="E2773" t="s">
        <v>55</v>
      </c>
      <c r="F2773" t="s">
        <v>128</v>
      </c>
      <c r="G2773" t="s">
        <v>63</v>
      </c>
      <c r="H2773">
        <v>2</v>
      </c>
      <c r="I2773">
        <v>13.391635000000001</v>
      </c>
      <c r="J2773">
        <v>368</v>
      </c>
      <c r="M2773">
        <v>1.1200000000000001</v>
      </c>
      <c r="O2773">
        <v>0.1</v>
      </c>
      <c r="R2773">
        <v>1.57</v>
      </c>
    </row>
    <row r="2774" spans="1:19" x14ac:dyDescent="0.2">
      <c r="A2774" t="s">
        <v>4814</v>
      </c>
      <c r="B2774" t="s">
        <v>4815</v>
      </c>
      <c r="C2774">
        <v>2014</v>
      </c>
      <c r="D2774">
        <v>1</v>
      </c>
      <c r="E2774" t="s">
        <v>55</v>
      </c>
      <c r="F2774" t="s">
        <v>128</v>
      </c>
      <c r="G2774" t="s">
        <v>63</v>
      </c>
      <c r="H2774">
        <v>2</v>
      </c>
      <c r="I2774">
        <v>5.2621549999999999</v>
      </c>
      <c r="J2774">
        <v>684</v>
      </c>
      <c r="M2774">
        <v>1.32</v>
      </c>
      <c r="O2774">
        <v>0.11799999999999999</v>
      </c>
      <c r="R2774">
        <v>0.94</v>
      </c>
    </row>
    <row r="2775" spans="1:19" x14ac:dyDescent="0.2">
      <c r="A2775" t="s">
        <v>4814</v>
      </c>
      <c r="B2775" t="s">
        <v>4816</v>
      </c>
      <c r="C2775">
        <v>2014</v>
      </c>
      <c r="D2775">
        <v>1</v>
      </c>
      <c r="E2775" t="s">
        <v>55</v>
      </c>
      <c r="F2775" t="s">
        <v>128</v>
      </c>
      <c r="G2775" t="s">
        <v>63</v>
      </c>
      <c r="H2775">
        <v>2</v>
      </c>
      <c r="I2775">
        <v>12.162701</v>
      </c>
      <c r="J2775">
        <v>684</v>
      </c>
      <c r="M2775">
        <v>1.59</v>
      </c>
      <c r="O2775">
        <v>0.14199999999999999</v>
      </c>
      <c r="R2775">
        <v>0.94</v>
      </c>
    </row>
    <row r="2776" spans="1:19" x14ac:dyDescent="0.2">
      <c r="A2776" t="s">
        <v>4817</v>
      </c>
      <c r="B2776" t="s">
        <v>4818</v>
      </c>
      <c r="C2776">
        <v>2014</v>
      </c>
      <c r="D2776">
        <v>1</v>
      </c>
      <c r="E2776" t="s">
        <v>55</v>
      </c>
      <c r="F2776" t="s">
        <v>128</v>
      </c>
      <c r="G2776" t="s">
        <v>63</v>
      </c>
      <c r="H2776">
        <v>2</v>
      </c>
      <c r="I2776">
        <v>12.904532</v>
      </c>
      <c r="J2776">
        <v>470</v>
      </c>
      <c r="M2776">
        <v>1.32</v>
      </c>
      <c r="O2776">
        <v>0.11799999999999999</v>
      </c>
      <c r="R2776">
        <v>0.67</v>
      </c>
    </row>
    <row r="2777" spans="1:19" x14ac:dyDescent="0.2">
      <c r="A2777" t="s">
        <v>4817</v>
      </c>
      <c r="B2777" t="s">
        <v>4819</v>
      </c>
      <c r="C2777">
        <v>2014</v>
      </c>
      <c r="D2777">
        <v>1</v>
      </c>
      <c r="E2777" t="s">
        <v>55</v>
      </c>
      <c r="F2777" t="s">
        <v>128</v>
      </c>
      <c r="G2777" t="s">
        <v>63</v>
      </c>
      <c r="H2777">
        <v>2</v>
      </c>
      <c r="I2777">
        <v>31.200751</v>
      </c>
      <c r="J2777">
        <v>470</v>
      </c>
      <c r="M2777">
        <v>1.24</v>
      </c>
      <c r="O2777">
        <v>0.111</v>
      </c>
      <c r="R2777">
        <v>0.67</v>
      </c>
    </row>
    <row r="2778" spans="1:19" x14ac:dyDescent="0.2">
      <c r="A2778" t="s">
        <v>4820</v>
      </c>
      <c r="B2778" t="s">
        <v>4821</v>
      </c>
      <c r="C2778">
        <v>2014</v>
      </c>
      <c r="D2778">
        <v>1</v>
      </c>
      <c r="E2778" t="s">
        <v>55</v>
      </c>
      <c r="F2778" t="s">
        <v>128</v>
      </c>
      <c r="G2778" t="s">
        <v>63</v>
      </c>
      <c r="H2778">
        <v>2</v>
      </c>
      <c r="I2778">
        <v>22.597052999999999</v>
      </c>
      <c r="J2778">
        <v>559</v>
      </c>
      <c r="M2778">
        <v>1.1200000000000001</v>
      </c>
      <c r="O2778">
        <v>0.1</v>
      </c>
      <c r="R2778">
        <v>0.88</v>
      </c>
    </row>
    <row r="2779" spans="1:19" x14ac:dyDescent="0.2">
      <c r="A2779" t="s">
        <v>4820</v>
      </c>
      <c r="B2779" t="s">
        <v>4822</v>
      </c>
      <c r="C2779">
        <v>2014</v>
      </c>
      <c r="D2779">
        <v>1</v>
      </c>
      <c r="E2779" t="s">
        <v>55</v>
      </c>
      <c r="F2779" t="s">
        <v>128</v>
      </c>
      <c r="G2779" t="s">
        <v>63</v>
      </c>
      <c r="H2779">
        <v>2</v>
      </c>
      <c r="I2779">
        <v>45.348269000000002</v>
      </c>
      <c r="J2779">
        <v>559</v>
      </c>
      <c r="M2779">
        <v>1.1299999999999999</v>
      </c>
      <c r="O2779">
        <v>0.10100000000000001</v>
      </c>
      <c r="R2779">
        <v>0.88</v>
      </c>
    </row>
    <row r="2780" spans="1:19" x14ac:dyDescent="0.2">
      <c r="A2780" t="s">
        <v>4823</v>
      </c>
      <c r="B2780" t="s">
        <v>4824</v>
      </c>
      <c r="C2780">
        <v>2014</v>
      </c>
      <c r="D2780">
        <v>1</v>
      </c>
      <c r="E2780" t="s">
        <v>55</v>
      </c>
      <c r="F2780" t="s">
        <v>128</v>
      </c>
      <c r="G2780" t="s">
        <v>63</v>
      </c>
      <c r="H2780">
        <v>2</v>
      </c>
      <c r="I2780">
        <v>10.043685999999999</v>
      </c>
      <c r="J2780">
        <v>1550</v>
      </c>
      <c r="M2780">
        <v>2.73</v>
      </c>
      <c r="O2780">
        <v>0.24399999999999999</v>
      </c>
      <c r="R2780">
        <v>1.1299999999999999</v>
      </c>
    </row>
    <row r="2781" spans="1:19" x14ac:dyDescent="0.2">
      <c r="A2781" t="s">
        <v>4823</v>
      </c>
      <c r="B2781" t="s">
        <v>4825</v>
      </c>
      <c r="C2781">
        <v>2014</v>
      </c>
      <c r="D2781">
        <v>1</v>
      </c>
      <c r="E2781" t="s">
        <v>55</v>
      </c>
      <c r="F2781" t="s">
        <v>128</v>
      </c>
      <c r="G2781" t="s">
        <v>63</v>
      </c>
      <c r="H2781">
        <v>2</v>
      </c>
      <c r="I2781">
        <v>15.163161000000001</v>
      </c>
      <c r="J2781">
        <v>1550</v>
      </c>
      <c r="M2781">
        <v>3.04</v>
      </c>
      <c r="O2781">
        <v>0.27100000000000002</v>
      </c>
      <c r="R2781">
        <v>1.1299999999999999</v>
      </c>
    </row>
    <row r="2782" spans="1:19" x14ac:dyDescent="0.2">
      <c r="A2782" t="s">
        <v>4826</v>
      </c>
      <c r="B2782" t="s">
        <v>4827</v>
      </c>
      <c r="C2782">
        <v>2014</v>
      </c>
      <c r="D2782">
        <v>1</v>
      </c>
      <c r="E2782" t="s">
        <v>55</v>
      </c>
      <c r="F2782" t="s">
        <v>128</v>
      </c>
      <c r="G2782" t="s">
        <v>63</v>
      </c>
      <c r="H2782">
        <v>2</v>
      </c>
      <c r="I2782">
        <v>12.31043</v>
      </c>
      <c r="J2782">
        <v>847</v>
      </c>
      <c r="M2782">
        <v>1.39</v>
      </c>
      <c r="O2782">
        <v>0.124</v>
      </c>
      <c r="R2782">
        <v>0.77</v>
      </c>
    </row>
    <row r="2783" spans="1:19" x14ac:dyDescent="0.2">
      <c r="A2783" t="s">
        <v>4826</v>
      </c>
      <c r="B2783" t="s">
        <v>4828</v>
      </c>
      <c r="C2783">
        <v>2014</v>
      </c>
      <c r="D2783">
        <v>1</v>
      </c>
      <c r="E2783" t="s">
        <v>55</v>
      </c>
      <c r="F2783" t="s">
        <v>128</v>
      </c>
      <c r="G2783" t="s">
        <v>63</v>
      </c>
      <c r="H2783">
        <v>2</v>
      </c>
      <c r="I2783">
        <v>25.193458</v>
      </c>
      <c r="J2783">
        <v>847</v>
      </c>
      <c r="M2783">
        <v>1.58</v>
      </c>
      <c r="O2783">
        <v>0.14099999999999999</v>
      </c>
      <c r="R2783">
        <v>0.77</v>
      </c>
    </row>
    <row r="2784" spans="1:19" x14ac:dyDescent="0.2">
      <c r="A2784" t="s">
        <v>4829</v>
      </c>
      <c r="B2784" t="s">
        <v>4830</v>
      </c>
      <c r="C2784">
        <v>2014</v>
      </c>
      <c r="D2784">
        <v>1</v>
      </c>
      <c r="E2784" t="s">
        <v>55</v>
      </c>
      <c r="F2784" t="s">
        <v>128</v>
      </c>
      <c r="G2784" t="s">
        <v>63</v>
      </c>
      <c r="H2784">
        <v>2</v>
      </c>
      <c r="I2784">
        <v>6.7916359999999996</v>
      </c>
      <c r="J2784">
        <v>714</v>
      </c>
      <c r="M2784">
        <v>1.03</v>
      </c>
      <c r="O2784">
        <v>9.1999999999999998E-2</v>
      </c>
      <c r="R2784">
        <v>1.05</v>
      </c>
    </row>
    <row r="2785" spans="1:19" x14ac:dyDescent="0.2">
      <c r="A2785" t="s">
        <v>4829</v>
      </c>
      <c r="B2785" t="s">
        <v>4831</v>
      </c>
      <c r="C2785">
        <v>2014</v>
      </c>
      <c r="D2785">
        <v>1</v>
      </c>
      <c r="E2785" t="s">
        <v>55</v>
      </c>
      <c r="F2785" t="s">
        <v>128</v>
      </c>
      <c r="G2785" t="s">
        <v>63</v>
      </c>
      <c r="H2785">
        <v>2</v>
      </c>
      <c r="I2785">
        <v>11.837548999999999</v>
      </c>
      <c r="J2785">
        <v>714</v>
      </c>
      <c r="M2785">
        <v>0.89</v>
      </c>
      <c r="O2785">
        <v>7.9000000000000001E-2</v>
      </c>
      <c r="R2785">
        <v>1.05</v>
      </c>
    </row>
    <row r="2786" spans="1:19" x14ac:dyDescent="0.2">
      <c r="A2786" t="s">
        <v>4832</v>
      </c>
      <c r="B2786" t="s">
        <v>4833</v>
      </c>
      <c r="C2786">
        <v>2014</v>
      </c>
      <c r="D2786">
        <v>1</v>
      </c>
      <c r="E2786" t="s">
        <v>55</v>
      </c>
      <c r="F2786" t="s">
        <v>128</v>
      </c>
      <c r="G2786" t="s">
        <v>63</v>
      </c>
      <c r="H2786">
        <v>2</v>
      </c>
      <c r="I2786">
        <v>3.1733150000000001</v>
      </c>
      <c r="J2786">
        <v>425</v>
      </c>
      <c r="M2786">
        <v>0.81</v>
      </c>
      <c r="O2786">
        <v>7.1999999999999995E-2</v>
      </c>
      <c r="R2786">
        <v>0.59</v>
      </c>
    </row>
    <row r="2787" spans="1:19" x14ac:dyDescent="0.2">
      <c r="A2787" t="s">
        <v>4832</v>
      </c>
      <c r="B2787" t="s">
        <v>4834</v>
      </c>
      <c r="C2787">
        <v>2014</v>
      </c>
      <c r="D2787">
        <v>1</v>
      </c>
      <c r="E2787" t="s">
        <v>55</v>
      </c>
      <c r="F2787" t="s">
        <v>128</v>
      </c>
      <c r="G2787" t="s">
        <v>63</v>
      </c>
      <c r="H2787">
        <v>2</v>
      </c>
      <c r="I2787">
        <v>13.297003999999999</v>
      </c>
      <c r="J2787">
        <v>425</v>
      </c>
      <c r="M2787">
        <v>0.86</v>
      </c>
      <c r="O2787">
        <v>7.6999999999999999E-2</v>
      </c>
      <c r="R2787">
        <v>0.59</v>
      </c>
    </row>
    <row r="2788" spans="1:19" x14ac:dyDescent="0.2">
      <c r="A2788" t="s">
        <v>4835</v>
      </c>
      <c r="B2788" t="s">
        <v>4836</v>
      </c>
      <c r="C2788">
        <v>2014</v>
      </c>
      <c r="D2788">
        <v>1</v>
      </c>
      <c r="E2788" t="s">
        <v>55</v>
      </c>
      <c r="F2788" t="s">
        <v>128</v>
      </c>
      <c r="G2788" t="s">
        <v>63</v>
      </c>
      <c r="H2788">
        <v>2</v>
      </c>
      <c r="I2788">
        <v>3.2441070000000001</v>
      </c>
      <c r="J2788">
        <v>977</v>
      </c>
      <c r="M2788">
        <v>1.51</v>
      </c>
      <c r="O2788">
        <v>0.13500000000000001</v>
      </c>
      <c r="R2788">
        <v>0.79</v>
      </c>
    </row>
    <row r="2789" spans="1:19" x14ac:dyDescent="0.2">
      <c r="A2789" t="s">
        <v>4835</v>
      </c>
      <c r="B2789" t="s">
        <v>4837</v>
      </c>
      <c r="C2789">
        <v>2014</v>
      </c>
      <c r="D2789">
        <v>1</v>
      </c>
      <c r="E2789" t="s">
        <v>55</v>
      </c>
      <c r="F2789" t="s">
        <v>128</v>
      </c>
      <c r="G2789" t="s">
        <v>63</v>
      </c>
      <c r="H2789">
        <v>2</v>
      </c>
      <c r="I2789">
        <v>14.511430000000001</v>
      </c>
      <c r="J2789">
        <v>977</v>
      </c>
      <c r="M2789">
        <v>1.46</v>
      </c>
      <c r="O2789">
        <v>0.13</v>
      </c>
      <c r="R2789">
        <v>0.79</v>
      </c>
    </row>
    <row r="2790" spans="1:19" x14ac:dyDescent="0.2">
      <c r="A2790" t="s">
        <v>4838</v>
      </c>
      <c r="B2790" t="s">
        <v>4839</v>
      </c>
      <c r="C2790">
        <v>2011</v>
      </c>
      <c r="D2790">
        <v>1</v>
      </c>
      <c r="E2790" t="s">
        <v>55</v>
      </c>
      <c r="F2790" t="s">
        <v>128</v>
      </c>
      <c r="G2790" t="s">
        <v>63</v>
      </c>
      <c r="H2790">
        <v>1</v>
      </c>
      <c r="I2790">
        <v>21.087209999999999</v>
      </c>
      <c r="J2790">
        <v>1200</v>
      </c>
      <c r="K2790">
        <v>2.1</v>
      </c>
      <c r="L2790">
        <v>6388.1</v>
      </c>
      <c r="M2790">
        <v>13.9</v>
      </c>
      <c r="N2790">
        <v>20.100000000000001</v>
      </c>
      <c r="O2790">
        <v>1.24</v>
      </c>
      <c r="P2790">
        <v>13</v>
      </c>
      <c r="Q2790">
        <v>1.29</v>
      </c>
      <c r="R2790">
        <v>1.4</v>
      </c>
      <c r="S2790">
        <v>0.66</v>
      </c>
    </row>
    <row r="2791" spans="1:19" x14ac:dyDescent="0.2">
      <c r="A2791" t="s">
        <v>4840</v>
      </c>
      <c r="B2791" t="s">
        <v>4841</v>
      </c>
      <c r="C2791">
        <v>2014</v>
      </c>
      <c r="D2791">
        <v>1</v>
      </c>
      <c r="E2791" t="s">
        <v>55</v>
      </c>
      <c r="F2791" t="s">
        <v>128</v>
      </c>
      <c r="G2791" t="s">
        <v>63</v>
      </c>
      <c r="H2791">
        <v>2</v>
      </c>
      <c r="I2791">
        <v>6.7380880000000003</v>
      </c>
      <c r="J2791">
        <v>435</v>
      </c>
      <c r="M2791">
        <v>0.82</v>
      </c>
      <c r="O2791">
        <v>7.2999999999999995E-2</v>
      </c>
      <c r="R2791">
        <v>0.78</v>
      </c>
    </row>
    <row r="2792" spans="1:19" x14ac:dyDescent="0.2">
      <c r="A2792" t="s">
        <v>4840</v>
      </c>
      <c r="B2792" t="s">
        <v>4842</v>
      </c>
      <c r="C2792">
        <v>2014</v>
      </c>
      <c r="D2792">
        <v>1</v>
      </c>
      <c r="E2792" t="s">
        <v>55</v>
      </c>
      <c r="F2792" t="s">
        <v>128</v>
      </c>
      <c r="G2792" t="s">
        <v>63</v>
      </c>
      <c r="H2792">
        <v>2</v>
      </c>
      <c r="I2792">
        <v>13.060022</v>
      </c>
      <c r="J2792">
        <v>435</v>
      </c>
      <c r="M2792">
        <v>0.79</v>
      </c>
      <c r="O2792">
        <v>7.0000000000000007E-2</v>
      </c>
      <c r="R2792">
        <v>0.78</v>
      </c>
    </row>
    <row r="2793" spans="1:19" x14ac:dyDescent="0.2">
      <c r="A2793" t="s">
        <v>4843</v>
      </c>
      <c r="B2793" t="s">
        <v>4844</v>
      </c>
      <c r="C2793">
        <v>2014</v>
      </c>
      <c r="D2793">
        <v>1</v>
      </c>
      <c r="E2793" t="s">
        <v>55</v>
      </c>
      <c r="F2793" t="s">
        <v>128</v>
      </c>
      <c r="G2793" t="s">
        <v>63</v>
      </c>
      <c r="H2793">
        <v>2</v>
      </c>
      <c r="I2793">
        <v>7.4167550000000002</v>
      </c>
      <c r="J2793">
        <v>1064</v>
      </c>
      <c r="M2793">
        <v>3.2</v>
      </c>
      <c r="O2793">
        <v>0.28499999999999998</v>
      </c>
      <c r="R2793">
        <v>3.57</v>
      </c>
    </row>
    <row r="2794" spans="1:19" x14ac:dyDescent="0.2">
      <c r="A2794" t="s">
        <v>4843</v>
      </c>
      <c r="B2794" t="s">
        <v>4845</v>
      </c>
      <c r="C2794">
        <v>2014</v>
      </c>
      <c r="D2794">
        <v>1</v>
      </c>
      <c r="E2794" t="s">
        <v>55</v>
      </c>
      <c r="F2794" t="s">
        <v>128</v>
      </c>
      <c r="G2794" t="s">
        <v>63</v>
      </c>
      <c r="H2794">
        <v>2</v>
      </c>
      <c r="I2794">
        <v>20.485434999999999</v>
      </c>
      <c r="J2794">
        <v>1064</v>
      </c>
      <c r="M2794">
        <v>3.54</v>
      </c>
      <c r="O2794">
        <v>0.316</v>
      </c>
      <c r="R2794">
        <v>3.57</v>
      </c>
    </row>
    <row r="2795" spans="1:19" x14ac:dyDescent="0.2">
      <c r="A2795" t="s">
        <v>4846</v>
      </c>
      <c r="B2795" t="s">
        <v>4847</v>
      </c>
      <c r="C2795">
        <v>2014</v>
      </c>
      <c r="D2795">
        <v>1</v>
      </c>
      <c r="E2795" t="s">
        <v>55</v>
      </c>
      <c r="F2795" t="s">
        <v>128</v>
      </c>
      <c r="G2795" t="s">
        <v>63</v>
      </c>
      <c r="H2795">
        <v>2</v>
      </c>
      <c r="I2795">
        <v>5.3418530000000004</v>
      </c>
      <c r="J2795">
        <v>673</v>
      </c>
      <c r="M2795">
        <v>1</v>
      </c>
      <c r="O2795">
        <v>8.8999999999999996E-2</v>
      </c>
      <c r="R2795">
        <v>1.1299999999999999</v>
      </c>
    </row>
    <row r="2796" spans="1:19" x14ac:dyDescent="0.2">
      <c r="A2796" t="s">
        <v>4846</v>
      </c>
      <c r="B2796" t="s">
        <v>4848</v>
      </c>
      <c r="C2796">
        <v>2014</v>
      </c>
      <c r="D2796">
        <v>1</v>
      </c>
      <c r="E2796" t="s">
        <v>55</v>
      </c>
      <c r="F2796" t="s">
        <v>128</v>
      </c>
      <c r="G2796" t="s">
        <v>63</v>
      </c>
      <c r="H2796">
        <v>2</v>
      </c>
      <c r="I2796">
        <v>10.423118000000001</v>
      </c>
      <c r="J2796">
        <v>673</v>
      </c>
      <c r="M2796">
        <v>1.1000000000000001</v>
      </c>
      <c r="O2796">
        <v>9.8000000000000004E-2</v>
      </c>
      <c r="R2796">
        <v>1.1299999999999999</v>
      </c>
    </row>
    <row r="2797" spans="1:19" x14ac:dyDescent="0.2">
      <c r="A2797" t="s">
        <v>4849</v>
      </c>
      <c r="B2797" t="s">
        <v>4850</v>
      </c>
      <c r="C2797">
        <v>2014</v>
      </c>
      <c r="D2797">
        <v>1</v>
      </c>
      <c r="E2797" t="s">
        <v>55</v>
      </c>
      <c r="F2797" t="s">
        <v>128</v>
      </c>
      <c r="G2797" t="s">
        <v>63</v>
      </c>
      <c r="H2797">
        <v>2</v>
      </c>
      <c r="I2797">
        <v>9.1824169999999992</v>
      </c>
      <c r="J2797">
        <v>789</v>
      </c>
      <c r="M2797">
        <v>1.29</v>
      </c>
      <c r="O2797">
        <v>0.115</v>
      </c>
      <c r="R2797">
        <v>1.38</v>
      </c>
    </row>
    <row r="2798" spans="1:19" x14ac:dyDescent="0.2">
      <c r="A2798" t="s">
        <v>4849</v>
      </c>
      <c r="B2798" t="s">
        <v>4851</v>
      </c>
      <c r="C2798">
        <v>2014</v>
      </c>
      <c r="D2798">
        <v>1</v>
      </c>
      <c r="E2798" t="s">
        <v>55</v>
      </c>
      <c r="F2798" t="s">
        <v>128</v>
      </c>
      <c r="G2798" t="s">
        <v>63</v>
      </c>
      <c r="H2798">
        <v>2</v>
      </c>
      <c r="I2798">
        <v>14.613612</v>
      </c>
      <c r="J2798">
        <v>789</v>
      </c>
      <c r="M2798">
        <v>1.33</v>
      </c>
      <c r="O2798">
        <v>0.11899999999999999</v>
      </c>
      <c r="R2798">
        <v>1.38</v>
      </c>
    </row>
    <row r="2799" spans="1:19" x14ac:dyDescent="0.2">
      <c r="A2799" t="s">
        <v>4852</v>
      </c>
      <c r="B2799" t="s">
        <v>4853</v>
      </c>
      <c r="C2799">
        <v>2014</v>
      </c>
      <c r="D2799">
        <v>1</v>
      </c>
      <c r="E2799" t="s">
        <v>55</v>
      </c>
      <c r="F2799" t="s">
        <v>128</v>
      </c>
      <c r="G2799" t="s">
        <v>63</v>
      </c>
      <c r="H2799">
        <v>2</v>
      </c>
      <c r="I2799">
        <v>8.0050129999999999</v>
      </c>
      <c r="J2799">
        <v>1297</v>
      </c>
      <c r="M2799">
        <v>1.6</v>
      </c>
      <c r="O2799">
        <v>0.14299999999999999</v>
      </c>
      <c r="R2799">
        <v>1.1299999999999999</v>
      </c>
    </row>
    <row r="2800" spans="1:19" x14ac:dyDescent="0.2">
      <c r="A2800" t="s">
        <v>4852</v>
      </c>
      <c r="B2800" t="s">
        <v>4854</v>
      </c>
      <c r="C2800">
        <v>2014</v>
      </c>
      <c r="D2800">
        <v>1</v>
      </c>
      <c r="E2800" t="s">
        <v>55</v>
      </c>
      <c r="F2800" t="s">
        <v>128</v>
      </c>
      <c r="G2800" t="s">
        <v>63</v>
      </c>
      <c r="H2800">
        <v>2</v>
      </c>
      <c r="I2800">
        <v>12.130686000000001</v>
      </c>
      <c r="J2800">
        <v>1297</v>
      </c>
      <c r="M2800">
        <v>1.66</v>
      </c>
      <c r="O2800">
        <v>0.14799999999999999</v>
      </c>
      <c r="R2800">
        <v>1.1299999999999999</v>
      </c>
    </row>
    <row r="2801" spans="1:19" x14ac:dyDescent="0.2">
      <c r="A2801" t="s">
        <v>4855</v>
      </c>
      <c r="B2801" t="s">
        <v>4856</v>
      </c>
      <c r="C2801">
        <v>2014</v>
      </c>
      <c r="D2801">
        <v>1</v>
      </c>
      <c r="E2801" t="s">
        <v>55</v>
      </c>
      <c r="F2801" t="s">
        <v>128</v>
      </c>
      <c r="G2801" t="s">
        <v>63</v>
      </c>
      <c r="H2801">
        <v>2</v>
      </c>
      <c r="I2801">
        <v>7.0543459999999998</v>
      </c>
      <c r="J2801">
        <v>360</v>
      </c>
      <c r="M2801">
        <v>1.03</v>
      </c>
      <c r="O2801">
        <v>9.1999999999999998E-2</v>
      </c>
      <c r="R2801">
        <v>0.56000000000000005</v>
      </c>
    </row>
    <row r="2802" spans="1:19" x14ac:dyDescent="0.2">
      <c r="A2802" t="s">
        <v>4855</v>
      </c>
      <c r="B2802" t="s">
        <v>4857</v>
      </c>
      <c r="C2802">
        <v>2014</v>
      </c>
      <c r="D2802">
        <v>1</v>
      </c>
      <c r="E2802" t="s">
        <v>55</v>
      </c>
      <c r="F2802" t="s">
        <v>128</v>
      </c>
      <c r="G2802" t="s">
        <v>63</v>
      </c>
      <c r="H2802">
        <v>2</v>
      </c>
      <c r="I2802">
        <v>34.989261999999997</v>
      </c>
      <c r="J2802">
        <v>360</v>
      </c>
      <c r="M2802">
        <v>1.32</v>
      </c>
      <c r="O2802">
        <v>0.11799999999999999</v>
      </c>
      <c r="R2802">
        <v>0.56000000000000005</v>
      </c>
    </row>
    <row r="2803" spans="1:19" x14ac:dyDescent="0.2">
      <c r="A2803" t="s">
        <v>4858</v>
      </c>
      <c r="B2803" t="s">
        <v>4859</v>
      </c>
      <c r="C2803">
        <v>2013</v>
      </c>
      <c r="D2803">
        <v>1</v>
      </c>
      <c r="E2803" t="s">
        <v>55</v>
      </c>
      <c r="F2803" t="s">
        <v>128</v>
      </c>
      <c r="G2803" t="s">
        <v>63</v>
      </c>
      <c r="H2803">
        <v>2</v>
      </c>
      <c r="I2803">
        <v>42.994</v>
      </c>
      <c r="J2803">
        <v>233</v>
      </c>
      <c r="L2803">
        <v>75.5</v>
      </c>
      <c r="M2803">
        <v>3.5</v>
      </c>
      <c r="N2803">
        <v>0.23799999999999999</v>
      </c>
      <c r="O2803">
        <v>0.312</v>
      </c>
      <c r="R2803">
        <v>1.17</v>
      </c>
    </row>
    <row r="2804" spans="1:19" x14ac:dyDescent="0.2">
      <c r="A2804" t="s">
        <v>4858</v>
      </c>
      <c r="B2804" t="s">
        <v>4860</v>
      </c>
      <c r="C2804">
        <v>2013</v>
      </c>
      <c r="D2804">
        <v>1</v>
      </c>
      <c r="E2804" t="s">
        <v>55</v>
      </c>
      <c r="F2804" t="s">
        <v>128</v>
      </c>
      <c r="G2804" t="s">
        <v>63</v>
      </c>
      <c r="H2804">
        <v>2</v>
      </c>
      <c r="I2804">
        <v>88.504999999999995</v>
      </c>
      <c r="J2804">
        <v>233</v>
      </c>
      <c r="L2804">
        <v>17.899999999999999</v>
      </c>
      <c r="M2804">
        <v>5.3</v>
      </c>
      <c r="N2804">
        <v>5.6000000000000001E-2</v>
      </c>
      <c r="O2804">
        <v>0.47299999999999998</v>
      </c>
      <c r="R2804">
        <v>1.17</v>
      </c>
    </row>
    <row r="2805" spans="1:19" x14ac:dyDescent="0.2">
      <c r="A2805" t="s">
        <v>4861</v>
      </c>
      <c r="B2805" t="s">
        <v>4862</v>
      </c>
      <c r="C2805">
        <v>2014</v>
      </c>
      <c r="D2805">
        <v>1</v>
      </c>
      <c r="E2805" t="s">
        <v>55</v>
      </c>
      <c r="F2805" t="s">
        <v>128</v>
      </c>
      <c r="G2805" t="s">
        <v>63</v>
      </c>
      <c r="H2805">
        <v>2</v>
      </c>
      <c r="I2805">
        <v>22.250948999999999</v>
      </c>
      <c r="J2805">
        <v>969</v>
      </c>
      <c r="M2805">
        <v>2.46</v>
      </c>
      <c r="O2805">
        <v>0.219</v>
      </c>
      <c r="R2805">
        <v>0.77</v>
      </c>
    </row>
    <row r="2806" spans="1:19" x14ac:dyDescent="0.2">
      <c r="A2806" t="s">
        <v>4861</v>
      </c>
      <c r="B2806" t="s">
        <v>4863</v>
      </c>
      <c r="C2806">
        <v>2014</v>
      </c>
      <c r="D2806">
        <v>1</v>
      </c>
      <c r="E2806" t="s">
        <v>55</v>
      </c>
      <c r="F2806" t="s">
        <v>128</v>
      </c>
      <c r="G2806" t="s">
        <v>63</v>
      </c>
      <c r="H2806">
        <v>2</v>
      </c>
      <c r="I2806">
        <v>135.498527</v>
      </c>
      <c r="J2806">
        <v>969</v>
      </c>
      <c r="M2806">
        <v>6.18</v>
      </c>
      <c r="O2806">
        <v>0.55100000000000005</v>
      </c>
      <c r="R2806">
        <v>0.77</v>
      </c>
    </row>
    <row r="2807" spans="1:19" x14ac:dyDescent="0.2">
      <c r="A2807" t="s">
        <v>4864</v>
      </c>
      <c r="B2807" t="s">
        <v>4865</v>
      </c>
      <c r="C2807">
        <v>2014</v>
      </c>
      <c r="D2807">
        <v>1</v>
      </c>
      <c r="E2807" t="s">
        <v>55</v>
      </c>
      <c r="F2807" t="s">
        <v>128</v>
      </c>
      <c r="G2807" t="s">
        <v>63</v>
      </c>
      <c r="H2807">
        <v>3</v>
      </c>
      <c r="I2807">
        <v>4.081423</v>
      </c>
      <c r="J2807">
        <v>185</v>
      </c>
      <c r="M2807">
        <v>0.93</v>
      </c>
      <c r="O2807">
        <v>8.3000000000000004E-2</v>
      </c>
      <c r="R2807">
        <v>0.61</v>
      </c>
    </row>
    <row r="2808" spans="1:19" x14ac:dyDescent="0.2">
      <c r="A2808" t="s">
        <v>4864</v>
      </c>
      <c r="B2808" t="s">
        <v>4866</v>
      </c>
      <c r="C2808">
        <v>2014</v>
      </c>
      <c r="D2808">
        <v>1</v>
      </c>
      <c r="E2808" t="s">
        <v>55</v>
      </c>
      <c r="F2808" t="s">
        <v>128</v>
      </c>
      <c r="G2808" t="s">
        <v>63</v>
      </c>
      <c r="H2808">
        <v>3</v>
      </c>
      <c r="I2808">
        <v>11.419411999999999</v>
      </c>
      <c r="J2808">
        <v>185</v>
      </c>
      <c r="M2808">
        <v>1.01</v>
      </c>
      <c r="O2808">
        <v>0.09</v>
      </c>
      <c r="R2808">
        <v>0.61</v>
      </c>
    </row>
    <row r="2809" spans="1:19" x14ac:dyDescent="0.2">
      <c r="A2809" t="s">
        <v>4864</v>
      </c>
      <c r="B2809" t="s">
        <v>4867</v>
      </c>
      <c r="C2809">
        <v>2016</v>
      </c>
      <c r="D2809">
        <v>1</v>
      </c>
      <c r="E2809" t="s">
        <v>55</v>
      </c>
      <c r="F2809" t="s">
        <v>128</v>
      </c>
      <c r="G2809" t="s">
        <v>63</v>
      </c>
      <c r="H2809">
        <v>3</v>
      </c>
      <c r="I2809">
        <v>6.8343700099999998</v>
      </c>
      <c r="J2809">
        <v>185</v>
      </c>
      <c r="M2809">
        <v>0.88</v>
      </c>
      <c r="O2809">
        <v>7.9000000000000001E-2</v>
      </c>
      <c r="R2809">
        <v>0.61</v>
      </c>
    </row>
    <row r="2810" spans="1:19" x14ac:dyDescent="0.2">
      <c r="A2810" t="s">
        <v>4868</v>
      </c>
      <c r="B2810" t="s">
        <v>4869</v>
      </c>
      <c r="C2810">
        <v>2014</v>
      </c>
      <c r="D2810">
        <v>1</v>
      </c>
      <c r="E2810" t="s">
        <v>55</v>
      </c>
      <c r="F2810" t="s">
        <v>128</v>
      </c>
      <c r="G2810" t="s">
        <v>63</v>
      </c>
      <c r="H2810">
        <v>3</v>
      </c>
      <c r="I2810">
        <v>14.425281</v>
      </c>
      <c r="J2810">
        <v>699</v>
      </c>
      <c r="M2810">
        <v>0.96</v>
      </c>
      <c r="O2810">
        <v>8.5999999999999993E-2</v>
      </c>
      <c r="R2810">
        <v>0.68</v>
      </c>
    </row>
    <row r="2811" spans="1:19" x14ac:dyDescent="0.2">
      <c r="A2811" t="s">
        <v>4868</v>
      </c>
      <c r="B2811" t="s">
        <v>4870</v>
      </c>
      <c r="C2811">
        <v>2014</v>
      </c>
      <c r="D2811">
        <v>1</v>
      </c>
      <c r="E2811" t="s">
        <v>55</v>
      </c>
      <c r="F2811" t="s">
        <v>128</v>
      </c>
      <c r="G2811" t="s">
        <v>63</v>
      </c>
      <c r="H2811">
        <v>3</v>
      </c>
      <c r="I2811">
        <v>26.675689999999999</v>
      </c>
      <c r="J2811">
        <v>699</v>
      </c>
      <c r="M2811">
        <v>1.43</v>
      </c>
      <c r="O2811">
        <v>0.128</v>
      </c>
      <c r="R2811">
        <v>0.68</v>
      </c>
    </row>
    <row r="2812" spans="1:19" x14ac:dyDescent="0.2">
      <c r="A2812" t="s">
        <v>4868</v>
      </c>
      <c r="B2812" t="s">
        <v>4871</v>
      </c>
      <c r="C2812">
        <v>2014</v>
      </c>
      <c r="D2812">
        <v>1</v>
      </c>
      <c r="E2812" t="s">
        <v>55</v>
      </c>
      <c r="F2812" t="s">
        <v>128</v>
      </c>
      <c r="G2812" t="s">
        <v>63</v>
      </c>
      <c r="H2812">
        <v>3</v>
      </c>
      <c r="I2812">
        <v>58.034616</v>
      </c>
      <c r="J2812">
        <v>699</v>
      </c>
      <c r="M2812">
        <v>1.89</v>
      </c>
      <c r="O2812">
        <v>0.16900000000000001</v>
      </c>
      <c r="R2812">
        <v>0.68</v>
      </c>
    </row>
    <row r="2813" spans="1:19" x14ac:dyDescent="0.2">
      <c r="A2813" t="s">
        <v>4872</v>
      </c>
      <c r="B2813" t="s">
        <v>4873</v>
      </c>
      <c r="C2813">
        <v>2009</v>
      </c>
      <c r="D2813">
        <v>1</v>
      </c>
      <c r="E2813" t="s">
        <v>55</v>
      </c>
      <c r="F2813" t="s">
        <v>128</v>
      </c>
      <c r="G2813" t="s">
        <v>63</v>
      </c>
      <c r="H2813">
        <v>1</v>
      </c>
      <c r="I2813">
        <v>3.21346</v>
      </c>
      <c r="J2813">
        <v>550</v>
      </c>
      <c r="K2813">
        <v>4.5</v>
      </c>
      <c r="L2813">
        <v>24.472000000000001</v>
      </c>
      <c r="M2813">
        <v>4.0019999999999998</v>
      </c>
      <c r="N2813">
        <v>7.6999999999999999E-2</v>
      </c>
      <c r="O2813">
        <v>0.35699999999999998</v>
      </c>
      <c r="P2813">
        <v>1.91</v>
      </c>
      <c r="Q2813">
        <v>1.22</v>
      </c>
      <c r="R2813">
        <v>1.49</v>
      </c>
    </row>
    <row r="2814" spans="1:19" x14ac:dyDescent="0.2">
      <c r="A2814" t="s">
        <v>4874</v>
      </c>
      <c r="B2814" t="s">
        <v>4875</v>
      </c>
      <c r="C2814">
        <v>2010</v>
      </c>
      <c r="D2814">
        <v>1</v>
      </c>
      <c r="E2814" t="s">
        <v>55</v>
      </c>
      <c r="F2814" t="s">
        <v>128</v>
      </c>
      <c r="G2814" t="s">
        <v>63</v>
      </c>
      <c r="H2814">
        <v>1</v>
      </c>
      <c r="I2814">
        <v>6.8734900000000003</v>
      </c>
      <c r="J2814">
        <v>2700</v>
      </c>
      <c r="K2814">
        <v>2.8</v>
      </c>
      <c r="L2814">
        <v>699.2</v>
      </c>
      <c r="M2814">
        <v>13.11</v>
      </c>
      <c r="N2814">
        <v>2.2000000000000002</v>
      </c>
      <c r="O2814">
        <v>1.17</v>
      </c>
      <c r="P2814">
        <v>1.68</v>
      </c>
      <c r="Q2814">
        <v>1.48</v>
      </c>
      <c r="R2814">
        <v>2.13</v>
      </c>
      <c r="S2814">
        <v>0.21299999999999999</v>
      </c>
    </row>
    <row r="2815" spans="1:19" x14ac:dyDescent="0.2">
      <c r="A2815" t="s">
        <v>4876</v>
      </c>
      <c r="B2815" t="s">
        <v>4877</v>
      </c>
      <c r="C2815">
        <v>2014</v>
      </c>
      <c r="D2815">
        <v>1</v>
      </c>
      <c r="E2815" t="s">
        <v>55</v>
      </c>
      <c r="F2815" t="s">
        <v>128</v>
      </c>
      <c r="G2815" t="s">
        <v>63</v>
      </c>
      <c r="H2815">
        <v>2</v>
      </c>
      <c r="I2815">
        <v>9.0243889999999993</v>
      </c>
      <c r="J2815">
        <v>709</v>
      </c>
      <c r="M2815">
        <v>1.65</v>
      </c>
      <c r="O2815">
        <v>0.14699999999999999</v>
      </c>
      <c r="R2815">
        <v>1.1499999999999999</v>
      </c>
    </row>
    <row r="2816" spans="1:19" x14ac:dyDescent="0.2">
      <c r="A2816" t="s">
        <v>4876</v>
      </c>
      <c r="B2816" t="s">
        <v>4878</v>
      </c>
      <c r="C2816">
        <v>2014</v>
      </c>
      <c r="D2816">
        <v>1</v>
      </c>
      <c r="E2816" t="s">
        <v>55</v>
      </c>
      <c r="F2816" t="s">
        <v>128</v>
      </c>
      <c r="G2816" t="s">
        <v>63</v>
      </c>
      <c r="H2816">
        <v>2</v>
      </c>
      <c r="I2816">
        <v>17.340824000000001</v>
      </c>
      <c r="J2816">
        <v>709</v>
      </c>
      <c r="M2816">
        <v>1.49</v>
      </c>
      <c r="O2816">
        <v>0.13300000000000001</v>
      </c>
      <c r="R2816">
        <v>1.1499999999999999</v>
      </c>
    </row>
    <row r="2817" spans="1:19" x14ac:dyDescent="0.2">
      <c r="A2817" t="s">
        <v>4879</v>
      </c>
      <c r="B2817" t="s">
        <v>4880</v>
      </c>
      <c r="C2817">
        <v>2014</v>
      </c>
      <c r="D2817">
        <v>1</v>
      </c>
      <c r="E2817" t="s">
        <v>55</v>
      </c>
      <c r="F2817" t="s">
        <v>128</v>
      </c>
      <c r="G2817" t="s">
        <v>63</v>
      </c>
      <c r="H2817">
        <v>3</v>
      </c>
      <c r="I2817">
        <v>14.383035</v>
      </c>
      <c r="J2817">
        <v>739</v>
      </c>
      <c r="M2817">
        <v>1.71</v>
      </c>
      <c r="O2817">
        <v>0.153</v>
      </c>
      <c r="R2817">
        <v>1.33</v>
      </c>
    </row>
    <row r="2818" spans="1:19" x14ac:dyDescent="0.2">
      <c r="A2818" t="s">
        <v>4879</v>
      </c>
      <c r="B2818" t="s">
        <v>4881</v>
      </c>
      <c r="C2818">
        <v>2014</v>
      </c>
      <c r="D2818">
        <v>1</v>
      </c>
      <c r="E2818" t="s">
        <v>55</v>
      </c>
      <c r="F2818" t="s">
        <v>128</v>
      </c>
      <c r="G2818" t="s">
        <v>63</v>
      </c>
      <c r="H2818">
        <v>3</v>
      </c>
      <c r="I2818">
        <v>47.318218000000002</v>
      </c>
      <c r="J2818">
        <v>739</v>
      </c>
      <c r="M2818">
        <v>2.15</v>
      </c>
      <c r="O2818">
        <v>0.192</v>
      </c>
      <c r="R2818">
        <v>1.33</v>
      </c>
    </row>
    <row r="2819" spans="1:19" x14ac:dyDescent="0.2">
      <c r="A2819" t="s">
        <v>4879</v>
      </c>
      <c r="B2819" t="s">
        <v>4882</v>
      </c>
      <c r="C2819">
        <v>2016</v>
      </c>
      <c r="D2819">
        <v>1</v>
      </c>
      <c r="E2819" t="s">
        <v>55</v>
      </c>
      <c r="F2819" t="s">
        <v>128</v>
      </c>
      <c r="G2819" t="s">
        <v>63</v>
      </c>
      <c r="H2819">
        <v>3</v>
      </c>
      <c r="I2819">
        <v>184.256405</v>
      </c>
      <c r="J2819">
        <v>739</v>
      </c>
      <c r="M2819">
        <v>2.27</v>
      </c>
      <c r="O2819">
        <v>0.20300000000000001</v>
      </c>
      <c r="R2819">
        <v>1.33</v>
      </c>
    </row>
    <row r="2820" spans="1:19" x14ac:dyDescent="0.2">
      <c r="A2820" t="s">
        <v>4883</v>
      </c>
      <c r="B2820" t="s">
        <v>4884</v>
      </c>
      <c r="C2820">
        <v>2014</v>
      </c>
      <c r="D2820">
        <v>1</v>
      </c>
      <c r="E2820" t="s">
        <v>55</v>
      </c>
      <c r="F2820" t="s">
        <v>128</v>
      </c>
      <c r="G2820" t="s">
        <v>63</v>
      </c>
      <c r="H2820">
        <v>4</v>
      </c>
      <c r="I2820">
        <v>4.0287509999999997</v>
      </c>
      <c r="J2820">
        <v>720</v>
      </c>
      <c r="M2820">
        <v>1.22</v>
      </c>
      <c r="O2820">
        <v>0.109</v>
      </c>
      <c r="R2820">
        <v>1.26</v>
      </c>
    </row>
    <row r="2821" spans="1:19" x14ac:dyDescent="0.2">
      <c r="A2821" t="s">
        <v>4883</v>
      </c>
      <c r="B2821" t="s">
        <v>4885</v>
      </c>
      <c r="C2821">
        <v>2014</v>
      </c>
      <c r="D2821">
        <v>1</v>
      </c>
      <c r="E2821" t="s">
        <v>55</v>
      </c>
      <c r="F2821" t="s">
        <v>128</v>
      </c>
      <c r="G2821" t="s">
        <v>63</v>
      </c>
      <c r="H2821">
        <v>4</v>
      </c>
      <c r="I2821">
        <v>6.1248209999999998</v>
      </c>
      <c r="J2821">
        <v>720</v>
      </c>
      <c r="M2821">
        <v>1.56</v>
      </c>
      <c r="O2821">
        <v>0.13900000000000001</v>
      </c>
      <c r="R2821">
        <v>1.26</v>
      </c>
    </row>
    <row r="2822" spans="1:19" x14ac:dyDescent="0.2">
      <c r="A2822" t="s">
        <v>4883</v>
      </c>
      <c r="B2822" t="s">
        <v>4886</v>
      </c>
      <c r="C2822">
        <v>2014</v>
      </c>
      <c r="D2822">
        <v>1</v>
      </c>
      <c r="E2822" t="s">
        <v>55</v>
      </c>
      <c r="F2822" t="s">
        <v>128</v>
      </c>
      <c r="G2822" t="s">
        <v>63</v>
      </c>
      <c r="H2822">
        <v>4</v>
      </c>
      <c r="I2822">
        <v>8.9210989999999999</v>
      </c>
      <c r="J2822">
        <v>720</v>
      </c>
      <c r="M2822">
        <v>1.38</v>
      </c>
      <c r="O2822">
        <v>0.123</v>
      </c>
      <c r="R2822">
        <v>1.26</v>
      </c>
    </row>
    <row r="2823" spans="1:19" x14ac:dyDescent="0.2">
      <c r="A2823" t="s">
        <v>4883</v>
      </c>
      <c r="B2823" t="s">
        <v>4887</v>
      </c>
      <c r="C2823">
        <v>2014</v>
      </c>
      <c r="D2823">
        <v>1</v>
      </c>
      <c r="E2823" t="s">
        <v>55</v>
      </c>
      <c r="F2823" t="s">
        <v>128</v>
      </c>
      <c r="G2823" t="s">
        <v>63</v>
      </c>
      <c r="H2823">
        <v>4</v>
      </c>
      <c r="I2823">
        <v>11.242861</v>
      </c>
      <c r="J2823">
        <v>720</v>
      </c>
      <c r="M2823">
        <v>1.46</v>
      </c>
      <c r="O2823">
        <v>0.13</v>
      </c>
      <c r="R2823">
        <v>1.26</v>
      </c>
    </row>
    <row r="2824" spans="1:19" x14ac:dyDescent="0.2">
      <c r="A2824" t="s">
        <v>4888</v>
      </c>
      <c r="B2824" t="s">
        <v>4889</v>
      </c>
      <c r="C2824">
        <v>2014</v>
      </c>
      <c r="D2824">
        <v>1</v>
      </c>
      <c r="E2824" t="s">
        <v>55</v>
      </c>
      <c r="F2824" t="s">
        <v>128</v>
      </c>
      <c r="G2824" t="s">
        <v>63</v>
      </c>
      <c r="H2824">
        <v>3</v>
      </c>
      <c r="I2824">
        <v>7.0314620000000003</v>
      </c>
      <c r="J2824">
        <v>671</v>
      </c>
      <c r="M2824">
        <v>1.25</v>
      </c>
      <c r="O2824">
        <v>0.112</v>
      </c>
      <c r="R2824">
        <v>1.33</v>
      </c>
    </row>
    <row r="2825" spans="1:19" x14ac:dyDescent="0.2">
      <c r="A2825" t="s">
        <v>4888</v>
      </c>
      <c r="B2825" t="s">
        <v>4890</v>
      </c>
      <c r="C2825">
        <v>2014</v>
      </c>
      <c r="D2825">
        <v>1</v>
      </c>
      <c r="E2825" t="s">
        <v>55</v>
      </c>
      <c r="F2825" t="s">
        <v>128</v>
      </c>
      <c r="G2825" t="s">
        <v>63</v>
      </c>
      <c r="H2825">
        <v>3</v>
      </c>
      <c r="I2825">
        <v>54.280749</v>
      </c>
      <c r="J2825">
        <v>671</v>
      </c>
      <c r="M2825">
        <v>1.75</v>
      </c>
      <c r="O2825">
        <v>0.156</v>
      </c>
      <c r="R2825">
        <v>1.33</v>
      </c>
    </row>
    <row r="2826" spans="1:19" x14ac:dyDescent="0.2">
      <c r="A2826" t="s">
        <v>4888</v>
      </c>
      <c r="B2826" t="s">
        <v>4891</v>
      </c>
      <c r="C2826">
        <v>2016</v>
      </c>
      <c r="D2826">
        <v>1</v>
      </c>
      <c r="E2826" t="s">
        <v>55</v>
      </c>
      <c r="F2826" t="s">
        <v>128</v>
      </c>
      <c r="G2826" t="s">
        <v>63</v>
      </c>
      <c r="H2826">
        <v>3</v>
      </c>
      <c r="I2826">
        <v>13.61159129</v>
      </c>
      <c r="J2826">
        <v>671</v>
      </c>
      <c r="M2826">
        <v>1.42</v>
      </c>
      <c r="O2826">
        <v>0.127</v>
      </c>
      <c r="R2826">
        <v>1.33</v>
      </c>
    </row>
    <row r="2827" spans="1:19" x14ac:dyDescent="0.2">
      <c r="A2827" t="s">
        <v>4892</v>
      </c>
      <c r="B2827" t="s">
        <v>4893</v>
      </c>
      <c r="C2827">
        <v>2014</v>
      </c>
      <c r="D2827">
        <v>1</v>
      </c>
      <c r="E2827" t="s">
        <v>55</v>
      </c>
      <c r="F2827" t="s">
        <v>128</v>
      </c>
      <c r="G2827" t="s">
        <v>63</v>
      </c>
      <c r="H2827">
        <v>2</v>
      </c>
      <c r="I2827">
        <v>11.829851</v>
      </c>
      <c r="J2827">
        <v>812.43</v>
      </c>
      <c r="M2827">
        <v>1.27</v>
      </c>
      <c r="O2827">
        <v>0.113</v>
      </c>
      <c r="R2827">
        <v>0.88</v>
      </c>
    </row>
    <row r="2828" spans="1:19" x14ac:dyDescent="0.2">
      <c r="A2828" t="s">
        <v>4892</v>
      </c>
      <c r="B2828" t="s">
        <v>4894</v>
      </c>
      <c r="C2828">
        <v>2014</v>
      </c>
      <c r="D2828">
        <v>1</v>
      </c>
      <c r="E2828" t="s">
        <v>55</v>
      </c>
      <c r="F2828" t="s">
        <v>128</v>
      </c>
      <c r="G2828" t="s">
        <v>63</v>
      </c>
      <c r="H2828">
        <v>2</v>
      </c>
      <c r="I2828">
        <v>14.751166</v>
      </c>
      <c r="J2828">
        <v>812.43</v>
      </c>
      <c r="M2828">
        <v>1.72</v>
      </c>
      <c r="O2828">
        <v>0.153</v>
      </c>
      <c r="R2828">
        <v>0.88</v>
      </c>
    </row>
    <row r="2829" spans="1:19" x14ac:dyDescent="0.2">
      <c r="A2829" t="s">
        <v>4895</v>
      </c>
      <c r="B2829" t="s">
        <v>4896</v>
      </c>
      <c r="C2829">
        <v>2014</v>
      </c>
      <c r="D2829">
        <v>1</v>
      </c>
      <c r="E2829" t="s">
        <v>55</v>
      </c>
      <c r="F2829" t="s">
        <v>128</v>
      </c>
      <c r="G2829" t="s">
        <v>63</v>
      </c>
      <c r="H2829">
        <v>2</v>
      </c>
      <c r="I2829">
        <v>10.613839</v>
      </c>
      <c r="J2829">
        <v>1226</v>
      </c>
      <c r="M2829">
        <v>2.08</v>
      </c>
      <c r="O2829">
        <v>0.186</v>
      </c>
      <c r="R2829">
        <v>0.89</v>
      </c>
    </row>
    <row r="2830" spans="1:19" x14ac:dyDescent="0.2">
      <c r="A2830" t="s">
        <v>4895</v>
      </c>
      <c r="B2830" t="s">
        <v>4897</v>
      </c>
      <c r="C2830">
        <v>2014</v>
      </c>
      <c r="D2830">
        <v>1</v>
      </c>
      <c r="E2830" t="s">
        <v>55</v>
      </c>
      <c r="F2830" t="s">
        <v>128</v>
      </c>
      <c r="G2830" t="s">
        <v>63</v>
      </c>
      <c r="H2830">
        <v>2</v>
      </c>
      <c r="I2830">
        <v>29.726682</v>
      </c>
      <c r="J2830">
        <v>1226</v>
      </c>
      <c r="M2830">
        <v>4.66</v>
      </c>
      <c r="O2830">
        <v>0.41599999999999998</v>
      </c>
      <c r="R2830">
        <v>0.89</v>
      </c>
    </row>
    <row r="2831" spans="1:19" x14ac:dyDescent="0.2">
      <c r="A2831" t="s">
        <v>4898</v>
      </c>
      <c r="B2831" t="s">
        <v>4899</v>
      </c>
      <c r="C2831">
        <v>2014</v>
      </c>
      <c r="D2831">
        <v>1</v>
      </c>
      <c r="E2831" t="s">
        <v>55</v>
      </c>
      <c r="F2831" t="s">
        <v>128</v>
      </c>
      <c r="G2831" t="s">
        <v>63</v>
      </c>
      <c r="H2831">
        <v>2</v>
      </c>
      <c r="I2831">
        <v>2.4262899999999998</v>
      </c>
      <c r="J2831">
        <v>331</v>
      </c>
      <c r="K2831">
        <v>5.84</v>
      </c>
      <c r="L2831">
        <v>6.35</v>
      </c>
      <c r="M2831">
        <v>1.43</v>
      </c>
      <c r="N2831">
        <v>0.02</v>
      </c>
      <c r="O2831">
        <v>0.128</v>
      </c>
      <c r="P2831">
        <v>11.82</v>
      </c>
      <c r="Q2831">
        <v>1.07</v>
      </c>
      <c r="R2831">
        <v>1.07</v>
      </c>
      <c r="S2831">
        <v>1.1200000000000001</v>
      </c>
    </row>
    <row r="2832" spans="1:19" x14ac:dyDescent="0.2">
      <c r="A2832" t="s">
        <v>4898</v>
      </c>
      <c r="B2832" t="s">
        <v>4900</v>
      </c>
      <c r="C2832">
        <v>2014</v>
      </c>
      <c r="D2832">
        <v>1</v>
      </c>
      <c r="E2832" t="s">
        <v>55</v>
      </c>
      <c r="F2832" t="s">
        <v>128</v>
      </c>
      <c r="G2832" t="s">
        <v>63</v>
      </c>
      <c r="H2832">
        <v>2</v>
      </c>
      <c r="I2832">
        <v>4.6233199999999997</v>
      </c>
      <c r="J2832">
        <v>331</v>
      </c>
      <c r="K2832">
        <v>5.84</v>
      </c>
      <c r="L2832">
        <v>2.71</v>
      </c>
      <c r="M2832">
        <v>0.85</v>
      </c>
      <c r="N2832">
        <v>8.9999999999999993E-3</v>
      </c>
      <c r="O2832">
        <v>7.5999999999999998E-2</v>
      </c>
      <c r="P2832">
        <v>24.39</v>
      </c>
      <c r="Q2832">
        <v>1.07</v>
      </c>
      <c r="R2832">
        <v>1.07</v>
      </c>
      <c r="S2832">
        <v>1.1200000000000001</v>
      </c>
    </row>
    <row r="2833" spans="1:19" x14ac:dyDescent="0.2">
      <c r="A2833" t="s">
        <v>4901</v>
      </c>
      <c r="B2833" t="s">
        <v>4902</v>
      </c>
      <c r="C2833">
        <v>2014</v>
      </c>
      <c r="D2833">
        <v>1</v>
      </c>
      <c r="E2833" t="s">
        <v>55</v>
      </c>
      <c r="F2833" t="s">
        <v>128</v>
      </c>
      <c r="G2833" t="s">
        <v>63</v>
      </c>
      <c r="H2833">
        <v>2</v>
      </c>
      <c r="I2833">
        <v>0.66930999999999996</v>
      </c>
      <c r="J2833">
        <v>338.29</v>
      </c>
      <c r="K2833">
        <v>7.47</v>
      </c>
      <c r="L2833">
        <v>3.2</v>
      </c>
      <c r="M2833">
        <v>1.07</v>
      </c>
      <c r="N2833">
        <v>1.0070000000000001E-2</v>
      </c>
      <c r="O2833">
        <v>9.5000000000000001E-2</v>
      </c>
      <c r="Q2833">
        <v>1</v>
      </c>
      <c r="R2833">
        <v>1.01</v>
      </c>
      <c r="S2833">
        <v>1.38</v>
      </c>
    </row>
    <row r="2834" spans="1:19" x14ac:dyDescent="0.2">
      <c r="A2834" t="s">
        <v>4901</v>
      </c>
      <c r="B2834" t="s">
        <v>4903</v>
      </c>
      <c r="C2834">
        <v>2014</v>
      </c>
      <c r="D2834">
        <v>1</v>
      </c>
      <c r="E2834" t="s">
        <v>21</v>
      </c>
      <c r="F2834" t="s">
        <v>22</v>
      </c>
      <c r="G2834" t="s">
        <v>32</v>
      </c>
      <c r="H2834">
        <v>2</v>
      </c>
      <c r="I2834">
        <v>3000</v>
      </c>
      <c r="J2834">
        <v>338.29</v>
      </c>
      <c r="K2834">
        <v>7.47</v>
      </c>
      <c r="L2834">
        <v>4000</v>
      </c>
      <c r="N2834">
        <v>12.6</v>
      </c>
      <c r="Q2834">
        <v>1</v>
      </c>
      <c r="R2834">
        <v>1.01</v>
      </c>
      <c r="S2834">
        <v>1.38</v>
      </c>
    </row>
    <row r="2835" spans="1:19" x14ac:dyDescent="0.2">
      <c r="A2835" t="s">
        <v>4904</v>
      </c>
      <c r="B2835" t="s">
        <v>4905</v>
      </c>
      <c r="C2835">
        <v>2014</v>
      </c>
      <c r="D2835">
        <v>1</v>
      </c>
      <c r="E2835" t="s">
        <v>55</v>
      </c>
      <c r="F2835" t="s">
        <v>128</v>
      </c>
      <c r="G2835" t="s">
        <v>63</v>
      </c>
      <c r="H2835">
        <v>1</v>
      </c>
      <c r="I2835">
        <v>2.46502</v>
      </c>
      <c r="J2835">
        <v>89</v>
      </c>
      <c r="K2835">
        <v>6.68</v>
      </c>
      <c r="L2835">
        <v>5</v>
      </c>
      <c r="M2835">
        <v>0.82</v>
      </c>
      <c r="N2835">
        <v>1.5730000000000001E-2</v>
      </c>
      <c r="O2835">
        <v>7.2999999999999995E-2</v>
      </c>
      <c r="Q2835">
        <v>1.08</v>
      </c>
      <c r="R2835">
        <v>1.23</v>
      </c>
      <c r="S2835">
        <v>0.82</v>
      </c>
    </row>
    <row r="2836" spans="1:19" x14ac:dyDescent="0.2">
      <c r="A2836" t="s">
        <v>4906</v>
      </c>
      <c r="B2836" t="s">
        <v>4907</v>
      </c>
      <c r="C2836">
        <v>2014</v>
      </c>
      <c r="D2836">
        <v>1</v>
      </c>
      <c r="E2836" t="s">
        <v>55</v>
      </c>
      <c r="F2836" t="s">
        <v>128</v>
      </c>
      <c r="G2836" t="s">
        <v>63</v>
      </c>
      <c r="H2836">
        <v>1</v>
      </c>
      <c r="I2836">
        <v>68.958399999999997</v>
      </c>
      <c r="J2836">
        <v>69</v>
      </c>
      <c r="K2836">
        <v>6.8</v>
      </c>
      <c r="L2836">
        <v>22</v>
      </c>
      <c r="M2836">
        <v>1.19</v>
      </c>
      <c r="N2836">
        <v>6.9220000000000004E-2</v>
      </c>
      <c r="O2836">
        <v>0.106</v>
      </c>
      <c r="Q2836">
        <v>0.92</v>
      </c>
      <c r="R2836">
        <v>0.89</v>
      </c>
      <c r="S2836">
        <v>1.81</v>
      </c>
    </row>
    <row r="2837" spans="1:19" x14ac:dyDescent="0.2">
      <c r="A2837" t="s">
        <v>4908</v>
      </c>
      <c r="B2837" t="s">
        <v>4909</v>
      </c>
      <c r="C2837">
        <v>2011</v>
      </c>
      <c r="D2837">
        <v>1</v>
      </c>
      <c r="E2837" t="s">
        <v>55</v>
      </c>
      <c r="F2837" t="s">
        <v>128</v>
      </c>
      <c r="G2837" t="s">
        <v>63</v>
      </c>
      <c r="H2837">
        <v>1</v>
      </c>
      <c r="I2837">
        <v>1.8555581999999999</v>
      </c>
      <c r="J2837">
        <v>770</v>
      </c>
      <c r="K2837">
        <v>4.4000000000000004</v>
      </c>
      <c r="L2837">
        <v>177.98</v>
      </c>
      <c r="M2837">
        <v>14.46</v>
      </c>
      <c r="N2837">
        <v>0.56000000000000005</v>
      </c>
      <c r="O2837">
        <v>1.29</v>
      </c>
      <c r="P2837">
        <v>0.33</v>
      </c>
      <c r="Q2837">
        <v>1.1499999999999999</v>
      </c>
      <c r="R2837">
        <v>1.29</v>
      </c>
      <c r="S2837">
        <v>0.754</v>
      </c>
    </row>
    <row r="2838" spans="1:19" x14ac:dyDescent="0.2">
      <c r="A2838" t="s">
        <v>4910</v>
      </c>
      <c r="B2838" t="s">
        <v>4911</v>
      </c>
      <c r="C2838">
        <v>2013</v>
      </c>
      <c r="D2838">
        <v>1</v>
      </c>
      <c r="E2838" t="s">
        <v>55</v>
      </c>
      <c r="F2838" t="s">
        <v>128</v>
      </c>
      <c r="G2838" t="s">
        <v>63</v>
      </c>
      <c r="H2838">
        <v>1</v>
      </c>
      <c r="I2838">
        <v>17.833648</v>
      </c>
      <c r="J2838">
        <v>132</v>
      </c>
      <c r="K2838">
        <v>2.76</v>
      </c>
      <c r="M2838">
        <v>2.8380000000000001</v>
      </c>
      <c r="O2838">
        <v>0.253</v>
      </c>
      <c r="Q2838">
        <v>1.21</v>
      </c>
      <c r="R2838">
        <v>1.35</v>
      </c>
      <c r="S2838">
        <v>0.69299999999999995</v>
      </c>
    </row>
    <row r="2839" spans="1:19" x14ac:dyDescent="0.2">
      <c r="A2839" t="s">
        <v>4912</v>
      </c>
      <c r="B2839" t="s">
        <v>4913</v>
      </c>
      <c r="C2839">
        <v>2013</v>
      </c>
      <c r="D2839">
        <v>1</v>
      </c>
      <c r="E2839" t="s">
        <v>55</v>
      </c>
      <c r="F2839" t="s">
        <v>128</v>
      </c>
      <c r="G2839" t="s">
        <v>63</v>
      </c>
      <c r="H2839">
        <v>2</v>
      </c>
      <c r="I2839">
        <v>3.0051600000000001</v>
      </c>
      <c r="J2839">
        <v>153</v>
      </c>
      <c r="M2839">
        <v>1.88</v>
      </c>
      <c r="O2839">
        <v>0.16800000000000001</v>
      </c>
      <c r="Q2839">
        <v>0.83</v>
      </c>
      <c r="R2839">
        <v>0.79</v>
      </c>
      <c r="S2839">
        <v>2.33</v>
      </c>
    </row>
    <row r="2840" spans="1:19" x14ac:dyDescent="0.2">
      <c r="A2840" t="s">
        <v>4912</v>
      </c>
      <c r="B2840" t="s">
        <v>4914</v>
      </c>
      <c r="C2840">
        <v>2016</v>
      </c>
      <c r="D2840">
        <v>1</v>
      </c>
      <c r="E2840" t="s">
        <v>55</v>
      </c>
      <c r="F2840" t="s">
        <v>128</v>
      </c>
      <c r="G2840" t="s">
        <v>63</v>
      </c>
      <c r="H2840">
        <v>2</v>
      </c>
      <c r="I2840">
        <v>7.8344278799999998</v>
      </c>
      <c r="J2840">
        <v>153</v>
      </c>
      <c r="M2840">
        <v>3.27</v>
      </c>
      <c r="O2840">
        <v>0.29199999999999998</v>
      </c>
      <c r="Q2840">
        <v>0.83</v>
      </c>
      <c r="R2840">
        <v>0.79</v>
      </c>
      <c r="S2840">
        <v>2.33</v>
      </c>
    </row>
    <row r="2841" spans="1:19" x14ac:dyDescent="0.2">
      <c r="A2841" t="s">
        <v>4915</v>
      </c>
      <c r="B2841" t="s">
        <v>4916</v>
      </c>
      <c r="C2841">
        <v>2014</v>
      </c>
      <c r="D2841">
        <v>1</v>
      </c>
      <c r="E2841" t="s">
        <v>55</v>
      </c>
      <c r="F2841" t="s">
        <v>128</v>
      </c>
      <c r="G2841" t="s">
        <v>63</v>
      </c>
      <c r="H2841">
        <v>1</v>
      </c>
      <c r="I2841">
        <v>1.7208604000000001</v>
      </c>
      <c r="J2841">
        <v>1056</v>
      </c>
      <c r="L2841">
        <v>299.07803000000001</v>
      </c>
      <c r="M2841">
        <v>15.031000000000001</v>
      </c>
      <c r="N2841">
        <v>0.94099999999999995</v>
      </c>
      <c r="O2841">
        <v>1.341</v>
      </c>
      <c r="P2841">
        <v>0.52</v>
      </c>
      <c r="Q2841">
        <v>1.17</v>
      </c>
      <c r="R2841">
        <v>1.29</v>
      </c>
    </row>
    <row r="2842" spans="1:19" x14ac:dyDescent="0.2">
      <c r="A2842" t="s">
        <v>4917</v>
      </c>
      <c r="B2842" t="s">
        <v>4918</v>
      </c>
      <c r="C2842">
        <v>2014</v>
      </c>
      <c r="D2842">
        <v>1</v>
      </c>
      <c r="E2842" t="s">
        <v>55</v>
      </c>
      <c r="F2842" t="s">
        <v>128</v>
      </c>
      <c r="G2842" t="s">
        <v>63</v>
      </c>
      <c r="H2842">
        <v>1</v>
      </c>
      <c r="I2842">
        <v>66.262</v>
      </c>
      <c r="J2842">
        <v>848.13</v>
      </c>
      <c r="L2842">
        <v>67</v>
      </c>
      <c r="M2842">
        <v>4.3470000000000004</v>
      </c>
      <c r="N2842">
        <v>0.21099999999999999</v>
      </c>
      <c r="O2842">
        <v>0.38800000000000001</v>
      </c>
      <c r="P2842">
        <v>3.2</v>
      </c>
      <c r="Q2842">
        <v>0.82</v>
      </c>
      <c r="R2842">
        <v>0.78</v>
      </c>
      <c r="S2842">
        <v>1.7549999999999999</v>
      </c>
    </row>
    <row r="2843" spans="1:19" x14ac:dyDescent="0.2">
      <c r="A2843" t="s">
        <v>4919</v>
      </c>
      <c r="B2843" t="s">
        <v>4920</v>
      </c>
      <c r="C2843">
        <v>2014</v>
      </c>
      <c r="D2843">
        <v>1</v>
      </c>
      <c r="E2843" t="s">
        <v>55</v>
      </c>
      <c r="F2843" t="s">
        <v>2343</v>
      </c>
      <c r="G2843" t="s">
        <v>63</v>
      </c>
      <c r="H2843">
        <v>2</v>
      </c>
      <c r="I2843">
        <v>4.7</v>
      </c>
      <c r="J2843">
        <v>440</v>
      </c>
      <c r="L2843">
        <v>3.5</v>
      </c>
      <c r="M2843">
        <v>1.71</v>
      </c>
      <c r="N2843">
        <v>1.0999999999999999E-2</v>
      </c>
      <c r="O2843">
        <v>0.153</v>
      </c>
      <c r="Q2843">
        <v>0.89</v>
      </c>
      <c r="R2843">
        <v>0.95</v>
      </c>
    </row>
    <row r="2844" spans="1:19" x14ac:dyDescent="0.2">
      <c r="A2844" t="s">
        <v>4919</v>
      </c>
      <c r="B2844" t="s">
        <v>4921</v>
      </c>
      <c r="C2844">
        <v>2014</v>
      </c>
      <c r="D2844">
        <v>1</v>
      </c>
      <c r="E2844" t="s">
        <v>55</v>
      </c>
      <c r="F2844" t="s">
        <v>2343</v>
      </c>
      <c r="G2844" t="s">
        <v>63</v>
      </c>
      <c r="H2844">
        <v>2</v>
      </c>
      <c r="I2844">
        <v>7.1710000000000003</v>
      </c>
      <c r="J2844">
        <v>440</v>
      </c>
      <c r="L2844">
        <v>29.9</v>
      </c>
      <c r="M2844">
        <v>3.01</v>
      </c>
      <c r="N2844">
        <v>9.4E-2</v>
      </c>
      <c r="O2844">
        <v>0.26900000000000002</v>
      </c>
      <c r="Q2844">
        <v>0.89</v>
      </c>
      <c r="R2844">
        <v>0.95</v>
      </c>
    </row>
    <row r="2845" spans="1:19" x14ac:dyDescent="0.2">
      <c r="A2845" t="s">
        <v>4922</v>
      </c>
      <c r="B2845" t="s">
        <v>4923</v>
      </c>
      <c r="C2845">
        <v>2014</v>
      </c>
      <c r="D2845">
        <v>1</v>
      </c>
      <c r="E2845" t="s">
        <v>55</v>
      </c>
      <c r="F2845" t="s">
        <v>2343</v>
      </c>
      <c r="G2845" t="s">
        <v>63</v>
      </c>
      <c r="H2845">
        <v>2</v>
      </c>
      <c r="I2845">
        <v>4.1760000000000002</v>
      </c>
      <c r="J2845">
        <v>617</v>
      </c>
      <c r="L2845">
        <v>119.9</v>
      </c>
      <c r="M2845">
        <v>1.21</v>
      </c>
      <c r="N2845">
        <v>0.377</v>
      </c>
      <c r="O2845">
        <v>0.108</v>
      </c>
      <c r="Q2845">
        <v>0.67</v>
      </c>
      <c r="R2845">
        <v>0.64</v>
      </c>
    </row>
    <row r="2846" spans="1:19" x14ac:dyDescent="0.2">
      <c r="A2846" t="s">
        <v>4922</v>
      </c>
      <c r="B2846" t="s">
        <v>4924</v>
      </c>
      <c r="C2846">
        <v>2014</v>
      </c>
      <c r="D2846">
        <v>1</v>
      </c>
      <c r="E2846" t="s">
        <v>55</v>
      </c>
      <c r="F2846" t="s">
        <v>2343</v>
      </c>
      <c r="G2846" t="s">
        <v>63</v>
      </c>
      <c r="H2846">
        <v>2</v>
      </c>
      <c r="I2846">
        <v>8.7080000000000002</v>
      </c>
      <c r="J2846">
        <v>617</v>
      </c>
      <c r="Q2846">
        <v>0.67</v>
      </c>
      <c r="R2846">
        <v>0.64</v>
      </c>
    </row>
    <row r="2847" spans="1:19" x14ac:dyDescent="0.2">
      <c r="A2847" t="s">
        <v>4925</v>
      </c>
      <c r="B2847" t="s">
        <v>4926</v>
      </c>
      <c r="C2847">
        <v>2014</v>
      </c>
      <c r="D2847">
        <v>1</v>
      </c>
      <c r="E2847" t="s">
        <v>55</v>
      </c>
      <c r="F2847" t="s">
        <v>2343</v>
      </c>
      <c r="G2847" t="s">
        <v>63</v>
      </c>
      <c r="H2847">
        <v>2</v>
      </c>
      <c r="I2847">
        <v>6.319</v>
      </c>
      <c r="J2847">
        <v>711</v>
      </c>
      <c r="L2847">
        <v>58.2</v>
      </c>
      <c r="M2847">
        <v>2.48</v>
      </c>
      <c r="N2847">
        <v>0.183</v>
      </c>
      <c r="O2847">
        <v>0.221</v>
      </c>
      <c r="Q2847">
        <v>1</v>
      </c>
      <c r="R2847">
        <v>1.07</v>
      </c>
    </row>
    <row r="2848" spans="1:19" x14ac:dyDescent="0.2">
      <c r="A2848" t="s">
        <v>4925</v>
      </c>
      <c r="B2848" t="s">
        <v>4927</v>
      </c>
      <c r="C2848">
        <v>2014</v>
      </c>
      <c r="D2848">
        <v>1</v>
      </c>
      <c r="E2848" t="s">
        <v>55</v>
      </c>
      <c r="F2848" t="s">
        <v>2343</v>
      </c>
      <c r="G2848" t="s">
        <v>63</v>
      </c>
      <c r="H2848">
        <v>2</v>
      </c>
      <c r="I2848">
        <v>12.209</v>
      </c>
      <c r="J2848">
        <v>711</v>
      </c>
      <c r="Q2848">
        <v>1</v>
      </c>
      <c r="R2848">
        <v>1.07</v>
      </c>
    </row>
    <row r="2849" spans="1:19" x14ac:dyDescent="0.2">
      <c r="A2849" t="s">
        <v>4928</v>
      </c>
      <c r="B2849" t="s">
        <v>4929</v>
      </c>
      <c r="C2849">
        <v>2014</v>
      </c>
      <c r="D2849">
        <v>1</v>
      </c>
      <c r="E2849" t="s">
        <v>55</v>
      </c>
      <c r="F2849" t="s">
        <v>2343</v>
      </c>
      <c r="G2849" t="s">
        <v>63</v>
      </c>
      <c r="H2849">
        <v>2</v>
      </c>
      <c r="I2849">
        <v>12.331</v>
      </c>
      <c r="J2849">
        <v>981</v>
      </c>
      <c r="L2849">
        <v>11</v>
      </c>
      <c r="M2849">
        <v>2.31</v>
      </c>
      <c r="N2849">
        <v>3.5000000000000003E-2</v>
      </c>
      <c r="O2849">
        <v>0.20599999999999999</v>
      </c>
      <c r="Q2849">
        <v>0.9</v>
      </c>
      <c r="R2849">
        <v>0.81</v>
      </c>
    </row>
    <row r="2850" spans="1:19" x14ac:dyDescent="0.2">
      <c r="A2850" t="s">
        <v>4928</v>
      </c>
      <c r="B2850" t="s">
        <v>4930</v>
      </c>
      <c r="C2850">
        <v>2014</v>
      </c>
      <c r="D2850">
        <v>1</v>
      </c>
      <c r="E2850" t="s">
        <v>55</v>
      </c>
      <c r="F2850" t="s">
        <v>2343</v>
      </c>
      <c r="G2850" t="s">
        <v>63</v>
      </c>
      <c r="H2850">
        <v>2</v>
      </c>
      <c r="I2850">
        <v>15.943</v>
      </c>
      <c r="J2850">
        <v>981</v>
      </c>
      <c r="Q2850">
        <v>0.9</v>
      </c>
      <c r="R2850">
        <v>0.81</v>
      </c>
    </row>
    <row r="2851" spans="1:19" x14ac:dyDescent="0.2">
      <c r="A2851" t="s">
        <v>4931</v>
      </c>
      <c r="B2851" t="s">
        <v>4932</v>
      </c>
      <c r="C2851">
        <v>2014</v>
      </c>
      <c r="D2851">
        <v>1</v>
      </c>
      <c r="E2851" t="s">
        <v>55</v>
      </c>
      <c r="F2851" t="s">
        <v>128</v>
      </c>
      <c r="G2851" t="s">
        <v>63</v>
      </c>
      <c r="H2851">
        <v>1</v>
      </c>
      <c r="I2851">
        <v>86.678560000000004</v>
      </c>
      <c r="J2851">
        <v>1017</v>
      </c>
      <c r="K2851">
        <v>7</v>
      </c>
      <c r="L2851">
        <v>349.6</v>
      </c>
      <c r="M2851">
        <v>13.45</v>
      </c>
      <c r="N2851">
        <v>1.1000000000000001</v>
      </c>
      <c r="O2851">
        <v>1.2</v>
      </c>
      <c r="Q2851">
        <v>0.98</v>
      </c>
      <c r="R2851">
        <v>1.0900000000000001</v>
      </c>
      <c r="S2851">
        <v>1.51</v>
      </c>
    </row>
    <row r="2852" spans="1:19" x14ac:dyDescent="0.2">
      <c r="A2852" t="s">
        <v>4933</v>
      </c>
      <c r="B2852" t="s">
        <v>4934</v>
      </c>
      <c r="C2852">
        <v>2014</v>
      </c>
      <c r="D2852">
        <v>1</v>
      </c>
      <c r="E2852" t="s">
        <v>55</v>
      </c>
      <c r="F2852" t="s">
        <v>128</v>
      </c>
      <c r="G2852" t="s">
        <v>63</v>
      </c>
      <c r="H2852">
        <v>2</v>
      </c>
      <c r="I2852">
        <v>69.754599999999996</v>
      </c>
      <c r="J2852">
        <v>872</v>
      </c>
      <c r="L2852">
        <v>794.5</v>
      </c>
      <c r="M2852">
        <v>10.8</v>
      </c>
      <c r="N2852">
        <v>2.5</v>
      </c>
      <c r="O2852">
        <v>0.96</v>
      </c>
      <c r="Q2852">
        <v>1.39</v>
      </c>
      <c r="R2852">
        <v>1.74</v>
      </c>
      <c r="S2852">
        <v>13.34</v>
      </c>
    </row>
    <row r="2853" spans="1:19" x14ac:dyDescent="0.2">
      <c r="A2853" t="s">
        <v>4933</v>
      </c>
      <c r="B2853" t="s">
        <v>4935</v>
      </c>
      <c r="C2853">
        <v>2014</v>
      </c>
      <c r="D2853">
        <v>1</v>
      </c>
      <c r="E2853" t="s">
        <v>55</v>
      </c>
      <c r="F2853" t="s">
        <v>2343</v>
      </c>
      <c r="G2853" t="s">
        <v>63</v>
      </c>
      <c r="H2853">
        <v>2</v>
      </c>
      <c r="I2853">
        <v>675.47</v>
      </c>
      <c r="J2853">
        <v>872</v>
      </c>
      <c r="L2853">
        <v>2320.1</v>
      </c>
      <c r="N2853">
        <v>7.3</v>
      </c>
      <c r="Q2853">
        <v>1.39</v>
      </c>
      <c r="R2853">
        <v>1.74</v>
      </c>
      <c r="S2853">
        <v>13.34</v>
      </c>
    </row>
    <row r="2854" spans="1:19" x14ac:dyDescent="0.2">
      <c r="A2854" t="s">
        <v>4936</v>
      </c>
      <c r="B2854" t="s">
        <v>4937</v>
      </c>
      <c r="C2854">
        <v>2011</v>
      </c>
      <c r="D2854">
        <v>1</v>
      </c>
      <c r="E2854" t="s">
        <v>55</v>
      </c>
      <c r="F2854" t="s">
        <v>128</v>
      </c>
      <c r="G2854" t="s">
        <v>63</v>
      </c>
      <c r="H2854">
        <v>3</v>
      </c>
      <c r="I2854">
        <v>1.2137671999999999</v>
      </c>
      <c r="J2854">
        <v>38.700000000000003</v>
      </c>
      <c r="K2854">
        <v>4.5</v>
      </c>
      <c r="M2854">
        <v>0.78</v>
      </c>
      <c r="O2854">
        <v>7.0000000000000007E-2</v>
      </c>
      <c r="Q2854">
        <v>0.13</v>
      </c>
      <c r="R2854">
        <v>0.17</v>
      </c>
    </row>
    <row r="2855" spans="1:19" x14ac:dyDescent="0.2">
      <c r="A2855" t="s">
        <v>4936</v>
      </c>
      <c r="B2855" t="s">
        <v>4938</v>
      </c>
      <c r="C2855">
        <v>2011</v>
      </c>
      <c r="D2855">
        <v>1</v>
      </c>
      <c r="E2855" t="s">
        <v>55</v>
      </c>
      <c r="F2855" t="s">
        <v>128</v>
      </c>
      <c r="G2855" t="s">
        <v>63</v>
      </c>
      <c r="H2855">
        <v>3</v>
      </c>
      <c r="I2855">
        <v>0.45328509</v>
      </c>
      <c r="J2855">
        <v>38.700000000000003</v>
      </c>
      <c r="K2855">
        <v>4.5</v>
      </c>
      <c r="M2855">
        <v>0.73</v>
      </c>
      <c r="O2855">
        <v>6.5000000000000002E-2</v>
      </c>
      <c r="Q2855">
        <v>0.13</v>
      </c>
      <c r="R2855">
        <v>0.17</v>
      </c>
    </row>
    <row r="2856" spans="1:19" x14ac:dyDescent="0.2">
      <c r="A2856" t="s">
        <v>4936</v>
      </c>
      <c r="B2856" t="s">
        <v>4939</v>
      </c>
      <c r="C2856">
        <v>2011</v>
      </c>
      <c r="D2856">
        <v>1</v>
      </c>
      <c r="E2856" t="s">
        <v>55</v>
      </c>
      <c r="F2856" t="s">
        <v>128</v>
      </c>
      <c r="G2856" t="s">
        <v>63</v>
      </c>
      <c r="H2856">
        <v>3</v>
      </c>
      <c r="I2856">
        <v>1.8651690000000001</v>
      </c>
      <c r="J2856">
        <v>38.700000000000003</v>
      </c>
      <c r="K2856">
        <v>4.5</v>
      </c>
      <c r="M2856">
        <v>0.56999999999999995</v>
      </c>
      <c r="O2856">
        <v>5.0999999999999997E-2</v>
      </c>
      <c r="Q2856">
        <v>0.13</v>
      </c>
      <c r="R2856">
        <v>0.17</v>
      </c>
    </row>
    <row r="2857" spans="1:19" x14ac:dyDescent="0.2">
      <c r="A2857" t="s">
        <v>4940</v>
      </c>
      <c r="B2857" t="s">
        <v>4941</v>
      </c>
      <c r="C2857">
        <v>2014</v>
      </c>
      <c r="D2857">
        <v>1</v>
      </c>
      <c r="E2857" t="s">
        <v>55</v>
      </c>
      <c r="F2857" t="s">
        <v>128</v>
      </c>
      <c r="G2857" t="s">
        <v>63</v>
      </c>
      <c r="H2857">
        <v>1</v>
      </c>
      <c r="I2857">
        <v>704.19839999999999</v>
      </c>
      <c r="J2857">
        <v>320</v>
      </c>
      <c r="K2857">
        <v>4</v>
      </c>
      <c r="M2857">
        <v>4.16</v>
      </c>
      <c r="O2857">
        <v>0.371</v>
      </c>
      <c r="Q2857">
        <v>0.79</v>
      </c>
      <c r="R2857">
        <v>0.76</v>
      </c>
      <c r="S2857">
        <v>1.58</v>
      </c>
    </row>
    <row r="2858" spans="1:19" x14ac:dyDescent="0.2">
      <c r="A2858" t="s">
        <v>4942</v>
      </c>
      <c r="B2858" t="s">
        <v>4943</v>
      </c>
      <c r="C2858">
        <v>2014</v>
      </c>
      <c r="D2858">
        <v>1</v>
      </c>
      <c r="E2858" t="s">
        <v>55</v>
      </c>
      <c r="F2858" t="s">
        <v>128</v>
      </c>
      <c r="G2858" t="s">
        <v>63</v>
      </c>
      <c r="H2858">
        <v>1</v>
      </c>
      <c r="I2858">
        <v>7.8914483000000004</v>
      </c>
      <c r="J2858">
        <v>692</v>
      </c>
      <c r="L2858">
        <v>136.66</v>
      </c>
      <c r="M2858">
        <v>12.89</v>
      </c>
      <c r="N2858">
        <v>0.43</v>
      </c>
      <c r="O2858">
        <v>1.1499999999999999</v>
      </c>
      <c r="P2858">
        <v>0.38</v>
      </c>
      <c r="Q2858">
        <v>1.1499999999999999</v>
      </c>
      <c r="R2858">
        <v>1.24</v>
      </c>
      <c r="S2858">
        <v>0.86</v>
      </c>
    </row>
    <row r="2859" spans="1:19" x14ac:dyDescent="0.2">
      <c r="A2859" t="s">
        <v>4944</v>
      </c>
      <c r="B2859" t="s">
        <v>4945</v>
      </c>
      <c r="C2859">
        <v>2014</v>
      </c>
      <c r="D2859">
        <v>1</v>
      </c>
      <c r="E2859" t="s">
        <v>55</v>
      </c>
      <c r="F2859" t="s">
        <v>128</v>
      </c>
      <c r="G2859" t="s">
        <v>63</v>
      </c>
      <c r="H2859">
        <v>1</v>
      </c>
      <c r="I2859">
        <v>2.6843284999999999</v>
      </c>
      <c r="J2859">
        <v>725</v>
      </c>
      <c r="K2859">
        <v>11</v>
      </c>
      <c r="L2859">
        <v>189.101</v>
      </c>
      <c r="M2859">
        <v>13.361000000000001</v>
      </c>
      <c r="N2859">
        <v>0.59499999999999997</v>
      </c>
      <c r="O2859">
        <v>1.1919999999999999</v>
      </c>
      <c r="P2859">
        <v>0.45900000000000002</v>
      </c>
      <c r="Q2859">
        <v>0.85</v>
      </c>
      <c r="R2859">
        <v>0.95</v>
      </c>
      <c r="S2859">
        <v>1.3979999999999999</v>
      </c>
    </row>
    <row r="2860" spans="1:19" x14ac:dyDescent="0.2">
      <c r="A2860" t="s">
        <v>4946</v>
      </c>
      <c r="B2860" t="s">
        <v>4947</v>
      </c>
      <c r="C2860">
        <v>2014</v>
      </c>
      <c r="D2860">
        <v>1</v>
      </c>
      <c r="E2860" t="s">
        <v>55</v>
      </c>
      <c r="F2860" t="s">
        <v>128</v>
      </c>
      <c r="G2860" t="s">
        <v>63</v>
      </c>
      <c r="H2860">
        <v>2</v>
      </c>
      <c r="I2860">
        <v>3.3118644000000002</v>
      </c>
      <c r="J2860">
        <v>698.39</v>
      </c>
      <c r="L2860">
        <v>327.35000000000002</v>
      </c>
      <c r="M2860">
        <v>9.98</v>
      </c>
      <c r="N2860">
        <v>1.03</v>
      </c>
      <c r="O2860">
        <v>0.89</v>
      </c>
      <c r="P2860">
        <v>1.94</v>
      </c>
      <c r="Q2860">
        <v>1.01</v>
      </c>
      <c r="R2860">
        <v>0.94</v>
      </c>
      <c r="S2860">
        <v>1.73</v>
      </c>
    </row>
    <row r="2861" spans="1:19" x14ac:dyDescent="0.2">
      <c r="A2861" t="s">
        <v>4946</v>
      </c>
      <c r="B2861" t="s">
        <v>4948</v>
      </c>
      <c r="C2861">
        <v>2014</v>
      </c>
      <c r="D2861">
        <v>1</v>
      </c>
      <c r="E2861" t="s">
        <v>21</v>
      </c>
      <c r="F2861" t="s">
        <v>22</v>
      </c>
      <c r="G2861" t="s">
        <v>86</v>
      </c>
      <c r="H2861">
        <v>2</v>
      </c>
      <c r="I2861">
        <v>223.3</v>
      </c>
      <c r="J2861">
        <v>698.39</v>
      </c>
      <c r="N2861">
        <v>6.97</v>
      </c>
      <c r="Q2861">
        <v>1.01</v>
      </c>
      <c r="R2861">
        <v>0.94</v>
      </c>
      <c r="S2861">
        <v>1.73</v>
      </c>
    </row>
    <row r="2862" spans="1:19" x14ac:dyDescent="0.2">
      <c r="A2862" t="s">
        <v>4949</v>
      </c>
      <c r="B2862" t="s">
        <v>4950</v>
      </c>
      <c r="C2862">
        <v>2014</v>
      </c>
      <c r="D2862">
        <v>1</v>
      </c>
      <c r="E2862" t="s">
        <v>55</v>
      </c>
      <c r="F2862" t="s">
        <v>128</v>
      </c>
      <c r="G2862" t="s">
        <v>63</v>
      </c>
      <c r="H2862">
        <v>1</v>
      </c>
      <c r="I2862">
        <v>3.7970181599999999</v>
      </c>
      <c r="J2862">
        <v>650</v>
      </c>
      <c r="K2862">
        <v>5</v>
      </c>
      <c r="L2862">
        <v>79.45</v>
      </c>
      <c r="M2862">
        <v>10.962</v>
      </c>
      <c r="N2862">
        <v>0.25</v>
      </c>
      <c r="O2862">
        <v>0.97799999999999998</v>
      </c>
      <c r="P2862">
        <v>0.27</v>
      </c>
      <c r="Q2862">
        <v>0.93</v>
      </c>
      <c r="R2862">
        <v>0.86</v>
      </c>
      <c r="S2862">
        <v>1.448</v>
      </c>
    </row>
    <row r="2863" spans="1:19" x14ac:dyDescent="0.2">
      <c r="A2863" t="s">
        <v>4951</v>
      </c>
      <c r="B2863" t="s">
        <v>4952</v>
      </c>
      <c r="C2863">
        <v>2014</v>
      </c>
      <c r="D2863">
        <v>1</v>
      </c>
      <c r="E2863" t="s">
        <v>55</v>
      </c>
      <c r="F2863" t="s">
        <v>128</v>
      </c>
      <c r="G2863" t="s">
        <v>63</v>
      </c>
      <c r="H2863">
        <v>1</v>
      </c>
      <c r="I2863">
        <v>3.2175188299999999</v>
      </c>
      <c r="J2863">
        <v>880</v>
      </c>
      <c r="K2863">
        <v>6</v>
      </c>
      <c r="L2863">
        <v>108.06</v>
      </c>
      <c r="M2863">
        <v>12.22</v>
      </c>
      <c r="N2863">
        <v>0.34</v>
      </c>
      <c r="O2863">
        <v>1.0900000000000001</v>
      </c>
      <c r="P2863">
        <v>0.26</v>
      </c>
      <c r="Q2863">
        <v>0.91</v>
      </c>
      <c r="R2863">
        <v>0.92</v>
      </c>
      <c r="S2863">
        <v>1.17</v>
      </c>
    </row>
    <row r="2864" spans="1:19" x14ac:dyDescent="0.2">
      <c r="A2864" t="s">
        <v>4953</v>
      </c>
      <c r="B2864" t="s">
        <v>4954</v>
      </c>
      <c r="C2864">
        <v>2014</v>
      </c>
      <c r="D2864">
        <v>1</v>
      </c>
      <c r="E2864" t="s">
        <v>55</v>
      </c>
      <c r="F2864" t="s">
        <v>128</v>
      </c>
      <c r="G2864" t="s">
        <v>63</v>
      </c>
      <c r="H2864">
        <v>1</v>
      </c>
      <c r="I2864">
        <v>10.290994</v>
      </c>
      <c r="J2864">
        <v>1100</v>
      </c>
      <c r="K2864">
        <v>7</v>
      </c>
      <c r="L2864">
        <v>92.17</v>
      </c>
      <c r="M2864">
        <v>13.79</v>
      </c>
      <c r="N2864">
        <v>0.28999999999999998</v>
      </c>
      <c r="O2864">
        <v>1.23</v>
      </c>
      <c r="P2864">
        <v>0.16</v>
      </c>
      <c r="Q2864">
        <v>0.96</v>
      </c>
      <c r="R2864">
        <v>1.35</v>
      </c>
      <c r="S2864">
        <v>0.4</v>
      </c>
    </row>
    <row r="2865" spans="1:19" x14ac:dyDescent="0.2">
      <c r="A2865" t="s">
        <v>4955</v>
      </c>
      <c r="B2865" t="s">
        <v>4956</v>
      </c>
      <c r="C2865">
        <v>2014</v>
      </c>
      <c r="D2865">
        <v>1</v>
      </c>
      <c r="E2865" t="s">
        <v>55</v>
      </c>
      <c r="F2865" t="s">
        <v>128</v>
      </c>
      <c r="G2865" t="s">
        <v>63</v>
      </c>
      <c r="H2865">
        <v>1</v>
      </c>
      <c r="I2865">
        <v>3.5256325400000001</v>
      </c>
      <c r="J2865">
        <v>720</v>
      </c>
      <c r="K2865">
        <v>5</v>
      </c>
      <c r="L2865">
        <v>403.63</v>
      </c>
      <c r="M2865">
        <v>12.11</v>
      </c>
      <c r="N2865">
        <v>1.27</v>
      </c>
      <c r="O2865">
        <v>1.08</v>
      </c>
      <c r="P2865">
        <v>1.02</v>
      </c>
      <c r="Q2865">
        <v>0.87</v>
      </c>
      <c r="R2865">
        <v>0.8</v>
      </c>
      <c r="S2865">
        <v>1.704</v>
      </c>
    </row>
    <row r="2866" spans="1:19" x14ac:dyDescent="0.2">
      <c r="A2866" t="s">
        <v>4957</v>
      </c>
      <c r="B2866" t="s">
        <v>4958</v>
      </c>
      <c r="C2866">
        <v>2011</v>
      </c>
      <c r="D2866">
        <v>1</v>
      </c>
      <c r="E2866" t="s">
        <v>55</v>
      </c>
      <c r="F2866" t="s">
        <v>128</v>
      </c>
      <c r="G2866" t="s">
        <v>63</v>
      </c>
      <c r="H2866">
        <v>1</v>
      </c>
      <c r="I2866">
        <v>3.0240949000000001</v>
      </c>
      <c r="J2866">
        <v>1950</v>
      </c>
      <c r="L2866">
        <v>1026.5908999999999</v>
      </c>
      <c r="M2866">
        <v>13.664</v>
      </c>
      <c r="N2866">
        <v>3.23</v>
      </c>
      <c r="O2866">
        <v>1.2190000000000001</v>
      </c>
      <c r="P2866">
        <v>5</v>
      </c>
      <c r="Q2866">
        <v>1.32</v>
      </c>
      <c r="R2866">
        <v>1.42</v>
      </c>
    </row>
    <row r="2867" spans="1:19" x14ac:dyDescent="0.2">
      <c r="A2867" t="s">
        <v>4959</v>
      </c>
      <c r="B2867" t="s">
        <v>4960</v>
      </c>
      <c r="C2867">
        <v>2015</v>
      </c>
      <c r="D2867">
        <v>1</v>
      </c>
      <c r="E2867" t="s">
        <v>55</v>
      </c>
      <c r="F2867" t="s">
        <v>128</v>
      </c>
      <c r="G2867" t="s">
        <v>63</v>
      </c>
      <c r="H2867">
        <v>2</v>
      </c>
      <c r="I2867">
        <v>35.968000000000004</v>
      </c>
      <c r="J2867">
        <v>816</v>
      </c>
      <c r="M2867">
        <v>3.25</v>
      </c>
      <c r="O2867">
        <v>0.28999999999999998</v>
      </c>
      <c r="Q2867">
        <v>1.17</v>
      </c>
      <c r="R2867">
        <v>1.49</v>
      </c>
    </row>
    <row r="2868" spans="1:19" x14ac:dyDescent="0.2">
      <c r="A2868" t="s">
        <v>4959</v>
      </c>
      <c r="B2868" t="s">
        <v>4961</v>
      </c>
      <c r="C2868">
        <v>2015</v>
      </c>
      <c r="D2868">
        <v>1</v>
      </c>
      <c r="E2868" t="s">
        <v>55</v>
      </c>
      <c r="F2868" t="s">
        <v>128</v>
      </c>
      <c r="G2868" t="s">
        <v>63</v>
      </c>
      <c r="H2868">
        <v>2</v>
      </c>
      <c r="I2868">
        <v>110.979</v>
      </c>
      <c r="J2868">
        <v>816</v>
      </c>
      <c r="M2868">
        <v>1.75</v>
      </c>
      <c r="O2868">
        <v>0.16</v>
      </c>
      <c r="Q2868">
        <v>1.17</v>
      </c>
      <c r="R2868">
        <v>1.49</v>
      </c>
    </row>
    <row r="2869" spans="1:19" x14ac:dyDescent="0.2">
      <c r="A2869" t="s">
        <v>4962</v>
      </c>
      <c r="B2869" t="s">
        <v>4963</v>
      </c>
      <c r="C2869">
        <v>2015</v>
      </c>
      <c r="D2869">
        <v>1</v>
      </c>
      <c r="E2869" t="s">
        <v>55</v>
      </c>
      <c r="F2869" t="s">
        <v>128</v>
      </c>
      <c r="G2869" t="s">
        <v>63</v>
      </c>
      <c r="H2869">
        <v>3</v>
      </c>
      <c r="I2869">
        <v>6.8029999999999999</v>
      </c>
      <c r="J2869">
        <v>427</v>
      </c>
      <c r="M2869">
        <v>0.76400000000000001</v>
      </c>
      <c r="O2869">
        <v>6.8000000000000005E-2</v>
      </c>
      <c r="Q2869">
        <v>1.07</v>
      </c>
      <c r="R2869">
        <v>1.0900000000000001</v>
      </c>
    </row>
    <row r="2870" spans="1:19" x14ac:dyDescent="0.2">
      <c r="A2870" t="s">
        <v>4962</v>
      </c>
      <c r="B2870" t="s">
        <v>4964</v>
      </c>
      <c r="C2870">
        <v>2015</v>
      </c>
      <c r="D2870">
        <v>1</v>
      </c>
      <c r="E2870" t="s">
        <v>55</v>
      </c>
      <c r="F2870" t="s">
        <v>128</v>
      </c>
      <c r="G2870" t="s">
        <v>63</v>
      </c>
      <c r="H2870">
        <v>3</v>
      </c>
      <c r="I2870">
        <v>8.7029999999999994</v>
      </c>
      <c r="J2870">
        <v>427</v>
      </c>
      <c r="M2870">
        <v>0.66800000000000004</v>
      </c>
      <c r="O2870">
        <v>0.06</v>
      </c>
      <c r="Q2870">
        <v>1.07</v>
      </c>
      <c r="R2870">
        <v>1.0900000000000001</v>
      </c>
    </row>
    <row r="2871" spans="1:19" x14ac:dyDescent="0.2">
      <c r="A2871" t="s">
        <v>4962</v>
      </c>
      <c r="B2871" t="s">
        <v>4965</v>
      </c>
      <c r="C2871">
        <v>2015</v>
      </c>
      <c r="D2871">
        <v>1</v>
      </c>
      <c r="E2871" t="s">
        <v>55</v>
      </c>
      <c r="F2871" t="s">
        <v>128</v>
      </c>
      <c r="G2871" t="s">
        <v>63</v>
      </c>
      <c r="H2871">
        <v>3</v>
      </c>
      <c r="I2871">
        <v>11.922000000000001</v>
      </c>
      <c r="J2871">
        <v>427</v>
      </c>
      <c r="M2871">
        <v>1.1100000000000001</v>
      </c>
      <c r="O2871">
        <v>0.1</v>
      </c>
      <c r="Q2871">
        <v>1.07</v>
      </c>
      <c r="R2871">
        <v>1.0900000000000001</v>
      </c>
    </row>
    <row r="2872" spans="1:19" x14ac:dyDescent="0.2">
      <c r="A2872" t="s">
        <v>4966</v>
      </c>
      <c r="B2872" t="s">
        <v>4967</v>
      </c>
      <c r="C2872">
        <v>2015</v>
      </c>
      <c r="D2872">
        <v>1</v>
      </c>
      <c r="E2872" t="s">
        <v>55</v>
      </c>
      <c r="F2872" t="s">
        <v>128</v>
      </c>
      <c r="G2872" t="s">
        <v>63</v>
      </c>
      <c r="H2872">
        <v>2</v>
      </c>
      <c r="I2872">
        <v>52.501128999999999</v>
      </c>
      <c r="J2872">
        <v>870</v>
      </c>
      <c r="K2872">
        <v>4.2</v>
      </c>
      <c r="L2872">
        <v>1719.4603</v>
      </c>
      <c r="M2872">
        <v>12.834</v>
      </c>
      <c r="N2872">
        <v>5.41</v>
      </c>
      <c r="O2872">
        <v>1.145</v>
      </c>
      <c r="P2872">
        <v>4.46</v>
      </c>
      <c r="Q2872">
        <v>1.32</v>
      </c>
      <c r="R2872">
        <v>4.0599999999999996</v>
      </c>
      <c r="S2872">
        <v>2.7900000000000001E-2</v>
      </c>
    </row>
    <row r="2873" spans="1:19" x14ac:dyDescent="0.2">
      <c r="A2873" t="s">
        <v>4966</v>
      </c>
      <c r="B2873" t="s">
        <v>4968</v>
      </c>
      <c r="C2873">
        <v>2015</v>
      </c>
      <c r="D2873">
        <v>1</v>
      </c>
      <c r="E2873" t="s">
        <v>21</v>
      </c>
      <c r="F2873" t="s">
        <v>22</v>
      </c>
      <c r="G2873" t="s">
        <v>1235</v>
      </c>
      <c r="H2873">
        <v>2</v>
      </c>
      <c r="I2873">
        <v>406.2</v>
      </c>
      <c r="J2873">
        <v>870</v>
      </c>
      <c r="K2873">
        <v>4.2</v>
      </c>
      <c r="N2873">
        <v>2.4300000000000002</v>
      </c>
      <c r="Q2873">
        <v>1.32</v>
      </c>
      <c r="R2873">
        <v>4.0599999999999996</v>
      </c>
      <c r="S2873">
        <v>2.7900000000000001E-2</v>
      </c>
    </row>
    <row r="2874" spans="1:19" x14ac:dyDescent="0.2">
      <c r="A2874" t="s">
        <v>4969</v>
      </c>
      <c r="B2874" t="s">
        <v>4970</v>
      </c>
      <c r="C2874">
        <v>2015</v>
      </c>
      <c r="D2874">
        <v>1</v>
      </c>
      <c r="E2874" t="s">
        <v>55</v>
      </c>
      <c r="F2874" t="s">
        <v>128</v>
      </c>
      <c r="G2874" t="s">
        <v>63</v>
      </c>
      <c r="H2874">
        <v>1</v>
      </c>
      <c r="I2874">
        <v>5.3340838399999999</v>
      </c>
      <c r="J2874">
        <v>1870</v>
      </c>
      <c r="K2874">
        <v>2.67</v>
      </c>
      <c r="L2874">
        <v>896.24</v>
      </c>
      <c r="M2874">
        <v>16.25</v>
      </c>
      <c r="N2874">
        <v>2.82</v>
      </c>
      <c r="O2874">
        <v>1.45</v>
      </c>
      <c r="P2874">
        <v>1.1299999999999999</v>
      </c>
      <c r="Q2874">
        <v>1.46</v>
      </c>
      <c r="R2874">
        <v>2.2599999999999998</v>
      </c>
      <c r="S2874">
        <v>0.17699999999999999</v>
      </c>
    </row>
    <row r="2875" spans="1:19" x14ac:dyDescent="0.2">
      <c r="A2875" t="s">
        <v>4971</v>
      </c>
      <c r="B2875" t="s">
        <v>4972</v>
      </c>
      <c r="C2875">
        <v>2015</v>
      </c>
      <c r="D2875">
        <v>1</v>
      </c>
      <c r="E2875" t="s">
        <v>55</v>
      </c>
      <c r="F2875" t="s">
        <v>128</v>
      </c>
      <c r="G2875" t="s">
        <v>63</v>
      </c>
      <c r="H2875">
        <v>1</v>
      </c>
      <c r="I2875">
        <v>12.874709899999999</v>
      </c>
      <c r="J2875">
        <v>1240</v>
      </c>
      <c r="K2875">
        <v>4</v>
      </c>
      <c r="L2875">
        <v>908.96</v>
      </c>
      <c r="M2875">
        <v>12.67</v>
      </c>
      <c r="N2875">
        <v>2.86</v>
      </c>
      <c r="O2875">
        <v>1.1299999999999999</v>
      </c>
      <c r="P2875">
        <v>2.4</v>
      </c>
      <c r="Q2875">
        <v>1.2</v>
      </c>
      <c r="R2875">
        <v>1.38</v>
      </c>
      <c r="S2875">
        <v>0.65</v>
      </c>
    </row>
    <row r="2876" spans="1:19" x14ac:dyDescent="0.2">
      <c r="A2876" t="s">
        <v>4973</v>
      </c>
      <c r="B2876" t="s">
        <v>4974</v>
      </c>
      <c r="C2876">
        <v>2015</v>
      </c>
      <c r="D2876">
        <v>1</v>
      </c>
      <c r="E2876" t="s">
        <v>55</v>
      </c>
      <c r="F2876" t="s">
        <v>128</v>
      </c>
      <c r="G2876" t="s">
        <v>63</v>
      </c>
      <c r="H2876">
        <v>1</v>
      </c>
      <c r="I2876">
        <v>8.6001536000000005</v>
      </c>
      <c r="J2876">
        <v>2070</v>
      </c>
      <c r="K2876">
        <v>2.25</v>
      </c>
      <c r="L2876">
        <v>266.97000000000003</v>
      </c>
      <c r="M2876">
        <v>22.31</v>
      </c>
      <c r="N2876">
        <v>0.84</v>
      </c>
      <c r="O2876">
        <v>1.99</v>
      </c>
      <c r="P2876">
        <v>0.13100000000000001</v>
      </c>
      <c r="Q2876">
        <v>1.54</v>
      </c>
      <c r="R2876">
        <v>3.21</v>
      </c>
      <c r="S2876">
        <v>6.6000000000000003E-2</v>
      </c>
    </row>
    <row r="2877" spans="1:19" x14ac:dyDescent="0.2">
      <c r="A2877" t="s">
        <v>4975</v>
      </c>
      <c r="B2877" t="s">
        <v>4976</v>
      </c>
      <c r="C2877">
        <v>2015</v>
      </c>
      <c r="D2877">
        <v>1</v>
      </c>
      <c r="E2877" t="s">
        <v>55</v>
      </c>
      <c r="F2877" t="s">
        <v>128</v>
      </c>
      <c r="G2877" t="s">
        <v>63</v>
      </c>
      <c r="H2877">
        <v>2</v>
      </c>
      <c r="I2877">
        <v>64.002049999999997</v>
      </c>
      <c r="J2877">
        <v>618</v>
      </c>
      <c r="K2877">
        <v>3</v>
      </c>
      <c r="M2877">
        <v>2.73</v>
      </c>
      <c r="O2877">
        <v>0.24</v>
      </c>
      <c r="Q2877">
        <v>0.73</v>
      </c>
      <c r="R2877">
        <v>0.7</v>
      </c>
      <c r="S2877">
        <v>3.03</v>
      </c>
    </row>
    <row r="2878" spans="1:19" x14ac:dyDescent="0.2">
      <c r="A2878" t="s">
        <v>4975</v>
      </c>
      <c r="B2878" t="s">
        <v>4977</v>
      </c>
      <c r="C2878">
        <v>2016</v>
      </c>
      <c r="D2878">
        <v>1</v>
      </c>
      <c r="E2878" t="s">
        <v>55</v>
      </c>
      <c r="F2878" t="s">
        <v>128</v>
      </c>
      <c r="G2878" t="s">
        <v>63</v>
      </c>
      <c r="H2878">
        <v>2</v>
      </c>
      <c r="I2878">
        <v>16.797138740000001</v>
      </c>
      <c r="J2878">
        <v>618</v>
      </c>
      <c r="K2878">
        <v>3</v>
      </c>
      <c r="M2878">
        <v>2.33</v>
      </c>
      <c r="O2878">
        <v>0.20799999999999999</v>
      </c>
      <c r="Q2878">
        <v>0.73</v>
      </c>
      <c r="R2878">
        <v>0.7</v>
      </c>
      <c r="S2878">
        <v>3.03</v>
      </c>
    </row>
    <row r="2879" spans="1:19" x14ac:dyDescent="0.2">
      <c r="A2879" t="s">
        <v>4978</v>
      </c>
      <c r="B2879" t="s">
        <v>4979</v>
      </c>
      <c r="C2879">
        <v>2015</v>
      </c>
      <c r="D2879">
        <v>1</v>
      </c>
      <c r="E2879" t="s">
        <v>55</v>
      </c>
      <c r="F2879" t="s">
        <v>128</v>
      </c>
      <c r="G2879" t="s">
        <v>63</v>
      </c>
      <c r="H2879">
        <v>1</v>
      </c>
      <c r="I2879">
        <v>66.650620000000004</v>
      </c>
      <c r="J2879">
        <v>417</v>
      </c>
      <c r="K2879">
        <v>2.9</v>
      </c>
      <c r="M2879">
        <v>2.14</v>
      </c>
      <c r="O2879">
        <v>0.19</v>
      </c>
      <c r="Q2879">
        <v>0.71</v>
      </c>
      <c r="R2879">
        <v>0.68</v>
      </c>
      <c r="S2879">
        <v>3.18</v>
      </c>
    </row>
    <row r="2880" spans="1:19" x14ac:dyDescent="0.2">
      <c r="A2880" t="s">
        <v>4980</v>
      </c>
      <c r="B2880" t="s">
        <v>4981</v>
      </c>
      <c r="C2880">
        <v>2015</v>
      </c>
      <c r="D2880">
        <v>1</v>
      </c>
      <c r="E2880" t="s">
        <v>55</v>
      </c>
      <c r="F2880" t="s">
        <v>128</v>
      </c>
      <c r="G2880" t="s">
        <v>63</v>
      </c>
      <c r="H2880">
        <v>1</v>
      </c>
      <c r="I2880">
        <v>35.23319</v>
      </c>
      <c r="J2880">
        <v>145</v>
      </c>
      <c r="K2880">
        <v>4.4000000000000004</v>
      </c>
      <c r="M2880">
        <v>1.1200000000000001</v>
      </c>
      <c r="O2880">
        <v>0.1</v>
      </c>
      <c r="Q2880">
        <v>0.54</v>
      </c>
      <c r="R2880">
        <v>0.52</v>
      </c>
      <c r="S2880">
        <v>5.52</v>
      </c>
    </row>
    <row r="2881" spans="1:19" x14ac:dyDescent="0.2">
      <c r="A2881" t="s">
        <v>4982</v>
      </c>
      <c r="B2881" t="s">
        <v>4983</v>
      </c>
      <c r="C2881">
        <v>2015</v>
      </c>
      <c r="D2881">
        <v>1</v>
      </c>
      <c r="E2881" t="s">
        <v>55</v>
      </c>
      <c r="F2881" t="s">
        <v>128</v>
      </c>
      <c r="G2881" t="s">
        <v>63</v>
      </c>
      <c r="H2881">
        <v>1</v>
      </c>
      <c r="I2881">
        <v>178.1396</v>
      </c>
      <c r="J2881">
        <v>693</v>
      </c>
      <c r="K2881">
        <v>7.2</v>
      </c>
      <c r="M2881">
        <v>2.2400000000000002</v>
      </c>
      <c r="O2881">
        <v>0.2</v>
      </c>
      <c r="Q2881">
        <v>0.88</v>
      </c>
      <c r="R2881">
        <v>0.87</v>
      </c>
      <c r="S2881">
        <v>1.89</v>
      </c>
    </row>
    <row r="2882" spans="1:19" x14ac:dyDescent="0.2">
      <c r="A2882" t="s">
        <v>4984</v>
      </c>
      <c r="B2882" t="s">
        <v>4985</v>
      </c>
      <c r="C2882">
        <v>2011</v>
      </c>
      <c r="D2882">
        <v>1</v>
      </c>
      <c r="E2882" t="s">
        <v>55</v>
      </c>
      <c r="F2882" t="s">
        <v>128</v>
      </c>
      <c r="G2882" t="s">
        <v>63</v>
      </c>
      <c r="H2882">
        <v>1</v>
      </c>
      <c r="I2882">
        <v>3.2467293000000002</v>
      </c>
      <c r="J2882">
        <v>2250</v>
      </c>
      <c r="K2882">
        <v>5.8</v>
      </c>
      <c r="L2882">
        <v>317.82</v>
      </c>
      <c r="M2882">
        <v>12.22</v>
      </c>
      <c r="N2882">
        <v>1</v>
      </c>
      <c r="O2882">
        <v>1.0900000000000001</v>
      </c>
      <c r="P2882">
        <v>0.93</v>
      </c>
      <c r="Q2882">
        <v>1.1200000000000001</v>
      </c>
      <c r="R2882">
        <v>1.35</v>
      </c>
      <c r="S2882">
        <v>0.63</v>
      </c>
    </row>
    <row r="2883" spans="1:19" x14ac:dyDescent="0.2">
      <c r="A2883" t="s">
        <v>4986</v>
      </c>
      <c r="B2883" t="s">
        <v>4987</v>
      </c>
      <c r="C2883">
        <v>2015</v>
      </c>
      <c r="D2883">
        <v>1</v>
      </c>
      <c r="E2883" t="s">
        <v>55</v>
      </c>
      <c r="F2883" t="s">
        <v>128</v>
      </c>
      <c r="G2883" t="s">
        <v>63</v>
      </c>
      <c r="H2883">
        <v>1</v>
      </c>
      <c r="I2883">
        <v>101.11141000000001</v>
      </c>
      <c r="J2883">
        <v>261</v>
      </c>
      <c r="K2883">
        <v>1.3</v>
      </c>
      <c r="M2883">
        <v>1.86</v>
      </c>
      <c r="O2883">
        <v>0.17</v>
      </c>
      <c r="Q2883">
        <v>0.56999999999999995</v>
      </c>
      <c r="R2883">
        <v>0.56000000000000005</v>
      </c>
      <c r="S2883">
        <v>4.76</v>
      </c>
    </row>
    <row r="2884" spans="1:19" x14ac:dyDescent="0.2">
      <c r="A2884" t="s">
        <v>4988</v>
      </c>
      <c r="B2884" t="s">
        <v>4989</v>
      </c>
      <c r="C2884">
        <v>2015</v>
      </c>
      <c r="D2884">
        <v>1</v>
      </c>
      <c r="E2884" t="s">
        <v>55</v>
      </c>
      <c r="F2884" t="s">
        <v>128</v>
      </c>
      <c r="G2884" t="s">
        <v>63</v>
      </c>
      <c r="H2884">
        <v>1</v>
      </c>
      <c r="I2884">
        <v>207.2482</v>
      </c>
      <c r="J2884">
        <v>284</v>
      </c>
      <c r="K2884">
        <v>1.9</v>
      </c>
      <c r="M2884">
        <v>1.64</v>
      </c>
      <c r="O2884">
        <v>0.15</v>
      </c>
      <c r="Q2884">
        <v>0.56999999999999995</v>
      </c>
      <c r="R2884">
        <v>0.55000000000000004</v>
      </c>
      <c r="S2884">
        <v>4.9400000000000004</v>
      </c>
    </row>
    <row r="2885" spans="1:19" x14ac:dyDescent="0.2">
      <c r="A2885" t="s">
        <v>4990</v>
      </c>
      <c r="B2885" t="s">
        <v>4991</v>
      </c>
      <c r="C2885">
        <v>2015</v>
      </c>
      <c r="D2885">
        <v>1</v>
      </c>
      <c r="E2885" t="s">
        <v>55</v>
      </c>
      <c r="F2885" t="s">
        <v>128</v>
      </c>
      <c r="G2885" t="s">
        <v>63</v>
      </c>
      <c r="H2885">
        <v>1</v>
      </c>
      <c r="I2885">
        <v>112.3053</v>
      </c>
      <c r="J2885">
        <v>342</v>
      </c>
      <c r="K2885">
        <v>2.9</v>
      </c>
      <c r="M2885">
        <v>1.34</v>
      </c>
      <c r="O2885">
        <v>0.12</v>
      </c>
      <c r="Q2885">
        <v>0.61</v>
      </c>
      <c r="R2885">
        <v>0.6</v>
      </c>
      <c r="S2885">
        <v>4.01</v>
      </c>
    </row>
    <row r="2886" spans="1:19" x14ac:dyDescent="0.2">
      <c r="A2886" t="s">
        <v>4992</v>
      </c>
      <c r="B2886" t="s">
        <v>4993</v>
      </c>
      <c r="C2886">
        <v>2015</v>
      </c>
      <c r="D2886">
        <v>1</v>
      </c>
      <c r="E2886" t="s">
        <v>55</v>
      </c>
      <c r="F2886" t="s">
        <v>128</v>
      </c>
      <c r="G2886" t="s">
        <v>63</v>
      </c>
      <c r="H2886">
        <v>1</v>
      </c>
      <c r="I2886">
        <v>177.66929999999999</v>
      </c>
      <c r="J2886">
        <v>779</v>
      </c>
      <c r="K2886">
        <v>3.2</v>
      </c>
      <c r="M2886">
        <v>2.33</v>
      </c>
      <c r="O2886">
        <v>0.21</v>
      </c>
      <c r="Q2886">
        <v>0.74</v>
      </c>
      <c r="R2886">
        <v>0.71</v>
      </c>
      <c r="S2886">
        <v>2.96</v>
      </c>
    </row>
    <row r="2887" spans="1:19" x14ac:dyDescent="0.2">
      <c r="A2887" t="s">
        <v>4994</v>
      </c>
      <c r="B2887" t="s">
        <v>4995</v>
      </c>
      <c r="C2887">
        <v>2015</v>
      </c>
      <c r="D2887">
        <v>1</v>
      </c>
      <c r="E2887" t="s">
        <v>55</v>
      </c>
      <c r="F2887" t="s">
        <v>128</v>
      </c>
      <c r="G2887" t="s">
        <v>63</v>
      </c>
      <c r="H2887">
        <v>5</v>
      </c>
      <c r="I2887">
        <v>3.6001053000000001</v>
      </c>
      <c r="J2887">
        <v>35.700000000000003</v>
      </c>
      <c r="K2887">
        <v>11.23</v>
      </c>
      <c r="M2887">
        <v>0.40300000000000002</v>
      </c>
      <c r="O2887">
        <v>3.5999999999999997E-2</v>
      </c>
      <c r="Q2887">
        <v>0.76</v>
      </c>
      <c r="R2887">
        <v>0.75</v>
      </c>
      <c r="S2887">
        <v>2.4929999999999999</v>
      </c>
    </row>
    <row r="2888" spans="1:19" x14ac:dyDescent="0.2">
      <c r="A2888" t="s">
        <v>4994</v>
      </c>
      <c r="B2888" t="s">
        <v>4996</v>
      </c>
      <c r="C2888">
        <v>2015</v>
      </c>
      <c r="D2888">
        <v>1</v>
      </c>
      <c r="E2888" t="s">
        <v>55</v>
      </c>
      <c r="F2888" t="s">
        <v>128</v>
      </c>
      <c r="G2888" t="s">
        <v>63</v>
      </c>
      <c r="H2888">
        <v>5</v>
      </c>
      <c r="I2888">
        <v>4.5458841000000003</v>
      </c>
      <c r="J2888">
        <v>35.700000000000003</v>
      </c>
      <c r="K2888">
        <v>11.23</v>
      </c>
      <c r="M2888">
        <v>0.497</v>
      </c>
      <c r="O2888">
        <v>4.3999999999999997E-2</v>
      </c>
      <c r="Q2888">
        <v>0.76</v>
      </c>
      <c r="R2888">
        <v>0.75</v>
      </c>
      <c r="S2888">
        <v>2.4929999999999999</v>
      </c>
    </row>
    <row r="2889" spans="1:19" x14ac:dyDescent="0.2">
      <c r="A2889" t="s">
        <v>4994</v>
      </c>
      <c r="B2889" t="s">
        <v>4997</v>
      </c>
      <c r="C2889">
        <v>2015</v>
      </c>
      <c r="D2889">
        <v>1</v>
      </c>
      <c r="E2889" t="s">
        <v>55</v>
      </c>
      <c r="F2889" t="s">
        <v>128</v>
      </c>
      <c r="G2889" t="s">
        <v>63</v>
      </c>
      <c r="H2889">
        <v>5</v>
      </c>
      <c r="I2889">
        <v>6.1893919999999998</v>
      </c>
      <c r="J2889">
        <v>35.700000000000003</v>
      </c>
      <c r="K2889">
        <v>11.23</v>
      </c>
      <c r="M2889">
        <v>0.53</v>
      </c>
      <c r="O2889">
        <v>4.7E-2</v>
      </c>
      <c r="Q2889">
        <v>0.76</v>
      </c>
      <c r="R2889">
        <v>0.75</v>
      </c>
      <c r="S2889">
        <v>2.4929999999999999</v>
      </c>
    </row>
    <row r="2890" spans="1:19" x14ac:dyDescent="0.2">
      <c r="A2890" t="s">
        <v>4994</v>
      </c>
      <c r="B2890" t="s">
        <v>4998</v>
      </c>
      <c r="C2890">
        <v>2015</v>
      </c>
      <c r="D2890">
        <v>1</v>
      </c>
      <c r="E2890" t="s">
        <v>55</v>
      </c>
      <c r="F2890" t="s">
        <v>128</v>
      </c>
      <c r="G2890" t="s">
        <v>63</v>
      </c>
      <c r="H2890">
        <v>5</v>
      </c>
      <c r="I2890">
        <v>7.743493</v>
      </c>
      <c r="J2890">
        <v>35.700000000000003</v>
      </c>
      <c r="K2890">
        <v>11.23</v>
      </c>
      <c r="M2890">
        <v>0.54600000000000004</v>
      </c>
      <c r="O2890">
        <v>4.9000000000000002E-2</v>
      </c>
      <c r="Q2890">
        <v>0.76</v>
      </c>
      <c r="R2890">
        <v>0.75</v>
      </c>
      <c r="S2890">
        <v>2.4929999999999999</v>
      </c>
    </row>
    <row r="2891" spans="1:19" x14ac:dyDescent="0.2">
      <c r="A2891" t="s">
        <v>4994</v>
      </c>
      <c r="B2891" t="s">
        <v>4999</v>
      </c>
      <c r="C2891">
        <v>2015</v>
      </c>
      <c r="D2891">
        <v>1</v>
      </c>
      <c r="E2891" t="s">
        <v>55</v>
      </c>
      <c r="F2891" t="s">
        <v>128</v>
      </c>
      <c r="G2891" t="s">
        <v>63</v>
      </c>
      <c r="H2891">
        <v>5</v>
      </c>
      <c r="I2891">
        <v>9.7404860000000006</v>
      </c>
      <c r="J2891">
        <v>35.700000000000003</v>
      </c>
      <c r="K2891">
        <v>11.23</v>
      </c>
      <c r="M2891">
        <v>0.74099999999999999</v>
      </c>
      <c r="O2891">
        <v>6.6000000000000003E-2</v>
      </c>
      <c r="Q2891">
        <v>0.76</v>
      </c>
      <c r="R2891">
        <v>0.75</v>
      </c>
      <c r="S2891">
        <v>2.4929999999999999</v>
      </c>
    </row>
    <row r="2892" spans="1:19" x14ac:dyDescent="0.2">
      <c r="A2892" t="s">
        <v>5000</v>
      </c>
      <c r="B2892" t="s">
        <v>5001</v>
      </c>
      <c r="C2892">
        <v>2015</v>
      </c>
      <c r="D2892">
        <v>1</v>
      </c>
      <c r="E2892" t="s">
        <v>55</v>
      </c>
      <c r="F2892" t="s">
        <v>128</v>
      </c>
      <c r="G2892" t="s">
        <v>63</v>
      </c>
      <c r="H2892">
        <v>3</v>
      </c>
      <c r="I2892">
        <v>2.9841510000000002</v>
      </c>
      <c r="J2892">
        <v>90</v>
      </c>
      <c r="M2892">
        <v>1.58</v>
      </c>
      <c r="O2892">
        <v>0.14000000000000001</v>
      </c>
      <c r="Q2892">
        <v>0.18</v>
      </c>
      <c r="R2892">
        <v>0.21</v>
      </c>
    </row>
    <row r="2893" spans="1:19" x14ac:dyDescent="0.2">
      <c r="A2893" t="s">
        <v>5000</v>
      </c>
      <c r="B2893" t="s">
        <v>5002</v>
      </c>
      <c r="C2893">
        <v>2015</v>
      </c>
      <c r="D2893">
        <v>1</v>
      </c>
      <c r="E2893" t="s">
        <v>55</v>
      </c>
      <c r="F2893" t="s">
        <v>128</v>
      </c>
      <c r="G2893" t="s">
        <v>63</v>
      </c>
      <c r="H2893">
        <v>3</v>
      </c>
      <c r="I2893">
        <v>4.8712289999999996</v>
      </c>
      <c r="J2893">
        <v>90</v>
      </c>
      <c r="M2893">
        <v>2.5099999999999998</v>
      </c>
      <c r="O2893">
        <v>0.22</v>
      </c>
      <c r="Q2893">
        <v>0.18</v>
      </c>
      <c r="R2893">
        <v>0.21</v>
      </c>
    </row>
    <row r="2894" spans="1:19" x14ac:dyDescent="0.2">
      <c r="A2894" t="s">
        <v>5000</v>
      </c>
      <c r="B2894" t="s">
        <v>5003</v>
      </c>
      <c r="C2894">
        <v>2015</v>
      </c>
      <c r="D2894">
        <v>1</v>
      </c>
      <c r="E2894" t="s">
        <v>55</v>
      </c>
      <c r="F2894" t="s">
        <v>128</v>
      </c>
      <c r="G2894" t="s">
        <v>63</v>
      </c>
      <c r="H2894">
        <v>3</v>
      </c>
      <c r="I2894">
        <v>8.1527499999999993</v>
      </c>
      <c r="J2894">
        <v>90</v>
      </c>
      <c r="M2894">
        <v>1.25</v>
      </c>
      <c r="O2894">
        <v>0.11</v>
      </c>
      <c r="Q2894">
        <v>0.18</v>
      </c>
      <c r="R2894">
        <v>0.21</v>
      </c>
    </row>
    <row r="2895" spans="1:19" x14ac:dyDescent="0.2">
      <c r="A2895" t="s">
        <v>5004</v>
      </c>
      <c r="B2895" t="s">
        <v>5005</v>
      </c>
      <c r="C2895">
        <v>2015</v>
      </c>
      <c r="D2895">
        <v>1</v>
      </c>
      <c r="E2895" t="s">
        <v>55</v>
      </c>
      <c r="F2895" t="s">
        <v>128</v>
      </c>
      <c r="G2895" t="s">
        <v>63</v>
      </c>
      <c r="H2895">
        <v>3</v>
      </c>
      <c r="I2895">
        <v>1.5654090000000001</v>
      </c>
      <c r="J2895">
        <v>120</v>
      </c>
      <c r="M2895">
        <v>1.5</v>
      </c>
      <c r="O2895">
        <v>0.13</v>
      </c>
      <c r="Q2895">
        <v>0.22</v>
      </c>
      <c r="R2895">
        <v>0.24</v>
      </c>
    </row>
    <row r="2896" spans="1:19" x14ac:dyDescent="0.2">
      <c r="A2896" t="s">
        <v>5004</v>
      </c>
      <c r="B2896" t="s">
        <v>5006</v>
      </c>
      <c r="C2896">
        <v>2015</v>
      </c>
      <c r="D2896">
        <v>1</v>
      </c>
      <c r="E2896" t="s">
        <v>55</v>
      </c>
      <c r="F2896" t="s">
        <v>128</v>
      </c>
      <c r="G2896" t="s">
        <v>63</v>
      </c>
      <c r="H2896">
        <v>3</v>
      </c>
      <c r="I2896">
        <v>3.0361790000000002</v>
      </c>
      <c r="J2896">
        <v>120</v>
      </c>
      <c r="M2896">
        <v>1.1100000000000001</v>
      </c>
      <c r="O2896">
        <v>0.1</v>
      </c>
      <c r="Q2896">
        <v>0.22</v>
      </c>
      <c r="R2896">
        <v>0.24</v>
      </c>
    </row>
    <row r="2897" spans="1:19" x14ac:dyDescent="0.2">
      <c r="A2897" t="s">
        <v>5004</v>
      </c>
      <c r="B2897" t="s">
        <v>5007</v>
      </c>
      <c r="C2897">
        <v>2015</v>
      </c>
      <c r="D2897">
        <v>1</v>
      </c>
      <c r="E2897" t="s">
        <v>55</v>
      </c>
      <c r="F2897" t="s">
        <v>128</v>
      </c>
      <c r="G2897" t="s">
        <v>63</v>
      </c>
      <c r="H2897">
        <v>3</v>
      </c>
      <c r="I2897">
        <v>5.1489209999999996</v>
      </c>
      <c r="J2897">
        <v>120</v>
      </c>
      <c r="M2897">
        <v>1.35</v>
      </c>
      <c r="O2897">
        <v>0.12</v>
      </c>
      <c r="Q2897">
        <v>0.22</v>
      </c>
      <c r="R2897">
        <v>0.24</v>
      </c>
    </row>
    <row r="2898" spans="1:19" x14ac:dyDescent="0.2">
      <c r="A2898" t="s">
        <v>5008</v>
      </c>
      <c r="B2898" t="s">
        <v>5009</v>
      </c>
      <c r="C2898">
        <v>2015</v>
      </c>
      <c r="D2898">
        <v>1</v>
      </c>
      <c r="E2898" t="s">
        <v>55</v>
      </c>
      <c r="F2898" t="s">
        <v>128</v>
      </c>
      <c r="G2898" t="s">
        <v>63</v>
      </c>
      <c r="H2898">
        <v>1</v>
      </c>
      <c r="I2898">
        <v>7.7943013199999998</v>
      </c>
      <c r="J2898">
        <v>283</v>
      </c>
      <c r="L2898">
        <v>435.41</v>
      </c>
      <c r="M2898">
        <v>18.489999999999998</v>
      </c>
      <c r="N2898">
        <v>1.37</v>
      </c>
      <c r="O2898">
        <v>1.65</v>
      </c>
      <c r="P2898">
        <v>0.4</v>
      </c>
      <c r="Q2898">
        <v>1</v>
      </c>
      <c r="R2898">
        <v>1.05</v>
      </c>
    </row>
    <row r="2899" spans="1:19" x14ac:dyDescent="0.2">
      <c r="A2899" t="s">
        <v>5010</v>
      </c>
      <c r="B2899" t="s">
        <v>5011</v>
      </c>
      <c r="C2899">
        <v>2015</v>
      </c>
      <c r="D2899">
        <v>1</v>
      </c>
      <c r="E2899" t="s">
        <v>55</v>
      </c>
      <c r="F2899" t="s">
        <v>128</v>
      </c>
      <c r="G2899" t="s">
        <v>63</v>
      </c>
      <c r="H2899">
        <v>2</v>
      </c>
      <c r="I2899">
        <v>12.582420000000001</v>
      </c>
      <c r="J2899">
        <v>279</v>
      </c>
      <c r="M2899">
        <v>2.056</v>
      </c>
      <c r="O2899">
        <v>0.183</v>
      </c>
      <c r="Q2899">
        <v>0.97</v>
      </c>
      <c r="R2899">
        <v>1.47</v>
      </c>
      <c r="S2899">
        <v>0.439</v>
      </c>
    </row>
    <row r="2900" spans="1:19" x14ac:dyDescent="0.2">
      <c r="A2900" t="s">
        <v>5010</v>
      </c>
      <c r="B2900" t="s">
        <v>5012</v>
      </c>
      <c r="C2900">
        <v>2015</v>
      </c>
      <c r="D2900">
        <v>1</v>
      </c>
      <c r="E2900" t="s">
        <v>55</v>
      </c>
      <c r="F2900" t="s">
        <v>128</v>
      </c>
      <c r="G2900" t="s">
        <v>63</v>
      </c>
      <c r="H2900">
        <v>2</v>
      </c>
      <c r="I2900">
        <v>33.672699999999999</v>
      </c>
      <c r="J2900">
        <v>279</v>
      </c>
      <c r="M2900">
        <v>2.7639999999999998</v>
      </c>
      <c r="O2900">
        <v>0.247</v>
      </c>
      <c r="Q2900">
        <v>0.97</v>
      </c>
      <c r="R2900">
        <v>1.47</v>
      </c>
      <c r="S2900">
        <v>0.439</v>
      </c>
    </row>
    <row r="2901" spans="1:19" x14ac:dyDescent="0.2">
      <c r="A2901" t="s">
        <v>5013</v>
      </c>
      <c r="B2901" t="s">
        <v>5014</v>
      </c>
      <c r="C2901">
        <v>2011</v>
      </c>
      <c r="D2901">
        <v>1</v>
      </c>
      <c r="E2901" t="s">
        <v>55</v>
      </c>
      <c r="F2901" t="s">
        <v>128</v>
      </c>
      <c r="G2901" t="s">
        <v>63</v>
      </c>
      <c r="H2901">
        <v>1</v>
      </c>
      <c r="I2901">
        <v>2.4552390000000002</v>
      </c>
      <c r="J2901">
        <v>333</v>
      </c>
      <c r="K2901">
        <v>0.5</v>
      </c>
      <c r="L2901">
        <v>160.49700000000001</v>
      </c>
      <c r="M2901">
        <v>10.76</v>
      </c>
      <c r="N2901">
        <v>0.505</v>
      </c>
      <c r="O2901">
        <v>0.96</v>
      </c>
      <c r="P2901">
        <v>0.8</v>
      </c>
      <c r="Q2901">
        <v>0.59</v>
      </c>
      <c r="R2901">
        <v>0.55000000000000004</v>
      </c>
      <c r="S2901">
        <v>4</v>
      </c>
    </row>
    <row r="2902" spans="1:19" x14ac:dyDescent="0.2">
      <c r="A2902" t="s">
        <v>5015</v>
      </c>
      <c r="B2902" t="s">
        <v>5016</v>
      </c>
      <c r="C2902">
        <v>2015</v>
      </c>
      <c r="D2902">
        <v>1</v>
      </c>
      <c r="E2902" t="s">
        <v>55</v>
      </c>
      <c r="F2902" t="s">
        <v>128</v>
      </c>
      <c r="G2902" t="s">
        <v>63</v>
      </c>
      <c r="H2902">
        <v>3</v>
      </c>
      <c r="I2902">
        <v>28.454851000000001</v>
      </c>
      <c r="J2902">
        <v>437</v>
      </c>
      <c r="M2902">
        <v>6.14</v>
      </c>
      <c r="O2902">
        <v>0.54800000000000004</v>
      </c>
      <c r="Q2902">
        <v>1.35</v>
      </c>
      <c r="R2902">
        <v>1.57</v>
      </c>
      <c r="S2902">
        <v>0.47799999999999998</v>
      </c>
    </row>
    <row r="2903" spans="1:19" x14ac:dyDescent="0.2">
      <c r="A2903" t="s">
        <v>5015</v>
      </c>
      <c r="B2903" t="s">
        <v>5017</v>
      </c>
      <c r="C2903">
        <v>2015</v>
      </c>
      <c r="D2903">
        <v>1</v>
      </c>
      <c r="E2903" t="s">
        <v>55</v>
      </c>
      <c r="F2903" t="s">
        <v>128</v>
      </c>
      <c r="G2903" t="s">
        <v>63</v>
      </c>
      <c r="H2903">
        <v>3</v>
      </c>
      <c r="I2903">
        <v>15.413135</v>
      </c>
      <c r="J2903">
        <v>437</v>
      </c>
      <c r="M2903">
        <v>2.62</v>
      </c>
      <c r="O2903">
        <v>0.23400000000000001</v>
      </c>
      <c r="Q2903">
        <v>1.35</v>
      </c>
      <c r="R2903">
        <v>1.57</v>
      </c>
      <c r="S2903">
        <v>0.47799999999999998</v>
      </c>
    </row>
    <row r="2904" spans="1:19" x14ac:dyDescent="0.2">
      <c r="A2904" t="s">
        <v>5015</v>
      </c>
      <c r="B2904" t="s">
        <v>5018</v>
      </c>
      <c r="C2904">
        <v>2015</v>
      </c>
      <c r="D2904">
        <v>1</v>
      </c>
      <c r="E2904" t="s">
        <v>55</v>
      </c>
      <c r="F2904" t="s">
        <v>128</v>
      </c>
      <c r="G2904" t="s">
        <v>63</v>
      </c>
      <c r="H2904">
        <v>3</v>
      </c>
      <c r="I2904">
        <v>7.51464</v>
      </c>
      <c r="J2904">
        <v>437</v>
      </c>
      <c r="M2904">
        <v>0.83699999999999997</v>
      </c>
      <c r="O2904">
        <v>7.4999999999999997E-2</v>
      </c>
      <c r="Q2904">
        <v>1.35</v>
      </c>
      <c r="R2904">
        <v>1.57</v>
      </c>
      <c r="S2904">
        <v>0.47799999999999998</v>
      </c>
    </row>
    <row r="2905" spans="1:19" x14ac:dyDescent="0.2">
      <c r="A2905" t="s">
        <v>5019</v>
      </c>
      <c r="B2905" t="s">
        <v>5020</v>
      </c>
      <c r="C2905">
        <v>2015</v>
      </c>
      <c r="D2905">
        <v>1</v>
      </c>
      <c r="E2905" t="s">
        <v>55</v>
      </c>
      <c r="F2905" t="s">
        <v>128</v>
      </c>
      <c r="G2905" t="s">
        <v>63</v>
      </c>
      <c r="H2905">
        <v>1</v>
      </c>
      <c r="I2905">
        <v>384.84300000000002</v>
      </c>
      <c r="J2905">
        <v>548</v>
      </c>
      <c r="K2905">
        <v>6</v>
      </c>
      <c r="M2905">
        <v>1.63</v>
      </c>
      <c r="O2905">
        <v>0.14499999999999999</v>
      </c>
      <c r="Q2905">
        <v>1.04</v>
      </c>
      <c r="R2905">
        <v>1.1100000000000001</v>
      </c>
      <c r="S2905">
        <v>0.84</v>
      </c>
    </row>
    <row r="2906" spans="1:19" x14ac:dyDescent="0.2">
      <c r="A2906" t="s">
        <v>5021</v>
      </c>
      <c r="B2906" t="s">
        <v>5022</v>
      </c>
      <c r="C2906">
        <v>2015</v>
      </c>
      <c r="D2906">
        <v>1</v>
      </c>
      <c r="E2906" t="s">
        <v>55</v>
      </c>
      <c r="F2906" t="s">
        <v>128</v>
      </c>
      <c r="G2906" t="s">
        <v>63</v>
      </c>
      <c r="H2906">
        <v>1</v>
      </c>
      <c r="I2906">
        <v>240.50299999999999</v>
      </c>
      <c r="J2906">
        <v>442.69</v>
      </c>
      <c r="K2906">
        <v>2.4900000000000002</v>
      </c>
      <c r="L2906">
        <v>16</v>
      </c>
      <c r="M2906">
        <v>6.2039999999999997</v>
      </c>
      <c r="N2906">
        <v>5.0340000000000003E-2</v>
      </c>
      <c r="O2906">
        <v>0.55300000000000005</v>
      </c>
      <c r="Q2906">
        <v>0.94</v>
      </c>
      <c r="R2906">
        <v>0.83</v>
      </c>
    </row>
    <row r="2907" spans="1:19" x14ac:dyDescent="0.2">
      <c r="A2907" t="s">
        <v>5023</v>
      </c>
      <c r="B2907" t="s">
        <v>5024</v>
      </c>
      <c r="C2907">
        <v>2015</v>
      </c>
      <c r="D2907">
        <v>1</v>
      </c>
      <c r="E2907" t="s">
        <v>55</v>
      </c>
      <c r="F2907" t="s">
        <v>128</v>
      </c>
      <c r="G2907" t="s">
        <v>63</v>
      </c>
      <c r="H2907">
        <v>2</v>
      </c>
      <c r="I2907">
        <v>10.57</v>
      </c>
      <c r="J2907">
        <v>233</v>
      </c>
      <c r="L2907">
        <v>6.3566000000000003</v>
      </c>
      <c r="M2907">
        <v>2.3540000000000001</v>
      </c>
      <c r="N2907">
        <v>0.02</v>
      </c>
      <c r="O2907">
        <v>0.21</v>
      </c>
      <c r="Q2907">
        <v>0.85</v>
      </c>
      <c r="R2907">
        <v>1.05</v>
      </c>
      <c r="S2907">
        <v>1.04</v>
      </c>
    </row>
    <row r="2908" spans="1:19" x14ac:dyDescent="0.2">
      <c r="A2908" t="s">
        <v>5023</v>
      </c>
      <c r="B2908" t="s">
        <v>5025</v>
      </c>
      <c r="C2908">
        <v>2015</v>
      </c>
      <c r="D2908">
        <v>1</v>
      </c>
      <c r="E2908" t="s">
        <v>21</v>
      </c>
      <c r="F2908" t="s">
        <v>22</v>
      </c>
      <c r="G2908" t="s">
        <v>1159</v>
      </c>
      <c r="H2908">
        <v>2</v>
      </c>
      <c r="I2908">
        <v>523.9</v>
      </c>
      <c r="J2908">
        <v>233</v>
      </c>
      <c r="N2908">
        <v>4.46</v>
      </c>
      <c r="Q2908">
        <v>0.85</v>
      </c>
      <c r="R2908">
        <v>1.05</v>
      </c>
      <c r="S2908">
        <v>1.04</v>
      </c>
    </row>
    <row r="2909" spans="1:19" x14ac:dyDescent="0.2">
      <c r="A2909" t="s">
        <v>2318</v>
      </c>
      <c r="B2909" t="s">
        <v>5026</v>
      </c>
      <c r="C2909">
        <v>2016</v>
      </c>
      <c r="D2909">
        <v>1</v>
      </c>
      <c r="E2909" t="s">
        <v>55</v>
      </c>
      <c r="F2909" t="s">
        <v>128</v>
      </c>
      <c r="G2909" t="s">
        <v>63</v>
      </c>
      <c r="H2909">
        <v>2</v>
      </c>
      <c r="I2909">
        <v>20.740284129999999</v>
      </c>
      <c r="J2909">
        <v>1594.34</v>
      </c>
      <c r="M2909">
        <v>4.2</v>
      </c>
      <c r="O2909">
        <v>0.375</v>
      </c>
      <c r="Q2909">
        <v>0.98</v>
      </c>
      <c r="R2909">
        <v>1.03</v>
      </c>
    </row>
    <row r="2910" spans="1:19" x14ac:dyDescent="0.2">
      <c r="A2910" t="s">
        <v>5027</v>
      </c>
      <c r="B2910" t="s">
        <v>5028</v>
      </c>
      <c r="C2910">
        <v>2012</v>
      </c>
      <c r="D2910">
        <v>1</v>
      </c>
      <c r="E2910" t="s">
        <v>55</v>
      </c>
      <c r="F2910" t="s">
        <v>128</v>
      </c>
      <c r="G2910" t="s">
        <v>63</v>
      </c>
      <c r="H2910">
        <v>3</v>
      </c>
      <c r="I2910">
        <v>33.60134</v>
      </c>
      <c r="J2910">
        <v>855</v>
      </c>
      <c r="L2910">
        <v>1907</v>
      </c>
      <c r="M2910">
        <v>9.0570000000000004</v>
      </c>
      <c r="N2910">
        <v>6</v>
      </c>
      <c r="O2910">
        <v>0.80800000000000005</v>
      </c>
      <c r="P2910">
        <v>14</v>
      </c>
      <c r="R2910">
        <v>0.79</v>
      </c>
    </row>
    <row r="2911" spans="1:19" x14ac:dyDescent="0.2">
      <c r="A2911" t="s">
        <v>5027</v>
      </c>
      <c r="B2911" t="s">
        <v>5029</v>
      </c>
      <c r="C2911">
        <v>2012</v>
      </c>
      <c r="D2911">
        <v>1</v>
      </c>
      <c r="E2911" t="s">
        <v>55</v>
      </c>
      <c r="F2911" t="s">
        <v>2343</v>
      </c>
      <c r="G2911" t="s">
        <v>63</v>
      </c>
      <c r="H2911">
        <v>3</v>
      </c>
      <c r="I2911">
        <v>57.011000000000003</v>
      </c>
      <c r="J2911">
        <v>855</v>
      </c>
      <c r="L2911">
        <v>119.499</v>
      </c>
      <c r="N2911">
        <v>0.376</v>
      </c>
      <c r="R2911">
        <v>0.79</v>
      </c>
    </row>
    <row r="2912" spans="1:19" x14ac:dyDescent="0.2">
      <c r="A2912" t="s">
        <v>5027</v>
      </c>
      <c r="B2912" t="s">
        <v>5030</v>
      </c>
      <c r="C2912">
        <v>2014</v>
      </c>
      <c r="D2912">
        <v>1</v>
      </c>
      <c r="E2912" t="s">
        <v>55</v>
      </c>
      <c r="F2912" t="s">
        <v>128</v>
      </c>
      <c r="G2912" t="s">
        <v>63</v>
      </c>
      <c r="H2912">
        <v>3</v>
      </c>
      <c r="I2912">
        <v>6.7665889999999997</v>
      </c>
      <c r="J2912">
        <v>855</v>
      </c>
      <c r="M2912">
        <v>1.64</v>
      </c>
      <c r="O2912">
        <v>0.14599999999999999</v>
      </c>
      <c r="R2912">
        <v>0.79</v>
      </c>
    </row>
    <row r="2913" spans="1:19" x14ac:dyDescent="0.2">
      <c r="A2913" t="s">
        <v>2308</v>
      </c>
      <c r="B2913" t="s">
        <v>5031</v>
      </c>
      <c r="C2913">
        <v>2016</v>
      </c>
      <c r="D2913">
        <v>1</v>
      </c>
      <c r="E2913" t="s">
        <v>55</v>
      </c>
      <c r="F2913" t="s">
        <v>128</v>
      </c>
      <c r="G2913" t="s">
        <v>63</v>
      </c>
      <c r="H2913">
        <v>2</v>
      </c>
      <c r="I2913">
        <v>220.13033569999999</v>
      </c>
      <c r="J2913">
        <v>848</v>
      </c>
      <c r="M2913">
        <v>5.52</v>
      </c>
      <c r="O2913">
        <v>0.49199999999999999</v>
      </c>
      <c r="Q2913">
        <v>1.07</v>
      </c>
      <c r="R2913">
        <v>1.24</v>
      </c>
    </row>
    <row r="2914" spans="1:19" x14ac:dyDescent="0.2">
      <c r="A2914" t="s">
        <v>5032</v>
      </c>
      <c r="B2914" t="s">
        <v>5033</v>
      </c>
      <c r="C2914">
        <v>2016</v>
      </c>
      <c r="D2914">
        <v>1</v>
      </c>
      <c r="E2914" t="s">
        <v>55</v>
      </c>
      <c r="F2914" t="s">
        <v>128</v>
      </c>
      <c r="G2914" t="s">
        <v>63</v>
      </c>
      <c r="H2914">
        <v>1</v>
      </c>
      <c r="I2914">
        <v>8.3137830600000004</v>
      </c>
      <c r="J2914">
        <v>468</v>
      </c>
      <c r="K2914">
        <v>2.5099999999999998</v>
      </c>
      <c r="M2914">
        <v>2.58</v>
      </c>
      <c r="O2914">
        <v>0.23</v>
      </c>
      <c r="Q2914">
        <v>0.98</v>
      </c>
      <c r="R2914">
        <v>0.91</v>
      </c>
    </row>
    <row r="2915" spans="1:19" x14ac:dyDescent="0.2">
      <c r="A2915" t="s">
        <v>5034</v>
      </c>
      <c r="B2915" t="s">
        <v>5035</v>
      </c>
      <c r="C2915">
        <v>2016</v>
      </c>
      <c r="D2915">
        <v>1</v>
      </c>
      <c r="E2915" t="s">
        <v>55</v>
      </c>
      <c r="F2915" t="s">
        <v>128</v>
      </c>
      <c r="G2915" t="s">
        <v>63</v>
      </c>
      <c r="H2915">
        <v>1</v>
      </c>
      <c r="I2915">
        <v>84.687980800000005</v>
      </c>
      <c r="J2915">
        <v>733</v>
      </c>
      <c r="K2915">
        <v>1.45</v>
      </c>
      <c r="M2915">
        <v>3.77</v>
      </c>
      <c r="O2915">
        <v>0.33600000000000002</v>
      </c>
      <c r="Q2915">
        <v>1.59</v>
      </c>
      <c r="R2915">
        <v>2.04</v>
      </c>
    </row>
    <row r="2916" spans="1:19" x14ac:dyDescent="0.2">
      <c r="A2916" t="s">
        <v>5036</v>
      </c>
      <c r="B2916" t="s">
        <v>5037</v>
      </c>
      <c r="C2916">
        <v>2016</v>
      </c>
      <c r="D2916">
        <v>1</v>
      </c>
      <c r="E2916" t="s">
        <v>55</v>
      </c>
      <c r="F2916" t="s">
        <v>128</v>
      </c>
      <c r="G2916" t="s">
        <v>63</v>
      </c>
      <c r="H2916">
        <v>1</v>
      </c>
      <c r="I2916">
        <v>8.9810168299999997</v>
      </c>
      <c r="J2916">
        <v>336</v>
      </c>
      <c r="K2916">
        <v>7.41</v>
      </c>
      <c r="M2916">
        <v>3.05</v>
      </c>
      <c r="O2916">
        <v>0.27200000000000002</v>
      </c>
      <c r="Q2916">
        <v>0.87</v>
      </c>
      <c r="R2916">
        <v>0.9</v>
      </c>
    </row>
    <row r="2917" spans="1:19" x14ac:dyDescent="0.2">
      <c r="A2917" t="s">
        <v>5038</v>
      </c>
      <c r="B2917" t="s">
        <v>5039</v>
      </c>
      <c r="C2917">
        <v>2016</v>
      </c>
      <c r="D2917">
        <v>1</v>
      </c>
      <c r="E2917" t="s">
        <v>55</v>
      </c>
      <c r="F2917" t="s">
        <v>128</v>
      </c>
      <c r="G2917" t="s">
        <v>63</v>
      </c>
      <c r="H2917">
        <v>1</v>
      </c>
      <c r="I2917">
        <v>7.2569652199999997</v>
      </c>
      <c r="J2917">
        <v>653</v>
      </c>
      <c r="K2917">
        <v>4.9000000000000004</v>
      </c>
      <c r="M2917">
        <v>3.3</v>
      </c>
      <c r="O2917">
        <v>0.29399999999999998</v>
      </c>
      <c r="Q2917">
        <v>1.21</v>
      </c>
      <c r="R2917">
        <v>1.59</v>
      </c>
    </row>
    <row r="2918" spans="1:19" x14ac:dyDescent="0.2">
      <c r="A2918" t="s">
        <v>5040</v>
      </c>
      <c r="B2918" t="s">
        <v>5041</v>
      </c>
      <c r="C2918">
        <v>2016</v>
      </c>
      <c r="D2918">
        <v>1</v>
      </c>
      <c r="E2918" t="s">
        <v>55</v>
      </c>
      <c r="F2918" t="s">
        <v>128</v>
      </c>
      <c r="G2918" t="s">
        <v>63</v>
      </c>
      <c r="H2918">
        <v>1</v>
      </c>
      <c r="I2918">
        <v>9.9406724700000009</v>
      </c>
      <c r="J2918">
        <v>587</v>
      </c>
      <c r="K2918">
        <v>2.19</v>
      </c>
      <c r="M2918">
        <v>2.95</v>
      </c>
      <c r="O2918">
        <v>0.26300000000000001</v>
      </c>
      <c r="Q2918">
        <v>1.23</v>
      </c>
      <c r="R2918">
        <v>1.29</v>
      </c>
    </row>
    <row r="2919" spans="1:19" x14ac:dyDescent="0.2">
      <c r="A2919" t="s">
        <v>5042</v>
      </c>
      <c r="B2919" t="s">
        <v>5043</v>
      </c>
      <c r="C2919">
        <v>2016</v>
      </c>
      <c r="D2919">
        <v>1</v>
      </c>
      <c r="E2919" t="s">
        <v>55</v>
      </c>
      <c r="F2919" t="s">
        <v>128</v>
      </c>
      <c r="G2919" t="s">
        <v>63</v>
      </c>
      <c r="H2919">
        <v>2</v>
      </c>
      <c r="I2919">
        <v>51.079263070000003</v>
      </c>
      <c r="J2919">
        <v>436</v>
      </c>
      <c r="K2919">
        <v>3.47</v>
      </c>
      <c r="M2919">
        <v>2.85</v>
      </c>
      <c r="O2919">
        <v>0.254</v>
      </c>
      <c r="Q2919">
        <v>1.04</v>
      </c>
      <c r="R2919">
        <v>1.05</v>
      </c>
    </row>
    <row r="2920" spans="1:19" x14ac:dyDescent="0.2">
      <c r="A2920" t="s">
        <v>5042</v>
      </c>
      <c r="B2920" t="s">
        <v>5044</v>
      </c>
      <c r="C2920">
        <v>2016</v>
      </c>
      <c r="D2920">
        <v>1</v>
      </c>
      <c r="E2920" t="s">
        <v>55</v>
      </c>
      <c r="F2920" t="s">
        <v>128</v>
      </c>
      <c r="G2920" t="s">
        <v>63</v>
      </c>
      <c r="H2920">
        <v>2</v>
      </c>
      <c r="I2920">
        <v>3.7092138499999998</v>
      </c>
      <c r="J2920">
        <v>436</v>
      </c>
      <c r="K2920">
        <v>3.47</v>
      </c>
      <c r="M2920">
        <v>1.25</v>
      </c>
      <c r="O2920">
        <v>0.112</v>
      </c>
      <c r="Q2920">
        <v>1.04</v>
      </c>
      <c r="R2920">
        <v>1.05</v>
      </c>
    </row>
    <row r="2921" spans="1:19" x14ac:dyDescent="0.2">
      <c r="A2921" t="s">
        <v>5045</v>
      </c>
      <c r="B2921" t="s">
        <v>5046</v>
      </c>
      <c r="C2921">
        <v>2016</v>
      </c>
      <c r="D2921">
        <v>1</v>
      </c>
      <c r="E2921" t="s">
        <v>55</v>
      </c>
      <c r="F2921" t="s">
        <v>128</v>
      </c>
      <c r="G2921" t="s">
        <v>63</v>
      </c>
      <c r="H2921">
        <v>1</v>
      </c>
      <c r="I2921">
        <v>24.99324193</v>
      </c>
      <c r="J2921">
        <v>458</v>
      </c>
      <c r="K2921">
        <v>8.1300000000000008</v>
      </c>
      <c r="M2921">
        <v>2.25</v>
      </c>
      <c r="O2921">
        <v>0.20100000000000001</v>
      </c>
      <c r="Q2921">
        <v>1.05</v>
      </c>
      <c r="R2921">
        <v>1.37</v>
      </c>
    </row>
    <row r="2922" spans="1:19" x14ac:dyDescent="0.2">
      <c r="A2922" t="s">
        <v>5047</v>
      </c>
      <c r="B2922" t="s">
        <v>5048</v>
      </c>
      <c r="C2922">
        <v>2016</v>
      </c>
      <c r="D2922">
        <v>1</v>
      </c>
      <c r="E2922" t="s">
        <v>55</v>
      </c>
      <c r="F2922" t="s">
        <v>128</v>
      </c>
      <c r="G2922" t="s">
        <v>63</v>
      </c>
      <c r="H2922">
        <v>1</v>
      </c>
      <c r="I2922">
        <v>38.47875707</v>
      </c>
      <c r="J2922">
        <v>474</v>
      </c>
      <c r="K2922">
        <v>2</v>
      </c>
      <c r="M2922">
        <v>13.34</v>
      </c>
      <c r="O2922">
        <v>1.19</v>
      </c>
      <c r="Q2922">
        <v>0.96</v>
      </c>
      <c r="R2922">
        <v>0.87</v>
      </c>
    </row>
    <row r="2923" spans="1:19" x14ac:dyDescent="0.2">
      <c r="A2923" t="s">
        <v>5049</v>
      </c>
      <c r="B2923" t="s">
        <v>5050</v>
      </c>
      <c r="C2923">
        <v>2012</v>
      </c>
      <c r="D2923">
        <v>1</v>
      </c>
      <c r="E2923" t="s">
        <v>55</v>
      </c>
      <c r="F2923" t="s">
        <v>128</v>
      </c>
      <c r="G2923" t="s">
        <v>63</v>
      </c>
      <c r="H2923">
        <v>3</v>
      </c>
      <c r="I2923">
        <v>49.464300000000001</v>
      </c>
      <c r="J2923">
        <v>1500</v>
      </c>
      <c r="L2923">
        <v>2.0699999999999998</v>
      </c>
      <c r="M2923">
        <v>3.05</v>
      </c>
      <c r="N2923">
        <v>6.5100000000000002E-3</v>
      </c>
      <c r="O2923">
        <v>0.27200000000000002</v>
      </c>
      <c r="P2923">
        <v>0.4</v>
      </c>
      <c r="Q2923">
        <v>0.96</v>
      </c>
      <c r="R2923">
        <v>0.94</v>
      </c>
      <c r="S2923">
        <v>1.65</v>
      </c>
    </row>
    <row r="2924" spans="1:19" x14ac:dyDescent="0.2">
      <c r="A2924" t="s">
        <v>5049</v>
      </c>
      <c r="B2924" t="s">
        <v>5051</v>
      </c>
      <c r="C2924">
        <v>2012</v>
      </c>
      <c r="D2924">
        <v>1</v>
      </c>
      <c r="E2924" t="s">
        <v>55</v>
      </c>
      <c r="F2924" t="s">
        <v>128</v>
      </c>
      <c r="G2924" t="s">
        <v>63</v>
      </c>
      <c r="H2924">
        <v>3</v>
      </c>
      <c r="I2924">
        <v>303.22699999999998</v>
      </c>
      <c r="J2924">
        <v>1500</v>
      </c>
      <c r="L2924">
        <v>3.17</v>
      </c>
      <c r="M2924">
        <v>4.6500000000000004</v>
      </c>
      <c r="N2924">
        <v>9.9699999999999997E-3</v>
      </c>
      <c r="O2924">
        <v>0.41499999999999998</v>
      </c>
      <c r="P2924">
        <v>0.17</v>
      </c>
      <c r="Q2924">
        <v>0.96</v>
      </c>
      <c r="R2924">
        <v>0.94</v>
      </c>
      <c r="S2924">
        <v>1.65</v>
      </c>
    </row>
    <row r="2925" spans="1:19" x14ac:dyDescent="0.2">
      <c r="A2925" t="s">
        <v>5049</v>
      </c>
      <c r="B2925" t="s">
        <v>5052</v>
      </c>
      <c r="C2925">
        <v>2019</v>
      </c>
      <c r="D2925">
        <v>1</v>
      </c>
      <c r="E2925" t="s">
        <v>55</v>
      </c>
      <c r="F2925" t="s">
        <v>128</v>
      </c>
      <c r="G2925" t="s">
        <v>63</v>
      </c>
      <c r="H2925">
        <v>3</v>
      </c>
      <c r="I2925">
        <v>187.36600000000001</v>
      </c>
      <c r="J2925">
        <v>1500</v>
      </c>
      <c r="L2925">
        <v>19.02</v>
      </c>
      <c r="M2925">
        <v>7.04</v>
      </c>
      <c r="N2925">
        <v>5.9839999999999997E-2</v>
      </c>
      <c r="O2925">
        <v>0.628</v>
      </c>
      <c r="P2925">
        <v>0.3</v>
      </c>
      <c r="Q2925">
        <v>0.96</v>
      </c>
      <c r="R2925">
        <v>0.94</v>
      </c>
      <c r="S2925">
        <v>1.65</v>
      </c>
    </row>
    <row r="2926" spans="1:19" x14ac:dyDescent="0.2">
      <c r="A2926" t="s">
        <v>5053</v>
      </c>
      <c r="B2926" t="s">
        <v>5054</v>
      </c>
      <c r="C2926">
        <v>2016</v>
      </c>
      <c r="D2926">
        <v>1</v>
      </c>
      <c r="E2926" t="s">
        <v>55</v>
      </c>
      <c r="F2926" t="s">
        <v>128</v>
      </c>
      <c r="G2926" t="s">
        <v>63</v>
      </c>
      <c r="H2926">
        <v>1</v>
      </c>
      <c r="I2926">
        <v>24.669195689999999</v>
      </c>
      <c r="J2926">
        <v>989</v>
      </c>
      <c r="K2926">
        <v>1.86</v>
      </c>
      <c r="M2926">
        <v>14.44</v>
      </c>
      <c r="O2926">
        <v>1.288</v>
      </c>
      <c r="Q2926">
        <v>1.4</v>
      </c>
      <c r="R2926">
        <v>1.66</v>
      </c>
    </row>
    <row r="2927" spans="1:19" x14ac:dyDescent="0.2">
      <c r="A2927" t="s">
        <v>5055</v>
      </c>
      <c r="B2927" t="s">
        <v>5056</v>
      </c>
      <c r="C2927">
        <v>2016</v>
      </c>
      <c r="D2927">
        <v>1</v>
      </c>
      <c r="E2927" t="s">
        <v>55</v>
      </c>
      <c r="F2927" t="s">
        <v>128</v>
      </c>
      <c r="G2927" t="s">
        <v>63</v>
      </c>
      <c r="H2927">
        <v>1</v>
      </c>
      <c r="I2927">
        <v>5.0142345700000002</v>
      </c>
      <c r="J2927">
        <v>1373</v>
      </c>
      <c r="K2927">
        <v>1.58</v>
      </c>
      <c r="M2927">
        <v>14.96</v>
      </c>
      <c r="O2927">
        <v>1.335</v>
      </c>
      <c r="Q2927">
        <v>1.49</v>
      </c>
      <c r="R2927">
        <v>1.8</v>
      </c>
    </row>
    <row r="2928" spans="1:19" x14ac:dyDescent="0.2">
      <c r="A2928" t="s">
        <v>5057</v>
      </c>
      <c r="B2928" t="s">
        <v>5058</v>
      </c>
      <c r="C2928">
        <v>2016</v>
      </c>
      <c r="D2928">
        <v>1</v>
      </c>
      <c r="E2928" t="s">
        <v>55</v>
      </c>
      <c r="F2928" t="s">
        <v>128</v>
      </c>
      <c r="G2928" t="s">
        <v>63</v>
      </c>
      <c r="H2928">
        <v>1</v>
      </c>
      <c r="I2928">
        <v>4.1762555099999998</v>
      </c>
      <c r="J2928">
        <v>302</v>
      </c>
      <c r="K2928">
        <v>2.69</v>
      </c>
      <c r="M2928">
        <v>3.22</v>
      </c>
      <c r="O2928">
        <v>0.28699999999999998</v>
      </c>
      <c r="Q2928">
        <v>0.85</v>
      </c>
      <c r="R2928">
        <v>0.78</v>
      </c>
    </row>
    <row r="2929" spans="1:19" x14ac:dyDescent="0.2">
      <c r="A2929" t="s">
        <v>5059</v>
      </c>
      <c r="B2929" t="s">
        <v>5060</v>
      </c>
      <c r="C2929">
        <v>2016</v>
      </c>
      <c r="D2929">
        <v>1</v>
      </c>
      <c r="E2929" t="s">
        <v>55</v>
      </c>
      <c r="F2929" t="s">
        <v>128</v>
      </c>
      <c r="G2929" t="s">
        <v>63</v>
      </c>
      <c r="H2929">
        <v>1</v>
      </c>
      <c r="I2929">
        <v>14.55731705</v>
      </c>
      <c r="J2929">
        <v>641</v>
      </c>
      <c r="K2929">
        <v>6.92</v>
      </c>
      <c r="M2929">
        <v>4.08</v>
      </c>
      <c r="O2929">
        <v>0.36399999999999999</v>
      </c>
      <c r="Q2929">
        <v>1.06</v>
      </c>
      <c r="R2929">
        <v>1.34</v>
      </c>
    </row>
    <row r="2930" spans="1:19" x14ac:dyDescent="0.2">
      <c r="A2930" t="s">
        <v>5061</v>
      </c>
      <c r="B2930" t="s">
        <v>5062</v>
      </c>
      <c r="C2930">
        <v>2016</v>
      </c>
      <c r="D2930">
        <v>1</v>
      </c>
      <c r="E2930" t="s">
        <v>55</v>
      </c>
      <c r="F2930" t="s">
        <v>128</v>
      </c>
      <c r="G2930" t="s">
        <v>63</v>
      </c>
      <c r="H2930">
        <v>1</v>
      </c>
      <c r="I2930">
        <v>5.6606729400000004</v>
      </c>
      <c r="J2930">
        <v>568</v>
      </c>
      <c r="K2930">
        <v>6.76</v>
      </c>
      <c r="M2930">
        <v>3.06</v>
      </c>
      <c r="O2930">
        <v>0.27300000000000002</v>
      </c>
      <c r="Q2930">
        <v>0.99</v>
      </c>
      <c r="R2930">
        <v>1.08</v>
      </c>
    </row>
    <row r="2931" spans="1:19" x14ac:dyDescent="0.2">
      <c r="A2931" t="s">
        <v>5063</v>
      </c>
      <c r="B2931" t="s">
        <v>5064</v>
      </c>
      <c r="C2931">
        <v>2016</v>
      </c>
      <c r="D2931">
        <v>1</v>
      </c>
      <c r="E2931" t="s">
        <v>55</v>
      </c>
      <c r="F2931" t="s">
        <v>128</v>
      </c>
      <c r="G2931" t="s">
        <v>63</v>
      </c>
      <c r="H2931">
        <v>1</v>
      </c>
      <c r="I2931">
        <v>3.1055081900000001</v>
      </c>
      <c r="J2931">
        <v>280</v>
      </c>
      <c r="K2931">
        <v>2.69</v>
      </c>
      <c r="M2931">
        <v>2.4900000000000002</v>
      </c>
      <c r="O2931">
        <v>0.222</v>
      </c>
      <c r="Q2931">
        <v>0.86</v>
      </c>
      <c r="R2931">
        <v>0.79</v>
      </c>
    </row>
    <row r="2932" spans="1:19" x14ac:dyDescent="0.2">
      <c r="A2932" t="s">
        <v>5065</v>
      </c>
      <c r="B2932" t="s">
        <v>5066</v>
      </c>
      <c r="C2932">
        <v>2016</v>
      </c>
      <c r="D2932">
        <v>1</v>
      </c>
      <c r="E2932" t="s">
        <v>55</v>
      </c>
      <c r="F2932" t="s">
        <v>128</v>
      </c>
      <c r="G2932" t="s">
        <v>63</v>
      </c>
      <c r="H2932">
        <v>1</v>
      </c>
      <c r="I2932">
        <v>14.006406070000001</v>
      </c>
      <c r="J2932">
        <v>687</v>
      </c>
      <c r="K2932">
        <v>5.37</v>
      </c>
      <c r="M2932">
        <v>3.08</v>
      </c>
      <c r="O2932">
        <v>0.27500000000000002</v>
      </c>
      <c r="Q2932">
        <v>1.03</v>
      </c>
      <c r="R2932">
        <v>1.0900000000000001</v>
      </c>
    </row>
    <row r="2933" spans="1:19" x14ac:dyDescent="0.2">
      <c r="A2933" t="s">
        <v>5067</v>
      </c>
      <c r="B2933" t="s">
        <v>5068</v>
      </c>
      <c r="C2933">
        <v>2016</v>
      </c>
      <c r="D2933">
        <v>1</v>
      </c>
      <c r="E2933" t="s">
        <v>55</v>
      </c>
      <c r="F2933" t="s">
        <v>128</v>
      </c>
      <c r="G2933" t="s">
        <v>63</v>
      </c>
      <c r="H2933">
        <v>1</v>
      </c>
      <c r="I2933">
        <v>11.11990653</v>
      </c>
      <c r="J2933">
        <v>367</v>
      </c>
      <c r="K2933">
        <v>2.09</v>
      </c>
      <c r="M2933">
        <v>2.0699999999999998</v>
      </c>
      <c r="O2933">
        <v>0.185</v>
      </c>
      <c r="Q2933">
        <v>0.87</v>
      </c>
      <c r="R2933">
        <v>0.79</v>
      </c>
    </row>
    <row r="2934" spans="1:19" x14ac:dyDescent="0.2">
      <c r="A2934" t="s">
        <v>5069</v>
      </c>
      <c r="B2934" t="s">
        <v>5070</v>
      </c>
      <c r="C2934">
        <v>2016</v>
      </c>
      <c r="D2934">
        <v>1</v>
      </c>
      <c r="E2934" t="s">
        <v>55</v>
      </c>
      <c r="F2934" t="s">
        <v>128</v>
      </c>
      <c r="G2934" t="s">
        <v>63</v>
      </c>
      <c r="H2934">
        <v>1</v>
      </c>
      <c r="I2934">
        <v>13.2217576</v>
      </c>
      <c r="J2934">
        <v>420</v>
      </c>
      <c r="K2934">
        <v>4.9000000000000004</v>
      </c>
      <c r="M2934">
        <v>2.71</v>
      </c>
      <c r="O2934">
        <v>0.24199999999999999</v>
      </c>
      <c r="Q2934">
        <v>0.85</v>
      </c>
      <c r="R2934">
        <v>0.8</v>
      </c>
    </row>
    <row r="2935" spans="1:19" x14ac:dyDescent="0.2">
      <c r="A2935" t="s">
        <v>5071</v>
      </c>
      <c r="B2935" t="s">
        <v>5072</v>
      </c>
      <c r="C2935">
        <v>2016</v>
      </c>
      <c r="D2935">
        <v>1</v>
      </c>
      <c r="E2935" t="s">
        <v>55</v>
      </c>
      <c r="F2935" t="s">
        <v>128</v>
      </c>
      <c r="G2935" t="s">
        <v>63</v>
      </c>
      <c r="H2935">
        <v>1</v>
      </c>
      <c r="I2935">
        <v>12.493413070000001</v>
      </c>
      <c r="J2935">
        <v>371</v>
      </c>
      <c r="K2935">
        <v>4.2699999999999996</v>
      </c>
      <c r="M2935">
        <v>2.12</v>
      </c>
      <c r="O2935">
        <v>0.189</v>
      </c>
      <c r="Q2935">
        <v>0.86</v>
      </c>
      <c r="R2935">
        <v>0.81</v>
      </c>
    </row>
    <row r="2936" spans="1:19" x14ac:dyDescent="0.2">
      <c r="A2936" t="s">
        <v>5073</v>
      </c>
      <c r="B2936" t="s">
        <v>5074</v>
      </c>
      <c r="C2936">
        <v>2012</v>
      </c>
      <c r="D2936">
        <v>1</v>
      </c>
      <c r="E2936" t="s">
        <v>55</v>
      </c>
      <c r="F2936" t="s">
        <v>128</v>
      </c>
      <c r="G2936" t="s">
        <v>63</v>
      </c>
      <c r="H2936">
        <v>4</v>
      </c>
      <c r="I2936">
        <v>4.7779999999999996</v>
      </c>
      <c r="J2936">
        <v>306.66000000000003</v>
      </c>
      <c r="K2936">
        <v>3.14</v>
      </c>
      <c r="L2936">
        <v>3.94</v>
      </c>
      <c r="M2936">
        <v>1.88</v>
      </c>
      <c r="N2936">
        <v>1.24E-2</v>
      </c>
      <c r="O2936">
        <v>0.16800000000000001</v>
      </c>
      <c r="P2936">
        <v>3.23</v>
      </c>
      <c r="Q2936">
        <v>0.88</v>
      </c>
      <c r="R2936">
        <v>0.89</v>
      </c>
      <c r="S2936">
        <v>1.98</v>
      </c>
    </row>
    <row r="2937" spans="1:19" x14ac:dyDescent="0.2">
      <c r="A2937" t="s">
        <v>5073</v>
      </c>
      <c r="B2937" t="s">
        <v>5075</v>
      </c>
      <c r="C2937">
        <v>2012</v>
      </c>
      <c r="D2937">
        <v>1</v>
      </c>
      <c r="E2937" t="s">
        <v>55</v>
      </c>
      <c r="F2937" t="s">
        <v>128</v>
      </c>
      <c r="G2937" t="s">
        <v>63</v>
      </c>
      <c r="H2937">
        <v>4</v>
      </c>
      <c r="I2937">
        <v>9.6739499999999996</v>
      </c>
      <c r="J2937">
        <v>306.66000000000003</v>
      </c>
      <c r="K2937">
        <v>3.14</v>
      </c>
      <c r="L2937">
        <v>14.61</v>
      </c>
      <c r="M2937">
        <v>2.71</v>
      </c>
      <c r="N2937">
        <v>4.5969999999999997E-2</v>
      </c>
      <c r="O2937">
        <v>0.24199999999999999</v>
      </c>
      <c r="P2937">
        <v>4.01</v>
      </c>
      <c r="Q2937">
        <v>0.88</v>
      </c>
      <c r="R2937">
        <v>0.89</v>
      </c>
      <c r="S2937">
        <v>1.98</v>
      </c>
    </row>
    <row r="2938" spans="1:19" x14ac:dyDescent="0.2">
      <c r="A2938" t="s">
        <v>5073</v>
      </c>
      <c r="B2938" t="s">
        <v>5076</v>
      </c>
      <c r="C2938">
        <v>2014</v>
      </c>
      <c r="D2938">
        <v>1</v>
      </c>
      <c r="E2938" t="s">
        <v>55</v>
      </c>
      <c r="F2938" t="s">
        <v>128</v>
      </c>
      <c r="G2938" t="s">
        <v>63</v>
      </c>
      <c r="H2938">
        <v>4</v>
      </c>
      <c r="I2938">
        <v>42.896099999999997</v>
      </c>
      <c r="J2938">
        <v>306.66000000000003</v>
      </c>
      <c r="K2938">
        <v>3.14</v>
      </c>
      <c r="L2938">
        <v>7.93</v>
      </c>
      <c r="M2938">
        <v>2.04</v>
      </c>
      <c r="N2938">
        <v>2.5000000000000001E-2</v>
      </c>
      <c r="O2938">
        <v>0.182</v>
      </c>
      <c r="P2938">
        <v>5.08</v>
      </c>
      <c r="Q2938">
        <v>0.88</v>
      </c>
      <c r="R2938">
        <v>0.89</v>
      </c>
      <c r="S2938">
        <v>1.98</v>
      </c>
    </row>
    <row r="2939" spans="1:19" x14ac:dyDescent="0.2">
      <c r="A2939" t="s">
        <v>5073</v>
      </c>
      <c r="B2939" t="s">
        <v>5077</v>
      </c>
      <c r="C2939">
        <v>2014</v>
      </c>
      <c r="D2939">
        <v>1</v>
      </c>
      <c r="E2939" t="s">
        <v>21</v>
      </c>
      <c r="F2939" t="s">
        <v>22</v>
      </c>
      <c r="G2939" t="s">
        <v>32</v>
      </c>
      <c r="H2939">
        <v>4</v>
      </c>
      <c r="I2939">
        <v>982</v>
      </c>
      <c r="J2939">
        <v>306.66000000000003</v>
      </c>
      <c r="K2939">
        <v>3.14</v>
      </c>
      <c r="L2939">
        <v>657</v>
      </c>
      <c r="N2939">
        <v>2.0670000000000002</v>
      </c>
      <c r="Q2939">
        <v>0.88</v>
      </c>
      <c r="R2939">
        <v>0.89</v>
      </c>
      <c r="S2939">
        <v>1.98</v>
      </c>
    </row>
    <row r="2940" spans="1:19" x14ac:dyDescent="0.2">
      <c r="A2940" t="s">
        <v>5078</v>
      </c>
      <c r="B2940" t="s">
        <v>5079</v>
      </c>
      <c r="C2940">
        <v>2016</v>
      </c>
      <c r="D2940">
        <v>1</v>
      </c>
      <c r="E2940" t="s">
        <v>55</v>
      </c>
      <c r="F2940" t="s">
        <v>128</v>
      </c>
      <c r="G2940" t="s">
        <v>63</v>
      </c>
      <c r="H2940">
        <v>1</v>
      </c>
      <c r="I2940">
        <v>4.9195837999999998</v>
      </c>
      <c r="J2940">
        <v>806</v>
      </c>
      <c r="K2940">
        <v>2.34</v>
      </c>
      <c r="M2940">
        <v>2.78</v>
      </c>
      <c r="O2940">
        <v>0.248</v>
      </c>
      <c r="Q2940">
        <v>1.25</v>
      </c>
      <c r="R2940">
        <v>1.34</v>
      </c>
    </row>
    <row r="2941" spans="1:19" x14ac:dyDescent="0.2">
      <c r="A2941" t="s">
        <v>5080</v>
      </c>
      <c r="B2941" t="s">
        <v>5081</v>
      </c>
      <c r="C2941">
        <v>2016</v>
      </c>
      <c r="D2941">
        <v>1</v>
      </c>
      <c r="E2941" t="s">
        <v>55</v>
      </c>
      <c r="F2941" t="s">
        <v>128</v>
      </c>
      <c r="G2941" t="s">
        <v>63</v>
      </c>
      <c r="H2941">
        <v>1</v>
      </c>
      <c r="I2941">
        <v>10.06082567</v>
      </c>
      <c r="J2941">
        <v>713</v>
      </c>
      <c r="K2941">
        <v>6.17</v>
      </c>
      <c r="M2941">
        <v>2.5</v>
      </c>
      <c r="O2941">
        <v>0.223</v>
      </c>
      <c r="Q2941">
        <v>1.01</v>
      </c>
      <c r="R2941">
        <v>1.0900000000000001</v>
      </c>
    </row>
    <row r="2942" spans="1:19" x14ac:dyDescent="0.2">
      <c r="A2942" t="s">
        <v>5082</v>
      </c>
      <c r="B2942" t="s">
        <v>5083</v>
      </c>
      <c r="C2942">
        <v>2016</v>
      </c>
      <c r="D2942">
        <v>1</v>
      </c>
      <c r="E2942" t="s">
        <v>55</v>
      </c>
      <c r="F2942" t="s">
        <v>128</v>
      </c>
      <c r="G2942" t="s">
        <v>63</v>
      </c>
      <c r="H2942">
        <v>1</v>
      </c>
      <c r="I2942">
        <v>56.35418576</v>
      </c>
      <c r="J2942">
        <v>290</v>
      </c>
      <c r="K2942">
        <v>6.03</v>
      </c>
      <c r="M2942">
        <v>2.36</v>
      </c>
      <c r="O2942">
        <v>0.21099999999999999</v>
      </c>
      <c r="Q2942">
        <v>0.75</v>
      </c>
      <c r="R2942">
        <v>0.72</v>
      </c>
    </row>
    <row r="2943" spans="1:19" x14ac:dyDescent="0.2">
      <c r="A2943" t="s">
        <v>5084</v>
      </c>
      <c r="B2943" t="s">
        <v>5085</v>
      </c>
      <c r="C2943">
        <v>2016</v>
      </c>
      <c r="D2943">
        <v>1</v>
      </c>
      <c r="E2943" t="s">
        <v>55</v>
      </c>
      <c r="F2943" t="s">
        <v>128</v>
      </c>
      <c r="G2943" t="s">
        <v>63</v>
      </c>
      <c r="H2943">
        <v>1</v>
      </c>
      <c r="I2943">
        <v>30.229104</v>
      </c>
      <c r="J2943">
        <v>953</v>
      </c>
      <c r="K2943">
        <v>2.63</v>
      </c>
      <c r="M2943">
        <v>3.21</v>
      </c>
      <c r="O2943">
        <v>0.28599999999999998</v>
      </c>
      <c r="Q2943">
        <v>1.28</v>
      </c>
      <c r="R2943">
        <v>1.47</v>
      </c>
    </row>
    <row r="2944" spans="1:19" x14ac:dyDescent="0.2">
      <c r="A2944" t="s">
        <v>5086</v>
      </c>
      <c r="B2944" t="s">
        <v>5087</v>
      </c>
      <c r="C2944">
        <v>2016</v>
      </c>
      <c r="D2944">
        <v>1</v>
      </c>
      <c r="E2944" t="s">
        <v>55</v>
      </c>
      <c r="F2944" t="s">
        <v>128</v>
      </c>
      <c r="G2944" t="s">
        <v>63</v>
      </c>
      <c r="H2944">
        <v>1</v>
      </c>
      <c r="I2944">
        <v>10.045569309999999</v>
      </c>
      <c r="J2944">
        <v>377</v>
      </c>
      <c r="K2944">
        <v>1.48</v>
      </c>
      <c r="M2944">
        <v>2.2799999999999998</v>
      </c>
      <c r="O2944">
        <v>0.20300000000000001</v>
      </c>
      <c r="Q2944">
        <v>0.96</v>
      </c>
      <c r="R2944">
        <v>0.87</v>
      </c>
    </row>
    <row r="2945" spans="1:18" x14ac:dyDescent="0.2">
      <c r="A2945" t="s">
        <v>5088</v>
      </c>
      <c r="B2945" t="s">
        <v>5089</v>
      </c>
      <c r="C2945">
        <v>2016</v>
      </c>
      <c r="D2945">
        <v>1</v>
      </c>
      <c r="E2945" t="s">
        <v>55</v>
      </c>
      <c r="F2945" t="s">
        <v>128</v>
      </c>
      <c r="G2945" t="s">
        <v>63</v>
      </c>
      <c r="H2945">
        <v>1</v>
      </c>
      <c r="I2945">
        <v>3.2432598000000001</v>
      </c>
      <c r="J2945">
        <v>1173</v>
      </c>
      <c r="K2945">
        <v>3.72</v>
      </c>
      <c r="M2945">
        <v>14.41</v>
      </c>
      <c r="O2945">
        <v>1.286</v>
      </c>
      <c r="Q2945">
        <v>1.07</v>
      </c>
      <c r="R2945">
        <v>1.0900000000000001</v>
      </c>
    </row>
    <row r="2946" spans="1:18" x14ac:dyDescent="0.2">
      <c r="A2946" t="s">
        <v>5090</v>
      </c>
      <c r="B2946" t="s">
        <v>5091</v>
      </c>
      <c r="C2946">
        <v>2016</v>
      </c>
      <c r="D2946">
        <v>1</v>
      </c>
      <c r="E2946" t="s">
        <v>55</v>
      </c>
      <c r="F2946" t="s">
        <v>128</v>
      </c>
      <c r="G2946" t="s">
        <v>63</v>
      </c>
      <c r="H2946">
        <v>1</v>
      </c>
      <c r="I2946">
        <v>30.360446670000002</v>
      </c>
      <c r="J2946">
        <v>428</v>
      </c>
      <c r="K2946">
        <v>4.47</v>
      </c>
      <c r="M2946">
        <v>11</v>
      </c>
      <c r="O2946">
        <v>0.98099999999999998</v>
      </c>
      <c r="Q2946">
        <v>0.79</v>
      </c>
      <c r="R2946">
        <v>0.75</v>
      </c>
    </row>
    <row r="2947" spans="1:18" x14ac:dyDescent="0.2">
      <c r="A2947" t="s">
        <v>5092</v>
      </c>
      <c r="B2947" t="s">
        <v>5093</v>
      </c>
      <c r="C2947">
        <v>2016</v>
      </c>
      <c r="D2947">
        <v>1</v>
      </c>
      <c r="E2947" t="s">
        <v>55</v>
      </c>
      <c r="F2947" t="s">
        <v>128</v>
      </c>
      <c r="G2947" t="s">
        <v>63</v>
      </c>
      <c r="H2947">
        <v>2</v>
      </c>
      <c r="I2947">
        <v>15.358768400000001</v>
      </c>
      <c r="J2947">
        <v>835</v>
      </c>
      <c r="K2947">
        <v>5.62</v>
      </c>
      <c r="M2947">
        <v>11.42</v>
      </c>
      <c r="O2947">
        <v>1.0189999999999999</v>
      </c>
      <c r="Q2947">
        <v>0.91</v>
      </c>
      <c r="R2947">
        <v>0.88</v>
      </c>
    </row>
    <row r="2948" spans="1:18" x14ac:dyDescent="0.2">
      <c r="A2948" t="s">
        <v>5092</v>
      </c>
      <c r="B2948" t="s">
        <v>5094</v>
      </c>
      <c r="C2948">
        <v>2016</v>
      </c>
      <c r="D2948">
        <v>1</v>
      </c>
      <c r="E2948" t="s">
        <v>55</v>
      </c>
      <c r="F2948" t="s">
        <v>128</v>
      </c>
      <c r="G2948" t="s">
        <v>63</v>
      </c>
      <c r="H2948">
        <v>2</v>
      </c>
      <c r="I2948">
        <v>38.651997600000001</v>
      </c>
      <c r="J2948">
        <v>835</v>
      </c>
      <c r="K2948">
        <v>5.62</v>
      </c>
      <c r="M2948">
        <v>2.68</v>
      </c>
      <c r="O2948">
        <v>0.23899999999999999</v>
      </c>
      <c r="Q2948">
        <v>0.91</v>
      </c>
      <c r="R2948">
        <v>0.88</v>
      </c>
    </row>
    <row r="2949" spans="1:18" x14ac:dyDescent="0.2">
      <c r="A2949" t="s">
        <v>5095</v>
      </c>
      <c r="B2949" t="s">
        <v>5096</v>
      </c>
      <c r="C2949">
        <v>2016</v>
      </c>
      <c r="D2949">
        <v>1</v>
      </c>
      <c r="E2949" t="s">
        <v>55</v>
      </c>
      <c r="F2949" t="s">
        <v>128</v>
      </c>
      <c r="G2949" t="s">
        <v>63</v>
      </c>
      <c r="H2949">
        <v>1</v>
      </c>
      <c r="I2949">
        <v>3.12082923</v>
      </c>
      <c r="J2949">
        <v>1157</v>
      </c>
      <c r="K2949">
        <v>3.47</v>
      </c>
      <c r="M2949">
        <v>15.79</v>
      </c>
      <c r="O2949">
        <v>1.409</v>
      </c>
      <c r="Q2949">
        <v>1.07</v>
      </c>
      <c r="R2949">
        <v>1.0900000000000001</v>
      </c>
    </row>
    <row r="2950" spans="1:18" x14ac:dyDescent="0.2">
      <c r="A2950" t="s">
        <v>5097</v>
      </c>
      <c r="B2950" t="s">
        <v>5098</v>
      </c>
      <c r="C2950">
        <v>2016</v>
      </c>
      <c r="D2950">
        <v>1</v>
      </c>
      <c r="E2950" t="s">
        <v>55</v>
      </c>
      <c r="F2950" t="s">
        <v>128</v>
      </c>
      <c r="G2950" t="s">
        <v>63</v>
      </c>
      <c r="H2950">
        <v>1</v>
      </c>
      <c r="I2950">
        <v>17.276296120000001</v>
      </c>
      <c r="J2950">
        <v>379</v>
      </c>
      <c r="K2950">
        <v>3.31</v>
      </c>
      <c r="M2950">
        <v>7.72</v>
      </c>
      <c r="O2950">
        <v>0.68899999999999995</v>
      </c>
      <c r="Q2950">
        <v>0.82</v>
      </c>
      <c r="R2950">
        <v>0.76</v>
      </c>
    </row>
    <row r="2951" spans="1:18" x14ac:dyDescent="0.2">
      <c r="A2951" t="s">
        <v>5099</v>
      </c>
      <c r="B2951" t="s">
        <v>5100</v>
      </c>
      <c r="C2951">
        <v>2012</v>
      </c>
      <c r="D2951">
        <v>1</v>
      </c>
      <c r="E2951" t="s">
        <v>55</v>
      </c>
      <c r="F2951" t="s">
        <v>128</v>
      </c>
      <c r="G2951" t="s">
        <v>63</v>
      </c>
      <c r="H2951">
        <v>4</v>
      </c>
      <c r="I2951">
        <v>7.2037944999999999</v>
      </c>
      <c r="J2951">
        <v>306</v>
      </c>
      <c r="L2951">
        <v>311.45999999999998</v>
      </c>
      <c r="M2951">
        <v>2.72</v>
      </c>
      <c r="N2951">
        <v>0.98</v>
      </c>
      <c r="O2951">
        <v>0.24299999999999999</v>
      </c>
      <c r="R2951">
        <v>0.56000000000000005</v>
      </c>
    </row>
    <row r="2952" spans="1:18" x14ac:dyDescent="0.2">
      <c r="A2952" t="s">
        <v>5099</v>
      </c>
      <c r="B2952" t="s">
        <v>5101</v>
      </c>
      <c r="C2952">
        <v>2012</v>
      </c>
      <c r="D2952">
        <v>1</v>
      </c>
      <c r="E2952" t="s">
        <v>55</v>
      </c>
      <c r="F2952" t="s">
        <v>128</v>
      </c>
      <c r="G2952" t="s">
        <v>63</v>
      </c>
      <c r="H2952">
        <v>4</v>
      </c>
      <c r="I2952">
        <v>10.9129343</v>
      </c>
      <c r="J2952">
        <v>306</v>
      </c>
      <c r="L2952">
        <v>228.83</v>
      </c>
      <c r="M2952">
        <v>2.5499999999999998</v>
      </c>
      <c r="N2952">
        <v>0.72</v>
      </c>
      <c r="O2952">
        <v>0.22700000000000001</v>
      </c>
      <c r="R2952">
        <v>0.56000000000000005</v>
      </c>
    </row>
    <row r="2953" spans="1:18" x14ac:dyDescent="0.2">
      <c r="A2953" t="s">
        <v>5099</v>
      </c>
      <c r="B2953" t="s">
        <v>5102</v>
      </c>
      <c r="C2953">
        <v>2014</v>
      </c>
      <c r="D2953">
        <v>1</v>
      </c>
      <c r="E2953" t="s">
        <v>55</v>
      </c>
      <c r="F2953" t="s">
        <v>128</v>
      </c>
      <c r="G2953" t="s">
        <v>63</v>
      </c>
      <c r="H2953">
        <v>4</v>
      </c>
      <c r="I2953">
        <v>2.576549</v>
      </c>
      <c r="J2953">
        <v>306</v>
      </c>
      <c r="M2953">
        <v>1.6</v>
      </c>
      <c r="O2953">
        <v>0.14299999999999999</v>
      </c>
      <c r="R2953">
        <v>0.56000000000000005</v>
      </c>
    </row>
    <row r="2954" spans="1:18" x14ac:dyDescent="0.2">
      <c r="A2954" t="s">
        <v>5099</v>
      </c>
      <c r="B2954" t="s">
        <v>5103</v>
      </c>
      <c r="C2954">
        <v>2014</v>
      </c>
      <c r="D2954">
        <v>1</v>
      </c>
      <c r="E2954" t="s">
        <v>55</v>
      </c>
      <c r="F2954" t="s">
        <v>128</v>
      </c>
      <c r="G2954" t="s">
        <v>63</v>
      </c>
      <c r="H2954">
        <v>4</v>
      </c>
      <c r="I2954">
        <v>18.596108000000001</v>
      </c>
      <c r="J2954">
        <v>306</v>
      </c>
      <c r="M2954">
        <v>1.56</v>
      </c>
      <c r="O2954">
        <v>0.13900000000000001</v>
      </c>
      <c r="R2954">
        <v>0.56000000000000005</v>
      </c>
    </row>
    <row r="2955" spans="1:18" x14ac:dyDescent="0.2">
      <c r="A2955" t="s">
        <v>5104</v>
      </c>
      <c r="B2955" t="s">
        <v>5105</v>
      </c>
      <c r="C2955">
        <v>2016</v>
      </c>
      <c r="D2955">
        <v>1</v>
      </c>
      <c r="E2955" t="s">
        <v>55</v>
      </c>
      <c r="F2955" t="s">
        <v>128</v>
      </c>
      <c r="G2955" t="s">
        <v>63</v>
      </c>
      <c r="H2955">
        <v>1</v>
      </c>
      <c r="I2955">
        <v>3.2686951500000001</v>
      </c>
      <c r="J2955">
        <v>1249</v>
      </c>
      <c r="K2955">
        <v>3.47</v>
      </c>
      <c r="M2955">
        <v>11.65</v>
      </c>
      <c r="O2955">
        <v>1.0389999999999999</v>
      </c>
      <c r="Q2955">
        <v>1.08</v>
      </c>
      <c r="R2955">
        <v>1.1200000000000001</v>
      </c>
    </row>
    <row r="2956" spans="1:18" x14ac:dyDescent="0.2">
      <c r="A2956" t="s">
        <v>5106</v>
      </c>
      <c r="B2956" t="s">
        <v>5107</v>
      </c>
      <c r="C2956">
        <v>2016</v>
      </c>
      <c r="D2956">
        <v>1</v>
      </c>
      <c r="E2956" t="s">
        <v>55</v>
      </c>
      <c r="F2956" t="s">
        <v>128</v>
      </c>
      <c r="G2956" t="s">
        <v>63</v>
      </c>
      <c r="H2956">
        <v>1</v>
      </c>
      <c r="I2956">
        <v>4.2253845099999996</v>
      </c>
      <c r="J2956">
        <v>657</v>
      </c>
      <c r="K2956">
        <v>4.47</v>
      </c>
      <c r="M2956">
        <v>8.92</v>
      </c>
      <c r="O2956">
        <v>0.79600000000000004</v>
      </c>
      <c r="Q2956">
        <v>1.04</v>
      </c>
      <c r="R2956">
        <v>1.03</v>
      </c>
    </row>
    <row r="2957" spans="1:18" x14ac:dyDescent="0.2">
      <c r="A2957" t="s">
        <v>5108</v>
      </c>
      <c r="B2957" t="s">
        <v>5109</v>
      </c>
      <c r="C2957">
        <v>2016</v>
      </c>
      <c r="D2957">
        <v>1</v>
      </c>
      <c r="E2957" t="s">
        <v>55</v>
      </c>
      <c r="F2957" t="s">
        <v>128</v>
      </c>
      <c r="G2957" t="s">
        <v>63</v>
      </c>
      <c r="H2957">
        <v>1</v>
      </c>
      <c r="I2957">
        <v>11.720122659999999</v>
      </c>
      <c r="J2957">
        <v>642</v>
      </c>
      <c r="K2957">
        <v>4.57</v>
      </c>
      <c r="M2957">
        <v>9.59</v>
      </c>
      <c r="O2957">
        <v>0.85599999999999998</v>
      </c>
      <c r="Q2957">
        <v>0.94</v>
      </c>
      <c r="R2957">
        <v>0.91</v>
      </c>
    </row>
    <row r="2958" spans="1:18" x14ac:dyDescent="0.2">
      <c r="A2958" t="s">
        <v>5110</v>
      </c>
      <c r="B2958" t="s">
        <v>5111</v>
      </c>
      <c r="C2958">
        <v>2016</v>
      </c>
      <c r="D2958">
        <v>1</v>
      </c>
      <c r="E2958" t="s">
        <v>55</v>
      </c>
      <c r="F2958" t="s">
        <v>128</v>
      </c>
      <c r="G2958" t="s">
        <v>63</v>
      </c>
      <c r="H2958">
        <v>1</v>
      </c>
      <c r="I2958">
        <v>3.00387658</v>
      </c>
      <c r="J2958">
        <v>1942</v>
      </c>
      <c r="K2958">
        <v>2</v>
      </c>
      <c r="M2958">
        <v>15.13</v>
      </c>
      <c r="O2958">
        <v>1.35</v>
      </c>
      <c r="Q2958">
        <v>1.36</v>
      </c>
      <c r="R2958">
        <v>1.54</v>
      </c>
    </row>
    <row r="2959" spans="1:18" x14ac:dyDescent="0.2">
      <c r="A2959" t="s">
        <v>5112</v>
      </c>
      <c r="B2959" t="s">
        <v>5113</v>
      </c>
      <c r="C2959">
        <v>2016</v>
      </c>
      <c r="D2959">
        <v>1</v>
      </c>
      <c r="E2959" t="s">
        <v>55</v>
      </c>
      <c r="F2959" t="s">
        <v>128</v>
      </c>
      <c r="G2959" t="s">
        <v>63</v>
      </c>
      <c r="H2959">
        <v>1</v>
      </c>
      <c r="I2959">
        <v>8.0251182100000005</v>
      </c>
      <c r="J2959">
        <v>862</v>
      </c>
      <c r="K2959">
        <v>4.79</v>
      </c>
      <c r="M2959">
        <v>7.14</v>
      </c>
      <c r="O2959">
        <v>0.63700000000000001</v>
      </c>
      <c r="Q2959">
        <v>1.1000000000000001</v>
      </c>
      <c r="R2959">
        <v>1.26</v>
      </c>
    </row>
    <row r="2960" spans="1:18" x14ac:dyDescent="0.2">
      <c r="A2960" t="s">
        <v>5114</v>
      </c>
      <c r="B2960" t="s">
        <v>5115</v>
      </c>
      <c r="C2960">
        <v>2016</v>
      </c>
      <c r="D2960">
        <v>1</v>
      </c>
      <c r="E2960" t="s">
        <v>55</v>
      </c>
      <c r="F2960" t="s">
        <v>128</v>
      </c>
      <c r="G2960" t="s">
        <v>63</v>
      </c>
      <c r="H2960">
        <v>1</v>
      </c>
      <c r="I2960">
        <v>3.41303622</v>
      </c>
      <c r="J2960">
        <v>630</v>
      </c>
      <c r="K2960">
        <v>4.37</v>
      </c>
      <c r="M2960">
        <v>5.23</v>
      </c>
      <c r="O2960">
        <v>0.46700000000000003</v>
      </c>
      <c r="Q2960">
        <v>0.86</v>
      </c>
      <c r="R2960">
        <v>0.83</v>
      </c>
    </row>
    <row r="2961" spans="1:19" x14ac:dyDescent="0.2">
      <c r="A2961" t="s">
        <v>5116</v>
      </c>
      <c r="B2961" t="s">
        <v>5117</v>
      </c>
      <c r="C2961">
        <v>2016</v>
      </c>
      <c r="D2961">
        <v>1</v>
      </c>
      <c r="E2961" t="s">
        <v>55</v>
      </c>
      <c r="F2961" t="s">
        <v>128</v>
      </c>
      <c r="G2961" t="s">
        <v>63</v>
      </c>
      <c r="H2961">
        <v>1</v>
      </c>
      <c r="I2961">
        <v>8.3086493699999995</v>
      </c>
      <c r="J2961">
        <v>655</v>
      </c>
      <c r="K2961">
        <v>4.57</v>
      </c>
      <c r="M2961">
        <v>2.3199999999999998</v>
      </c>
      <c r="O2961">
        <v>0.20699999999999999</v>
      </c>
      <c r="Q2961">
        <v>0.86</v>
      </c>
      <c r="R2961">
        <v>0.82</v>
      </c>
    </row>
    <row r="2962" spans="1:19" x14ac:dyDescent="0.2">
      <c r="A2962" t="s">
        <v>5118</v>
      </c>
      <c r="B2962" t="s">
        <v>5119</v>
      </c>
      <c r="C2962">
        <v>2016</v>
      </c>
      <c r="D2962">
        <v>1</v>
      </c>
      <c r="E2962" t="s">
        <v>55</v>
      </c>
      <c r="F2962" t="s">
        <v>128</v>
      </c>
      <c r="G2962" t="s">
        <v>63</v>
      </c>
      <c r="H2962">
        <v>1</v>
      </c>
      <c r="I2962">
        <v>3.5732036699999998</v>
      </c>
      <c r="J2962">
        <v>1070</v>
      </c>
      <c r="K2962">
        <v>3.55</v>
      </c>
      <c r="M2962">
        <v>6.04</v>
      </c>
      <c r="O2962">
        <v>0.53900000000000003</v>
      </c>
      <c r="Q2962">
        <v>1.0900000000000001</v>
      </c>
      <c r="R2962">
        <v>1.1100000000000001</v>
      </c>
    </row>
    <row r="2963" spans="1:19" x14ac:dyDescent="0.2">
      <c r="A2963" t="s">
        <v>5120</v>
      </c>
      <c r="B2963" t="s">
        <v>5121</v>
      </c>
      <c r="C2963">
        <v>2016</v>
      </c>
      <c r="D2963">
        <v>1</v>
      </c>
      <c r="E2963" t="s">
        <v>55</v>
      </c>
      <c r="F2963" t="s">
        <v>128</v>
      </c>
      <c r="G2963" t="s">
        <v>63</v>
      </c>
      <c r="H2963">
        <v>1</v>
      </c>
      <c r="I2963">
        <v>9.6137535599999993</v>
      </c>
      <c r="J2963">
        <v>746</v>
      </c>
      <c r="K2963">
        <v>3.89</v>
      </c>
      <c r="M2963">
        <v>3.03</v>
      </c>
      <c r="O2963">
        <v>0.27</v>
      </c>
      <c r="Q2963">
        <v>0.98</v>
      </c>
      <c r="R2963">
        <v>0.96</v>
      </c>
    </row>
    <row r="2964" spans="1:19" x14ac:dyDescent="0.2">
      <c r="A2964" t="s">
        <v>5122</v>
      </c>
      <c r="B2964" t="s">
        <v>5123</v>
      </c>
      <c r="C2964">
        <v>2016</v>
      </c>
      <c r="D2964">
        <v>1</v>
      </c>
      <c r="E2964" t="s">
        <v>55</v>
      </c>
      <c r="F2964" t="s">
        <v>128</v>
      </c>
      <c r="G2964" t="s">
        <v>63</v>
      </c>
      <c r="H2964">
        <v>1</v>
      </c>
      <c r="I2964">
        <v>5.6325284499999997</v>
      </c>
      <c r="J2964">
        <v>523</v>
      </c>
      <c r="K2964">
        <v>4.57</v>
      </c>
      <c r="M2964">
        <v>2.17</v>
      </c>
      <c r="O2964">
        <v>0.19400000000000001</v>
      </c>
      <c r="Q2964">
        <v>0.87</v>
      </c>
      <c r="R2964">
        <v>0.83</v>
      </c>
    </row>
    <row r="2965" spans="1:19" x14ac:dyDescent="0.2">
      <c r="A2965" t="s">
        <v>5124</v>
      </c>
      <c r="B2965" t="s">
        <v>5125</v>
      </c>
      <c r="C2965">
        <v>2009</v>
      </c>
      <c r="D2965">
        <v>1</v>
      </c>
      <c r="E2965" t="s">
        <v>55</v>
      </c>
      <c r="F2965" t="s">
        <v>128</v>
      </c>
      <c r="G2965" t="s">
        <v>63</v>
      </c>
      <c r="H2965">
        <v>1</v>
      </c>
      <c r="I2965">
        <v>3.5484656999999999</v>
      </c>
      <c r="J2965">
        <v>898</v>
      </c>
      <c r="L2965">
        <v>670.93912999999998</v>
      </c>
      <c r="M2965">
        <v>15.984</v>
      </c>
      <c r="N2965">
        <v>2.1110000000000002</v>
      </c>
      <c r="O2965">
        <v>1.4259999999999999</v>
      </c>
      <c r="P2965">
        <v>0.4</v>
      </c>
      <c r="Q2965">
        <v>1.37</v>
      </c>
      <c r="R2965">
        <v>1.79</v>
      </c>
    </row>
    <row r="2966" spans="1:19" x14ac:dyDescent="0.2">
      <c r="A2966" t="s">
        <v>5126</v>
      </c>
      <c r="B2966" t="s">
        <v>5127</v>
      </c>
      <c r="C2966">
        <v>2012</v>
      </c>
      <c r="D2966">
        <v>1</v>
      </c>
      <c r="E2966" t="s">
        <v>55</v>
      </c>
      <c r="F2966" t="s">
        <v>128</v>
      </c>
      <c r="G2966" t="s">
        <v>63</v>
      </c>
      <c r="H2966">
        <v>2</v>
      </c>
      <c r="I2966">
        <v>7.8125400000000003</v>
      </c>
      <c r="J2966">
        <v>255</v>
      </c>
      <c r="K2966">
        <v>3.8</v>
      </c>
      <c r="M2966">
        <v>1.71</v>
      </c>
      <c r="O2966">
        <v>0.153</v>
      </c>
      <c r="Q2966">
        <v>1.24</v>
      </c>
      <c r="R2966">
        <v>1.58</v>
      </c>
      <c r="S2966">
        <v>0.441</v>
      </c>
    </row>
    <row r="2967" spans="1:19" x14ac:dyDescent="0.2">
      <c r="A2967" t="s">
        <v>5126</v>
      </c>
      <c r="B2967" t="s">
        <v>5128</v>
      </c>
      <c r="C2967">
        <v>2012</v>
      </c>
      <c r="D2967">
        <v>1</v>
      </c>
      <c r="E2967" t="s">
        <v>55</v>
      </c>
      <c r="F2967" t="s">
        <v>128</v>
      </c>
      <c r="G2967" t="s">
        <v>63</v>
      </c>
      <c r="H2967">
        <v>2</v>
      </c>
      <c r="I2967">
        <v>9.3764699999999994</v>
      </c>
      <c r="J2967">
        <v>255</v>
      </c>
      <c r="K2967">
        <v>3.8</v>
      </c>
      <c r="M2967">
        <v>2.17</v>
      </c>
      <c r="O2967">
        <v>0.19400000000000001</v>
      </c>
      <c r="Q2967">
        <v>1.24</v>
      </c>
      <c r="R2967">
        <v>1.58</v>
      </c>
      <c r="S2967">
        <v>0.441</v>
      </c>
    </row>
    <row r="2968" spans="1:19" x14ac:dyDescent="0.2">
      <c r="A2968" t="s">
        <v>5129</v>
      </c>
      <c r="B2968" t="s">
        <v>5130</v>
      </c>
      <c r="C2968">
        <v>2016</v>
      </c>
      <c r="D2968">
        <v>1</v>
      </c>
      <c r="E2968" t="s">
        <v>55</v>
      </c>
      <c r="F2968" t="s">
        <v>128</v>
      </c>
      <c r="G2968" t="s">
        <v>63</v>
      </c>
      <c r="H2968">
        <v>1</v>
      </c>
      <c r="I2968">
        <v>8.5083243999999993</v>
      </c>
      <c r="J2968">
        <v>747</v>
      </c>
      <c r="K2968">
        <v>4.37</v>
      </c>
      <c r="M2968">
        <v>2.58</v>
      </c>
      <c r="O2968">
        <v>0.23</v>
      </c>
      <c r="Q2968">
        <v>1.02</v>
      </c>
      <c r="R2968">
        <v>1.03</v>
      </c>
    </row>
    <row r="2969" spans="1:19" x14ac:dyDescent="0.2">
      <c r="A2969" t="s">
        <v>5131</v>
      </c>
      <c r="B2969" t="s">
        <v>5132</v>
      </c>
      <c r="C2969">
        <v>2016</v>
      </c>
      <c r="D2969">
        <v>1</v>
      </c>
      <c r="E2969" t="s">
        <v>55</v>
      </c>
      <c r="F2969" t="s">
        <v>128</v>
      </c>
      <c r="G2969" t="s">
        <v>63</v>
      </c>
      <c r="H2969">
        <v>1</v>
      </c>
      <c r="I2969">
        <v>5.6406775700000003</v>
      </c>
      <c r="J2969">
        <v>1044</v>
      </c>
      <c r="K2969">
        <v>3.31</v>
      </c>
      <c r="M2969">
        <v>4.3</v>
      </c>
      <c r="O2969">
        <v>0.38400000000000001</v>
      </c>
      <c r="Q2969">
        <v>1.03</v>
      </c>
      <c r="R2969">
        <v>1.04</v>
      </c>
    </row>
    <row r="2970" spans="1:19" x14ac:dyDescent="0.2">
      <c r="A2970" t="s">
        <v>5133</v>
      </c>
      <c r="B2970" t="s">
        <v>5134</v>
      </c>
      <c r="C2970">
        <v>2016</v>
      </c>
      <c r="D2970">
        <v>1</v>
      </c>
      <c r="E2970" t="s">
        <v>55</v>
      </c>
      <c r="F2970" t="s">
        <v>128</v>
      </c>
      <c r="G2970" t="s">
        <v>63</v>
      </c>
      <c r="H2970">
        <v>1</v>
      </c>
      <c r="I2970">
        <v>4.2868643100000003</v>
      </c>
      <c r="J2970">
        <v>1433</v>
      </c>
      <c r="K2970">
        <v>3.09</v>
      </c>
      <c r="M2970">
        <v>4.7699999999999996</v>
      </c>
      <c r="O2970">
        <v>0.42599999999999999</v>
      </c>
      <c r="Q2970">
        <v>1.1499999999999999</v>
      </c>
      <c r="R2970">
        <v>1.22</v>
      </c>
    </row>
    <row r="2971" spans="1:19" x14ac:dyDescent="0.2">
      <c r="A2971" t="s">
        <v>5135</v>
      </c>
      <c r="B2971" t="s">
        <v>5136</v>
      </c>
      <c r="C2971">
        <v>2016</v>
      </c>
      <c r="D2971">
        <v>1</v>
      </c>
      <c r="E2971" t="s">
        <v>55</v>
      </c>
      <c r="F2971" t="s">
        <v>128</v>
      </c>
      <c r="G2971" t="s">
        <v>63</v>
      </c>
      <c r="H2971">
        <v>1</v>
      </c>
      <c r="I2971">
        <v>9.5492754200000007</v>
      </c>
      <c r="J2971">
        <v>75</v>
      </c>
      <c r="K2971">
        <v>4.17</v>
      </c>
      <c r="M2971">
        <v>1.59</v>
      </c>
      <c r="O2971">
        <v>0.14199999999999999</v>
      </c>
      <c r="Q2971">
        <v>0.33</v>
      </c>
      <c r="R2971">
        <v>0.33</v>
      </c>
    </row>
    <row r="2972" spans="1:19" x14ac:dyDescent="0.2">
      <c r="A2972" t="s">
        <v>5137</v>
      </c>
      <c r="B2972" t="s">
        <v>5138</v>
      </c>
      <c r="C2972">
        <v>2016</v>
      </c>
      <c r="D2972">
        <v>1</v>
      </c>
      <c r="E2972" t="s">
        <v>55</v>
      </c>
      <c r="F2972" t="s">
        <v>128</v>
      </c>
      <c r="G2972" t="s">
        <v>63</v>
      </c>
      <c r="H2972">
        <v>1</v>
      </c>
      <c r="I2972">
        <v>27.521979940000001</v>
      </c>
      <c r="J2972">
        <v>222</v>
      </c>
      <c r="K2972">
        <v>3.16</v>
      </c>
      <c r="M2972">
        <v>2.6</v>
      </c>
      <c r="O2972">
        <v>0.23200000000000001</v>
      </c>
      <c r="Q2972">
        <v>0.55000000000000004</v>
      </c>
      <c r="R2972">
        <v>0.53</v>
      </c>
    </row>
    <row r="2973" spans="1:19" x14ac:dyDescent="0.2">
      <c r="A2973" t="s">
        <v>5139</v>
      </c>
      <c r="B2973" t="s">
        <v>5140</v>
      </c>
      <c r="C2973">
        <v>2016</v>
      </c>
      <c r="D2973">
        <v>1</v>
      </c>
      <c r="E2973" t="s">
        <v>55</v>
      </c>
      <c r="F2973" t="s">
        <v>128</v>
      </c>
      <c r="G2973" t="s">
        <v>63</v>
      </c>
      <c r="H2973">
        <v>1</v>
      </c>
      <c r="I2973">
        <v>6.8834055000000003</v>
      </c>
      <c r="J2973">
        <v>231</v>
      </c>
      <c r="K2973">
        <v>1.74</v>
      </c>
      <c r="M2973">
        <v>2.73</v>
      </c>
      <c r="O2973">
        <v>0.24399999999999999</v>
      </c>
      <c r="Q2973">
        <v>1.19</v>
      </c>
      <c r="R2973">
        <v>1.19</v>
      </c>
    </row>
    <row r="2974" spans="1:19" x14ac:dyDescent="0.2">
      <c r="A2974" t="s">
        <v>5141</v>
      </c>
      <c r="B2974" t="s">
        <v>5142</v>
      </c>
      <c r="C2974">
        <v>2016</v>
      </c>
      <c r="D2974">
        <v>1</v>
      </c>
      <c r="E2974" t="s">
        <v>55</v>
      </c>
      <c r="F2974" t="s">
        <v>128</v>
      </c>
      <c r="G2974" t="s">
        <v>63</v>
      </c>
      <c r="H2974">
        <v>1</v>
      </c>
      <c r="I2974">
        <v>3.5680969299999998</v>
      </c>
      <c r="J2974">
        <v>410</v>
      </c>
      <c r="K2974">
        <v>3.8</v>
      </c>
      <c r="M2974">
        <v>1.3</v>
      </c>
      <c r="O2974">
        <v>0.11600000000000001</v>
      </c>
      <c r="Q2974">
        <v>1.1599999999999999</v>
      </c>
      <c r="R2974">
        <v>1.32</v>
      </c>
    </row>
    <row r="2975" spans="1:19" x14ac:dyDescent="0.2">
      <c r="A2975" t="s">
        <v>5143</v>
      </c>
      <c r="B2975" t="s">
        <v>5144</v>
      </c>
      <c r="C2975">
        <v>2016</v>
      </c>
      <c r="D2975">
        <v>1</v>
      </c>
      <c r="E2975" t="s">
        <v>55</v>
      </c>
      <c r="F2975" t="s">
        <v>128</v>
      </c>
      <c r="G2975" t="s">
        <v>63</v>
      </c>
      <c r="H2975">
        <v>1</v>
      </c>
      <c r="I2975">
        <v>25.308897479999999</v>
      </c>
      <c r="J2975">
        <v>325</v>
      </c>
      <c r="K2975">
        <v>3.55</v>
      </c>
      <c r="M2975">
        <v>1.64</v>
      </c>
      <c r="O2975">
        <v>0.14599999999999999</v>
      </c>
      <c r="Q2975">
        <v>1.1599999999999999</v>
      </c>
      <c r="R2975">
        <v>1.25</v>
      </c>
    </row>
    <row r="2976" spans="1:19" x14ac:dyDescent="0.2">
      <c r="A2976" t="s">
        <v>5145</v>
      </c>
      <c r="B2976" t="s">
        <v>5146</v>
      </c>
      <c r="C2976">
        <v>2016</v>
      </c>
      <c r="D2976">
        <v>1</v>
      </c>
      <c r="E2976" t="s">
        <v>55</v>
      </c>
      <c r="F2976" t="s">
        <v>128</v>
      </c>
      <c r="G2976" t="s">
        <v>63</v>
      </c>
      <c r="H2976">
        <v>1</v>
      </c>
      <c r="I2976">
        <v>41.74600392</v>
      </c>
      <c r="J2976">
        <v>339</v>
      </c>
      <c r="K2976">
        <v>4.2699999999999996</v>
      </c>
      <c r="M2976">
        <v>2.4900000000000002</v>
      </c>
      <c r="O2976">
        <v>0.222</v>
      </c>
      <c r="Q2976">
        <v>1.1000000000000001</v>
      </c>
      <c r="R2976">
        <v>1.2</v>
      </c>
    </row>
    <row r="2977" spans="1:19" x14ac:dyDescent="0.2">
      <c r="A2977" t="s">
        <v>5147</v>
      </c>
      <c r="B2977" t="s">
        <v>5148</v>
      </c>
      <c r="C2977">
        <v>2012</v>
      </c>
      <c r="D2977">
        <v>1</v>
      </c>
      <c r="E2977" t="s">
        <v>55</v>
      </c>
      <c r="F2977" t="s">
        <v>128</v>
      </c>
      <c r="G2977" t="s">
        <v>63</v>
      </c>
      <c r="H2977">
        <v>3</v>
      </c>
      <c r="I2977">
        <v>45.154000000000003</v>
      </c>
      <c r="J2977">
        <v>1013</v>
      </c>
      <c r="K2977">
        <v>0.3</v>
      </c>
      <c r="L2977">
        <v>2.1</v>
      </c>
      <c r="M2977">
        <v>7.1</v>
      </c>
      <c r="N2977">
        <v>7.0000000000000001E-3</v>
      </c>
      <c r="O2977">
        <v>0.63300000000000001</v>
      </c>
      <c r="P2977">
        <v>0.03</v>
      </c>
      <c r="Q2977">
        <v>1.04</v>
      </c>
      <c r="R2977">
        <v>0.94</v>
      </c>
      <c r="S2977">
        <v>2.16</v>
      </c>
    </row>
    <row r="2978" spans="1:19" x14ac:dyDescent="0.2">
      <c r="A2978" t="s">
        <v>5147</v>
      </c>
      <c r="B2978" t="s">
        <v>5149</v>
      </c>
      <c r="C2978">
        <v>2012</v>
      </c>
      <c r="D2978">
        <v>1</v>
      </c>
      <c r="E2978" t="s">
        <v>55</v>
      </c>
      <c r="F2978" t="s">
        <v>128</v>
      </c>
      <c r="G2978" t="s">
        <v>63</v>
      </c>
      <c r="H2978">
        <v>3</v>
      </c>
      <c r="I2978">
        <v>85.311999999999998</v>
      </c>
      <c r="J2978">
        <v>1013</v>
      </c>
      <c r="K2978">
        <v>0.3</v>
      </c>
      <c r="L2978">
        <v>4</v>
      </c>
      <c r="M2978">
        <v>9</v>
      </c>
      <c r="N2978">
        <v>1.2999999999999999E-2</v>
      </c>
      <c r="O2978">
        <v>0.80300000000000005</v>
      </c>
      <c r="P2978">
        <v>0.03</v>
      </c>
      <c r="Q2978">
        <v>1.04</v>
      </c>
      <c r="R2978">
        <v>0.94</v>
      </c>
      <c r="S2978">
        <v>2.16</v>
      </c>
    </row>
    <row r="2979" spans="1:19" x14ac:dyDescent="0.2">
      <c r="A2979" t="s">
        <v>5147</v>
      </c>
      <c r="B2979" t="s">
        <v>5150</v>
      </c>
      <c r="C2979">
        <v>2014</v>
      </c>
      <c r="D2979">
        <v>1</v>
      </c>
      <c r="E2979" t="s">
        <v>55</v>
      </c>
      <c r="F2979" t="s">
        <v>128</v>
      </c>
      <c r="G2979" t="s">
        <v>63</v>
      </c>
      <c r="H2979">
        <v>3</v>
      </c>
      <c r="I2979">
        <v>130.19399999999999</v>
      </c>
      <c r="J2979">
        <v>1013</v>
      </c>
      <c r="K2979">
        <v>0.3</v>
      </c>
      <c r="L2979">
        <v>7.6</v>
      </c>
      <c r="M2979">
        <v>9.6999999999999993</v>
      </c>
      <c r="N2979">
        <v>2.4E-2</v>
      </c>
      <c r="O2979">
        <v>0.86499999999999999</v>
      </c>
      <c r="P2979">
        <v>4.5999999999999999E-2</v>
      </c>
      <c r="Q2979">
        <v>1.04</v>
      </c>
      <c r="R2979">
        <v>0.94</v>
      </c>
      <c r="S2979">
        <v>2.16</v>
      </c>
    </row>
    <row r="2980" spans="1:19" x14ac:dyDescent="0.2">
      <c r="A2980" t="s">
        <v>5151</v>
      </c>
      <c r="B2980" t="s">
        <v>5152</v>
      </c>
      <c r="C2980">
        <v>2016</v>
      </c>
      <c r="D2980">
        <v>1</v>
      </c>
      <c r="E2980" t="s">
        <v>55</v>
      </c>
      <c r="F2980" t="s">
        <v>128</v>
      </c>
      <c r="G2980" t="s">
        <v>63</v>
      </c>
      <c r="H2980">
        <v>1</v>
      </c>
      <c r="I2980">
        <v>19.556594180000001</v>
      </c>
      <c r="J2980">
        <v>378</v>
      </c>
      <c r="K2980">
        <v>10.47</v>
      </c>
      <c r="M2980">
        <v>2.4700000000000002</v>
      </c>
      <c r="O2980">
        <v>0.22</v>
      </c>
      <c r="Q2980">
        <v>0.91</v>
      </c>
      <c r="R2980">
        <v>1.41</v>
      </c>
    </row>
    <row r="2981" spans="1:19" x14ac:dyDescent="0.2">
      <c r="A2981" t="s">
        <v>5153</v>
      </c>
      <c r="B2981" t="s">
        <v>5154</v>
      </c>
      <c r="C2981">
        <v>2016</v>
      </c>
      <c r="D2981">
        <v>1</v>
      </c>
      <c r="E2981" t="s">
        <v>55</v>
      </c>
      <c r="F2981" t="s">
        <v>128</v>
      </c>
      <c r="G2981" t="s">
        <v>63</v>
      </c>
      <c r="H2981">
        <v>1</v>
      </c>
      <c r="I2981">
        <v>296.63786499999998</v>
      </c>
      <c r="J2981">
        <v>448</v>
      </c>
      <c r="K2981">
        <v>7.94</v>
      </c>
      <c r="M2981">
        <v>6.35</v>
      </c>
      <c r="O2981">
        <v>0.56699999999999995</v>
      </c>
      <c r="Q2981">
        <v>1</v>
      </c>
      <c r="R2981">
        <v>1.2</v>
      </c>
    </row>
    <row r="2982" spans="1:19" x14ac:dyDescent="0.2">
      <c r="A2982" t="s">
        <v>5155</v>
      </c>
      <c r="B2982" t="s">
        <v>5156</v>
      </c>
      <c r="C2982">
        <v>2016</v>
      </c>
      <c r="D2982">
        <v>1</v>
      </c>
      <c r="E2982" t="s">
        <v>55</v>
      </c>
      <c r="F2982" t="s">
        <v>128</v>
      </c>
      <c r="G2982" t="s">
        <v>63</v>
      </c>
      <c r="H2982">
        <v>1</v>
      </c>
      <c r="I2982">
        <v>34.435879749999998</v>
      </c>
      <c r="J2982">
        <v>531</v>
      </c>
      <c r="K2982">
        <v>3.72</v>
      </c>
      <c r="M2982">
        <v>2.69</v>
      </c>
      <c r="O2982">
        <v>0.24</v>
      </c>
      <c r="Q2982">
        <v>1.17</v>
      </c>
      <c r="R2982">
        <v>1.3</v>
      </c>
    </row>
    <row r="2983" spans="1:19" x14ac:dyDescent="0.2">
      <c r="A2983" t="s">
        <v>5157</v>
      </c>
      <c r="B2983" t="s">
        <v>5158</v>
      </c>
      <c r="C2983">
        <v>2016</v>
      </c>
      <c r="D2983">
        <v>1</v>
      </c>
      <c r="E2983" t="s">
        <v>55</v>
      </c>
      <c r="F2983" t="s">
        <v>128</v>
      </c>
      <c r="G2983" t="s">
        <v>63</v>
      </c>
      <c r="H2983">
        <v>1</v>
      </c>
      <c r="I2983">
        <v>28.862355839999999</v>
      </c>
      <c r="J2983">
        <v>467</v>
      </c>
      <c r="K2983">
        <v>5.5</v>
      </c>
      <c r="M2983">
        <v>2.2000000000000002</v>
      </c>
      <c r="O2983">
        <v>0.19600000000000001</v>
      </c>
      <c r="Q2983">
        <v>1.02</v>
      </c>
      <c r="R2983">
        <v>1.06</v>
      </c>
    </row>
    <row r="2984" spans="1:19" x14ac:dyDescent="0.2">
      <c r="A2984" t="s">
        <v>5159</v>
      </c>
      <c r="B2984" t="s">
        <v>5160</v>
      </c>
      <c r="C2984">
        <v>2016</v>
      </c>
      <c r="D2984">
        <v>1</v>
      </c>
      <c r="E2984" t="s">
        <v>55</v>
      </c>
      <c r="F2984" t="s">
        <v>128</v>
      </c>
      <c r="G2984" t="s">
        <v>63</v>
      </c>
      <c r="H2984">
        <v>1</v>
      </c>
      <c r="I2984">
        <v>5.6517960499999997</v>
      </c>
      <c r="J2984">
        <v>489</v>
      </c>
      <c r="K2984">
        <v>2.69</v>
      </c>
      <c r="M2984">
        <v>1.72</v>
      </c>
      <c r="O2984">
        <v>0.153</v>
      </c>
      <c r="Q2984">
        <v>1.28</v>
      </c>
      <c r="R2984">
        <v>1.44</v>
      </c>
    </row>
    <row r="2985" spans="1:19" x14ac:dyDescent="0.2">
      <c r="A2985" t="s">
        <v>5161</v>
      </c>
      <c r="B2985" t="s">
        <v>5162</v>
      </c>
      <c r="C2985">
        <v>2016</v>
      </c>
      <c r="D2985">
        <v>1</v>
      </c>
      <c r="E2985" t="s">
        <v>55</v>
      </c>
      <c r="F2985" t="s">
        <v>128</v>
      </c>
      <c r="G2985" t="s">
        <v>63</v>
      </c>
      <c r="H2985">
        <v>1</v>
      </c>
      <c r="I2985">
        <v>19.963713179999999</v>
      </c>
      <c r="J2985">
        <v>255</v>
      </c>
      <c r="K2985">
        <v>3.39</v>
      </c>
      <c r="M2985">
        <v>1.46</v>
      </c>
      <c r="O2985">
        <v>0.13</v>
      </c>
      <c r="Q2985">
        <v>0.9</v>
      </c>
      <c r="R2985">
        <v>0.83</v>
      </c>
    </row>
    <row r="2986" spans="1:19" x14ac:dyDescent="0.2">
      <c r="A2986" t="s">
        <v>5163</v>
      </c>
      <c r="B2986" t="s">
        <v>5164</v>
      </c>
      <c r="C2986">
        <v>2016</v>
      </c>
      <c r="D2986">
        <v>1</v>
      </c>
      <c r="E2986" t="s">
        <v>55</v>
      </c>
      <c r="F2986" t="s">
        <v>128</v>
      </c>
      <c r="G2986" t="s">
        <v>63</v>
      </c>
      <c r="H2986">
        <v>1</v>
      </c>
      <c r="I2986">
        <v>24.854624149999999</v>
      </c>
      <c r="J2986">
        <v>777</v>
      </c>
      <c r="K2986">
        <v>1.32</v>
      </c>
      <c r="M2986">
        <v>5.74</v>
      </c>
      <c r="O2986">
        <v>0.51200000000000001</v>
      </c>
      <c r="Q2986">
        <v>1.62</v>
      </c>
      <c r="R2986">
        <v>2.02</v>
      </c>
    </row>
    <row r="2987" spans="1:19" x14ac:dyDescent="0.2">
      <c r="A2987" t="s">
        <v>5165</v>
      </c>
      <c r="B2987" t="s">
        <v>5166</v>
      </c>
      <c r="C2987">
        <v>2016</v>
      </c>
      <c r="D2987">
        <v>1</v>
      </c>
      <c r="E2987" t="s">
        <v>55</v>
      </c>
      <c r="F2987" t="s">
        <v>128</v>
      </c>
      <c r="G2987" t="s">
        <v>63</v>
      </c>
      <c r="H2987">
        <v>1</v>
      </c>
      <c r="I2987">
        <v>60.928322710000003</v>
      </c>
      <c r="J2987">
        <v>284</v>
      </c>
      <c r="K2987">
        <v>6.31</v>
      </c>
      <c r="M2987">
        <v>2.67</v>
      </c>
      <c r="O2987">
        <v>0.23799999999999999</v>
      </c>
      <c r="Q2987">
        <v>0.95</v>
      </c>
      <c r="R2987">
        <v>0.98</v>
      </c>
    </row>
    <row r="2988" spans="1:19" x14ac:dyDescent="0.2">
      <c r="A2988" t="s">
        <v>5167</v>
      </c>
      <c r="B2988" t="s">
        <v>5168</v>
      </c>
      <c r="C2988">
        <v>2016</v>
      </c>
      <c r="D2988">
        <v>1</v>
      </c>
      <c r="E2988" t="s">
        <v>55</v>
      </c>
      <c r="F2988" t="s">
        <v>128</v>
      </c>
      <c r="G2988" t="s">
        <v>63</v>
      </c>
      <c r="H2988">
        <v>1</v>
      </c>
      <c r="I2988">
        <v>8.5120358800000009</v>
      </c>
      <c r="J2988">
        <v>324</v>
      </c>
      <c r="K2988">
        <v>1.35</v>
      </c>
      <c r="M2988">
        <v>2.11</v>
      </c>
      <c r="O2988">
        <v>0.188</v>
      </c>
      <c r="Q2988">
        <v>0.96</v>
      </c>
      <c r="R2988">
        <v>0.88</v>
      </c>
    </row>
    <row r="2989" spans="1:19" x14ac:dyDescent="0.2">
      <c r="A2989" t="s">
        <v>5169</v>
      </c>
      <c r="B2989" t="s">
        <v>5170</v>
      </c>
      <c r="C2989">
        <v>2016</v>
      </c>
      <c r="D2989">
        <v>1</v>
      </c>
      <c r="E2989" t="s">
        <v>55</v>
      </c>
      <c r="F2989" t="s">
        <v>128</v>
      </c>
      <c r="G2989" t="s">
        <v>63</v>
      </c>
      <c r="H2989">
        <v>1</v>
      </c>
      <c r="I2989">
        <v>24.307894600000001</v>
      </c>
      <c r="J2989">
        <v>234</v>
      </c>
      <c r="K2989">
        <v>1.91</v>
      </c>
      <c r="M2989">
        <v>2.1</v>
      </c>
      <c r="O2989">
        <v>0.187</v>
      </c>
      <c r="Q2989">
        <v>0.89</v>
      </c>
      <c r="R2989">
        <v>0.8</v>
      </c>
    </row>
    <row r="2990" spans="1:19" x14ac:dyDescent="0.2">
      <c r="A2990" t="s">
        <v>5171</v>
      </c>
      <c r="B2990" t="s">
        <v>5172</v>
      </c>
      <c r="C2990">
        <v>2012</v>
      </c>
      <c r="D2990">
        <v>1</v>
      </c>
      <c r="E2990" t="s">
        <v>55</v>
      </c>
      <c r="F2990" t="s">
        <v>128</v>
      </c>
      <c r="G2990" t="s">
        <v>63</v>
      </c>
      <c r="H2990">
        <v>3</v>
      </c>
      <c r="I2990">
        <v>7.8773565000000003</v>
      </c>
      <c r="J2990">
        <v>336</v>
      </c>
      <c r="L2990">
        <v>2765</v>
      </c>
      <c r="M2990">
        <v>2.1</v>
      </c>
      <c r="N2990">
        <v>8.6999999999999993</v>
      </c>
      <c r="O2990">
        <v>0.187</v>
      </c>
      <c r="R2990">
        <v>0.56000000000000005</v>
      </c>
    </row>
    <row r="2991" spans="1:19" x14ac:dyDescent="0.2">
      <c r="A2991" t="s">
        <v>5171</v>
      </c>
      <c r="B2991" t="s">
        <v>5173</v>
      </c>
      <c r="C2991">
        <v>2012</v>
      </c>
      <c r="D2991">
        <v>1</v>
      </c>
      <c r="E2991" t="s">
        <v>55</v>
      </c>
      <c r="F2991" t="s">
        <v>128</v>
      </c>
      <c r="G2991" t="s">
        <v>63</v>
      </c>
      <c r="H2991">
        <v>3</v>
      </c>
      <c r="I2991">
        <v>16.385002100000001</v>
      </c>
      <c r="J2991">
        <v>336</v>
      </c>
      <c r="L2991">
        <v>3308.41</v>
      </c>
      <c r="M2991">
        <v>1.84</v>
      </c>
      <c r="N2991">
        <v>10.41</v>
      </c>
      <c r="O2991">
        <v>0.16400000000000001</v>
      </c>
      <c r="R2991">
        <v>0.56000000000000005</v>
      </c>
    </row>
    <row r="2992" spans="1:19" x14ac:dyDescent="0.2">
      <c r="A2992" t="s">
        <v>5171</v>
      </c>
      <c r="B2992" t="s">
        <v>5174</v>
      </c>
      <c r="C2992">
        <v>2014</v>
      </c>
      <c r="D2992">
        <v>1</v>
      </c>
      <c r="E2992" t="s">
        <v>55</v>
      </c>
      <c r="F2992" t="s">
        <v>128</v>
      </c>
      <c r="G2992" t="s">
        <v>63</v>
      </c>
      <c r="H2992">
        <v>3</v>
      </c>
      <c r="I2992">
        <v>36.445171000000002</v>
      </c>
      <c r="J2992">
        <v>336</v>
      </c>
      <c r="M2992">
        <v>1.95</v>
      </c>
      <c r="O2992">
        <v>0.17399999999999999</v>
      </c>
      <c r="R2992">
        <v>0.56000000000000005</v>
      </c>
    </row>
    <row r="2993" spans="1:18" x14ac:dyDescent="0.2">
      <c r="A2993" t="s">
        <v>5175</v>
      </c>
      <c r="B2993" t="s">
        <v>5176</v>
      </c>
      <c r="C2993">
        <v>2016</v>
      </c>
      <c r="D2993">
        <v>1</v>
      </c>
      <c r="E2993" t="s">
        <v>55</v>
      </c>
      <c r="F2993" t="s">
        <v>128</v>
      </c>
      <c r="G2993" t="s">
        <v>63</v>
      </c>
      <c r="H2993">
        <v>2</v>
      </c>
      <c r="I2993">
        <v>19.67416124</v>
      </c>
      <c r="J2993">
        <v>492</v>
      </c>
      <c r="K2993">
        <v>2.04</v>
      </c>
      <c r="M2993">
        <v>1.66</v>
      </c>
      <c r="O2993">
        <v>0.14799999999999999</v>
      </c>
      <c r="Q2993">
        <v>1.1000000000000001</v>
      </c>
      <c r="R2993">
        <v>1.0900000000000001</v>
      </c>
    </row>
    <row r="2994" spans="1:18" x14ac:dyDescent="0.2">
      <c r="A2994" t="s">
        <v>5175</v>
      </c>
      <c r="B2994" t="s">
        <v>5177</v>
      </c>
      <c r="C2994">
        <v>2016</v>
      </c>
      <c r="D2994">
        <v>1</v>
      </c>
      <c r="E2994" t="s">
        <v>55</v>
      </c>
      <c r="F2994" t="s">
        <v>128</v>
      </c>
      <c r="G2994" t="s">
        <v>63</v>
      </c>
      <c r="H2994">
        <v>2</v>
      </c>
      <c r="I2994">
        <v>5.2110426099999998</v>
      </c>
      <c r="J2994">
        <v>492</v>
      </c>
      <c r="K2994">
        <v>2.04</v>
      </c>
      <c r="M2994">
        <v>1.07</v>
      </c>
      <c r="O2994">
        <v>9.5000000000000001E-2</v>
      </c>
      <c r="Q2994">
        <v>1.1000000000000001</v>
      </c>
      <c r="R2994">
        <v>1.0900000000000001</v>
      </c>
    </row>
    <row r="2995" spans="1:18" x14ac:dyDescent="0.2">
      <c r="A2995" t="s">
        <v>5178</v>
      </c>
      <c r="B2995" t="s">
        <v>5179</v>
      </c>
      <c r="C2995">
        <v>2016</v>
      </c>
      <c r="D2995">
        <v>1</v>
      </c>
      <c r="E2995" t="s">
        <v>55</v>
      </c>
      <c r="F2995" t="s">
        <v>128</v>
      </c>
      <c r="G2995" t="s">
        <v>63</v>
      </c>
      <c r="H2995">
        <v>1</v>
      </c>
      <c r="I2995">
        <v>22.20813214</v>
      </c>
      <c r="J2995">
        <v>737</v>
      </c>
      <c r="K2995">
        <v>1.78</v>
      </c>
      <c r="M2995">
        <v>3.18</v>
      </c>
      <c r="O2995">
        <v>0.28399999999999997</v>
      </c>
      <c r="Q2995">
        <v>1.34</v>
      </c>
      <c r="R2995">
        <v>1.46</v>
      </c>
    </row>
    <row r="2996" spans="1:18" x14ac:dyDescent="0.2">
      <c r="A2996" t="s">
        <v>5180</v>
      </c>
      <c r="B2996" t="s">
        <v>5181</v>
      </c>
      <c r="C2996">
        <v>2016</v>
      </c>
      <c r="D2996">
        <v>1</v>
      </c>
      <c r="E2996" t="s">
        <v>55</v>
      </c>
      <c r="F2996" t="s">
        <v>128</v>
      </c>
      <c r="G2996" t="s">
        <v>63</v>
      </c>
      <c r="H2996">
        <v>1</v>
      </c>
      <c r="I2996">
        <v>38.584228490000001</v>
      </c>
      <c r="J2996">
        <v>749</v>
      </c>
      <c r="K2996">
        <v>1.7</v>
      </c>
      <c r="M2996">
        <v>6.91</v>
      </c>
      <c r="O2996">
        <v>0.61599999999999999</v>
      </c>
      <c r="Q2996">
        <v>1.54</v>
      </c>
      <c r="R2996">
        <v>1.98</v>
      </c>
    </row>
    <row r="2997" spans="1:18" x14ac:dyDescent="0.2">
      <c r="A2997" t="s">
        <v>5182</v>
      </c>
      <c r="B2997" t="s">
        <v>5183</v>
      </c>
      <c r="C2997">
        <v>2016</v>
      </c>
      <c r="D2997">
        <v>1</v>
      </c>
      <c r="E2997" t="s">
        <v>55</v>
      </c>
      <c r="F2997" t="s">
        <v>128</v>
      </c>
      <c r="G2997" t="s">
        <v>63</v>
      </c>
      <c r="H2997">
        <v>1</v>
      </c>
      <c r="I2997">
        <v>5.8359831099999999</v>
      </c>
      <c r="J2997">
        <v>270</v>
      </c>
      <c r="K2997">
        <v>2.4500000000000002</v>
      </c>
      <c r="M2997">
        <v>1.96</v>
      </c>
      <c r="O2997">
        <v>0.17499999999999999</v>
      </c>
      <c r="Q2997">
        <v>0.93</v>
      </c>
      <c r="R2997">
        <v>0.86</v>
      </c>
    </row>
    <row r="2998" spans="1:18" x14ac:dyDescent="0.2">
      <c r="A2998" t="s">
        <v>5184</v>
      </c>
      <c r="B2998" t="s">
        <v>5185</v>
      </c>
      <c r="C2998">
        <v>2016</v>
      </c>
      <c r="D2998">
        <v>1</v>
      </c>
      <c r="E2998" t="s">
        <v>55</v>
      </c>
      <c r="F2998" t="s">
        <v>128</v>
      </c>
      <c r="G2998" t="s">
        <v>63</v>
      </c>
      <c r="H2998">
        <v>2</v>
      </c>
      <c r="I2998">
        <v>7.9741980699999999</v>
      </c>
      <c r="J2998">
        <v>730</v>
      </c>
      <c r="K2998">
        <v>3.02</v>
      </c>
      <c r="M2998">
        <v>1.91</v>
      </c>
      <c r="O2998">
        <v>0.17</v>
      </c>
      <c r="Q2998">
        <v>1.0900000000000001</v>
      </c>
      <c r="R2998">
        <v>1.1000000000000001</v>
      </c>
    </row>
    <row r="2999" spans="1:18" x14ac:dyDescent="0.2">
      <c r="A2999" t="s">
        <v>5184</v>
      </c>
      <c r="B2999" t="s">
        <v>5186</v>
      </c>
      <c r="C2999">
        <v>2016</v>
      </c>
      <c r="D2999">
        <v>1</v>
      </c>
      <c r="E2999" t="s">
        <v>55</v>
      </c>
      <c r="F2999" t="s">
        <v>128</v>
      </c>
      <c r="G2999" t="s">
        <v>63</v>
      </c>
      <c r="H2999">
        <v>2</v>
      </c>
      <c r="I2999">
        <v>1.88897906</v>
      </c>
      <c r="J2999">
        <v>730</v>
      </c>
      <c r="K2999">
        <v>3.02</v>
      </c>
      <c r="M2999">
        <v>0.96</v>
      </c>
      <c r="O2999">
        <v>8.5999999999999993E-2</v>
      </c>
      <c r="Q2999">
        <v>1.0900000000000001</v>
      </c>
      <c r="R2999">
        <v>1.1000000000000001</v>
      </c>
    </row>
    <row r="3000" spans="1:18" x14ac:dyDescent="0.2">
      <c r="A3000" t="s">
        <v>5187</v>
      </c>
      <c r="B3000" t="s">
        <v>5188</v>
      </c>
      <c r="C3000">
        <v>2016</v>
      </c>
      <c r="D3000">
        <v>1</v>
      </c>
      <c r="E3000" t="s">
        <v>55</v>
      </c>
      <c r="F3000" t="s">
        <v>128</v>
      </c>
      <c r="G3000" t="s">
        <v>63</v>
      </c>
      <c r="H3000">
        <v>1</v>
      </c>
      <c r="I3000">
        <v>18.684049330000001</v>
      </c>
      <c r="J3000">
        <v>566</v>
      </c>
      <c r="K3000">
        <v>10.47</v>
      </c>
      <c r="M3000">
        <v>2.63</v>
      </c>
      <c r="O3000">
        <v>0.23499999999999999</v>
      </c>
      <c r="Q3000">
        <v>0.95</v>
      </c>
      <c r="R3000">
        <v>1.1499999999999999</v>
      </c>
    </row>
    <row r="3001" spans="1:18" x14ac:dyDescent="0.2">
      <c r="A3001" t="s">
        <v>5189</v>
      </c>
      <c r="B3001" t="s">
        <v>5190</v>
      </c>
      <c r="C3001">
        <v>2016</v>
      </c>
      <c r="D3001">
        <v>1</v>
      </c>
      <c r="E3001" t="s">
        <v>55</v>
      </c>
      <c r="F3001" t="s">
        <v>128</v>
      </c>
      <c r="G3001" t="s">
        <v>63</v>
      </c>
      <c r="H3001">
        <v>1</v>
      </c>
      <c r="I3001">
        <v>5.4584983200000003</v>
      </c>
      <c r="J3001">
        <v>504</v>
      </c>
      <c r="K3001">
        <v>2.14</v>
      </c>
      <c r="M3001">
        <v>1.99</v>
      </c>
      <c r="O3001">
        <v>0.17799999999999999</v>
      </c>
      <c r="Q3001">
        <v>1.1499999999999999</v>
      </c>
      <c r="R3001">
        <v>1.1399999999999999</v>
      </c>
    </row>
    <row r="3002" spans="1:18" x14ac:dyDescent="0.2">
      <c r="A3002" t="s">
        <v>5191</v>
      </c>
      <c r="B3002" t="s">
        <v>5192</v>
      </c>
      <c r="C3002">
        <v>2016</v>
      </c>
      <c r="D3002">
        <v>1</v>
      </c>
      <c r="E3002" t="s">
        <v>55</v>
      </c>
      <c r="F3002" t="s">
        <v>128</v>
      </c>
      <c r="G3002" t="s">
        <v>63</v>
      </c>
      <c r="H3002">
        <v>1</v>
      </c>
      <c r="I3002">
        <v>13.285356330000001</v>
      </c>
      <c r="J3002">
        <v>901</v>
      </c>
      <c r="K3002">
        <v>2.4</v>
      </c>
      <c r="M3002">
        <v>2.84</v>
      </c>
      <c r="O3002">
        <v>0.253</v>
      </c>
      <c r="Q3002">
        <v>1.28</v>
      </c>
      <c r="R3002">
        <v>1.45</v>
      </c>
    </row>
    <row r="3003" spans="1:18" x14ac:dyDescent="0.2">
      <c r="A3003" t="s">
        <v>5193</v>
      </c>
      <c r="B3003" t="s">
        <v>5194</v>
      </c>
      <c r="C3003">
        <v>2016</v>
      </c>
      <c r="D3003">
        <v>1</v>
      </c>
      <c r="E3003" t="s">
        <v>55</v>
      </c>
      <c r="F3003" t="s">
        <v>128</v>
      </c>
      <c r="G3003" t="s">
        <v>63</v>
      </c>
      <c r="H3003">
        <v>1</v>
      </c>
      <c r="I3003">
        <v>19.782974150000001</v>
      </c>
      <c r="J3003">
        <v>711</v>
      </c>
      <c r="K3003">
        <v>5.5</v>
      </c>
      <c r="M3003">
        <v>2.08</v>
      </c>
      <c r="O3003">
        <v>0.186</v>
      </c>
      <c r="Q3003">
        <v>1.01</v>
      </c>
      <c r="R3003">
        <v>1.06</v>
      </c>
    </row>
    <row r="3004" spans="1:18" x14ac:dyDescent="0.2">
      <c r="A3004" t="s">
        <v>5195</v>
      </c>
      <c r="B3004" t="s">
        <v>5196</v>
      </c>
      <c r="C3004">
        <v>2016</v>
      </c>
      <c r="D3004">
        <v>1</v>
      </c>
      <c r="E3004" t="s">
        <v>55</v>
      </c>
      <c r="F3004" t="s">
        <v>128</v>
      </c>
      <c r="G3004" t="s">
        <v>63</v>
      </c>
      <c r="H3004">
        <v>2</v>
      </c>
      <c r="I3004">
        <v>1.9803576599999999</v>
      </c>
      <c r="J3004">
        <v>787</v>
      </c>
      <c r="K3004">
        <v>3.98</v>
      </c>
      <c r="M3004">
        <v>1.86</v>
      </c>
      <c r="O3004">
        <v>0.16600000000000001</v>
      </c>
      <c r="Q3004">
        <v>1.07</v>
      </c>
      <c r="R3004">
        <v>1.1399999999999999</v>
      </c>
    </row>
    <row r="3005" spans="1:18" x14ac:dyDescent="0.2">
      <c r="A3005" t="s">
        <v>5195</v>
      </c>
      <c r="B3005" t="s">
        <v>5197</v>
      </c>
      <c r="C3005">
        <v>2016</v>
      </c>
      <c r="D3005">
        <v>1</v>
      </c>
      <c r="E3005" t="s">
        <v>55</v>
      </c>
      <c r="F3005" t="s">
        <v>128</v>
      </c>
      <c r="G3005" t="s">
        <v>63</v>
      </c>
      <c r="H3005">
        <v>2</v>
      </c>
      <c r="I3005">
        <v>12.834502199999999</v>
      </c>
      <c r="J3005">
        <v>787</v>
      </c>
      <c r="K3005">
        <v>3.98</v>
      </c>
      <c r="M3005">
        <v>2</v>
      </c>
      <c r="O3005">
        <v>0.17799999999999999</v>
      </c>
      <c r="Q3005">
        <v>1.07</v>
      </c>
      <c r="R3005">
        <v>1.1399999999999999</v>
      </c>
    </row>
    <row r="3006" spans="1:18" x14ac:dyDescent="0.2">
      <c r="A3006" t="s">
        <v>5198</v>
      </c>
      <c r="B3006" t="s">
        <v>5199</v>
      </c>
      <c r="C3006">
        <v>2012</v>
      </c>
      <c r="D3006">
        <v>1</v>
      </c>
      <c r="E3006" t="s">
        <v>55</v>
      </c>
      <c r="F3006" t="s">
        <v>128</v>
      </c>
      <c r="G3006" t="s">
        <v>63</v>
      </c>
      <c r="H3006">
        <v>3</v>
      </c>
      <c r="I3006">
        <v>18.6489525</v>
      </c>
      <c r="J3006">
        <v>1235</v>
      </c>
      <c r="L3006">
        <v>5851</v>
      </c>
      <c r="M3006">
        <v>2.89</v>
      </c>
      <c r="N3006">
        <v>18.41</v>
      </c>
      <c r="O3006">
        <v>0.25800000000000001</v>
      </c>
      <c r="Q3006">
        <v>0.98</v>
      </c>
      <c r="R3006">
        <v>0.89</v>
      </c>
    </row>
    <row r="3007" spans="1:18" x14ac:dyDescent="0.2">
      <c r="A3007" t="s">
        <v>5198</v>
      </c>
      <c r="B3007" t="s">
        <v>5200</v>
      </c>
      <c r="C3007">
        <v>2012</v>
      </c>
      <c r="D3007">
        <v>1</v>
      </c>
      <c r="E3007" t="s">
        <v>55</v>
      </c>
      <c r="F3007" t="s">
        <v>128</v>
      </c>
      <c r="G3007" t="s">
        <v>63</v>
      </c>
      <c r="H3007">
        <v>3</v>
      </c>
      <c r="I3007">
        <v>38.558303799999997</v>
      </c>
      <c r="J3007">
        <v>1235</v>
      </c>
      <c r="L3007">
        <v>5002.43</v>
      </c>
      <c r="M3007">
        <v>3.17</v>
      </c>
      <c r="N3007">
        <v>15.74</v>
      </c>
      <c r="O3007">
        <v>0.28299999999999997</v>
      </c>
      <c r="Q3007">
        <v>0.98</v>
      </c>
      <c r="R3007">
        <v>0.89</v>
      </c>
    </row>
    <row r="3008" spans="1:18" x14ac:dyDescent="0.2">
      <c r="A3008" t="s">
        <v>5198</v>
      </c>
      <c r="B3008" t="s">
        <v>5201</v>
      </c>
      <c r="C3008">
        <v>2014</v>
      </c>
      <c r="D3008">
        <v>1</v>
      </c>
      <c r="E3008" t="s">
        <v>55</v>
      </c>
      <c r="F3008" t="s">
        <v>128</v>
      </c>
      <c r="G3008" t="s">
        <v>63</v>
      </c>
      <c r="H3008">
        <v>3</v>
      </c>
      <c r="I3008">
        <v>9.7519620000000007</v>
      </c>
      <c r="J3008">
        <v>1235</v>
      </c>
      <c r="M3008">
        <v>2.12</v>
      </c>
      <c r="O3008">
        <v>0.189</v>
      </c>
      <c r="Q3008">
        <v>0.98</v>
      </c>
      <c r="R3008">
        <v>0.89</v>
      </c>
    </row>
    <row r="3009" spans="1:19" x14ac:dyDescent="0.2">
      <c r="A3009" t="s">
        <v>5202</v>
      </c>
      <c r="B3009" t="s">
        <v>5203</v>
      </c>
      <c r="C3009">
        <v>2016</v>
      </c>
      <c r="D3009">
        <v>1</v>
      </c>
      <c r="E3009" t="s">
        <v>55</v>
      </c>
      <c r="F3009" t="s">
        <v>128</v>
      </c>
      <c r="G3009" t="s">
        <v>63</v>
      </c>
      <c r="H3009">
        <v>1</v>
      </c>
      <c r="I3009">
        <v>39.309419040000002</v>
      </c>
      <c r="J3009">
        <v>464</v>
      </c>
      <c r="K3009">
        <v>1.78</v>
      </c>
      <c r="M3009">
        <v>3.01</v>
      </c>
      <c r="O3009">
        <v>0.26900000000000002</v>
      </c>
      <c r="Q3009">
        <v>0.97</v>
      </c>
      <c r="R3009">
        <v>0.89</v>
      </c>
    </row>
    <row r="3010" spans="1:19" x14ac:dyDescent="0.2">
      <c r="A3010" t="s">
        <v>5204</v>
      </c>
      <c r="B3010" t="s">
        <v>5205</v>
      </c>
      <c r="C3010">
        <v>2016</v>
      </c>
      <c r="D3010">
        <v>1</v>
      </c>
      <c r="E3010" t="s">
        <v>55</v>
      </c>
      <c r="F3010" t="s">
        <v>128</v>
      </c>
      <c r="G3010" t="s">
        <v>63</v>
      </c>
      <c r="H3010">
        <v>1</v>
      </c>
      <c r="I3010">
        <v>29.884857409999999</v>
      </c>
      <c r="J3010">
        <v>254</v>
      </c>
      <c r="K3010">
        <v>7.76</v>
      </c>
      <c r="M3010">
        <v>2.78</v>
      </c>
      <c r="O3010">
        <v>0.248</v>
      </c>
      <c r="Q3010">
        <v>0.78</v>
      </c>
      <c r="R3010">
        <v>0.75</v>
      </c>
    </row>
    <row r="3011" spans="1:19" x14ac:dyDescent="0.2">
      <c r="A3011" t="s">
        <v>5206</v>
      </c>
      <c r="B3011" t="s">
        <v>5207</v>
      </c>
      <c r="C3011">
        <v>2016</v>
      </c>
      <c r="D3011">
        <v>1</v>
      </c>
      <c r="E3011" t="s">
        <v>55</v>
      </c>
      <c r="F3011" t="s">
        <v>128</v>
      </c>
      <c r="G3011" t="s">
        <v>63</v>
      </c>
      <c r="H3011">
        <v>1</v>
      </c>
      <c r="I3011">
        <v>12.924916229999999</v>
      </c>
      <c r="J3011">
        <v>325</v>
      </c>
      <c r="K3011">
        <v>2</v>
      </c>
      <c r="M3011">
        <v>2.57</v>
      </c>
      <c r="O3011">
        <v>0.22900000000000001</v>
      </c>
      <c r="Q3011">
        <v>0.87</v>
      </c>
      <c r="R3011">
        <v>0.79</v>
      </c>
    </row>
    <row r="3012" spans="1:19" x14ac:dyDescent="0.2">
      <c r="A3012" t="s">
        <v>5208</v>
      </c>
      <c r="B3012" t="s">
        <v>5209</v>
      </c>
      <c r="C3012">
        <v>2016</v>
      </c>
      <c r="D3012">
        <v>1</v>
      </c>
      <c r="E3012" t="s">
        <v>55</v>
      </c>
      <c r="F3012" t="s">
        <v>128</v>
      </c>
      <c r="G3012" t="s">
        <v>63</v>
      </c>
      <c r="H3012">
        <v>1</v>
      </c>
      <c r="I3012">
        <v>28.51120525</v>
      </c>
      <c r="J3012">
        <v>305</v>
      </c>
      <c r="K3012">
        <v>3.24</v>
      </c>
      <c r="M3012">
        <v>3.38</v>
      </c>
      <c r="O3012">
        <v>0.30199999999999999</v>
      </c>
      <c r="Q3012">
        <v>0.78</v>
      </c>
      <c r="R3012">
        <v>0.72</v>
      </c>
    </row>
    <row r="3013" spans="1:19" x14ac:dyDescent="0.2">
      <c r="A3013" t="s">
        <v>5210</v>
      </c>
      <c r="B3013" t="s">
        <v>5211</v>
      </c>
      <c r="C3013">
        <v>2016</v>
      </c>
      <c r="D3013">
        <v>1</v>
      </c>
      <c r="E3013" t="s">
        <v>55</v>
      </c>
      <c r="F3013" t="s">
        <v>128</v>
      </c>
      <c r="G3013" t="s">
        <v>63</v>
      </c>
      <c r="H3013">
        <v>1</v>
      </c>
      <c r="I3013">
        <v>15.959945129999999</v>
      </c>
      <c r="J3013">
        <v>473</v>
      </c>
      <c r="K3013">
        <v>1.58</v>
      </c>
      <c r="M3013">
        <v>2.2400000000000002</v>
      </c>
      <c r="O3013">
        <v>0.2</v>
      </c>
      <c r="Q3013">
        <v>1.05</v>
      </c>
      <c r="R3013">
        <v>0.98</v>
      </c>
    </row>
    <row r="3014" spans="1:19" x14ac:dyDescent="0.2">
      <c r="A3014" t="s">
        <v>5212</v>
      </c>
      <c r="B3014" t="s">
        <v>5213</v>
      </c>
      <c r="C3014">
        <v>2016</v>
      </c>
      <c r="D3014">
        <v>1</v>
      </c>
      <c r="E3014" t="s">
        <v>55</v>
      </c>
      <c r="F3014" t="s">
        <v>128</v>
      </c>
      <c r="G3014" t="s">
        <v>63</v>
      </c>
      <c r="H3014">
        <v>1</v>
      </c>
      <c r="I3014">
        <v>4.9033215500000003</v>
      </c>
      <c r="J3014">
        <v>678</v>
      </c>
      <c r="K3014">
        <v>3.24</v>
      </c>
      <c r="M3014">
        <v>2.36</v>
      </c>
      <c r="O3014">
        <v>0.21099999999999999</v>
      </c>
      <c r="Q3014">
        <v>1.18</v>
      </c>
      <c r="R3014">
        <v>1.27</v>
      </c>
    </row>
    <row r="3015" spans="1:19" x14ac:dyDescent="0.2">
      <c r="A3015" t="s">
        <v>5214</v>
      </c>
      <c r="B3015" t="s">
        <v>5215</v>
      </c>
      <c r="C3015">
        <v>2016</v>
      </c>
      <c r="D3015">
        <v>1</v>
      </c>
      <c r="E3015" t="s">
        <v>55</v>
      </c>
      <c r="F3015" t="s">
        <v>128</v>
      </c>
      <c r="G3015" t="s">
        <v>63</v>
      </c>
      <c r="H3015">
        <v>1</v>
      </c>
      <c r="I3015">
        <v>1.8270823</v>
      </c>
      <c r="J3015">
        <v>446</v>
      </c>
      <c r="K3015">
        <v>4.79</v>
      </c>
      <c r="M3015">
        <v>3.1</v>
      </c>
      <c r="O3015">
        <v>0.27700000000000002</v>
      </c>
      <c r="Q3015">
        <v>0.92</v>
      </c>
      <c r="R3015">
        <v>0.89</v>
      </c>
    </row>
    <row r="3016" spans="1:19" x14ac:dyDescent="0.2">
      <c r="A3016" t="s">
        <v>5216</v>
      </c>
      <c r="B3016" t="s">
        <v>5217</v>
      </c>
      <c r="C3016">
        <v>2016</v>
      </c>
      <c r="D3016">
        <v>1</v>
      </c>
      <c r="E3016" t="s">
        <v>55</v>
      </c>
      <c r="F3016" t="s">
        <v>128</v>
      </c>
      <c r="G3016" t="s">
        <v>63</v>
      </c>
      <c r="H3016">
        <v>1</v>
      </c>
      <c r="I3016">
        <v>3.2475552200000002</v>
      </c>
      <c r="J3016">
        <v>465</v>
      </c>
      <c r="K3016">
        <v>1.45</v>
      </c>
      <c r="M3016">
        <v>1.41</v>
      </c>
      <c r="O3016">
        <v>0.126</v>
      </c>
      <c r="Q3016">
        <v>1.07</v>
      </c>
      <c r="R3016">
        <v>0.99</v>
      </c>
    </row>
    <row r="3017" spans="1:19" x14ac:dyDescent="0.2">
      <c r="A3017" t="s">
        <v>5218</v>
      </c>
      <c r="B3017" t="s">
        <v>5219</v>
      </c>
      <c r="C3017">
        <v>2016</v>
      </c>
      <c r="D3017">
        <v>1</v>
      </c>
      <c r="E3017" t="s">
        <v>55</v>
      </c>
      <c r="F3017" t="s">
        <v>128</v>
      </c>
      <c r="G3017" t="s">
        <v>63</v>
      </c>
      <c r="H3017">
        <v>1</v>
      </c>
      <c r="I3017">
        <v>81.737806989999996</v>
      </c>
      <c r="J3017">
        <v>165</v>
      </c>
      <c r="K3017">
        <v>2.95</v>
      </c>
      <c r="M3017">
        <v>2.2599999999999998</v>
      </c>
      <c r="O3017">
        <v>0.20200000000000001</v>
      </c>
      <c r="Q3017">
        <v>0.96</v>
      </c>
      <c r="R3017">
        <v>0.9</v>
      </c>
    </row>
    <row r="3018" spans="1:19" x14ac:dyDescent="0.2">
      <c r="A3018" t="s">
        <v>5220</v>
      </c>
      <c r="B3018" t="s">
        <v>5221</v>
      </c>
      <c r="C3018">
        <v>2016</v>
      </c>
      <c r="D3018">
        <v>1</v>
      </c>
      <c r="E3018" t="s">
        <v>55</v>
      </c>
      <c r="F3018" t="s">
        <v>128</v>
      </c>
      <c r="G3018" t="s">
        <v>63</v>
      </c>
      <c r="H3018">
        <v>2</v>
      </c>
      <c r="I3018">
        <v>125.63243</v>
      </c>
      <c r="J3018">
        <v>313</v>
      </c>
      <c r="L3018">
        <v>308.29509999999999</v>
      </c>
      <c r="M3018">
        <v>8.3729999999999993</v>
      </c>
      <c r="N3018">
        <v>0.97</v>
      </c>
      <c r="O3018">
        <v>0.747</v>
      </c>
      <c r="P3018">
        <v>2.9</v>
      </c>
      <c r="Q3018">
        <v>1.05</v>
      </c>
      <c r="R3018">
        <v>0.95</v>
      </c>
      <c r="S3018">
        <v>1.7130000000000001</v>
      </c>
    </row>
    <row r="3019" spans="1:19" x14ac:dyDescent="0.2">
      <c r="A3019" t="s">
        <v>5220</v>
      </c>
      <c r="B3019" t="s">
        <v>5222</v>
      </c>
      <c r="C3019">
        <v>2016</v>
      </c>
      <c r="D3019">
        <v>1</v>
      </c>
      <c r="E3019" t="s">
        <v>55</v>
      </c>
      <c r="F3019" t="s">
        <v>2343</v>
      </c>
      <c r="G3019" t="s">
        <v>63</v>
      </c>
      <c r="H3019">
        <v>2</v>
      </c>
      <c r="I3019">
        <v>1000</v>
      </c>
      <c r="J3019">
        <v>313</v>
      </c>
      <c r="L3019">
        <v>762.79200000000003</v>
      </c>
      <c r="N3019">
        <v>2.4</v>
      </c>
      <c r="Q3019">
        <v>1.05</v>
      </c>
      <c r="R3019">
        <v>0.95</v>
      </c>
      <c r="S3019">
        <v>1.7130000000000001</v>
      </c>
    </row>
    <row r="3020" spans="1:19" x14ac:dyDescent="0.2">
      <c r="A3020" t="s">
        <v>5223</v>
      </c>
      <c r="B3020" t="s">
        <v>5224</v>
      </c>
      <c r="C3020">
        <v>2012</v>
      </c>
      <c r="D3020">
        <v>1</v>
      </c>
      <c r="E3020" t="s">
        <v>55</v>
      </c>
      <c r="F3020" t="s">
        <v>128</v>
      </c>
      <c r="G3020" t="s">
        <v>63</v>
      </c>
      <c r="H3020">
        <v>3</v>
      </c>
      <c r="I3020">
        <v>8.0109434000000004</v>
      </c>
      <c r="J3020">
        <v>234</v>
      </c>
      <c r="L3020">
        <v>292.39</v>
      </c>
      <c r="M3020">
        <v>2.1</v>
      </c>
      <c r="N3020">
        <v>0.92</v>
      </c>
      <c r="O3020">
        <v>0.187</v>
      </c>
      <c r="R3020">
        <v>0.55000000000000004</v>
      </c>
    </row>
    <row r="3021" spans="1:19" x14ac:dyDescent="0.2">
      <c r="A3021" t="s">
        <v>5223</v>
      </c>
      <c r="B3021" t="s">
        <v>5225</v>
      </c>
      <c r="C3021">
        <v>2012</v>
      </c>
      <c r="D3021">
        <v>1</v>
      </c>
      <c r="E3021" t="s">
        <v>55</v>
      </c>
      <c r="F3021" t="s">
        <v>128</v>
      </c>
      <c r="G3021" t="s">
        <v>63</v>
      </c>
      <c r="H3021">
        <v>3</v>
      </c>
      <c r="I3021">
        <v>12.0717249</v>
      </c>
      <c r="J3021">
        <v>234</v>
      </c>
      <c r="L3021">
        <v>117.59</v>
      </c>
      <c r="M3021">
        <v>1.23</v>
      </c>
      <c r="N3021">
        <v>0.37</v>
      </c>
      <c r="O3021">
        <v>0.11</v>
      </c>
      <c r="R3021">
        <v>0.55000000000000004</v>
      </c>
    </row>
    <row r="3022" spans="1:19" x14ac:dyDescent="0.2">
      <c r="A3022" t="s">
        <v>5223</v>
      </c>
      <c r="B3022" t="s">
        <v>5226</v>
      </c>
      <c r="C3022">
        <v>2014</v>
      </c>
      <c r="D3022">
        <v>1</v>
      </c>
      <c r="E3022" t="s">
        <v>55</v>
      </c>
      <c r="F3022" t="s">
        <v>128</v>
      </c>
      <c r="G3022" t="s">
        <v>63</v>
      </c>
      <c r="H3022">
        <v>3</v>
      </c>
      <c r="I3022">
        <v>20.995694</v>
      </c>
      <c r="J3022">
        <v>234</v>
      </c>
      <c r="M3022">
        <v>1.53</v>
      </c>
      <c r="O3022">
        <v>0.13600000000000001</v>
      </c>
      <c r="R3022">
        <v>0.55000000000000004</v>
      </c>
    </row>
    <row r="3023" spans="1:19" x14ac:dyDescent="0.2">
      <c r="A3023" t="s">
        <v>5227</v>
      </c>
      <c r="B3023" t="s">
        <v>5228</v>
      </c>
      <c r="C3023">
        <v>2016</v>
      </c>
      <c r="D3023">
        <v>1</v>
      </c>
      <c r="E3023" t="s">
        <v>55</v>
      </c>
      <c r="F3023" t="s">
        <v>128</v>
      </c>
      <c r="G3023" t="s">
        <v>63</v>
      </c>
      <c r="H3023">
        <v>1</v>
      </c>
      <c r="I3023">
        <v>172.70497839999999</v>
      </c>
      <c r="J3023">
        <v>350</v>
      </c>
      <c r="K3023">
        <v>4.9000000000000004</v>
      </c>
      <c r="M3023">
        <v>2.71</v>
      </c>
      <c r="O3023">
        <v>0.24199999999999999</v>
      </c>
      <c r="Q3023">
        <v>1.02</v>
      </c>
      <c r="R3023">
        <v>1.08</v>
      </c>
    </row>
    <row r="3024" spans="1:19" x14ac:dyDescent="0.2">
      <c r="A3024" t="s">
        <v>5229</v>
      </c>
      <c r="B3024" t="s">
        <v>5230</v>
      </c>
      <c r="C3024">
        <v>2016</v>
      </c>
      <c r="D3024">
        <v>1</v>
      </c>
      <c r="E3024" t="s">
        <v>55</v>
      </c>
      <c r="F3024" t="s">
        <v>128</v>
      </c>
      <c r="G3024" t="s">
        <v>63</v>
      </c>
      <c r="H3024">
        <v>1</v>
      </c>
      <c r="I3024">
        <v>5.0800584799999999</v>
      </c>
      <c r="J3024">
        <v>1020</v>
      </c>
      <c r="K3024">
        <v>3.09</v>
      </c>
      <c r="M3024">
        <v>3.36</v>
      </c>
      <c r="O3024">
        <v>0.3</v>
      </c>
      <c r="Q3024">
        <v>1.41</v>
      </c>
      <c r="R3024">
        <v>2.06</v>
      </c>
    </row>
    <row r="3025" spans="1:18" x14ac:dyDescent="0.2">
      <c r="A3025" t="s">
        <v>5231</v>
      </c>
      <c r="B3025" t="s">
        <v>5232</v>
      </c>
      <c r="C3025">
        <v>2016</v>
      </c>
      <c r="D3025">
        <v>1</v>
      </c>
      <c r="E3025" t="s">
        <v>55</v>
      </c>
      <c r="F3025" t="s">
        <v>128</v>
      </c>
      <c r="G3025" t="s">
        <v>63</v>
      </c>
      <c r="H3025">
        <v>1</v>
      </c>
      <c r="I3025">
        <v>13.14497566</v>
      </c>
      <c r="J3025">
        <v>439</v>
      </c>
      <c r="K3025">
        <v>4.57</v>
      </c>
      <c r="M3025">
        <v>1.57</v>
      </c>
      <c r="O3025">
        <v>0.14000000000000001</v>
      </c>
      <c r="Q3025">
        <v>0.93</v>
      </c>
      <c r="R3025">
        <v>0.9</v>
      </c>
    </row>
    <row r="3026" spans="1:18" x14ac:dyDescent="0.2">
      <c r="A3026" t="s">
        <v>5233</v>
      </c>
      <c r="B3026" t="s">
        <v>5234</v>
      </c>
      <c r="C3026">
        <v>2016</v>
      </c>
      <c r="D3026">
        <v>1</v>
      </c>
      <c r="E3026" t="s">
        <v>55</v>
      </c>
      <c r="F3026" t="s">
        <v>128</v>
      </c>
      <c r="G3026" t="s">
        <v>63</v>
      </c>
      <c r="H3026">
        <v>1</v>
      </c>
      <c r="I3026">
        <v>13.899619660000001</v>
      </c>
      <c r="J3026">
        <v>212</v>
      </c>
      <c r="K3026">
        <v>5.75</v>
      </c>
      <c r="M3026">
        <v>2.5</v>
      </c>
      <c r="O3026">
        <v>0.223</v>
      </c>
      <c r="Q3026">
        <v>0.7</v>
      </c>
      <c r="R3026">
        <v>0.67</v>
      </c>
    </row>
    <row r="3027" spans="1:18" x14ac:dyDescent="0.2">
      <c r="A3027" t="s">
        <v>5235</v>
      </c>
      <c r="B3027" t="s">
        <v>5236</v>
      </c>
      <c r="C3027">
        <v>2016</v>
      </c>
      <c r="D3027">
        <v>1</v>
      </c>
      <c r="E3027" t="s">
        <v>55</v>
      </c>
      <c r="F3027" t="s">
        <v>128</v>
      </c>
      <c r="G3027" t="s">
        <v>63</v>
      </c>
      <c r="H3027">
        <v>1</v>
      </c>
      <c r="I3027">
        <v>21.41616926</v>
      </c>
      <c r="J3027">
        <v>797</v>
      </c>
      <c r="K3027">
        <v>2.63</v>
      </c>
      <c r="M3027">
        <v>2.12</v>
      </c>
      <c r="O3027">
        <v>0.189</v>
      </c>
      <c r="Q3027">
        <v>1.1599999999999999</v>
      </c>
      <c r="R3027">
        <v>1.22</v>
      </c>
    </row>
    <row r="3028" spans="1:18" x14ac:dyDescent="0.2">
      <c r="A3028" t="s">
        <v>5237</v>
      </c>
      <c r="B3028" t="s">
        <v>5238</v>
      </c>
      <c r="C3028">
        <v>2016</v>
      </c>
      <c r="D3028">
        <v>1</v>
      </c>
      <c r="E3028" t="s">
        <v>55</v>
      </c>
      <c r="F3028" t="s">
        <v>128</v>
      </c>
      <c r="G3028" t="s">
        <v>63</v>
      </c>
      <c r="H3028">
        <v>1</v>
      </c>
      <c r="I3028">
        <v>13.249340589999999</v>
      </c>
      <c r="J3028">
        <v>831</v>
      </c>
      <c r="K3028">
        <v>4.47</v>
      </c>
      <c r="M3028">
        <v>2.69</v>
      </c>
      <c r="O3028">
        <v>0.24</v>
      </c>
      <c r="Q3028">
        <v>1.04</v>
      </c>
      <c r="R3028">
        <v>1.07</v>
      </c>
    </row>
    <row r="3029" spans="1:18" x14ac:dyDescent="0.2">
      <c r="A3029" t="s">
        <v>5239</v>
      </c>
      <c r="B3029" t="s">
        <v>5240</v>
      </c>
      <c r="C3029">
        <v>2016</v>
      </c>
      <c r="D3029">
        <v>1</v>
      </c>
      <c r="E3029" t="s">
        <v>55</v>
      </c>
      <c r="F3029" t="s">
        <v>128</v>
      </c>
      <c r="G3029" t="s">
        <v>63</v>
      </c>
      <c r="H3029">
        <v>1</v>
      </c>
      <c r="I3029">
        <v>4.1470202599999997</v>
      </c>
      <c r="J3029">
        <v>896</v>
      </c>
      <c r="K3029">
        <v>3.31</v>
      </c>
      <c r="M3029">
        <v>7</v>
      </c>
      <c r="O3029">
        <v>0.624</v>
      </c>
      <c r="Q3029">
        <v>1.1100000000000001</v>
      </c>
      <c r="R3029">
        <v>1.1499999999999999</v>
      </c>
    </row>
    <row r="3030" spans="1:18" x14ac:dyDescent="0.2">
      <c r="A3030" t="s">
        <v>5241</v>
      </c>
      <c r="B3030" t="s">
        <v>5242</v>
      </c>
      <c r="C3030">
        <v>2016</v>
      </c>
      <c r="D3030">
        <v>1</v>
      </c>
      <c r="E3030" t="s">
        <v>55</v>
      </c>
      <c r="F3030" t="s">
        <v>128</v>
      </c>
      <c r="G3030" t="s">
        <v>63</v>
      </c>
      <c r="H3030">
        <v>1</v>
      </c>
      <c r="I3030">
        <v>6.0103842900000002</v>
      </c>
      <c r="J3030">
        <v>361</v>
      </c>
      <c r="K3030">
        <v>2.88</v>
      </c>
      <c r="M3030">
        <v>4</v>
      </c>
      <c r="O3030">
        <v>0.35699999999999998</v>
      </c>
      <c r="Q3030">
        <v>0.78</v>
      </c>
      <c r="R3030">
        <v>0.73</v>
      </c>
    </row>
    <row r="3031" spans="1:18" x14ac:dyDescent="0.2">
      <c r="A3031" t="s">
        <v>5243</v>
      </c>
      <c r="B3031" t="s">
        <v>5244</v>
      </c>
      <c r="C3031">
        <v>2016</v>
      </c>
      <c r="D3031">
        <v>1</v>
      </c>
      <c r="E3031" t="s">
        <v>55</v>
      </c>
      <c r="F3031" t="s">
        <v>128</v>
      </c>
      <c r="G3031" t="s">
        <v>63</v>
      </c>
      <c r="H3031">
        <v>1</v>
      </c>
      <c r="I3031">
        <v>4.4541943399999999</v>
      </c>
      <c r="J3031">
        <v>776</v>
      </c>
      <c r="K3031">
        <v>4.37</v>
      </c>
      <c r="M3031">
        <v>11.99</v>
      </c>
      <c r="O3031">
        <v>1.07</v>
      </c>
      <c r="Q3031">
        <v>0.93</v>
      </c>
      <c r="R3031">
        <v>0.9</v>
      </c>
    </row>
    <row r="3032" spans="1:18" x14ac:dyDescent="0.2">
      <c r="A3032" t="s">
        <v>5245</v>
      </c>
      <c r="B3032" t="s">
        <v>5246</v>
      </c>
      <c r="C3032">
        <v>2016</v>
      </c>
      <c r="D3032">
        <v>1</v>
      </c>
      <c r="E3032" t="s">
        <v>55</v>
      </c>
      <c r="F3032" t="s">
        <v>128</v>
      </c>
      <c r="G3032" t="s">
        <v>63</v>
      </c>
      <c r="H3032">
        <v>2</v>
      </c>
      <c r="I3032">
        <v>42.949564899999999</v>
      </c>
      <c r="J3032">
        <v>648</v>
      </c>
      <c r="K3032">
        <v>4.57</v>
      </c>
      <c r="M3032">
        <v>2.57</v>
      </c>
      <c r="O3032">
        <v>0.22900000000000001</v>
      </c>
      <c r="Q3032">
        <v>0.88</v>
      </c>
      <c r="R3032">
        <v>0.84</v>
      </c>
    </row>
    <row r="3033" spans="1:18" x14ac:dyDescent="0.2">
      <c r="A3033" t="s">
        <v>5245</v>
      </c>
      <c r="B3033" t="s">
        <v>5247</v>
      </c>
      <c r="C3033">
        <v>2016</v>
      </c>
      <c r="D3033">
        <v>1</v>
      </c>
      <c r="E3033" t="s">
        <v>55</v>
      </c>
      <c r="F3033" t="s">
        <v>128</v>
      </c>
      <c r="G3033" t="s">
        <v>63</v>
      </c>
      <c r="H3033">
        <v>2</v>
      </c>
      <c r="I3033">
        <v>117.040498</v>
      </c>
      <c r="J3033">
        <v>648</v>
      </c>
      <c r="K3033">
        <v>4.57</v>
      </c>
      <c r="M3033">
        <v>2.93</v>
      </c>
      <c r="O3033">
        <v>0.26100000000000001</v>
      </c>
      <c r="Q3033">
        <v>0.88</v>
      </c>
      <c r="R3033">
        <v>0.84</v>
      </c>
    </row>
    <row r="3034" spans="1:18" x14ac:dyDescent="0.2">
      <c r="A3034" t="s">
        <v>5248</v>
      </c>
      <c r="B3034" t="s">
        <v>5249</v>
      </c>
      <c r="C3034">
        <v>2012</v>
      </c>
      <c r="D3034">
        <v>1</v>
      </c>
      <c r="E3034" t="s">
        <v>55</v>
      </c>
      <c r="F3034" t="s">
        <v>128</v>
      </c>
      <c r="G3034" t="s">
        <v>63</v>
      </c>
      <c r="H3034">
        <v>5</v>
      </c>
      <c r="I3034">
        <v>27.948144899999999</v>
      </c>
      <c r="J3034">
        <v>568</v>
      </c>
      <c r="L3034">
        <v>473.55</v>
      </c>
      <c r="M3034">
        <v>2.4300000000000002</v>
      </c>
      <c r="N3034">
        <v>1.49</v>
      </c>
      <c r="O3034">
        <v>0.217</v>
      </c>
      <c r="R3034">
        <v>0.62</v>
      </c>
    </row>
    <row r="3035" spans="1:18" x14ac:dyDescent="0.2">
      <c r="A3035" t="s">
        <v>5248</v>
      </c>
      <c r="B3035" t="s">
        <v>5250</v>
      </c>
      <c r="C3035">
        <v>2012</v>
      </c>
      <c r="D3035">
        <v>1</v>
      </c>
      <c r="E3035" t="s">
        <v>55</v>
      </c>
      <c r="F3035" t="s">
        <v>128</v>
      </c>
      <c r="G3035" t="s">
        <v>63</v>
      </c>
      <c r="H3035">
        <v>5</v>
      </c>
      <c r="I3035">
        <v>42.1516418</v>
      </c>
      <c r="J3035">
        <v>568</v>
      </c>
      <c r="L3035">
        <v>352.78</v>
      </c>
      <c r="M3035">
        <v>2.21</v>
      </c>
      <c r="N3035">
        <v>1.1100000000000001</v>
      </c>
      <c r="O3035">
        <v>0.19700000000000001</v>
      </c>
      <c r="R3035">
        <v>0.62</v>
      </c>
    </row>
    <row r="3036" spans="1:18" x14ac:dyDescent="0.2">
      <c r="A3036" t="s">
        <v>5248</v>
      </c>
      <c r="B3036" t="s">
        <v>5251</v>
      </c>
      <c r="C3036">
        <v>2014</v>
      </c>
      <c r="D3036">
        <v>1</v>
      </c>
      <c r="E3036" t="s">
        <v>55</v>
      </c>
      <c r="F3036" t="s">
        <v>128</v>
      </c>
      <c r="G3036" t="s">
        <v>63</v>
      </c>
      <c r="H3036">
        <v>5</v>
      </c>
      <c r="I3036">
        <v>2.2110989999999999</v>
      </c>
      <c r="J3036">
        <v>568</v>
      </c>
      <c r="M3036">
        <v>1.59</v>
      </c>
      <c r="O3036">
        <v>0.14199999999999999</v>
      </c>
      <c r="R3036">
        <v>0.62</v>
      </c>
    </row>
    <row r="3037" spans="1:18" x14ac:dyDescent="0.2">
      <c r="A3037" t="s">
        <v>5248</v>
      </c>
      <c r="B3037" t="s">
        <v>5252</v>
      </c>
      <c r="C3037">
        <v>2014</v>
      </c>
      <c r="D3037">
        <v>1</v>
      </c>
      <c r="E3037" t="s">
        <v>55</v>
      </c>
      <c r="F3037" t="s">
        <v>128</v>
      </c>
      <c r="G3037" t="s">
        <v>63</v>
      </c>
      <c r="H3037">
        <v>5</v>
      </c>
      <c r="I3037">
        <v>4.617534</v>
      </c>
      <c r="J3037">
        <v>568</v>
      </c>
      <c r="M3037">
        <v>1.55</v>
      </c>
      <c r="O3037">
        <v>0.13800000000000001</v>
      </c>
      <c r="R3037">
        <v>0.62</v>
      </c>
    </row>
    <row r="3038" spans="1:18" x14ac:dyDescent="0.2">
      <c r="A3038" t="s">
        <v>5248</v>
      </c>
      <c r="B3038" t="s">
        <v>5253</v>
      </c>
      <c r="C3038">
        <v>2014</v>
      </c>
      <c r="D3038">
        <v>1</v>
      </c>
      <c r="E3038" t="s">
        <v>55</v>
      </c>
      <c r="F3038" t="s">
        <v>128</v>
      </c>
      <c r="G3038" t="s">
        <v>63</v>
      </c>
      <c r="H3038">
        <v>5</v>
      </c>
      <c r="I3038">
        <v>10.198544999999999</v>
      </c>
      <c r="J3038">
        <v>568</v>
      </c>
      <c r="M3038">
        <v>1.59</v>
      </c>
      <c r="O3038">
        <v>0.14199999999999999</v>
      </c>
      <c r="R3038">
        <v>0.62</v>
      </c>
    </row>
    <row r="3039" spans="1:18" x14ac:dyDescent="0.2">
      <c r="A3039" t="s">
        <v>5254</v>
      </c>
      <c r="B3039" t="s">
        <v>5255</v>
      </c>
      <c r="C3039">
        <v>2016</v>
      </c>
      <c r="D3039">
        <v>1</v>
      </c>
      <c r="E3039" t="s">
        <v>55</v>
      </c>
      <c r="F3039" t="s">
        <v>128</v>
      </c>
      <c r="G3039" t="s">
        <v>63</v>
      </c>
      <c r="H3039">
        <v>1</v>
      </c>
      <c r="I3039">
        <v>8.6001041100000002</v>
      </c>
      <c r="J3039">
        <v>563</v>
      </c>
      <c r="K3039">
        <v>4.68</v>
      </c>
      <c r="M3039">
        <v>4.42</v>
      </c>
      <c r="O3039">
        <v>0.39400000000000002</v>
      </c>
      <c r="Q3039">
        <v>0.87</v>
      </c>
      <c r="R3039">
        <v>0.83</v>
      </c>
    </row>
    <row r="3040" spans="1:18" x14ac:dyDescent="0.2">
      <c r="A3040" t="s">
        <v>5256</v>
      </c>
      <c r="B3040" t="s">
        <v>5257</v>
      </c>
      <c r="C3040">
        <v>2016</v>
      </c>
      <c r="D3040">
        <v>1</v>
      </c>
      <c r="E3040" t="s">
        <v>55</v>
      </c>
      <c r="F3040" t="s">
        <v>128</v>
      </c>
      <c r="G3040" t="s">
        <v>63</v>
      </c>
      <c r="H3040">
        <v>1</v>
      </c>
      <c r="I3040">
        <v>12.3764661</v>
      </c>
      <c r="J3040">
        <v>312</v>
      </c>
      <c r="K3040">
        <v>3.8</v>
      </c>
      <c r="M3040">
        <v>2.73</v>
      </c>
      <c r="O3040">
        <v>0.24399999999999999</v>
      </c>
      <c r="Q3040">
        <v>0.65</v>
      </c>
      <c r="R3040">
        <v>0.63</v>
      </c>
    </row>
    <row r="3041" spans="1:19" x14ac:dyDescent="0.2">
      <c r="A3041" t="s">
        <v>5258</v>
      </c>
      <c r="B3041" t="s">
        <v>5259</v>
      </c>
      <c r="C3041">
        <v>2016</v>
      </c>
      <c r="D3041">
        <v>1</v>
      </c>
      <c r="E3041" t="s">
        <v>55</v>
      </c>
      <c r="F3041" t="s">
        <v>128</v>
      </c>
      <c r="G3041" t="s">
        <v>63</v>
      </c>
      <c r="H3041">
        <v>1</v>
      </c>
      <c r="I3041">
        <v>5.2634157699999999</v>
      </c>
      <c r="J3041">
        <v>834</v>
      </c>
      <c r="K3041">
        <v>3.89</v>
      </c>
      <c r="M3041">
        <v>3.95</v>
      </c>
      <c r="O3041">
        <v>0.35199999999999998</v>
      </c>
      <c r="Q3041">
        <v>1.03</v>
      </c>
      <c r="R3041">
        <v>1.04</v>
      </c>
    </row>
    <row r="3042" spans="1:19" x14ac:dyDescent="0.2">
      <c r="A3042" t="s">
        <v>5260</v>
      </c>
      <c r="B3042" t="s">
        <v>5261</v>
      </c>
      <c r="C3042">
        <v>2016</v>
      </c>
      <c r="D3042">
        <v>1</v>
      </c>
      <c r="E3042" t="s">
        <v>55</v>
      </c>
      <c r="F3042" t="s">
        <v>128</v>
      </c>
      <c r="G3042" t="s">
        <v>63</v>
      </c>
      <c r="H3042">
        <v>2</v>
      </c>
      <c r="I3042">
        <v>4.0304680399999997</v>
      </c>
      <c r="J3042">
        <v>725</v>
      </c>
      <c r="K3042">
        <v>2.88</v>
      </c>
      <c r="M3042">
        <v>4.63</v>
      </c>
      <c r="O3042">
        <v>0.41299999999999998</v>
      </c>
      <c r="Q3042">
        <v>0.92</v>
      </c>
      <c r="R3042">
        <v>0.85</v>
      </c>
    </row>
    <row r="3043" spans="1:19" x14ac:dyDescent="0.2">
      <c r="A3043" t="s">
        <v>5260</v>
      </c>
      <c r="B3043" t="s">
        <v>5262</v>
      </c>
      <c r="C3043">
        <v>2016</v>
      </c>
      <c r="D3043">
        <v>1</v>
      </c>
      <c r="E3043" t="s">
        <v>55</v>
      </c>
      <c r="F3043" t="s">
        <v>128</v>
      </c>
      <c r="G3043" t="s">
        <v>63</v>
      </c>
      <c r="H3043">
        <v>2</v>
      </c>
      <c r="I3043">
        <v>328.23995459999998</v>
      </c>
      <c r="J3043">
        <v>725</v>
      </c>
      <c r="K3043">
        <v>2.88</v>
      </c>
      <c r="M3043">
        <v>11.2</v>
      </c>
      <c r="O3043">
        <v>0.999</v>
      </c>
      <c r="Q3043">
        <v>0.92</v>
      </c>
      <c r="R3043">
        <v>0.85</v>
      </c>
    </row>
    <row r="3044" spans="1:19" x14ac:dyDescent="0.2">
      <c r="A3044" t="s">
        <v>5263</v>
      </c>
      <c r="B3044" t="s">
        <v>5264</v>
      </c>
      <c r="C3044">
        <v>2016</v>
      </c>
      <c r="D3044">
        <v>1</v>
      </c>
      <c r="E3044" t="s">
        <v>55</v>
      </c>
      <c r="F3044" t="s">
        <v>128</v>
      </c>
      <c r="G3044" t="s">
        <v>63</v>
      </c>
      <c r="H3044">
        <v>1</v>
      </c>
      <c r="I3044">
        <v>1.90220856</v>
      </c>
      <c r="J3044">
        <v>642</v>
      </c>
      <c r="K3044">
        <v>5.62</v>
      </c>
      <c r="M3044">
        <v>4.29</v>
      </c>
      <c r="O3044">
        <v>0.38300000000000001</v>
      </c>
      <c r="Q3044">
        <v>0.93</v>
      </c>
      <c r="R3044">
        <v>0.92</v>
      </c>
    </row>
    <row r="3045" spans="1:19" x14ac:dyDescent="0.2">
      <c r="A3045" t="s">
        <v>5265</v>
      </c>
      <c r="B3045" t="s">
        <v>5266</v>
      </c>
      <c r="C3045">
        <v>2016</v>
      </c>
      <c r="D3045">
        <v>1</v>
      </c>
      <c r="E3045" t="s">
        <v>55</v>
      </c>
      <c r="F3045" t="s">
        <v>128</v>
      </c>
      <c r="G3045" t="s">
        <v>63</v>
      </c>
      <c r="H3045">
        <v>1</v>
      </c>
      <c r="I3045">
        <v>16.217754070000002</v>
      </c>
      <c r="J3045">
        <v>772</v>
      </c>
      <c r="K3045">
        <v>3.89</v>
      </c>
      <c r="M3045">
        <v>2.83</v>
      </c>
      <c r="O3045">
        <v>0.252</v>
      </c>
      <c r="Q3045">
        <v>1.03</v>
      </c>
      <c r="R3045">
        <v>1.04</v>
      </c>
    </row>
    <row r="3046" spans="1:19" x14ac:dyDescent="0.2">
      <c r="A3046" t="s">
        <v>5267</v>
      </c>
      <c r="B3046" t="s">
        <v>5268</v>
      </c>
      <c r="C3046">
        <v>2016</v>
      </c>
      <c r="D3046">
        <v>1</v>
      </c>
      <c r="E3046" t="s">
        <v>55</v>
      </c>
      <c r="F3046" t="s">
        <v>128</v>
      </c>
      <c r="G3046" t="s">
        <v>63</v>
      </c>
      <c r="H3046">
        <v>1</v>
      </c>
      <c r="I3046">
        <v>11.72292176</v>
      </c>
      <c r="J3046">
        <v>729</v>
      </c>
      <c r="K3046">
        <v>4.17</v>
      </c>
      <c r="M3046">
        <v>2.2400000000000002</v>
      </c>
      <c r="O3046">
        <v>0.2</v>
      </c>
      <c r="Q3046">
        <v>1</v>
      </c>
      <c r="R3046">
        <v>0.98</v>
      </c>
    </row>
    <row r="3047" spans="1:19" x14ac:dyDescent="0.2">
      <c r="A3047" t="s">
        <v>5269</v>
      </c>
      <c r="B3047" t="s">
        <v>5270</v>
      </c>
      <c r="C3047">
        <v>2016</v>
      </c>
      <c r="D3047">
        <v>1</v>
      </c>
      <c r="E3047" t="s">
        <v>55</v>
      </c>
      <c r="F3047" t="s">
        <v>128</v>
      </c>
      <c r="G3047" t="s">
        <v>63</v>
      </c>
      <c r="H3047">
        <v>1</v>
      </c>
      <c r="I3047">
        <v>3.70598955</v>
      </c>
      <c r="J3047">
        <v>1126</v>
      </c>
      <c r="K3047">
        <v>3.24</v>
      </c>
      <c r="M3047">
        <v>2.67</v>
      </c>
      <c r="O3047">
        <v>0.23799999999999999</v>
      </c>
      <c r="Q3047">
        <v>1.1100000000000001</v>
      </c>
      <c r="R3047">
        <v>1.1599999999999999</v>
      </c>
    </row>
    <row r="3048" spans="1:19" x14ac:dyDescent="0.2">
      <c r="A3048" t="s">
        <v>5271</v>
      </c>
      <c r="B3048" t="s">
        <v>5272</v>
      </c>
      <c r="C3048">
        <v>2016</v>
      </c>
      <c r="D3048">
        <v>1</v>
      </c>
      <c r="E3048" t="s">
        <v>55</v>
      </c>
      <c r="F3048" t="s">
        <v>128</v>
      </c>
      <c r="G3048" t="s">
        <v>63</v>
      </c>
      <c r="H3048">
        <v>1</v>
      </c>
      <c r="I3048">
        <v>29.00790538</v>
      </c>
      <c r="J3048">
        <v>652</v>
      </c>
      <c r="K3048">
        <v>4.47</v>
      </c>
      <c r="M3048">
        <v>2.37</v>
      </c>
      <c r="O3048">
        <v>0.21099999999999999</v>
      </c>
      <c r="Q3048">
        <v>0.85</v>
      </c>
      <c r="R3048">
        <v>0.81</v>
      </c>
    </row>
    <row r="3049" spans="1:19" x14ac:dyDescent="0.2">
      <c r="A3049" t="s">
        <v>5273</v>
      </c>
      <c r="B3049" t="s">
        <v>5274</v>
      </c>
      <c r="C3049">
        <v>2016</v>
      </c>
      <c r="D3049">
        <v>1</v>
      </c>
      <c r="E3049" t="s">
        <v>55</v>
      </c>
      <c r="F3049" t="s">
        <v>128</v>
      </c>
      <c r="G3049" t="s">
        <v>63</v>
      </c>
      <c r="H3049">
        <v>1</v>
      </c>
      <c r="I3049">
        <v>17.58752333</v>
      </c>
      <c r="J3049">
        <v>793</v>
      </c>
      <c r="K3049">
        <v>4.37</v>
      </c>
      <c r="M3049">
        <v>3.61</v>
      </c>
      <c r="O3049">
        <v>0.32200000000000001</v>
      </c>
      <c r="Q3049">
        <v>0.96</v>
      </c>
      <c r="R3049">
        <v>0.95</v>
      </c>
    </row>
    <row r="3050" spans="1:19" x14ac:dyDescent="0.2">
      <c r="A3050" t="s">
        <v>5275</v>
      </c>
      <c r="B3050" t="s">
        <v>5276</v>
      </c>
      <c r="C3050">
        <v>2012</v>
      </c>
      <c r="D3050">
        <v>1</v>
      </c>
      <c r="E3050" t="s">
        <v>55</v>
      </c>
      <c r="F3050" t="s">
        <v>128</v>
      </c>
      <c r="G3050" t="s">
        <v>63</v>
      </c>
      <c r="H3050">
        <v>3</v>
      </c>
      <c r="I3050">
        <v>10.5016</v>
      </c>
      <c r="J3050">
        <v>914</v>
      </c>
      <c r="K3050">
        <v>3.5</v>
      </c>
      <c r="L3050">
        <v>22.1</v>
      </c>
      <c r="M3050">
        <v>6.51</v>
      </c>
      <c r="N3050">
        <v>7.0000000000000007E-2</v>
      </c>
      <c r="O3050">
        <v>0.58099999999999996</v>
      </c>
      <c r="P3050">
        <v>0.442</v>
      </c>
      <c r="Q3050">
        <v>1.32</v>
      </c>
      <c r="R3050">
        <v>4.2300000000000004</v>
      </c>
      <c r="S3050">
        <v>2.46E-2</v>
      </c>
    </row>
    <row r="3051" spans="1:19" x14ac:dyDescent="0.2">
      <c r="A3051" t="s">
        <v>5275</v>
      </c>
      <c r="B3051" t="s">
        <v>5277</v>
      </c>
      <c r="C3051">
        <v>2012</v>
      </c>
      <c r="D3051">
        <v>1</v>
      </c>
      <c r="E3051" t="s">
        <v>55</v>
      </c>
      <c r="F3051" t="s">
        <v>128</v>
      </c>
      <c r="G3051" t="s">
        <v>63</v>
      </c>
      <c r="H3051">
        <v>3</v>
      </c>
      <c r="I3051">
        <v>21.40239</v>
      </c>
      <c r="J3051">
        <v>914</v>
      </c>
      <c r="K3051">
        <v>3.5</v>
      </c>
      <c r="L3051">
        <v>181</v>
      </c>
      <c r="M3051">
        <v>9.8000000000000007</v>
      </c>
      <c r="N3051">
        <v>0.56999999999999995</v>
      </c>
      <c r="O3051">
        <v>0.874</v>
      </c>
      <c r="P3051">
        <v>1.06</v>
      </c>
      <c r="Q3051">
        <v>1.32</v>
      </c>
      <c r="R3051">
        <v>4.2300000000000004</v>
      </c>
      <c r="S3051">
        <v>2.46E-2</v>
      </c>
    </row>
    <row r="3052" spans="1:19" x14ac:dyDescent="0.2">
      <c r="A3052" t="s">
        <v>5275</v>
      </c>
      <c r="B3052" t="s">
        <v>5278</v>
      </c>
      <c r="C3052">
        <v>2016</v>
      </c>
      <c r="D3052">
        <v>1</v>
      </c>
      <c r="E3052" t="s">
        <v>21</v>
      </c>
      <c r="F3052" t="s">
        <v>22</v>
      </c>
      <c r="G3052" t="s">
        <v>35</v>
      </c>
      <c r="H3052">
        <v>3</v>
      </c>
      <c r="I3052">
        <v>1002</v>
      </c>
      <c r="J3052">
        <v>914</v>
      </c>
      <c r="K3052">
        <v>3.5</v>
      </c>
      <c r="N3052">
        <v>5.61</v>
      </c>
      <c r="Q3052">
        <v>1.32</v>
      </c>
      <c r="R3052">
        <v>4.2300000000000004</v>
      </c>
      <c r="S3052">
        <v>2.46E-2</v>
      </c>
    </row>
    <row r="3053" spans="1:19" x14ac:dyDescent="0.2">
      <c r="A3053" t="s">
        <v>5279</v>
      </c>
      <c r="B3053" t="s">
        <v>5280</v>
      </c>
      <c r="C3053">
        <v>2016</v>
      </c>
      <c r="D3053">
        <v>1</v>
      </c>
      <c r="E3053" t="s">
        <v>55</v>
      </c>
      <c r="F3053" t="s">
        <v>128</v>
      </c>
      <c r="G3053" t="s">
        <v>63</v>
      </c>
      <c r="H3053">
        <v>1</v>
      </c>
      <c r="I3053">
        <v>18.477644489999999</v>
      </c>
      <c r="J3053">
        <v>88</v>
      </c>
      <c r="K3053">
        <v>4.07</v>
      </c>
      <c r="M3053">
        <v>1.72</v>
      </c>
      <c r="O3053">
        <v>0.153</v>
      </c>
      <c r="Q3053">
        <v>0.34</v>
      </c>
      <c r="R3053">
        <v>0.33</v>
      </c>
    </row>
    <row r="3054" spans="1:19" x14ac:dyDescent="0.2">
      <c r="A3054" t="s">
        <v>5281</v>
      </c>
      <c r="B3054" t="s">
        <v>5282</v>
      </c>
      <c r="C3054">
        <v>2016</v>
      </c>
      <c r="D3054">
        <v>1</v>
      </c>
      <c r="E3054" t="s">
        <v>55</v>
      </c>
      <c r="F3054" t="s">
        <v>128</v>
      </c>
      <c r="G3054" t="s">
        <v>63</v>
      </c>
      <c r="H3054">
        <v>2</v>
      </c>
      <c r="I3054">
        <v>58.362049499999998</v>
      </c>
      <c r="J3054">
        <v>667</v>
      </c>
      <c r="K3054">
        <v>4.2699999999999996</v>
      </c>
      <c r="M3054">
        <v>6.96</v>
      </c>
      <c r="O3054">
        <v>0.621</v>
      </c>
      <c r="Q3054">
        <v>0.96</v>
      </c>
      <c r="R3054">
        <v>0.94</v>
      </c>
    </row>
    <row r="3055" spans="1:19" x14ac:dyDescent="0.2">
      <c r="A3055" t="s">
        <v>5281</v>
      </c>
      <c r="B3055" t="s">
        <v>5283</v>
      </c>
      <c r="C3055">
        <v>2016</v>
      </c>
      <c r="D3055">
        <v>1</v>
      </c>
      <c r="E3055" t="s">
        <v>55</v>
      </c>
      <c r="F3055" t="s">
        <v>128</v>
      </c>
      <c r="G3055" t="s">
        <v>63</v>
      </c>
      <c r="H3055">
        <v>2</v>
      </c>
      <c r="I3055">
        <v>5.3501619800000002</v>
      </c>
      <c r="J3055">
        <v>667</v>
      </c>
      <c r="K3055">
        <v>4.2699999999999996</v>
      </c>
      <c r="M3055">
        <v>2.68</v>
      </c>
      <c r="O3055">
        <v>0.23899999999999999</v>
      </c>
      <c r="Q3055">
        <v>0.96</v>
      </c>
      <c r="R3055">
        <v>0.94</v>
      </c>
    </row>
    <row r="3056" spans="1:19" x14ac:dyDescent="0.2">
      <c r="A3056" t="s">
        <v>5284</v>
      </c>
      <c r="B3056" t="s">
        <v>5285</v>
      </c>
      <c r="C3056">
        <v>2016</v>
      </c>
      <c r="D3056">
        <v>1</v>
      </c>
      <c r="E3056" t="s">
        <v>55</v>
      </c>
      <c r="F3056" t="s">
        <v>128</v>
      </c>
      <c r="G3056" t="s">
        <v>63</v>
      </c>
      <c r="H3056">
        <v>1</v>
      </c>
      <c r="I3056">
        <v>18.009314440000001</v>
      </c>
      <c r="J3056">
        <v>822</v>
      </c>
      <c r="K3056">
        <v>4.57</v>
      </c>
      <c r="M3056">
        <v>5.21</v>
      </c>
      <c r="O3056">
        <v>0.46500000000000002</v>
      </c>
      <c r="Q3056">
        <v>0.93</v>
      </c>
      <c r="R3056">
        <v>0.9</v>
      </c>
    </row>
    <row r="3057" spans="1:18" x14ac:dyDescent="0.2">
      <c r="A3057" t="s">
        <v>5286</v>
      </c>
      <c r="B3057" t="s">
        <v>5287</v>
      </c>
      <c r="C3057">
        <v>2016</v>
      </c>
      <c r="D3057">
        <v>1</v>
      </c>
      <c r="E3057" t="s">
        <v>55</v>
      </c>
      <c r="F3057" t="s">
        <v>128</v>
      </c>
      <c r="G3057" t="s">
        <v>63</v>
      </c>
      <c r="H3057">
        <v>1</v>
      </c>
      <c r="I3057">
        <v>22.184327079999999</v>
      </c>
      <c r="J3057">
        <v>557</v>
      </c>
      <c r="K3057">
        <v>5.37</v>
      </c>
      <c r="M3057">
        <v>3.09</v>
      </c>
      <c r="O3057">
        <v>0.27600000000000002</v>
      </c>
      <c r="Q3057">
        <v>0.8</v>
      </c>
      <c r="R3057">
        <v>0.77</v>
      </c>
    </row>
    <row r="3058" spans="1:18" x14ac:dyDescent="0.2">
      <c r="A3058" t="s">
        <v>5288</v>
      </c>
      <c r="B3058" t="s">
        <v>5289</v>
      </c>
      <c r="C3058">
        <v>2016</v>
      </c>
      <c r="D3058">
        <v>1</v>
      </c>
      <c r="E3058" t="s">
        <v>55</v>
      </c>
      <c r="F3058" t="s">
        <v>128</v>
      </c>
      <c r="G3058" t="s">
        <v>63</v>
      </c>
      <c r="H3058">
        <v>1</v>
      </c>
      <c r="I3058">
        <v>3.75083228</v>
      </c>
      <c r="J3058">
        <v>830</v>
      </c>
      <c r="K3058">
        <v>4.2699999999999996</v>
      </c>
      <c r="M3058">
        <v>4.63</v>
      </c>
      <c r="O3058">
        <v>0.41299999999999998</v>
      </c>
      <c r="Q3058">
        <v>0.95</v>
      </c>
      <c r="R3058">
        <v>0.92</v>
      </c>
    </row>
    <row r="3059" spans="1:18" x14ac:dyDescent="0.2">
      <c r="A3059" t="s">
        <v>5290</v>
      </c>
      <c r="B3059" t="s">
        <v>5291</v>
      </c>
      <c r="C3059">
        <v>2016</v>
      </c>
      <c r="D3059">
        <v>1</v>
      </c>
      <c r="E3059" t="s">
        <v>55</v>
      </c>
      <c r="F3059" t="s">
        <v>128</v>
      </c>
      <c r="G3059" t="s">
        <v>63</v>
      </c>
      <c r="H3059">
        <v>1</v>
      </c>
      <c r="I3059">
        <v>4.2437472300000003</v>
      </c>
      <c r="J3059">
        <v>1041</v>
      </c>
      <c r="K3059">
        <v>4.07</v>
      </c>
      <c r="M3059">
        <v>3.64</v>
      </c>
      <c r="O3059">
        <v>0.32500000000000001</v>
      </c>
      <c r="Q3059">
        <v>0.98</v>
      </c>
      <c r="R3059">
        <v>0.95</v>
      </c>
    </row>
    <row r="3060" spans="1:18" x14ac:dyDescent="0.2">
      <c r="A3060" t="s">
        <v>5292</v>
      </c>
      <c r="B3060" t="s">
        <v>5293</v>
      </c>
      <c r="C3060">
        <v>2016</v>
      </c>
      <c r="D3060">
        <v>1</v>
      </c>
      <c r="E3060" t="s">
        <v>55</v>
      </c>
      <c r="F3060" t="s">
        <v>128</v>
      </c>
      <c r="G3060" t="s">
        <v>63</v>
      </c>
      <c r="H3060">
        <v>1</v>
      </c>
      <c r="I3060">
        <v>18.427946240000001</v>
      </c>
      <c r="J3060">
        <v>628</v>
      </c>
      <c r="K3060">
        <v>4.57</v>
      </c>
      <c r="M3060">
        <v>2.15</v>
      </c>
      <c r="O3060">
        <v>0.192</v>
      </c>
      <c r="Q3060">
        <v>0.83</v>
      </c>
      <c r="R3060">
        <v>0.79</v>
      </c>
    </row>
    <row r="3061" spans="1:18" x14ac:dyDescent="0.2">
      <c r="A3061" t="s">
        <v>5294</v>
      </c>
      <c r="B3061" t="s">
        <v>5295</v>
      </c>
      <c r="C3061">
        <v>2016</v>
      </c>
      <c r="D3061">
        <v>1</v>
      </c>
      <c r="E3061" t="s">
        <v>55</v>
      </c>
      <c r="F3061" t="s">
        <v>128</v>
      </c>
      <c r="G3061" t="s">
        <v>63</v>
      </c>
      <c r="H3061">
        <v>1</v>
      </c>
      <c r="I3061">
        <v>16.542973750000002</v>
      </c>
      <c r="J3061">
        <v>568</v>
      </c>
      <c r="K3061">
        <v>4.68</v>
      </c>
      <c r="M3061">
        <v>2.25</v>
      </c>
      <c r="O3061">
        <v>0.20100000000000001</v>
      </c>
      <c r="Q3061">
        <v>0.84</v>
      </c>
      <c r="R3061">
        <v>0.79</v>
      </c>
    </row>
    <row r="3062" spans="1:18" x14ac:dyDescent="0.2">
      <c r="A3062" t="s">
        <v>5296</v>
      </c>
      <c r="B3062" t="s">
        <v>5297</v>
      </c>
      <c r="C3062">
        <v>2016</v>
      </c>
      <c r="D3062">
        <v>1</v>
      </c>
      <c r="E3062" t="s">
        <v>55</v>
      </c>
      <c r="F3062" t="s">
        <v>128</v>
      </c>
      <c r="G3062" t="s">
        <v>63</v>
      </c>
      <c r="H3062">
        <v>1</v>
      </c>
      <c r="I3062">
        <v>11.02347475</v>
      </c>
      <c r="J3062">
        <v>126</v>
      </c>
      <c r="K3062">
        <v>5.89</v>
      </c>
      <c r="M3062">
        <v>2.2599999999999998</v>
      </c>
      <c r="O3062">
        <v>0.20200000000000001</v>
      </c>
      <c r="Q3062">
        <v>0.55000000000000004</v>
      </c>
      <c r="R3062">
        <v>0.53</v>
      </c>
    </row>
    <row r="3063" spans="1:18" x14ac:dyDescent="0.2">
      <c r="A3063" t="s">
        <v>5298</v>
      </c>
      <c r="B3063" t="s">
        <v>5299</v>
      </c>
      <c r="C3063">
        <v>2016</v>
      </c>
      <c r="D3063">
        <v>1</v>
      </c>
      <c r="E3063" t="s">
        <v>55</v>
      </c>
      <c r="F3063" t="s">
        <v>128</v>
      </c>
      <c r="G3063" t="s">
        <v>63</v>
      </c>
      <c r="H3063">
        <v>1</v>
      </c>
      <c r="I3063">
        <v>34.188905210000001</v>
      </c>
      <c r="J3063">
        <v>645</v>
      </c>
      <c r="K3063">
        <v>4.9000000000000004</v>
      </c>
      <c r="M3063">
        <v>3.16</v>
      </c>
      <c r="O3063">
        <v>0.28199999999999997</v>
      </c>
      <c r="Q3063">
        <v>0.95</v>
      </c>
      <c r="R3063">
        <v>0.93</v>
      </c>
    </row>
    <row r="3064" spans="1:18" x14ac:dyDescent="0.2">
      <c r="A3064" t="s">
        <v>5300</v>
      </c>
      <c r="B3064" t="s">
        <v>5301</v>
      </c>
      <c r="C3064">
        <v>2012</v>
      </c>
      <c r="D3064">
        <v>1</v>
      </c>
      <c r="E3064" t="s">
        <v>55</v>
      </c>
      <c r="F3064" t="s">
        <v>128</v>
      </c>
      <c r="G3064" t="s">
        <v>63</v>
      </c>
      <c r="H3064">
        <v>2</v>
      </c>
      <c r="I3064">
        <v>5.7293196000000002</v>
      </c>
      <c r="J3064">
        <v>674</v>
      </c>
      <c r="L3064">
        <v>5994.02</v>
      </c>
      <c r="M3064">
        <v>2.19</v>
      </c>
      <c r="N3064">
        <v>18.86</v>
      </c>
      <c r="O3064">
        <v>0.19500000000000001</v>
      </c>
      <c r="Q3064">
        <v>0.83</v>
      </c>
      <c r="R3064">
        <v>0.73</v>
      </c>
    </row>
    <row r="3065" spans="1:18" x14ac:dyDescent="0.2">
      <c r="A3065" t="s">
        <v>5300</v>
      </c>
      <c r="B3065" t="s">
        <v>5302</v>
      </c>
      <c r="C3065">
        <v>2012</v>
      </c>
      <c r="D3065">
        <v>1</v>
      </c>
      <c r="E3065" t="s">
        <v>55</v>
      </c>
      <c r="F3065" t="s">
        <v>128</v>
      </c>
      <c r="G3065" t="s">
        <v>63</v>
      </c>
      <c r="H3065">
        <v>2</v>
      </c>
      <c r="I3065">
        <v>11.6092567</v>
      </c>
      <c r="J3065">
        <v>674</v>
      </c>
      <c r="L3065">
        <v>2208.83</v>
      </c>
      <c r="M3065">
        <v>1.55</v>
      </c>
      <c r="N3065">
        <v>6.95</v>
      </c>
      <c r="O3065">
        <v>0.13800000000000001</v>
      </c>
      <c r="Q3065">
        <v>0.83</v>
      </c>
      <c r="R3065">
        <v>0.73</v>
      </c>
    </row>
    <row r="3066" spans="1:18" x14ac:dyDescent="0.2">
      <c r="A3066" t="s">
        <v>5303</v>
      </c>
      <c r="B3066" t="s">
        <v>5304</v>
      </c>
      <c r="C3066">
        <v>2016</v>
      </c>
      <c r="D3066">
        <v>1</v>
      </c>
      <c r="E3066" t="s">
        <v>55</v>
      </c>
      <c r="F3066" t="s">
        <v>128</v>
      </c>
      <c r="G3066" t="s">
        <v>63</v>
      </c>
      <c r="H3066">
        <v>1</v>
      </c>
      <c r="I3066">
        <v>4.3016620000000003</v>
      </c>
      <c r="J3066">
        <v>642</v>
      </c>
      <c r="K3066">
        <v>5.01</v>
      </c>
      <c r="M3066">
        <v>2.4500000000000002</v>
      </c>
      <c r="O3066">
        <v>0.219</v>
      </c>
      <c r="Q3066">
        <v>0.93</v>
      </c>
      <c r="R3066">
        <v>0.9</v>
      </c>
    </row>
    <row r="3067" spans="1:18" x14ac:dyDescent="0.2">
      <c r="A3067" t="s">
        <v>5305</v>
      </c>
      <c r="B3067" t="s">
        <v>5306</v>
      </c>
      <c r="C3067">
        <v>2016</v>
      </c>
      <c r="D3067">
        <v>1</v>
      </c>
      <c r="E3067" t="s">
        <v>55</v>
      </c>
      <c r="F3067" t="s">
        <v>128</v>
      </c>
      <c r="G3067" t="s">
        <v>63</v>
      </c>
      <c r="H3067">
        <v>1</v>
      </c>
      <c r="I3067">
        <v>4.7985993899999997</v>
      </c>
      <c r="J3067">
        <v>756</v>
      </c>
      <c r="K3067">
        <v>4.68</v>
      </c>
      <c r="M3067">
        <v>2.64</v>
      </c>
      <c r="O3067">
        <v>0.23599999999999999</v>
      </c>
      <c r="Q3067">
        <v>0.93</v>
      </c>
      <c r="R3067">
        <v>0.9</v>
      </c>
    </row>
    <row r="3068" spans="1:18" x14ac:dyDescent="0.2">
      <c r="A3068" t="s">
        <v>5307</v>
      </c>
      <c r="B3068" t="s">
        <v>5308</v>
      </c>
      <c r="C3068">
        <v>2016</v>
      </c>
      <c r="D3068">
        <v>1</v>
      </c>
      <c r="E3068" t="s">
        <v>55</v>
      </c>
      <c r="F3068" t="s">
        <v>128</v>
      </c>
      <c r="G3068" t="s">
        <v>63</v>
      </c>
      <c r="H3068">
        <v>1</v>
      </c>
      <c r="I3068">
        <v>17.205234829999998</v>
      </c>
      <c r="J3068">
        <v>532</v>
      </c>
      <c r="K3068">
        <v>4.68</v>
      </c>
      <c r="M3068">
        <v>2.58</v>
      </c>
      <c r="O3068">
        <v>0.23</v>
      </c>
      <c r="Q3068">
        <v>0.83</v>
      </c>
      <c r="R3068">
        <v>0.79</v>
      </c>
    </row>
    <row r="3069" spans="1:18" x14ac:dyDescent="0.2">
      <c r="A3069" t="s">
        <v>5309</v>
      </c>
      <c r="B3069" t="s">
        <v>5310</v>
      </c>
      <c r="C3069">
        <v>2016</v>
      </c>
      <c r="D3069">
        <v>1</v>
      </c>
      <c r="E3069" t="s">
        <v>55</v>
      </c>
      <c r="F3069" t="s">
        <v>128</v>
      </c>
      <c r="G3069" t="s">
        <v>63</v>
      </c>
      <c r="H3069">
        <v>1</v>
      </c>
      <c r="I3069">
        <v>22.18329658</v>
      </c>
      <c r="J3069">
        <v>758</v>
      </c>
      <c r="K3069">
        <v>5.89</v>
      </c>
      <c r="M3069">
        <v>2.79</v>
      </c>
      <c r="O3069">
        <v>0.249</v>
      </c>
      <c r="Q3069">
        <v>0.99</v>
      </c>
      <c r="R3069">
        <v>1.02</v>
      </c>
    </row>
    <row r="3070" spans="1:18" x14ac:dyDescent="0.2">
      <c r="A3070" t="s">
        <v>5311</v>
      </c>
      <c r="B3070" t="s">
        <v>5312</v>
      </c>
      <c r="C3070">
        <v>2016</v>
      </c>
      <c r="D3070">
        <v>1</v>
      </c>
      <c r="E3070" t="s">
        <v>55</v>
      </c>
      <c r="F3070" t="s">
        <v>128</v>
      </c>
      <c r="G3070" t="s">
        <v>63</v>
      </c>
      <c r="H3070">
        <v>1</v>
      </c>
      <c r="I3070">
        <v>7.65880414</v>
      </c>
      <c r="J3070">
        <v>747</v>
      </c>
      <c r="K3070">
        <v>4.17</v>
      </c>
      <c r="M3070">
        <v>2.39</v>
      </c>
      <c r="O3070">
        <v>0.21299999999999999</v>
      </c>
      <c r="Q3070">
        <v>0.95</v>
      </c>
      <c r="R3070">
        <v>0.91</v>
      </c>
    </row>
    <row r="3071" spans="1:18" x14ac:dyDescent="0.2">
      <c r="A3071" t="s">
        <v>5313</v>
      </c>
      <c r="B3071" t="s">
        <v>5314</v>
      </c>
      <c r="C3071">
        <v>2016</v>
      </c>
      <c r="D3071">
        <v>1</v>
      </c>
      <c r="E3071" t="s">
        <v>55</v>
      </c>
      <c r="F3071" t="s">
        <v>128</v>
      </c>
      <c r="G3071" t="s">
        <v>63</v>
      </c>
      <c r="H3071">
        <v>1</v>
      </c>
      <c r="I3071">
        <v>9.3789194400000007</v>
      </c>
      <c r="J3071">
        <v>852</v>
      </c>
      <c r="K3071">
        <v>3.98</v>
      </c>
      <c r="M3071">
        <v>2.39</v>
      </c>
      <c r="O3071">
        <v>0.21299999999999999</v>
      </c>
      <c r="Q3071">
        <v>0.97</v>
      </c>
      <c r="R3071">
        <v>0.95</v>
      </c>
    </row>
    <row r="3072" spans="1:18" x14ac:dyDescent="0.2">
      <c r="A3072" t="s">
        <v>5315</v>
      </c>
      <c r="B3072" t="s">
        <v>5316</v>
      </c>
      <c r="C3072">
        <v>2016</v>
      </c>
      <c r="D3072">
        <v>1</v>
      </c>
      <c r="E3072" t="s">
        <v>55</v>
      </c>
      <c r="F3072" t="s">
        <v>128</v>
      </c>
      <c r="G3072" t="s">
        <v>63</v>
      </c>
      <c r="H3072">
        <v>1</v>
      </c>
      <c r="I3072">
        <v>29.911367940000002</v>
      </c>
      <c r="J3072">
        <v>698</v>
      </c>
      <c r="K3072">
        <v>4.47</v>
      </c>
      <c r="M3072">
        <v>3.27</v>
      </c>
      <c r="O3072">
        <v>0.29199999999999998</v>
      </c>
      <c r="Q3072">
        <v>0.99</v>
      </c>
      <c r="R3072">
        <v>0.97</v>
      </c>
    </row>
    <row r="3073" spans="1:18" x14ac:dyDescent="0.2">
      <c r="A3073" t="s">
        <v>5317</v>
      </c>
      <c r="B3073" t="s">
        <v>5318</v>
      </c>
      <c r="C3073">
        <v>2016</v>
      </c>
      <c r="D3073">
        <v>1</v>
      </c>
      <c r="E3073" t="s">
        <v>55</v>
      </c>
      <c r="F3073" t="s">
        <v>128</v>
      </c>
      <c r="G3073" t="s">
        <v>63</v>
      </c>
      <c r="H3073">
        <v>1</v>
      </c>
      <c r="I3073">
        <v>25.695782510000001</v>
      </c>
      <c r="J3073">
        <v>549</v>
      </c>
      <c r="K3073">
        <v>3.8</v>
      </c>
      <c r="M3073">
        <v>2.5499999999999998</v>
      </c>
      <c r="O3073">
        <v>0.22700000000000001</v>
      </c>
      <c r="Q3073">
        <v>0.78</v>
      </c>
      <c r="R3073">
        <v>0.73</v>
      </c>
    </row>
    <row r="3074" spans="1:18" x14ac:dyDescent="0.2">
      <c r="A3074" t="s">
        <v>5319</v>
      </c>
      <c r="B3074" t="s">
        <v>5320</v>
      </c>
      <c r="C3074">
        <v>2016</v>
      </c>
      <c r="D3074">
        <v>1</v>
      </c>
      <c r="E3074" t="s">
        <v>55</v>
      </c>
      <c r="F3074" t="s">
        <v>128</v>
      </c>
      <c r="G3074" t="s">
        <v>63</v>
      </c>
      <c r="H3074">
        <v>1</v>
      </c>
      <c r="I3074">
        <v>1.6168837</v>
      </c>
      <c r="J3074">
        <v>568</v>
      </c>
      <c r="K3074">
        <v>4.68</v>
      </c>
      <c r="M3074">
        <v>2</v>
      </c>
      <c r="O3074">
        <v>0.17799999999999999</v>
      </c>
      <c r="Q3074">
        <v>0.87</v>
      </c>
      <c r="R3074">
        <v>0.83</v>
      </c>
    </row>
    <row r="3075" spans="1:18" x14ac:dyDescent="0.2">
      <c r="A3075" t="s">
        <v>5321</v>
      </c>
      <c r="B3075" t="s">
        <v>5322</v>
      </c>
      <c r="C3075">
        <v>2016</v>
      </c>
      <c r="D3075">
        <v>1</v>
      </c>
      <c r="E3075" t="s">
        <v>55</v>
      </c>
      <c r="F3075" t="s">
        <v>128</v>
      </c>
      <c r="G3075" t="s">
        <v>63</v>
      </c>
      <c r="H3075">
        <v>1</v>
      </c>
      <c r="I3075">
        <v>9.6685772300000004</v>
      </c>
      <c r="J3075">
        <v>663</v>
      </c>
      <c r="K3075">
        <v>4.07</v>
      </c>
      <c r="M3075">
        <v>2</v>
      </c>
      <c r="O3075">
        <v>0.17799999999999999</v>
      </c>
      <c r="Q3075">
        <v>0.99</v>
      </c>
      <c r="R3075">
        <v>0.96</v>
      </c>
    </row>
    <row r="3076" spans="1:18" x14ac:dyDescent="0.2">
      <c r="A3076" t="s">
        <v>5323</v>
      </c>
      <c r="B3076" t="s">
        <v>5324</v>
      </c>
      <c r="C3076">
        <v>2012</v>
      </c>
      <c r="D3076">
        <v>1</v>
      </c>
      <c r="E3076" t="s">
        <v>55</v>
      </c>
      <c r="F3076" t="s">
        <v>128</v>
      </c>
      <c r="G3076" t="s">
        <v>63</v>
      </c>
      <c r="H3076">
        <v>3</v>
      </c>
      <c r="I3076">
        <v>10.2184954</v>
      </c>
      <c r="J3076">
        <v>1562</v>
      </c>
      <c r="L3076">
        <v>441.77</v>
      </c>
      <c r="M3076">
        <v>2.78</v>
      </c>
      <c r="N3076">
        <v>1.39</v>
      </c>
      <c r="O3076">
        <v>0.248</v>
      </c>
      <c r="R3076">
        <v>1.1299999999999999</v>
      </c>
    </row>
    <row r="3077" spans="1:18" x14ac:dyDescent="0.2">
      <c r="A3077" t="s">
        <v>5323</v>
      </c>
      <c r="B3077" t="s">
        <v>5325</v>
      </c>
      <c r="C3077">
        <v>2012</v>
      </c>
      <c r="D3077">
        <v>1</v>
      </c>
      <c r="E3077" t="s">
        <v>55</v>
      </c>
      <c r="F3077" t="s">
        <v>128</v>
      </c>
      <c r="G3077" t="s">
        <v>63</v>
      </c>
      <c r="H3077">
        <v>3</v>
      </c>
      <c r="I3077">
        <v>15.574156800000001</v>
      </c>
      <c r="J3077">
        <v>1562</v>
      </c>
      <c r="L3077">
        <v>696.02</v>
      </c>
      <c r="M3077">
        <v>2.86</v>
      </c>
      <c r="N3077">
        <v>2.19</v>
      </c>
      <c r="O3077">
        <v>0.255</v>
      </c>
      <c r="R3077">
        <v>1.1299999999999999</v>
      </c>
    </row>
    <row r="3078" spans="1:18" x14ac:dyDescent="0.2">
      <c r="A3078" t="s">
        <v>5323</v>
      </c>
      <c r="B3078" t="s">
        <v>5326</v>
      </c>
      <c r="C3078">
        <v>2014</v>
      </c>
      <c r="D3078">
        <v>1</v>
      </c>
      <c r="E3078" t="s">
        <v>55</v>
      </c>
      <c r="F3078" t="s">
        <v>128</v>
      </c>
      <c r="G3078" t="s">
        <v>63</v>
      </c>
      <c r="H3078">
        <v>3</v>
      </c>
      <c r="I3078">
        <v>40.101371</v>
      </c>
      <c r="J3078">
        <v>1562</v>
      </c>
      <c r="M3078">
        <v>2.94</v>
      </c>
      <c r="O3078">
        <v>0.26200000000000001</v>
      </c>
      <c r="R3078">
        <v>1.1299999999999999</v>
      </c>
    </row>
    <row r="3079" spans="1:18" x14ac:dyDescent="0.2">
      <c r="A3079" t="s">
        <v>5327</v>
      </c>
      <c r="B3079" t="s">
        <v>5328</v>
      </c>
      <c r="C3079">
        <v>2016</v>
      </c>
      <c r="D3079">
        <v>1</v>
      </c>
      <c r="E3079" t="s">
        <v>55</v>
      </c>
      <c r="F3079" t="s">
        <v>128</v>
      </c>
      <c r="G3079" t="s">
        <v>63</v>
      </c>
      <c r="H3079">
        <v>1</v>
      </c>
      <c r="I3079">
        <v>8.2224196599999999</v>
      </c>
      <c r="J3079">
        <v>333</v>
      </c>
      <c r="K3079">
        <v>3.47</v>
      </c>
      <c r="M3079">
        <v>2.57</v>
      </c>
      <c r="O3079">
        <v>0.22900000000000001</v>
      </c>
      <c r="Q3079">
        <v>0.67</v>
      </c>
      <c r="R3079">
        <v>0.64</v>
      </c>
    </row>
    <row r="3080" spans="1:18" x14ac:dyDescent="0.2">
      <c r="A3080" t="s">
        <v>5329</v>
      </c>
      <c r="B3080" t="s">
        <v>5330</v>
      </c>
      <c r="C3080">
        <v>2016</v>
      </c>
      <c r="D3080">
        <v>1</v>
      </c>
      <c r="E3080" t="s">
        <v>55</v>
      </c>
      <c r="F3080" t="s">
        <v>128</v>
      </c>
      <c r="G3080" t="s">
        <v>63</v>
      </c>
      <c r="H3080">
        <v>1</v>
      </c>
      <c r="I3080">
        <v>40.606982100000003</v>
      </c>
      <c r="J3080">
        <v>833</v>
      </c>
      <c r="K3080">
        <v>4.07</v>
      </c>
      <c r="M3080">
        <v>2.63</v>
      </c>
      <c r="O3080">
        <v>0.23499999999999999</v>
      </c>
      <c r="Q3080">
        <v>1</v>
      </c>
      <c r="R3080">
        <v>1</v>
      </c>
    </row>
    <row r="3081" spans="1:18" x14ac:dyDescent="0.2">
      <c r="A3081" t="s">
        <v>5331</v>
      </c>
      <c r="B3081" t="s">
        <v>5332</v>
      </c>
      <c r="C3081">
        <v>2016</v>
      </c>
      <c r="D3081">
        <v>1</v>
      </c>
      <c r="E3081" t="s">
        <v>55</v>
      </c>
      <c r="F3081" t="s">
        <v>128</v>
      </c>
      <c r="G3081" t="s">
        <v>63</v>
      </c>
      <c r="H3081">
        <v>1</v>
      </c>
      <c r="I3081">
        <v>18.49235668</v>
      </c>
      <c r="J3081">
        <v>751</v>
      </c>
      <c r="K3081">
        <v>4.47</v>
      </c>
      <c r="M3081">
        <v>3.68</v>
      </c>
      <c r="O3081">
        <v>0.32800000000000001</v>
      </c>
      <c r="Q3081">
        <v>0.93</v>
      </c>
      <c r="R3081">
        <v>0.91</v>
      </c>
    </row>
    <row r="3082" spans="1:18" x14ac:dyDescent="0.2">
      <c r="A3082" t="s">
        <v>5333</v>
      </c>
      <c r="B3082" t="s">
        <v>5334</v>
      </c>
      <c r="C3082">
        <v>2016</v>
      </c>
      <c r="D3082">
        <v>1</v>
      </c>
      <c r="E3082" t="s">
        <v>55</v>
      </c>
      <c r="F3082" t="s">
        <v>128</v>
      </c>
      <c r="G3082" t="s">
        <v>63</v>
      </c>
      <c r="H3082">
        <v>1</v>
      </c>
      <c r="I3082">
        <v>6.5100252999999997</v>
      </c>
      <c r="J3082">
        <v>805</v>
      </c>
      <c r="K3082">
        <v>4.47</v>
      </c>
      <c r="M3082">
        <v>2.2799999999999998</v>
      </c>
      <c r="O3082">
        <v>0.20300000000000001</v>
      </c>
      <c r="Q3082">
        <v>0.94</v>
      </c>
      <c r="R3082">
        <v>0.91</v>
      </c>
    </row>
    <row r="3083" spans="1:18" x14ac:dyDescent="0.2">
      <c r="A3083" t="s">
        <v>5335</v>
      </c>
      <c r="B3083" t="s">
        <v>5336</v>
      </c>
      <c r="C3083">
        <v>2016</v>
      </c>
      <c r="D3083">
        <v>1</v>
      </c>
      <c r="E3083" t="s">
        <v>55</v>
      </c>
      <c r="F3083" t="s">
        <v>128</v>
      </c>
      <c r="G3083" t="s">
        <v>63</v>
      </c>
      <c r="H3083">
        <v>1</v>
      </c>
      <c r="I3083">
        <v>35.181030399999997</v>
      </c>
      <c r="J3083">
        <v>1445</v>
      </c>
      <c r="K3083">
        <v>2.88</v>
      </c>
      <c r="M3083">
        <v>4.21</v>
      </c>
      <c r="O3083">
        <v>0.376</v>
      </c>
      <c r="Q3083">
        <v>1.17</v>
      </c>
      <c r="R3083">
        <v>1.24</v>
      </c>
    </row>
    <row r="3084" spans="1:18" x14ac:dyDescent="0.2">
      <c r="A3084" t="s">
        <v>5337</v>
      </c>
      <c r="B3084" t="s">
        <v>5338</v>
      </c>
      <c r="C3084">
        <v>2016</v>
      </c>
      <c r="D3084">
        <v>1</v>
      </c>
      <c r="E3084" t="s">
        <v>55</v>
      </c>
      <c r="F3084" t="s">
        <v>128</v>
      </c>
      <c r="G3084" t="s">
        <v>63</v>
      </c>
      <c r="H3084">
        <v>1</v>
      </c>
      <c r="I3084">
        <v>2.7523597500000001</v>
      </c>
      <c r="J3084">
        <v>604</v>
      </c>
      <c r="K3084">
        <v>3.63</v>
      </c>
      <c r="M3084">
        <v>2.83</v>
      </c>
      <c r="O3084">
        <v>0.252</v>
      </c>
      <c r="Q3084">
        <v>0.96</v>
      </c>
      <c r="R3084">
        <v>0.93</v>
      </c>
    </row>
    <row r="3085" spans="1:18" x14ac:dyDescent="0.2">
      <c r="A3085" t="s">
        <v>5339</v>
      </c>
      <c r="B3085" t="s">
        <v>5340</v>
      </c>
      <c r="C3085">
        <v>2016</v>
      </c>
      <c r="D3085">
        <v>1</v>
      </c>
      <c r="E3085" t="s">
        <v>55</v>
      </c>
      <c r="F3085" t="s">
        <v>128</v>
      </c>
      <c r="G3085" t="s">
        <v>63</v>
      </c>
      <c r="H3085">
        <v>1</v>
      </c>
      <c r="I3085">
        <v>2.10472218</v>
      </c>
      <c r="J3085">
        <v>707</v>
      </c>
      <c r="K3085">
        <v>4.17</v>
      </c>
      <c r="M3085">
        <v>2.79</v>
      </c>
      <c r="O3085">
        <v>0.249</v>
      </c>
      <c r="Q3085">
        <v>0.94</v>
      </c>
      <c r="R3085">
        <v>0.92</v>
      </c>
    </row>
    <row r="3086" spans="1:18" x14ac:dyDescent="0.2">
      <c r="A3086" t="s">
        <v>5341</v>
      </c>
      <c r="B3086" t="s">
        <v>5342</v>
      </c>
      <c r="C3086">
        <v>2016</v>
      </c>
      <c r="D3086">
        <v>1</v>
      </c>
      <c r="E3086" t="s">
        <v>55</v>
      </c>
      <c r="F3086" t="s">
        <v>128</v>
      </c>
      <c r="G3086" t="s">
        <v>63</v>
      </c>
      <c r="H3086">
        <v>1</v>
      </c>
      <c r="I3086">
        <v>10.940278409999999</v>
      </c>
      <c r="J3086">
        <v>852</v>
      </c>
      <c r="K3086">
        <v>4.79</v>
      </c>
      <c r="M3086">
        <v>2.23</v>
      </c>
      <c r="O3086">
        <v>0.19900000000000001</v>
      </c>
      <c r="Q3086">
        <v>0.92</v>
      </c>
      <c r="R3086">
        <v>0.89</v>
      </c>
    </row>
    <row r="3087" spans="1:18" x14ac:dyDescent="0.2">
      <c r="A3087" t="s">
        <v>5343</v>
      </c>
      <c r="B3087" t="s">
        <v>5344</v>
      </c>
      <c r="C3087">
        <v>2016</v>
      </c>
      <c r="D3087">
        <v>1</v>
      </c>
      <c r="E3087" t="s">
        <v>55</v>
      </c>
      <c r="F3087" t="s">
        <v>128</v>
      </c>
      <c r="G3087" t="s">
        <v>63</v>
      </c>
      <c r="H3087">
        <v>1</v>
      </c>
      <c r="I3087">
        <v>4.22162536</v>
      </c>
      <c r="J3087">
        <v>972</v>
      </c>
      <c r="K3087">
        <v>4.07</v>
      </c>
      <c r="M3087">
        <v>2.63</v>
      </c>
      <c r="O3087">
        <v>0.23499999999999999</v>
      </c>
      <c r="Q3087">
        <v>1.01</v>
      </c>
      <c r="R3087">
        <v>1</v>
      </c>
    </row>
    <row r="3088" spans="1:18" x14ac:dyDescent="0.2">
      <c r="A3088" t="s">
        <v>5345</v>
      </c>
      <c r="B3088" t="s">
        <v>5346</v>
      </c>
      <c r="C3088">
        <v>2016</v>
      </c>
      <c r="D3088">
        <v>1</v>
      </c>
      <c r="E3088" t="s">
        <v>55</v>
      </c>
      <c r="F3088" t="s">
        <v>128</v>
      </c>
      <c r="G3088" t="s">
        <v>63</v>
      </c>
      <c r="H3088">
        <v>1</v>
      </c>
      <c r="I3088">
        <v>16.549649339999998</v>
      </c>
      <c r="J3088">
        <v>643</v>
      </c>
      <c r="K3088">
        <v>4.47</v>
      </c>
      <c r="M3088">
        <v>2.27</v>
      </c>
      <c r="O3088">
        <v>0.20300000000000001</v>
      </c>
      <c r="Q3088">
        <v>0.88</v>
      </c>
      <c r="R3088">
        <v>0.83</v>
      </c>
    </row>
    <row r="3089" spans="1:18" x14ac:dyDescent="0.2">
      <c r="A3089" t="s">
        <v>5347</v>
      </c>
      <c r="B3089" t="s">
        <v>5348</v>
      </c>
      <c r="C3089">
        <v>2012</v>
      </c>
      <c r="D3089">
        <v>1</v>
      </c>
      <c r="E3089" t="s">
        <v>55</v>
      </c>
      <c r="F3089" t="s">
        <v>128</v>
      </c>
      <c r="G3089" t="s">
        <v>63</v>
      </c>
      <c r="H3089">
        <v>2</v>
      </c>
      <c r="I3089">
        <v>11.8681707</v>
      </c>
      <c r="J3089">
        <v>1021</v>
      </c>
      <c r="L3089">
        <v>651.52</v>
      </c>
      <c r="M3089">
        <v>1.1000000000000001</v>
      </c>
      <c r="N3089">
        <v>2.0499999999999998</v>
      </c>
      <c r="O3089">
        <v>9.8000000000000004E-2</v>
      </c>
      <c r="Q3089">
        <v>1.04</v>
      </c>
      <c r="R3089">
        <v>0.94</v>
      </c>
    </row>
    <row r="3090" spans="1:18" x14ac:dyDescent="0.2">
      <c r="A3090" t="s">
        <v>5347</v>
      </c>
      <c r="B3090" t="s">
        <v>5349</v>
      </c>
      <c r="C3090">
        <v>2012</v>
      </c>
      <c r="D3090">
        <v>1</v>
      </c>
      <c r="E3090" t="s">
        <v>55</v>
      </c>
      <c r="F3090" t="s">
        <v>128</v>
      </c>
      <c r="G3090" t="s">
        <v>63</v>
      </c>
      <c r="H3090">
        <v>2</v>
      </c>
      <c r="I3090">
        <v>17.980123500000001</v>
      </c>
      <c r="J3090">
        <v>1021</v>
      </c>
      <c r="L3090">
        <v>435.41</v>
      </c>
      <c r="M3090">
        <v>1.98</v>
      </c>
      <c r="N3090">
        <v>1.37</v>
      </c>
      <c r="O3090">
        <v>0.17699999999999999</v>
      </c>
      <c r="Q3090">
        <v>1.04</v>
      </c>
      <c r="R3090">
        <v>0.94</v>
      </c>
    </row>
    <row r="3091" spans="1:18" x14ac:dyDescent="0.2">
      <c r="A3091" t="s">
        <v>5350</v>
      </c>
      <c r="B3091" t="s">
        <v>5351</v>
      </c>
      <c r="C3091">
        <v>2016</v>
      </c>
      <c r="D3091">
        <v>1</v>
      </c>
      <c r="E3091" t="s">
        <v>55</v>
      </c>
      <c r="F3091" t="s">
        <v>128</v>
      </c>
      <c r="G3091" t="s">
        <v>63</v>
      </c>
      <c r="H3091">
        <v>1</v>
      </c>
      <c r="I3091">
        <v>5.8529625699999999</v>
      </c>
      <c r="J3091">
        <v>986</v>
      </c>
      <c r="K3091">
        <v>3.55</v>
      </c>
      <c r="M3091">
        <v>4.0199999999999996</v>
      </c>
      <c r="O3091">
        <v>0.35899999999999999</v>
      </c>
      <c r="Q3091">
        <v>1.1000000000000001</v>
      </c>
      <c r="R3091">
        <v>1.1499999999999999</v>
      </c>
    </row>
    <row r="3092" spans="1:18" x14ac:dyDescent="0.2">
      <c r="A3092" t="s">
        <v>5352</v>
      </c>
      <c r="B3092" t="s">
        <v>5353</v>
      </c>
      <c r="C3092">
        <v>2016</v>
      </c>
      <c r="D3092">
        <v>1</v>
      </c>
      <c r="E3092" t="s">
        <v>55</v>
      </c>
      <c r="F3092" t="s">
        <v>128</v>
      </c>
      <c r="G3092" t="s">
        <v>63</v>
      </c>
      <c r="H3092">
        <v>1</v>
      </c>
      <c r="I3092">
        <v>81.169429899999997</v>
      </c>
      <c r="J3092">
        <v>793</v>
      </c>
      <c r="K3092">
        <v>4.17</v>
      </c>
      <c r="M3092">
        <v>3.39</v>
      </c>
      <c r="O3092">
        <v>0.30199999999999999</v>
      </c>
      <c r="Q3092">
        <v>0.97</v>
      </c>
      <c r="R3092">
        <v>0.94</v>
      </c>
    </row>
    <row r="3093" spans="1:18" x14ac:dyDescent="0.2">
      <c r="A3093" t="s">
        <v>5354</v>
      </c>
      <c r="B3093" t="s">
        <v>5355</v>
      </c>
      <c r="C3093">
        <v>2016</v>
      </c>
      <c r="D3093">
        <v>1</v>
      </c>
      <c r="E3093" t="s">
        <v>55</v>
      </c>
      <c r="F3093" t="s">
        <v>128</v>
      </c>
      <c r="G3093" t="s">
        <v>63</v>
      </c>
      <c r="H3093">
        <v>1</v>
      </c>
      <c r="I3093">
        <v>2.8201924100000002</v>
      </c>
      <c r="J3093">
        <v>1034</v>
      </c>
      <c r="K3093">
        <v>3.89</v>
      </c>
      <c r="M3093">
        <v>2.39</v>
      </c>
      <c r="O3093">
        <v>0.21299999999999999</v>
      </c>
      <c r="Q3093">
        <v>1.04</v>
      </c>
      <c r="R3093">
        <v>1.04</v>
      </c>
    </row>
    <row r="3094" spans="1:18" x14ac:dyDescent="0.2">
      <c r="A3094" t="s">
        <v>5356</v>
      </c>
      <c r="B3094" t="s">
        <v>5357</v>
      </c>
      <c r="C3094">
        <v>2016</v>
      </c>
      <c r="D3094">
        <v>1</v>
      </c>
      <c r="E3094" t="s">
        <v>55</v>
      </c>
      <c r="F3094" t="s">
        <v>128</v>
      </c>
      <c r="G3094" t="s">
        <v>63</v>
      </c>
      <c r="H3094">
        <v>1</v>
      </c>
      <c r="I3094">
        <v>21.217089730000001</v>
      </c>
      <c r="J3094">
        <v>1016</v>
      </c>
      <c r="K3094">
        <v>3.63</v>
      </c>
      <c r="M3094">
        <v>2.87</v>
      </c>
      <c r="O3094">
        <v>0.25600000000000001</v>
      </c>
      <c r="Q3094">
        <v>1.08</v>
      </c>
      <c r="R3094">
        <v>1.1000000000000001</v>
      </c>
    </row>
    <row r="3095" spans="1:18" x14ac:dyDescent="0.2">
      <c r="A3095" t="s">
        <v>5358</v>
      </c>
      <c r="B3095" t="s">
        <v>5359</v>
      </c>
      <c r="C3095">
        <v>2016</v>
      </c>
      <c r="D3095">
        <v>1</v>
      </c>
      <c r="E3095" t="s">
        <v>55</v>
      </c>
      <c r="F3095" t="s">
        <v>128</v>
      </c>
      <c r="G3095" t="s">
        <v>63</v>
      </c>
      <c r="H3095">
        <v>1</v>
      </c>
      <c r="I3095">
        <v>13.64618192</v>
      </c>
      <c r="J3095">
        <v>742</v>
      </c>
      <c r="K3095">
        <v>4.2699999999999996</v>
      </c>
      <c r="M3095">
        <v>2.1800000000000002</v>
      </c>
      <c r="O3095">
        <v>0.19400000000000001</v>
      </c>
      <c r="Q3095">
        <v>0.91</v>
      </c>
      <c r="R3095">
        <v>0.87</v>
      </c>
    </row>
    <row r="3096" spans="1:18" x14ac:dyDescent="0.2">
      <c r="A3096" t="s">
        <v>5360</v>
      </c>
      <c r="B3096" t="s">
        <v>5361</v>
      </c>
      <c r="C3096">
        <v>2016</v>
      </c>
      <c r="D3096">
        <v>1</v>
      </c>
      <c r="E3096" t="s">
        <v>55</v>
      </c>
      <c r="F3096" t="s">
        <v>128</v>
      </c>
      <c r="G3096" t="s">
        <v>63</v>
      </c>
      <c r="H3096">
        <v>1</v>
      </c>
      <c r="I3096">
        <v>25.302923320000001</v>
      </c>
      <c r="J3096">
        <v>639</v>
      </c>
      <c r="K3096">
        <v>4.9000000000000004</v>
      </c>
      <c r="M3096">
        <v>3.81</v>
      </c>
      <c r="O3096">
        <v>0.34</v>
      </c>
      <c r="Q3096">
        <v>0.87</v>
      </c>
      <c r="R3096">
        <v>0.83</v>
      </c>
    </row>
    <row r="3097" spans="1:18" x14ac:dyDescent="0.2">
      <c r="A3097" t="s">
        <v>5362</v>
      </c>
      <c r="B3097" t="s">
        <v>5363</v>
      </c>
      <c r="C3097">
        <v>2016</v>
      </c>
      <c r="D3097">
        <v>1</v>
      </c>
      <c r="E3097" t="s">
        <v>55</v>
      </c>
      <c r="F3097" t="s">
        <v>128</v>
      </c>
      <c r="G3097" t="s">
        <v>63</v>
      </c>
      <c r="H3097">
        <v>1</v>
      </c>
      <c r="I3097">
        <v>21.300226550000001</v>
      </c>
      <c r="J3097">
        <v>1083</v>
      </c>
      <c r="K3097">
        <v>2.69</v>
      </c>
      <c r="M3097">
        <v>3.46</v>
      </c>
      <c r="O3097">
        <v>0.309</v>
      </c>
      <c r="Q3097">
        <v>1.21</v>
      </c>
      <c r="R3097">
        <v>1.32</v>
      </c>
    </row>
    <row r="3098" spans="1:18" x14ac:dyDescent="0.2">
      <c r="A3098" t="s">
        <v>5364</v>
      </c>
      <c r="B3098" t="s">
        <v>5365</v>
      </c>
      <c r="C3098">
        <v>2016</v>
      </c>
      <c r="D3098">
        <v>1</v>
      </c>
      <c r="E3098" t="s">
        <v>55</v>
      </c>
      <c r="F3098" t="s">
        <v>128</v>
      </c>
      <c r="G3098" t="s">
        <v>63</v>
      </c>
      <c r="H3098">
        <v>1</v>
      </c>
      <c r="I3098">
        <v>13.02365861</v>
      </c>
      <c r="J3098">
        <v>660</v>
      </c>
      <c r="K3098">
        <v>4.2699999999999996</v>
      </c>
      <c r="M3098">
        <v>2.37</v>
      </c>
      <c r="O3098">
        <v>0.21099999999999999</v>
      </c>
      <c r="Q3098">
        <v>0.97</v>
      </c>
      <c r="R3098">
        <v>0.95</v>
      </c>
    </row>
    <row r="3099" spans="1:18" x14ac:dyDescent="0.2">
      <c r="A3099" t="s">
        <v>5366</v>
      </c>
      <c r="B3099" t="s">
        <v>5367</v>
      </c>
      <c r="C3099">
        <v>2016</v>
      </c>
      <c r="D3099">
        <v>1</v>
      </c>
      <c r="E3099" t="s">
        <v>55</v>
      </c>
      <c r="F3099" t="s">
        <v>128</v>
      </c>
      <c r="G3099" t="s">
        <v>63</v>
      </c>
      <c r="H3099">
        <v>1</v>
      </c>
      <c r="I3099">
        <v>3.7017542799999998</v>
      </c>
      <c r="J3099">
        <v>686</v>
      </c>
      <c r="K3099">
        <v>7.59</v>
      </c>
      <c r="M3099">
        <v>1.5</v>
      </c>
      <c r="O3099">
        <v>0.13400000000000001</v>
      </c>
      <c r="Q3099">
        <v>0.87</v>
      </c>
      <c r="R3099">
        <v>0.86</v>
      </c>
    </row>
    <row r="3100" spans="1:18" x14ac:dyDescent="0.2">
      <c r="A3100" t="s">
        <v>5368</v>
      </c>
      <c r="B3100" t="s">
        <v>5369</v>
      </c>
      <c r="C3100">
        <v>2016</v>
      </c>
      <c r="D3100">
        <v>1</v>
      </c>
      <c r="E3100" t="s">
        <v>55</v>
      </c>
      <c r="F3100" t="s">
        <v>128</v>
      </c>
      <c r="G3100" t="s">
        <v>63</v>
      </c>
      <c r="H3100">
        <v>1</v>
      </c>
      <c r="I3100">
        <v>15.65562652</v>
      </c>
      <c r="J3100">
        <v>627</v>
      </c>
      <c r="K3100">
        <v>5.01</v>
      </c>
      <c r="M3100">
        <v>2.84</v>
      </c>
      <c r="O3100">
        <v>0.253</v>
      </c>
      <c r="Q3100">
        <v>0.83</v>
      </c>
      <c r="R3100">
        <v>0.79</v>
      </c>
    </row>
    <row r="3101" spans="1:18" x14ac:dyDescent="0.2">
      <c r="A3101" t="s">
        <v>5370</v>
      </c>
      <c r="B3101" t="s">
        <v>5371</v>
      </c>
      <c r="C3101">
        <v>2009</v>
      </c>
      <c r="D3101">
        <v>1</v>
      </c>
      <c r="E3101" t="s">
        <v>55</v>
      </c>
      <c r="F3101" t="s">
        <v>128</v>
      </c>
      <c r="G3101" t="s">
        <v>63</v>
      </c>
      <c r="H3101">
        <v>1</v>
      </c>
      <c r="I3101">
        <v>3.2346995999999999</v>
      </c>
      <c r="J3101">
        <v>590</v>
      </c>
      <c r="L3101">
        <v>212.31044</v>
      </c>
      <c r="M3101">
        <v>14.617000000000001</v>
      </c>
      <c r="N3101">
        <v>0.66800000000000004</v>
      </c>
      <c r="O3101">
        <v>1.304</v>
      </c>
      <c r="P3101">
        <v>0.4</v>
      </c>
      <c r="Q3101">
        <v>1.21</v>
      </c>
      <c r="R3101">
        <v>1.39</v>
      </c>
    </row>
    <row r="3102" spans="1:18" x14ac:dyDescent="0.2">
      <c r="A3102" t="s">
        <v>5372</v>
      </c>
      <c r="B3102" t="s">
        <v>5373</v>
      </c>
      <c r="C3102">
        <v>2012</v>
      </c>
      <c r="D3102">
        <v>1</v>
      </c>
      <c r="E3102" t="s">
        <v>55</v>
      </c>
      <c r="F3102" t="s">
        <v>128</v>
      </c>
      <c r="G3102" t="s">
        <v>63</v>
      </c>
      <c r="H3102">
        <v>3</v>
      </c>
      <c r="I3102">
        <v>7.1334</v>
      </c>
      <c r="J3102">
        <v>899</v>
      </c>
      <c r="L3102">
        <v>4.1900000000000004</v>
      </c>
      <c r="M3102">
        <v>1.71</v>
      </c>
      <c r="N3102">
        <v>1.3180000000000001E-2</v>
      </c>
      <c r="O3102">
        <v>0.153</v>
      </c>
      <c r="P3102">
        <v>4.62</v>
      </c>
      <c r="Q3102">
        <v>1.04</v>
      </c>
      <c r="R3102">
        <v>1.26</v>
      </c>
    </row>
    <row r="3103" spans="1:18" x14ac:dyDescent="0.2">
      <c r="A3103" t="s">
        <v>5372</v>
      </c>
      <c r="B3103" t="s">
        <v>5374</v>
      </c>
      <c r="C3103">
        <v>2012</v>
      </c>
      <c r="D3103">
        <v>1</v>
      </c>
      <c r="E3103" t="s">
        <v>55</v>
      </c>
      <c r="F3103" t="s">
        <v>128</v>
      </c>
      <c r="G3103" t="s">
        <v>63</v>
      </c>
      <c r="H3103">
        <v>3</v>
      </c>
      <c r="I3103">
        <v>8.9186999999999994</v>
      </c>
      <c r="J3103">
        <v>899</v>
      </c>
      <c r="L3103">
        <v>3.85</v>
      </c>
      <c r="M3103">
        <v>1.9</v>
      </c>
      <c r="N3103">
        <v>1.2109999999999999E-2</v>
      </c>
      <c r="O3103">
        <v>0.17</v>
      </c>
      <c r="P3103">
        <v>3.06</v>
      </c>
      <c r="Q3103">
        <v>1.04</v>
      </c>
      <c r="R3103">
        <v>1.26</v>
      </c>
    </row>
    <row r="3104" spans="1:18" x14ac:dyDescent="0.2">
      <c r="A3104" t="s">
        <v>5372</v>
      </c>
      <c r="B3104" t="s">
        <v>5375</v>
      </c>
      <c r="C3104">
        <v>2012</v>
      </c>
      <c r="D3104">
        <v>1</v>
      </c>
      <c r="E3104" t="s">
        <v>55</v>
      </c>
      <c r="F3104" t="s">
        <v>128</v>
      </c>
      <c r="G3104" t="s">
        <v>63</v>
      </c>
      <c r="H3104">
        <v>3</v>
      </c>
      <c r="I3104">
        <v>11.898099999999999</v>
      </c>
      <c r="J3104">
        <v>899</v>
      </c>
      <c r="L3104">
        <v>4.16</v>
      </c>
      <c r="M3104">
        <v>1.99</v>
      </c>
      <c r="N3104">
        <v>1.3089999999999999E-2</v>
      </c>
      <c r="O3104">
        <v>0.17799999999999999</v>
      </c>
      <c r="P3104">
        <v>2.91</v>
      </c>
      <c r="Q3104">
        <v>1.04</v>
      </c>
      <c r="R3104">
        <v>1.26</v>
      </c>
    </row>
    <row r="3105" spans="1:18" x14ac:dyDescent="0.2">
      <c r="A3105" t="s">
        <v>5376</v>
      </c>
      <c r="B3105" t="s">
        <v>5377</v>
      </c>
      <c r="C3105">
        <v>2016</v>
      </c>
      <c r="D3105">
        <v>1</v>
      </c>
      <c r="E3105" t="s">
        <v>55</v>
      </c>
      <c r="F3105" t="s">
        <v>128</v>
      </c>
      <c r="G3105" t="s">
        <v>63</v>
      </c>
      <c r="H3105">
        <v>1</v>
      </c>
      <c r="I3105">
        <v>23.675176069999999</v>
      </c>
      <c r="J3105">
        <v>624</v>
      </c>
      <c r="K3105">
        <v>4.57</v>
      </c>
      <c r="M3105">
        <v>2.9</v>
      </c>
      <c r="O3105">
        <v>0.25900000000000001</v>
      </c>
      <c r="Q3105">
        <v>0.84</v>
      </c>
      <c r="R3105">
        <v>0.81</v>
      </c>
    </row>
    <row r="3106" spans="1:18" x14ac:dyDescent="0.2">
      <c r="A3106" t="s">
        <v>5378</v>
      </c>
      <c r="B3106" t="s">
        <v>5379</v>
      </c>
      <c r="C3106">
        <v>2016</v>
      </c>
      <c r="D3106">
        <v>1</v>
      </c>
      <c r="E3106" t="s">
        <v>55</v>
      </c>
      <c r="F3106" t="s">
        <v>128</v>
      </c>
      <c r="G3106" t="s">
        <v>63</v>
      </c>
      <c r="H3106">
        <v>1</v>
      </c>
      <c r="I3106">
        <v>5.3788684399999998</v>
      </c>
      <c r="J3106">
        <v>429</v>
      </c>
      <c r="K3106">
        <v>4.07</v>
      </c>
      <c r="M3106">
        <v>1.9</v>
      </c>
      <c r="O3106">
        <v>0.17</v>
      </c>
      <c r="Q3106">
        <v>0.85</v>
      </c>
      <c r="R3106">
        <v>0.79</v>
      </c>
    </row>
    <row r="3107" spans="1:18" x14ac:dyDescent="0.2">
      <c r="A3107" t="s">
        <v>5380</v>
      </c>
      <c r="B3107" t="s">
        <v>5381</v>
      </c>
      <c r="C3107">
        <v>2016</v>
      </c>
      <c r="D3107">
        <v>1</v>
      </c>
      <c r="E3107" t="s">
        <v>55</v>
      </c>
      <c r="F3107" t="s">
        <v>128</v>
      </c>
      <c r="G3107" t="s">
        <v>63</v>
      </c>
      <c r="H3107">
        <v>1</v>
      </c>
      <c r="I3107">
        <v>15.28469497</v>
      </c>
      <c r="J3107">
        <v>971</v>
      </c>
      <c r="K3107">
        <v>3.16</v>
      </c>
      <c r="M3107">
        <v>2.09</v>
      </c>
      <c r="O3107">
        <v>0.186</v>
      </c>
      <c r="Q3107">
        <v>1.08</v>
      </c>
      <c r="R3107">
        <v>1.1299999999999999</v>
      </c>
    </row>
    <row r="3108" spans="1:18" x14ac:dyDescent="0.2">
      <c r="A3108" t="s">
        <v>5382</v>
      </c>
      <c r="B3108" t="s">
        <v>5383</v>
      </c>
      <c r="C3108">
        <v>2016</v>
      </c>
      <c r="D3108">
        <v>1</v>
      </c>
      <c r="E3108" t="s">
        <v>55</v>
      </c>
      <c r="F3108" t="s">
        <v>128</v>
      </c>
      <c r="G3108" t="s">
        <v>63</v>
      </c>
      <c r="H3108">
        <v>3</v>
      </c>
      <c r="I3108">
        <v>21.053585959999999</v>
      </c>
      <c r="J3108">
        <v>967</v>
      </c>
      <c r="K3108">
        <v>4.37</v>
      </c>
      <c r="M3108">
        <v>2.65</v>
      </c>
      <c r="O3108">
        <v>0.23599999999999999</v>
      </c>
      <c r="Q3108">
        <v>1.01</v>
      </c>
      <c r="R3108">
        <v>1.01</v>
      </c>
    </row>
    <row r="3109" spans="1:18" x14ac:dyDescent="0.2">
      <c r="A3109" t="s">
        <v>5382</v>
      </c>
      <c r="B3109" t="s">
        <v>5384</v>
      </c>
      <c r="C3109">
        <v>2016</v>
      </c>
      <c r="D3109">
        <v>1</v>
      </c>
      <c r="E3109" t="s">
        <v>55</v>
      </c>
      <c r="F3109" t="s">
        <v>128</v>
      </c>
      <c r="G3109" t="s">
        <v>63</v>
      </c>
      <c r="H3109">
        <v>3</v>
      </c>
      <c r="I3109">
        <v>127.90757739999999</v>
      </c>
      <c r="J3109">
        <v>967</v>
      </c>
      <c r="K3109">
        <v>4.37</v>
      </c>
      <c r="M3109">
        <v>6.5</v>
      </c>
      <c r="O3109">
        <v>0.57999999999999996</v>
      </c>
      <c r="Q3109">
        <v>1.01</v>
      </c>
      <c r="R3109">
        <v>1.01</v>
      </c>
    </row>
    <row r="3110" spans="1:18" x14ac:dyDescent="0.2">
      <c r="A3110" t="s">
        <v>5382</v>
      </c>
      <c r="B3110" t="s">
        <v>5385</v>
      </c>
      <c r="C3110">
        <v>2016</v>
      </c>
      <c r="D3110">
        <v>1</v>
      </c>
      <c r="E3110" t="s">
        <v>55</v>
      </c>
      <c r="F3110" t="s">
        <v>128</v>
      </c>
      <c r="G3110" t="s">
        <v>63</v>
      </c>
      <c r="H3110">
        <v>3</v>
      </c>
      <c r="I3110">
        <v>6.2171291999999996</v>
      </c>
      <c r="J3110">
        <v>967</v>
      </c>
      <c r="K3110">
        <v>4.37</v>
      </c>
      <c r="M3110">
        <v>1.32</v>
      </c>
      <c r="O3110">
        <v>0.11799999999999999</v>
      </c>
      <c r="Q3110">
        <v>1.01</v>
      </c>
      <c r="R3110">
        <v>1.01</v>
      </c>
    </row>
    <row r="3111" spans="1:18" x14ac:dyDescent="0.2">
      <c r="A3111" t="s">
        <v>5386</v>
      </c>
      <c r="B3111" t="s">
        <v>5387</v>
      </c>
      <c r="C3111">
        <v>2016</v>
      </c>
      <c r="D3111">
        <v>1</v>
      </c>
      <c r="E3111" t="s">
        <v>55</v>
      </c>
      <c r="F3111" t="s">
        <v>128</v>
      </c>
      <c r="G3111" t="s">
        <v>63</v>
      </c>
      <c r="H3111">
        <v>1</v>
      </c>
      <c r="I3111">
        <v>25.85501786</v>
      </c>
      <c r="J3111">
        <v>981</v>
      </c>
      <c r="K3111">
        <v>3.72</v>
      </c>
      <c r="M3111">
        <v>2.59</v>
      </c>
      <c r="O3111">
        <v>0.23100000000000001</v>
      </c>
      <c r="Q3111">
        <v>1.02</v>
      </c>
      <c r="R3111">
        <v>1.03</v>
      </c>
    </row>
    <row r="3112" spans="1:18" x14ac:dyDescent="0.2">
      <c r="A3112" t="s">
        <v>5388</v>
      </c>
      <c r="B3112" t="s">
        <v>5389</v>
      </c>
      <c r="C3112">
        <v>2016</v>
      </c>
      <c r="D3112">
        <v>1</v>
      </c>
      <c r="E3112" t="s">
        <v>55</v>
      </c>
      <c r="F3112" t="s">
        <v>128</v>
      </c>
      <c r="G3112" t="s">
        <v>63</v>
      </c>
      <c r="H3112">
        <v>2</v>
      </c>
      <c r="I3112">
        <v>3.3835380700000002</v>
      </c>
      <c r="J3112">
        <v>570</v>
      </c>
      <c r="K3112">
        <v>4.47</v>
      </c>
      <c r="M3112">
        <v>1.44</v>
      </c>
      <c r="O3112">
        <v>0.128</v>
      </c>
      <c r="Q3112">
        <v>0.91</v>
      </c>
      <c r="R3112">
        <v>0.88</v>
      </c>
    </row>
    <row r="3113" spans="1:18" x14ac:dyDescent="0.2">
      <c r="A3113" t="s">
        <v>5388</v>
      </c>
      <c r="B3113" t="s">
        <v>5390</v>
      </c>
      <c r="C3113">
        <v>2016</v>
      </c>
      <c r="D3113">
        <v>1</v>
      </c>
      <c r="E3113" t="s">
        <v>55</v>
      </c>
      <c r="F3113" t="s">
        <v>128</v>
      </c>
      <c r="G3113" t="s">
        <v>63</v>
      </c>
      <c r="H3113">
        <v>2</v>
      </c>
      <c r="I3113">
        <v>2.3589515200000002</v>
      </c>
      <c r="J3113">
        <v>570</v>
      </c>
      <c r="K3113">
        <v>4.47</v>
      </c>
      <c r="M3113">
        <v>0.86</v>
      </c>
      <c r="O3113">
        <v>7.6999999999999999E-2</v>
      </c>
      <c r="Q3113">
        <v>0.91</v>
      </c>
      <c r="R3113">
        <v>0.88</v>
      </c>
    </row>
    <row r="3114" spans="1:18" x14ac:dyDescent="0.2">
      <c r="A3114" t="s">
        <v>5391</v>
      </c>
      <c r="B3114" t="s">
        <v>5392</v>
      </c>
      <c r="C3114">
        <v>2016</v>
      </c>
      <c r="D3114">
        <v>1</v>
      </c>
      <c r="E3114" t="s">
        <v>55</v>
      </c>
      <c r="F3114" t="s">
        <v>128</v>
      </c>
      <c r="G3114" t="s">
        <v>63</v>
      </c>
      <c r="H3114">
        <v>1</v>
      </c>
      <c r="I3114">
        <v>24.315759920000001</v>
      </c>
      <c r="J3114">
        <v>1208</v>
      </c>
      <c r="K3114">
        <v>2.88</v>
      </c>
      <c r="M3114">
        <v>3.31</v>
      </c>
      <c r="O3114">
        <v>0.29499999999999998</v>
      </c>
      <c r="Q3114">
        <v>1.1299999999999999</v>
      </c>
      <c r="R3114">
        <v>1.22</v>
      </c>
    </row>
    <row r="3115" spans="1:18" x14ac:dyDescent="0.2">
      <c r="A3115" t="s">
        <v>5393</v>
      </c>
      <c r="B3115" t="s">
        <v>5394</v>
      </c>
      <c r="C3115">
        <v>2016</v>
      </c>
      <c r="D3115">
        <v>1</v>
      </c>
      <c r="E3115" t="s">
        <v>55</v>
      </c>
      <c r="F3115" t="s">
        <v>128</v>
      </c>
      <c r="G3115" t="s">
        <v>63</v>
      </c>
      <c r="H3115">
        <v>1</v>
      </c>
      <c r="I3115">
        <v>0.63816320000000004</v>
      </c>
      <c r="J3115">
        <v>500</v>
      </c>
      <c r="K3115">
        <v>4.9000000000000004</v>
      </c>
      <c r="M3115">
        <v>0.87</v>
      </c>
      <c r="O3115">
        <v>7.8E-2</v>
      </c>
      <c r="Q3115">
        <v>0.84</v>
      </c>
      <c r="R3115">
        <v>0.8</v>
      </c>
    </row>
    <row r="3116" spans="1:18" x14ac:dyDescent="0.2">
      <c r="A3116" t="s">
        <v>5395</v>
      </c>
      <c r="B3116" t="s">
        <v>5396</v>
      </c>
      <c r="C3116">
        <v>2016</v>
      </c>
      <c r="D3116">
        <v>1</v>
      </c>
      <c r="E3116" t="s">
        <v>55</v>
      </c>
      <c r="F3116" t="s">
        <v>128</v>
      </c>
      <c r="G3116" t="s">
        <v>63</v>
      </c>
      <c r="H3116">
        <v>1</v>
      </c>
      <c r="I3116">
        <v>6.4125150399999997</v>
      </c>
      <c r="J3116">
        <v>926</v>
      </c>
      <c r="K3116">
        <v>3.8</v>
      </c>
      <c r="M3116">
        <v>3.64</v>
      </c>
      <c r="O3116">
        <v>0.32500000000000001</v>
      </c>
      <c r="Q3116">
        <v>1</v>
      </c>
      <c r="R3116">
        <v>1.01</v>
      </c>
    </row>
    <row r="3117" spans="1:18" x14ac:dyDescent="0.2">
      <c r="A3117" t="s">
        <v>5397</v>
      </c>
      <c r="B3117" t="s">
        <v>5398</v>
      </c>
      <c r="C3117">
        <v>2016</v>
      </c>
      <c r="D3117">
        <v>1</v>
      </c>
      <c r="E3117" t="s">
        <v>55</v>
      </c>
      <c r="F3117" t="s">
        <v>128</v>
      </c>
      <c r="G3117" t="s">
        <v>63</v>
      </c>
      <c r="H3117">
        <v>1</v>
      </c>
      <c r="I3117">
        <v>6.5212106700000003</v>
      </c>
      <c r="J3117">
        <v>1143</v>
      </c>
      <c r="K3117">
        <v>3.72</v>
      </c>
      <c r="M3117">
        <v>3.35</v>
      </c>
      <c r="O3117">
        <v>0.29899999999999999</v>
      </c>
      <c r="Q3117">
        <v>1.0900000000000001</v>
      </c>
      <c r="R3117">
        <v>1.1399999999999999</v>
      </c>
    </row>
    <row r="3118" spans="1:18" x14ac:dyDescent="0.2">
      <c r="A3118" t="s">
        <v>5399</v>
      </c>
      <c r="B3118" t="s">
        <v>5400</v>
      </c>
      <c r="C3118">
        <v>2013</v>
      </c>
      <c r="D3118">
        <v>1</v>
      </c>
      <c r="E3118" t="s">
        <v>55</v>
      </c>
      <c r="F3118" t="s">
        <v>128</v>
      </c>
      <c r="G3118" t="s">
        <v>63</v>
      </c>
      <c r="H3118">
        <v>1</v>
      </c>
      <c r="I3118">
        <v>59.877560000000003</v>
      </c>
      <c r="J3118">
        <v>314</v>
      </c>
      <c r="K3118">
        <v>1</v>
      </c>
      <c r="M3118">
        <v>2.15</v>
      </c>
      <c r="O3118">
        <v>0.192</v>
      </c>
      <c r="Q3118">
        <v>0.64</v>
      </c>
      <c r="R3118">
        <v>0.62</v>
      </c>
    </row>
    <row r="3119" spans="1:18" x14ac:dyDescent="0.2">
      <c r="A3119" t="s">
        <v>5401</v>
      </c>
      <c r="B3119" t="s">
        <v>5402</v>
      </c>
      <c r="C3119">
        <v>2016</v>
      </c>
      <c r="D3119">
        <v>1</v>
      </c>
      <c r="E3119" t="s">
        <v>55</v>
      </c>
      <c r="F3119" t="s">
        <v>128</v>
      </c>
      <c r="G3119" t="s">
        <v>63</v>
      </c>
      <c r="H3119">
        <v>2</v>
      </c>
      <c r="I3119">
        <v>6.9969265500000004</v>
      </c>
      <c r="J3119">
        <v>1113</v>
      </c>
      <c r="K3119">
        <v>3.55</v>
      </c>
      <c r="M3119">
        <v>4.1900000000000004</v>
      </c>
      <c r="O3119">
        <v>0.374</v>
      </c>
      <c r="Q3119">
        <v>1.1000000000000001</v>
      </c>
      <c r="R3119">
        <v>1.1299999999999999</v>
      </c>
    </row>
    <row r="3120" spans="1:18" x14ac:dyDescent="0.2">
      <c r="A3120" t="s">
        <v>5401</v>
      </c>
      <c r="B3120" t="s">
        <v>5403</v>
      </c>
      <c r="C3120">
        <v>2016</v>
      </c>
      <c r="D3120">
        <v>1</v>
      </c>
      <c r="E3120" t="s">
        <v>55</v>
      </c>
      <c r="F3120" t="s">
        <v>128</v>
      </c>
      <c r="G3120" t="s">
        <v>63</v>
      </c>
      <c r="H3120">
        <v>2</v>
      </c>
      <c r="I3120">
        <v>151.86392000000001</v>
      </c>
      <c r="J3120">
        <v>1113</v>
      </c>
      <c r="K3120">
        <v>3.55</v>
      </c>
      <c r="M3120">
        <v>3.3</v>
      </c>
      <c r="O3120">
        <v>0.29399999999999998</v>
      </c>
      <c r="Q3120">
        <v>1.1000000000000001</v>
      </c>
      <c r="R3120">
        <v>1.1299999999999999</v>
      </c>
    </row>
    <row r="3121" spans="1:19" x14ac:dyDescent="0.2">
      <c r="A3121" t="s">
        <v>5404</v>
      </c>
      <c r="B3121" t="s">
        <v>5405</v>
      </c>
      <c r="C3121">
        <v>2016</v>
      </c>
      <c r="D3121">
        <v>1</v>
      </c>
      <c r="E3121" t="s">
        <v>55</v>
      </c>
      <c r="F3121" t="s">
        <v>128</v>
      </c>
      <c r="G3121" t="s">
        <v>63</v>
      </c>
      <c r="H3121">
        <v>1</v>
      </c>
      <c r="I3121">
        <v>2.4370333</v>
      </c>
      <c r="J3121">
        <v>906</v>
      </c>
      <c r="K3121">
        <v>4.47</v>
      </c>
      <c r="M3121">
        <v>1.65</v>
      </c>
      <c r="O3121">
        <v>0.14699999999999999</v>
      </c>
      <c r="Q3121">
        <v>1.01</v>
      </c>
      <c r="R3121">
        <v>1.01</v>
      </c>
    </row>
    <row r="3122" spans="1:19" x14ac:dyDescent="0.2">
      <c r="A3122" t="s">
        <v>5406</v>
      </c>
      <c r="B3122" t="s">
        <v>5407</v>
      </c>
      <c r="C3122">
        <v>2016</v>
      </c>
      <c r="D3122">
        <v>1</v>
      </c>
      <c r="E3122" t="s">
        <v>55</v>
      </c>
      <c r="F3122" t="s">
        <v>128</v>
      </c>
      <c r="G3122" t="s">
        <v>63</v>
      </c>
      <c r="H3122">
        <v>1</v>
      </c>
      <c r="I3122">
        <v>3.7221564100000002</v>
      </c>
      <c r="J3122">
        <v>932</v>
      </c>
      <c r="K3122">
        <v>4.47</v>
      </c>
      <c r="M3122">
        <v>2.84</v>
      </c>
      <c r="O3122">
        <v>0.253</v>
      </c>
      <c r="Q3122">
        <v>0.98</v>
      </c>
      <c r="R3122">
        <v>0.96</v>
      </c>
    </row>
    <row r="3123" spans="1:19" x14ac:dyDescent="0.2">
      <c r="A3123" t="s">
        <v>5408</v>
      </c>
      <c r="B3123" t="s">
        <v>5409</v>
      </c>
      <c r="C3123">
        <v>2016</v>
      </c>
      <c r="D3123">
        <v>1</v>
      </c>
      <c r="E3123" t="s">
        <v>55</v>
      </c>
      <c r="F3123" t="s">
        <v>128</v>
      </c>
      <c r="G3123" t="s">
        <v>63</v>
      </c>
      <c r="H3123">
        <v>1</v>
      </c>
      <c r="I3123">
        <v>15.77979614</v>
      </c>
      <c r="J3123">
        <v>864</v>
      </c>
      <c r="K3123">
        <v>4.2699999999999996</v>
      </c>
      <c r="M3123">
        <v>2.29</v>
      </c>
      <c r="O3123">
        <v>0.20399999999999999</v>
      </c>
      <c r="Q3123">
        <v>0.98</v>
      </c>
      <c r="R3123">
        <v>0.96</v>
      </c>
    </row>
    <row r="3124" spans="1:19" x14ac:dyDescent="0.2">
      <c r="A3124" t="s">
        <v>5410</v>
      </c>
      <c r="B3124" t="s">
        <v>5411</v>
      </c>
      <c r="C3124">
        <v>2016</v>
      </c>
      <c r="D3124">
        <v>1</v>
      </c>
      <c r="E3124" t="s">
        <v>55</v>
      </c>
      <c r="F3124" t="s">
        <v>128</v>
      </c>
      <c r="G3124" t="s">
        <v>63</v>
      </c>
      <c r="H3124">
        <v>1</v>
      </c>
      <c r="I3124">
        <v>14.034915140000001</v>
      </c>
      <c r="J3124">
        <v>571</v>
      </c>
      <c r="K3124">
        <v>4.79</v>
      </c>
      <c r="M3124">
        <v>2.39</v>
      </c>
      <c r="O3124">
        <v>0.21299999999999999</v>
      </c>
      <c r="Q3124">
        <v>0.85</v>
      </c>
      <c r="R3124">
        <v>0.81</v>
      </c>
    </row>
    <row r="3125" spans="1:19" x14ac:dyDescent="0.2">
      <c r="A3125" t="s">
        <v>5412</v>
      </c>
      <c r="B3125" t="s">
        <v>5413</v>
      </c>
      <c r="C3125">
        <v>2016</v>
      </c>
      <c r="D3125">
        <v>1</v>
      </c>
      <c r="E3125" t="s">
        <v>55</v>
      </c>
      <c r="F3125" t="s">
        <v>128</v>
      </c>
      <c r="G3125" t="s">
        <v>63</v>
      </c>
      <c r="H3125">
        <v>1</v>
      </c>
      <c r="I3125">
        <v>10.355846570000001</v>
      </c>
      <c r="J3125">
        <v>330</v>
      </c>
      <c r="K3125">
        <v>3.72</v>
      </c>
      <c r="M3125">
        <v>1.74</v>
      </c>
      <c r="O3125">
        <v>0.155</v>
      </c>
      <c r="Q3125">
        <v>0.73</v>
      </c>
      <c r="R3125">
        <v>0.69</v>
      </c>
    </row>
    <row r="3126" spans="1:19" x14ac:dyDescent="0.2">
      <c r="A3126" t="s">
        <v>5414</v>
      </c>
      <c r="B3126" t="s">
        <v>5415</v>
      </c>
      <c r="C3126">
        <v>2016</v>
      </c>
      <c r="D3126">
        <v>1</v>
      </c>
      <c r="E3126" t="s">
        <v>55</v>
      </c>
      <c r="F3126" t="s">
        <v>128</v>
      </c>
      <c r="G3126" t="s">
        <v>63</v>
      </c>
      <c r="H3126">
        <v>2</v>
      </c>
      <c r="I3126">
        <v>9.9976185100000006</v>
      </c>
      <c r="J3126">
        <v>1019</v>
      </c>
      <c r="K3126">
        <v>3.89</v>
      </c>
      <c r="M3126">
        <v>2.4300000000000002</v>
      </c>
      <c r="O3126">
        <v>0.217</v>
      </c>
      <c r="Q3126">
        <v>0.98</v>
      </c>
      <c r="R3126">
        <v>0.97</v>
      </c>
    </row>
    <row r="3127" spans="1:19" x14ac:dyDescent="0.2">
      <c r="A3127" t="s">
        <v>5414</v>
      </c>
      <c r="B3127" t="s">
        <v>5416</v>
      </c>
      <c r="C3127">
        <v>2016</v>
      </c>
      <c r="D3127">
        <v>1</v>
      </c>
      <c r="E3127" t="s">
        <v>55</v>
      </c>
      <c r="F3127" t="s">
        <v>128</v>
      </c>
      <c r="G3127" t="s">
        <v>63</v>
      </c>
      <c r="H3127">
        <v>2</v>
      </c>
      <c r="I3127">
        <v>90.411355599999993</v>
      </c>
      <c r="J3127">
        <v>1019</v>
      </c>
      <c r="K3127">
        <v>3.89</v>
      </c>
      <c r="M3127">
        <v>3.41</v>
      </c>
      <c r="O3127">
        <v>0.30399999999999999</v>
      </c>
      <c r="Q3127">
        <v>0.98</v>
      </c>
      <c r="R3127">
        <v>0.97</v>
      </c>
    </row>
    <row r="3128" spans="1:19" x14ac:dyDescent="0.2">
      <c r="A3128" t="s">
        <v>5417</v>
      </c>
      <c r="B3128" t="s">
        <v>5418</v>
      </c>
      <c r="C3128">
        <v>2016</v>
      </c>
      <c r="D3128">
        <v>1</v>
      </c>
      <c r="E3128" t="s">
        <v>55</v>
      </c>
      <c r="F3128" t="s">
        <v>128</v>
      </c>
      <c r="G3128" t="s">
        <v>63</v>
      </c>
      <c r="H3128">
        <v>1</v>
      </c>
      <c r="I3128">
        <v>1.6826961499999999</v>
      </c>
      <c r="J3128">
        <v>150</v>
      </c>
      <c r="K3128">
        <v>3.98</v>
      </c>
      <c r="M3128">
        <v>1.32</v>
      </c>
      <c r="O3128">
        <v>0.11799999999999999</v>
      </c>
      <c r="Q3128">
        <v>0.51</v>
      </c>
      <c r="R3128">
        <v>0.48</v>
      </c>
    </row>
    <row r="3129" spans="1:19" x14ac:dyDescent="0.2">
      <c r="A3129" t="s">
        <v>5419</v>
      </c>
      <c r="B3129" t="s">
        <v>5420</v>
      </c>
      <c r="C3129">
        <v>2016</v>
      </c>
      <c r="D3129">
        <v>1</v>
      </c>
      <c r="E3129" t="s">
        <v>55</v>
      </c>
      <c r="F3129" t="s">
        <v>128</v>
      </c>
      <c r="G3129" t="s">
        <v>63</v>
      </c>
      <c r="H3129">
        <v>1</v>
      </c>
      <c r="I3129">
        <v>3.5957696399999999</v>
      </c>
      <c r="J3129">
        <v>1115</v>
      </c>
      <c r="K3129">
        <v>4.2699999999999996</v>
      </c>
      <c r="M3129">
        <v>2.6</v>
      </c>
      <c r="O3129">
        <v>0.23200000000000001</v>
      </c>
      <c r="Q3129">
        <v>1.05</v>
      </c>
      <c r="R3129">
        <v>1.08</v>
      </c>
    </row>
    <row r="3130" spans="1:19" x14ac:dyDescent="0.2">
      <c r="A3130" t="s">
        <v>5421</v>
      </c>
      <c r="B3130" t="s">
        <v>5422</v>
      </c>
      <c r="C3130">
        <v>2016</v>
      </c>
      <c r="D3130">
        <v>1</v>
      </c>
      <c r="E3130" t="s">
        <v>55</v>
      </c>
      <c r="F3130" t="s">
        <v>128</v>
      </c>
      <c r="G3130" t="s">
        <v>63</v>
      </c>
      <c r="H3130">
        <v>2</v>
      </c>
      <c r="I3130">
        <v>5.4042722000000003</v>
      </c>
      <c r="J3130">
        <v>1111</v>
      </c>
      <c r="K3130">
        <v>3.47</v>
      </c>
      <c r="M3130">
        <v>3.16</v>
      </c>
      <c r="O3130">
        <v>0.28199999999999997</v>
      </c>
      <c r="Q3130">
        <v>1.0900000000000001</v>
      </c>
      <c r="R3130">
        <v>1.1100000000000001</v>
      </c>
    </row>
    <row r="3131" spans="1:19" x14ac:dyDescent="0.2">
      <c r="A3131" t="s">
        <v>5421</v>
      </c>
      <c r="B3131" t="s">
        <v>5423</v>
      </c>
      <c r="C3131">
        <v>2016</v>
      </c>
      <c r="D3131">
        <v>1</v>
      </c>
      <c r="E3131" t="s">
        <v>55</v>
      </c>
      <c r="F3131" t="s">
        <v>128</v>
      </c>
      <c r="G3131" t="s">
        <v>63</v>
      </c>
      <c r="H3131">
        <v>2</v>
      </c>
      <c r="I3131">
        <v>1.2084650299999999</v>
      </c>
      <c r="J3131">
        <v>1111</v>
      </c>
      <c r="K3131">
        <v>3.47</v>
      </c>
      <c r="M3131">
        <v>1.69</v>
      </c>
      <c r="O3131">
        <v>0.151</v>
      </c>
      <c r="Q3131">
        <v>1.0900000000000001</v>
      </c>
      <c r="R3131">
        <v>1.1100000000000001</v>
      </c>
    </row>
    <row r="3132" spans="1:19" x14ac:dyDescent="0.2">
      <c r="A3132" t="s">
        <v>5424</v>
      </c>
      <c r="B3132" t="s">
        <v>5425</v>
      </c>
      <c r="C3132">
        <v>2013</v>
      </c>
      <c r="D3132">
        <v>1</v>
      </c>
      <c r="E3132" t="s">
        <v>55</v>
      </c>
      <c r="F3132" t="s">
        <v>128</v>
      </c>
      <c r="G3132" t="s">
        <v>63</v>
      </c>
      <c r="H3132">
        <v>5</v>
      </c>
      <c r="I3132">
        <v>5.7149320000000001</v>
      </c>
      <c r="J3132">
        <v>368</v>
      </c>
      <c r="K3132">
        <v>7</v>
      </c>
      <c r="L3132">
        <v>9</v>
      </c>
      <c r="M3132">
        <v>1.31</v>
      </c>
      <c r="N3132">
        <v>0.03</v>
      </c>
      <c r="O3132">
        <v>0.11700000000000001</v>
      </c>
      <c r="Q3132">
        <v>0.69</v>
      </c>
      <c r="R3132">
        <v>0.64</v>
      </c>
      <c r="S3132">
        <v>3.8</v>
      </c>
    </row>
    <row r="3133" spans="1:19" x14ac:dyDescent="0.2">
      <c r="A3133" t="s">
        <v>5424</v>
      </c>
      <c r="B3133" t="s">
        <v>5426</v>
      </c>
      <c r="C3133">
        <v>2013</v>
      </c>
      <c r="D3133">
        <v>1</v>
      </c>
      <c r="E3133" t="s">
        <v>55</v>
      </c>
      <c r="F3133" t="s">
        <v>128</v>
      </c>
      <c r="G3133" t="s">
        <v>63</v>
      </c>
      <c r="H3133">
        <v>5</v>
      </c>
      <c r="I3133">
        <v>12.441700000000001</v>
      </c>
      <c r="J3133">
        <v>368</v>
      </c>
      <c r="K3133">
        <v>7</v>
      </c>
      <c r="L3133">
        <v>4</v>
      </c>
      <c r="M3133">
        <v>0.54</v>
      </c>
      <c r="N3133">
        <v>1.2999999999999999E-2</v>
      </c>
      <c r="O3133">
        <v>4.8000000000000001E-2</v>
      </c>
      <c r="Q3133">
        <v>0.69</v>
      </c>
      <c r="R3133">
        <v>0.64</v>
      </c>
      <c r="S3133">
        <v>3.8</v>
      </c>
    </row>
    <row r="3134" spans="1:19" x14ac:dyDescent="0.2">
      <c r="A3134" t="s">
        <v>5424</v>
      </c>
      <c r="B3134" t="s">
        <v>5427</v>
      </c>
      <c r="C3134">
        <v>2013</v>
      </c>
      <c r="D3134">
        <v>1</v>
      </c>
      <c r="E3134" t="s">
        <v>55</v>
      </c>
      <c r="F3134" t="s">
        <v>128</v>
      </c>
      <c r="G3134" t="s">
        <v>63</v>
      </c>
      <c r="H3134">
        <v>5</v>
      </c>
      <c r="I3134">
        <v>18.164059999999999</v>
      </c>
      <c r="J3134">
        <v>368</v>
      </c>
      <c r="K3134">
        <v>7</v>
      </c>
      <c r="L3134">
        <v>14</v>
      </c>
      <c r="M3134">
        <v>1.95</v>
      </c>
      <c r="N3134">
        <v>4.3999999999999997E-2</v>
      </c>
      <c r="O3134">
        <v>0.17399999999999999</v>
      </c>
      <c r="Q3134">
        <v>0.69</v>
      </c>
      <c r="R3134">
        <v>0.64</v>
      </c>
      <c r="S3134">
        <v>3.8</v>
      </c>
    </row>
    <row r="3135" spans="1:19" x14ac:dyDescent="0.2">
      <c r="A3135" t="s">
        <v>5424</v>
      </c>
      <c r="B3135" t="s">
        <v>5428</v>
      </c>
      <c r="C3135">
        <v>2013</v>
      </c>
      <c r="D3135">
        <v>1</v>
      </c>
      <c r="E3135" t="s">
        <v>55</v>
      </c>
      <c r="F3135" t="s">
        <v>128</v>
      </c>
      <c r="G3135" t="s">
        <v>63</v>
      </c>
      <c r="H3135">
        <v>5</v>
      </c>
      <c r="I3135">
        <v>122.3874</v>
      </c>
      <c r="J3135">
        <v>368</v>
      </c>
      <c r="K3135">
        <v>7</v>
      </c>
      <c r="L3135">
        <v>36</v>
      </c>
      <c r="M3135">
        <v>1.61</v>
      </c>
      <c r="N3135">
        <v>0.113</v>
      </c>
      <c r="O3135">
        <v>0.14399999999999999</v>
      </c>
      <c r="Q3135">
        <v>0.69</v>
      </c>
      <c r="R3135">
        <v>0.64</v>
      </c>
      <c r="S3135">
        <v>3.8</v>
      </c>
    </row>
    <row r="3136" spans="1:19" x14ac:dyDescent="0.2">
      <c r="A3136" t="s">
        <v>5424</v>
      </c>
      <c r="B3136" t="s">
        <v>5429</v>
      </c>
      <c r="C3136">
        <v>2013</v>
      </c>
      <c r="D3136">
        <v>1</v>
      </c>
      <c r="E3136" t="s">
        <v>55</v>
      </c>
      <c r="F3136" t="s">
        <v>128</v>
      </c>
      <c r="G3136" t="s">
        <v>63</v>
      </c>
      <c r="H3136">
        <v>5</v>
      </c>
      <c r="I3136">
        <v>267.291</v>
      </c>
      <c r="J3136">
        <v>368</v>
      </c>
      <c r="K3136">
        <v>7</v>
      </c>
      <c r="L3136">
        <v>35</v>
      </c>
      <c r="M3136">
        <v>1.41</v>
      </c>
      <c r="N3136">
        <v>0.11</v>
      </c>
      <c r="O3136">
        <v>0.126</v>
      </c>
      <c r="Q3136">
        <v>0.69</v>
      </c>
      <c r="R3136">
        <v>0.64</v>
      </c>
      <c r="S3136">
        <v>3.8</v>
      </c>
    </row>
    <row r="3137" spans="1:19" x14ac:dyDescent="0.2">
      <c r="A3137" t="s">
        <v>5430</v>
      </c>
      <c r="B3137" t="s">
        <v>5431</v>
      </c>
      <c r="C3137">
        <v>2016</v>
      </c>
      <c r="D3137">
        <v>1</v>
      </c>
      <c r="E3137" t="s">
        <v>55</v>
      </c>
      <c r="F3137" t="s">
        <v>128</v>
      </c>
      <c r="G3137" t="s">
        <v>63</v>
      </c>
      <c r="H3137">
        <v>1</v>
      </c>
      <c r="I3137">
        <v>12.91375431</v>
      </c>
      <c r="J3137">
        <v>1241</v>
      </c>
      <c r="K3137">
        <v>3.02</v>
      </c>
      <c r="M3137">
        <v>3.32</v>
      </c>
      <c r="O3137">
        <v>0.29599999999999999</v>
      </c>
      <c r="Q3137">
        <v>1.1499999999999999</v>
      </c>
      <c r="R3137">
        <v>1.22</v>
      </c>
    </row>
    <row r="3138" spans="1:19" x14ac:dyDescent="0.2">
      <c r="A3138" t="s">
        <v>5432</v>
      </c>
      <c r="B3138" t="s">
        <v>5433</v>
      </c>
      <c r="C3138">
        <v>2016</v>
      </c>
      <c r="D3138">
        <v>1</v>
      </c>
      <c r="E3138" t="s">
        <v>55</v>
      </c>
      <c r="F3138" t="s">
        <v>128</v>
      </c>
      <c r="G3138" t="s">
        <v>63</v>
      </c>
      <c r="H3138">
        <v>1</v>
      </c>
      <c r="I3138">
        <v>2.6281137499999998</v>
      </c>
      <c r="J3138">
        <v>389</v>
      </c>
      <c r="K3138">
        <v>3.63</v>
      </c>
      <c r="M3138">
        <v>2.2999999999999998</v>
      </c>
      <c r="O3138">
        <v>0.20499999999999999</v>
      </c>
      <c r="Q3138">
        <v>0.72</v>
      </c>
      <c r="R3138">
        <v>0.68</v>
      </c>
    </row>
    <row r="3139" spans="1:19" x14ac:dyDescent="0.2">
      <c r="A3139" t="s">
        <v>5434</v>
      </c>
      <c r="B3139" t="s">
        <v>5435</v>
      </c>
      <c r="C3139">
        <v>2016</v>
      </c>
      <c r="D3139">
        <v>1</v>
      </c>
      <c r="E3139" t="s">
        <v>55</v>
      </c>
      <c r="F3139" t="s">
        <v>128</v>
      </c>
      <c r="G3139" t="s">
        <v>63</v>
      </c>
      <c r="H3139">
        <v>1</v>
      </c>
      <c r="I3139">
        <v>14.282266760000001</v>
      </c>
      <c r="J3139">
        <v>259</v>
      </c>
      <c r="K3139">
        <v>3.47</v>
      </c>
      <c r="M3139">
        <v>2.13</v>
      </c>
      <c r="O3139">
        <v>0.19</v>
      </c>
      <c r="Q3139">
        <v>0.64</v>
      </c>
      <c r="R3139">
        <v>0.61</v>
      </c>
    </row>
    <row r="3140" spans="1:19" x14ac:dyDescent="0.2">
      <c r="A3140" t="s">
        <v>5436</v>
      </c>
      <c r="B3140" t="s">
        <v>5437</v>
      </c>
      <c r="C3140">
        <v>2016</v>
      </c>
      <c r="D3140">
        <v>1</v>
      </c>
      <c r="E3140" t="s">
        <v>55</v>
      </c>
      <c r="F3140" t="s">
        <v>128</v>
      </c>
      <c r="G3140" t="s">
        <v>63</v>
      </c>
      <c r="H3140">
        <v>1</v>
      </c>
      <c r="I3140">
        <v>9.0709773400000007</v>
      </c>
      <c r="J3140">
        <v>811</v>
      </c>
      <c r="K3140">
        <v>4.47</v>
      </c>
      <c r="M3140">
        <v>3.01</v>
      </c>
      <c r="O3140">
        <v>0.26900000000000002</v>
      </c>
      <c r="Q3140">
        <v>0.9</v>
      </c>
      <c r="R3140">
        <v>0.86</v>
      </c>
    </row>
    <row r="3141" spans="1:19" x14ac:dyDescent="0.2">
      <c r="A3141" t="s">
        <v>5438</v>
      </c>
      <c r="B3141" t="s">
        <v>5439</v>
      </c>
      <c r="C3141">
        <v>2016</v>
      </c>
      <c r="D3141">
        <v>1</v>
      </c>
      <c r="E3141" t="s">
        <v>55</v>
      </c>
      <c r="F3141" t="s">
        <v>128</v>
      </c>
      <c r="G3141" t="s">
        <v>63</v>
      </c>
      <c r="H3141">
        <v>1</v>
      </c>
      <c r="I3141">
        <v>14.586496070000001</v>
      </c>
      <c r="J3141">
        <v>731</v>
      </c>
      <c r="K3141">
        <v>3.72</v>
      </c>
      <c r="M3141">
        <v>2.31</v>
      </c>
      <c r="O3141">
        <v>0.20599999999999999</v>
      </c>
      <c r="Q3141">
        <v>1.1000000000000001</v>
      </c>
      <c r="R3141">
        <v>1.18</v>
      </c>
    </row>
    <row r="3142" spans="1:19" x14ac:dyDescent="0.2">
      <c r="A3142" t="s">
        <v>5440</v>
      </c>
      <c r="B3142" t="s">
        <v>5441</v>
      </c>
      <c r="C3142">
        <v>2016</v>
      </c>
      <c r="D3142">
        <v>1</v>
      </c>
      <c r="E3142" t="s">
        <v>55</v>
      </c>
      <c r="F3142" t="s">
        <v>128</v>
      </c>
      <c r="G3142" t="s">
        <v>63</v>
      </c>
      <c r="H3142">
        <v>2</v>
      </c>
      <c r="I3142">
        <v>7.7519249200000004</v>
      </c>
      <c r="J3142">
        <v>502</v>
      </c>
      <c r="K3142">
        <v>1.51</v>
      </c>
      <c r="M3142">
        <v>1.99</v>
      </c>
      <c r="O3142">
        <v>0.17799999999999999</v>
      </c>
      <c r="Q3142">
        <v>1.04</v>
      </c>
      <c r="R3142">
        <v>0.96</v>
      </c>
    </row>
    <row r="3143" spans="1:19" x14ac:dyDescent="0.2">
      <c r="A3143" t="s">
        <v>5440</v>
      </c>
      <c r="B3143" t="s">
        <v>5442</v>
      </c>
      <c r="C3143">
        <v>2016</v>
      </c>
      <c r="D3143">
        <v>1</v>
      </c>
      <c r="E3143" t="s">
        <v>55</v>
      </c>
      <c r="F3143" t="s">
        <v>128</v>
      </c>
      <c r="G3143" t="s">
        <v>63</v>
      </c>
      <c r="H3143">
        <v>2</v>
      </c>
      <c r="I3143">
        <v>4.1653650999999998</v>
      </c>
      <c r="J3143">
        <v>502</v>
      </c>
      <c r="K3143">
        <v>1.51</v>
      </c>
      <c r="M3143">
        <v>1.05</v>
      </c>
      <c r="O3143">
        <v>9.4E-2</v>
      </c>
      <c r="Q3143">
        <v>1.04</v>
      </c>
      <c r="R3143">
        <v>0.96</v>
      </c>
    </row>
    <row r="3144" spans="1:19" x14ac:dyDescent="0.2">
      <c r="A3144" t="s">
        <v>5443</v>
      </c>
      <c r="B3144" t="s">
        <v>5444</v>
      </c>
      <c r="C3144">
        <v>2016</v>
      </c>
      <c r="D3144">
        <v>1</v>
      </c>
      <c r="E3144" t="s">
        <v>55</v>
      </c>
      <c r="F3144" t="s">
        <v>128</v>
      </c>
      <c r="G3144" t="s">
        <v>63</v>
      </c>
      <c r="H3144">
        <v>1</v>
      </c>
      <c r="I3144">
        <v>14.48585199</v>
      </c>
      <c r="J3144">
        <v>690</v>
      </c>
      <c r="K3144">
        <v>5.37</v>
      </c>
      <c r="M3144">
        <v>2.29</v>
      </c>
      <c r="O3144">
        <v>0.20399999999999999</v>
      </c>
      <c r="Q3144">
        <v>1.01</v>
      </c>
      <c r="R3144">
        <v>1.05</v>
      </c>
    </row>
    <row r="3145" spans="1:19" x14ac:dyDescent="0.2">
      <c r="A3145" t="s">
        <v>5445</v>
      </c>
      <c r="B3145" t="s">
        <v>5446</v>
      </c>
      <c r="C3145">
        <v>2016</v>
      </c>
      <c r="D3145">
        <v>1</v>
      </c>
      <c r="E3145" t="s">
        <v>55</v>
      </c>
      <c r="F3145" t="s">
        <v>128</v>
      </c>
      <c r="G3145" t="s">
        <v>63</v>
      </c>
      <c r="H3145">
        <v>1</v>
      </c>
      <c r="I3145">
        <v>40.699444300000003</v>
      </c>
      <c r="J3145">
        <v>1143</v>
      </c>
      <c r="K3145">
        <v>2.2400000000000002</v>
      </c>
      <c r="M3145">
        <v>3.73</v>
      </c>
      <c r="O3145">
        <v>0.33300000000000002</v>
      </c>
      <c r="Q3145">
        <v>1.3</v>
      </c>
      <c r="R3145">
        <v>1.49</v>
      </c>
    </row>
    <row r="3146" spans="1:19" x14ac:dyDescent="0.2">
      <c r="A3146" t="s">
        <v>5447</v>
      </c>
      <c r="B3146" t="s">
        <v>5448</v>
      </c>
      <c r="C3146">
        <v>2016</v>
      </c>
      <c r="D3146">
        <v>1</v>
      </c>
      <c r="E3146" t="s">
        <v>55</v>
      </c>
      <c r="F3146" t="s">
        <v>128</v>
      </c>
      <c r="G3146" t="s">
        <v>63</v>
      </c>
      <c r="H3146">
        <v>1</v>
      </c>
      <c r="I3146">
        <v>15.4580567</v>
      </c>
      <c r="J3146">
        <v>579</v>
      </c>
      <c r="K3146">
        <v>8.7100000000000009</v>
      </c>
      <c r="M3146">
        <v>8.4</v>
      </c>
      <c r="O3146">
        <v>0.749</v>
      </c>
      <c r="Q3146">
        <v>1</v>
      </c>
      <c r="R3146">
        <v>1.28</v>
      </c>
    </row>
    <row r="3147" spans="1:19" x14ac:dyDescent="0.2">
      <c r="A3147" t="s">
        <v>5449</v>
      </c>
      <c r="B3147" t="s">
        <v>5450</v>
      </c>
      <c r="C3147">
        <v>2016</v>
      </c>
      <c r="D3147">
        <v>1</v>
      </c>
      <c r="E3147" t="s">
        <v>55</v>
      </c>
      <c r="F3147" t="s">
        <v>128</v>
      </c>
      <c r="G3147" t="s">
        <v>63</v>
      </c>
      <c r="H3147">
        <v>1</v>
      </c>
      <c r="I3147">
        <v>7.2385853999999998</v>
      </c>
      <c r="J3147">
        <v>383</v>
      </c>
      <c r="K3147">
        <v>1.91</v>
      </c>
      <c r="M3147">
        <v>1.38</v>
      </c>
      <c r="O3147">
        <v>0.123</v>
      </c>
      <c r="Q3147">
        <v>0.93</v>
      </c>
      <c r="R3147">
        <v>0.84</v>
      </c>
    </row>
    <row r="3148" spans="1:19" x14ac:dyDescent="0.2">
      <c r="A3148" t="s">
        <v>5451</v>
      </c>
      <c r="B3148" t="s">
        <v>5452</v>
      </c>
      <c r="C3148">
        <v>2013</v>
      </c>
      <c r="D3148">
        <v>1</v>
      </c>
      <c r="E3148" t="s">
        <v>55</v>
      </c>
      <c r="F3148" t="s">
        <v>128</v>
      </c>
      <c r="G3148" t="s">
        <v>63</v>
      </c>
      <c r="H3148">
        <v>1</v>
      </c>
      <c r="I3148">
        <v>9.4341504999999994</v>
      </c>
      <c r="J3148">
        <v>200</v>
      </c>
      <c r="K3148">
        <v>0.21</v>
      </c>
      <c r="L3148">
        <v>120</v>
      </c>
      <c r="M3148">
        <v>6.11</v>
      </c>
      <c r="N3148">
        <v>0.378</v>
      </c>
      <c r="O3148">
        <v>0.54500000000000004</v>
      </c>
      <c r="P3148">
        <v>3</v>
      </c>
      <c r="Q3148">
        <v>0.98</v>
      </c>
      <c r="R3148">
        <v>0.9</v>
      </c>
      <c r="S3148">
        <v>1.895</v>
      </c>
    </row>
    <row r="3149" spans="1:19" x14ac:dyDescent="0.2">
      <c r="A3149" t="s">
        <v>5453</v>
      </c>
      <c r="B3149" t="s">
        <v>5454</v>
      </c>
      <c r="C3149">
        <v>2016</v>
      </c>
      <c r="D3149">
        <v>1</v>
      </c>
      <c r="E3149" t="s">
        <v>55</v>
      </c>
      <c r="F3149" t="s">
        <v>128</v>
      </c>
      <c r="G3149" t="s">
        <v>63</v>
      </c>
      <c r="H3149">
        <v>1</v>
      </c>
      <c r="I3149">
        <v>161.47439370000001</v>
      </c>
      <c r="J3149">
        <v>657</v>
      </c>
      <c r="K3149">
        <v>4.47</v>
      </c>
      <c r="M3149">
        <v>3.18</v>
      </c>
      <c r="O3149">
        <v>0.28399999999999997</v>
      </c>
      <c r="Q3149">
        <v>1.02</v>
      </c>
      <c r="R3149">
        <v>1.04</v>
      </c>
    </row>
    <row r="3150" spans="1:19" x14ac:dyDescent="0.2">
      <c r="A3150" t="s">
        <v>5455</v>
      </c>
      <c r="B3150" t="s">
        <v>5456</v>
      </c>
      <c r="C3150">
        <v>2016</v>
      </c>
      <c r="D3150">
        <v>1</v>
      </c>
      <c r="E3150" t="s">
        <v>55</v>
      </c>
      <c r="F3150" t="s">
        <v>128</v>
      </c>
      <c r="G3150" t="s">
        <v>63</v>
      </c>
      <c r="H3150">
        <v>1</v>
      </c>
      <c r="I3150">
        <v>17.97979059</v>
      </c>
      <c r="J3150">
        <v>843</v>
      </c>
      <c r="K3150">
        <v>2.5099999999999998</v>
      </c>
      <c r="M3150">
        <v>2.9</v>
      </c>
      <c r="O3150">
        <v>0.25900000000000001</v>
      </c>
      <c r="Q3150">
        <v>1.24</v>
      </c>
      <c r="R3150">
        <v>1.33</v>
      </c>
    </row>
    <row r="3151" spans="1:19" x14ac:dyDescent="0.2">
      <c r="A3151" t="s">
        <v>5457</v>
      </c>
      <c r="B3151" t="s">
        <v>5458</v>
      </c>
      <c r="C3151">
        <v>2016</v>
      </c>
      <c r="D3151">
        <v>1</v>
      </c>
      <c r="E3151" t="s">
        <v>55</v>
      </c>
      <c r="F3151" t="s">
        <v>128</v>
      </c>
      <c r="G3151" t="s">
        <v>63</v>
      </c>
      <c r="H3151">
        <v>1</v>
      </c>
      <c r="I3151">
        <v>30.99660733</v>
      </c>
      <c r="J3151">
        <v>349</v>
      </c>
      <c r="K3151">
        <v>3.02</v>
      </c>
      <c r="M3151">
        <v>2.21</v>
      </c>
      <c r="O3151">
        <v>0.19700000000000001</v>
      </c>
      <c r="Q3151">
        <v>0.91</v>
      </c>
      <c r="R3151">
        <v>0.84</v>
      </c>
    </row>
    <row r="3152" spans="1:19" x14ac:dyDescent="0.2">
      <c r="A3152" t="s">
        <v>5459</v>
      </c>
      <c r="B3152" t="s">
        <v>5460</v>
      </c>
      <c r="C3152">
        <v>2016</v>
      </c>
      <c r="D3152">
        <v>1</v>
      </c>
      <c r="E3152" t="s">
        <v>55</v>
      </c>
      <c r="F3152" t="s">
        <v>128</v>
      </c>
      <c r="G3152" t="s">
        <v>63</v>
      </c>
      <c r="H3152">
        <v>1</v>
      </c>
      <c r="I3152">
        <v>8.50340718</v>
      </c>
      <c r="J3152">
        <v>634</v>
      </c>
      <c r="K3152">
        <v>6.03</v>
      </c>
      <c r="M3152">
        <v>1.63</v>
      </c>
      <c r="O3152">
        <v>0.14499999999999999</v>
      </c>
      <c r="Q3152">
        <v>1.02</v>
      </c>
      <c r="R3152">
        <v>1.1499999999999999</v>
      </c>
    </row>
    <row r="3153" spans="1:18" x14ac:dyDescent="0.2">
      <c r="A3153" t="s">
        <v>5461</v>
      </c>
      <c r="B3153" t="s">
        <v>5462</v>
      </c>
      <c r="C3153">
        <v>2016</v>
      </c>
      <c r="D3153">
        <v>1</v>
      </c>
      <c r="E3153" t="s">
        <v>55</v>
      </c>
      <c r="F3153" t="s">
        <v>128</v>
      </c>
      <c r="G3153" t="s">
        <v>63</v>
      </c>
      <c r="H3153">
        <v>1</v>
      </c>
      <c r="I3153">
        <v>5.1695017700000001</v>
      </c>
      <c r="J3153">
        <v>757</v>
      </c>
      <c r="K3153">
        <v>5.37</v>
      </c>
      <c r="M3153">
        <v>1.89</v>
      </c>
      <c r="O3153">
        <v>0.16900000000000001</v>
      </c>
      <c r="Q3153">
        <v>1.03</v>
      </c>
      <c r="R3153">
        <v>1.24</v>
      </c>
    </row>
    <row r="3154" spans="1:18" x14ac:dyDescent="0.2">
      <c r="A3154" t="s">
        <v>5463</v>
      </c>
      <c r="B3154" t="s">
        <v>5464</v>
      </c>
      <c r="C3154">
        <v>2016</v>
      </c>
      <c r="D3154">
        <v>1</v>
      </c>
      <c r="E3154" t="s">
        <v>55</v>
      </c>
      <c r="F3154" t="s">
        <v>128</v>
      </c>
      <c r="G3154" t="s">
        <v>63</v>
      </c>
      <c r="H3154">
        <v>1</v>
      </c>
      <c r="I3154">
        <v>23.449710039999999</v>
      </c>
      <c r="J3154">
        <v>826</v>
      </c>
      <c r="K3154">
        <v>2.34</v>
      </c>
      <c r="M3154">
        <v>2.64</v>
      </c>
      <c r="O3154">
        <v>0.23599999999999999</v>
      </c>
      <c r="Q3154">
        <v>1.33</v>
      </c>
      <c r="R3154">
        <v>1.51</v>
      </c>
    </row>
    <row r="3155" spans="1:18" x14ac:dyDescent="0.2">
      <c r="A3155" t="s">
        <v>5465</v>
      </c>
      <c r="B3155" t="s">
        <v>5466</v>
      </c>
      <c r="C3155">
        <v>2016</v>
      </c>
      <c r="D3155">
        <v>1</v>
      </c>
      <c r="E3155" t="s">
        <v>55</v>
      </c>
      <c r="F3155" t="s">
        <v>128</v>
      </c>
      <c r="G3155" t="s">
        <v>63</v>
      </c>
      <c r="H3155">
        <v>1</v>
      </c>
      <c r="I3155">
        <v>16.080661150000001</v>
      </c>
      <c r="J3155">
        <v>341</v>
      </c>
      <c r="K3155">
        <v>5.01</v>
      </c>
      <c r="M3155">
        <v>4.45</v>
      </c>
      <c r="O3155">
        <v>0.39700000000000002</v>
      </c>
      <c r="Q3155">
        <v>0.85</v>
      </c>
      <c r="R3155">
        <v>0.8</v>
      </c>
    </row>
    <row r="3156" spans="1:18" x14ac:dyDescent="0.2">
      <c r="A3156" t="s">
        <v>5467</v>
      </c>
      <c r="B3156" t="s">
        <v>5468</v>
      </c>
      <c r="C3156">
        <v>2016</v>
      </c>
      <c r="D3156">
        <v>1</v>
      </c>
      <c r="E3156" t="s">
        <v>55</v>
      </c>
      <c r="F3156" t="s">
        <v>128</v>
      </c>
      <c r="G3156" t="s">
        <v>63</v>
      </c>
      <c r="H3156">
        <v>1</v>
      </c>
      <c r="I3156">
        <v>23.205846229999999</v>
      </c>
      <c r="J3156">
        <v>1575</v>
      </c>
      <c r="K3156">
        <v>2.19</v>
      </c>
      <c r="M3156">
        <v>4.75</v>
      </c>
      <c r="O3156">
        <v>0.42399999999999999</v>
      </c>
      <c r="Q3156">
        <v>1.64</v>
      </c>
      <c r="R3156">
        <v>2.56</v>
      </c>
    </row>
    <row r="3157" spans="1:18" x14ac:dyDescent="0.2">
      <c r="A3157" t="s">
        <v>5469</v>
      </c>
      <c r="B3157" t="s">
        <v>5470</v>
      </c>
      <c r="C3157">
        <v>2016</v>
      </c>
      <c r="D3157">
        <v>1</v>
      </c>
      <c r="E3157" t="s">
        <v>55</v>
      </c>
      <c r="F3157" t="s">
        <v>128</v>
      </c>
      <c r="G3157" t="s">
        <v>63</v>
      </c>
      <c r="H3157">
        <v>1</v>
      </c>
      <c r="I3157">
        <v>6.0797288800000002</v>
      </c>
      <c r="J3157">
        <v>426</v>
      </c>
      <c r="K3157">
        <v>11.75</v>
      </c>
      <c r="M3157">
        <v>1.83</v>
      </c>
      <c r="O3157">
        <v>0.16300000000000001</v>
      </c>
      <c r="Q3157">
        <v>0.88</v>
      </c>
      <c r="R3157">
        <v>0.93</v>
      </c>
    </row>
    <row r="3158" spans="1:18" x14ac:dyDescent="0.2">
      <c r="A3158" t="s">
        <v>5471</v>
      </c>
      <c r="B3158" t="s">
        <v>5472</v>
      </c>
      <c r="C3158">
        <v>2016</v>
      </c>
      <c r="D3158">
        <v>1</v>
      </c>
      <c r="E3158" t="s">
        <v>55</v>
      </c>
      <c r="F3158" t="s">
        <v>128</v>
      </c>
      <c r="G3158" t="s">
        <v>63</v>
      </c>
      <c r="H3158">
        <v>1</v>
      </c>
      <c r="I3158">
        <v>10.21420496</v>
      </c>
      <c r="J3158">
        <v>680</v>
      </c>
      <c r="K3158">
        <v>4.37</v>
      </c>
      <c r="M3158">
        <v>2.38</v>
      </c>
      <c r="O3158">
        <v>0.21199999999999999</v>
      </c>
      <c r="Q3158">
        <v>1.1399999999999999</v>
      </c>
      <c r="R3158">
        <v>1.29</v>
      </c>
    </row>
    <row r="3159" spans="1:18" x14ac:dyDescent="0.2">
      <c r="A3159" t="s">
        <v>5473</v>
      </c>
      <c r="B3159" t="s">
        <v>5474</v>
      </c>
      <c r="C3159">
        <v>2016</v>
      </c>
      <c r="D3159">
        <v>1</v>
      </c>
      <c r="E3159" t="s">
        <v>55</v>
      </c>
      <c r="F3159" t="s">
        <v>128</v>
      </c>
      <c r="G3159" t="s">
        <v>63</v>
      </c>
      <c r="H3159">
        <v>1</v>
      </c>
      <c r="I3159">
        <v>22.24813967</v>
      </c>
      <c r="J3159">
        <v>538</v>
      </c>
      <c r="K3159">
        <v>2.09</v>
      </c>
      <c r="M3159">
        <v>2.56</v>
      </c>
      <c r="O3159">
        <v>0.22800000000000001</v>
      </c>
      <c r="Q3159">
        <v>1.01</v>
      </c>
      <c r="R3159">
        <v>0.94</v>
      </c>
    </row>
    <row r="3160" spans="1:18" x14ac:dyDescent="0.2">
      <c r="A3160" t="s">
        <v>5475</v>
      </c>
      <c r="B3160" t="s">
        <v>5476</v>
      </c>
      <c r="C3160">
        <v>2016</v>
      </c>
      <c r="D3160">
        <v>1</v>
      </c>
      <c r="E3160" t="s">
        <v>55</v>
      </c>
      <c r="F3160" t="s">
        <v>128</v>
      </c>
      <c r="G3160" t="s">
        <v>63</v>
      </c>
      <c r="H3160">
        <v>1</v>
      </c>
      <c r="I3160">
        <v>9.4896157100000007</v>
      </c>
      <c r="J3160">
        <v>673</v>
      </c>
      <c r="K3160">
        <v>7.08</v>
      </c>
      <c r="M3160">
        <v>1.85</v>
      </c>
      <c r="O3160">
        <v>0.16500000000000001</v>
      </c>
      <c r="Q3160">
        <v>1.02</v>
      </c>
      <c r="R3160">
        <v>1.1299999999999999</v>
      </c>
    </row>
    <row r="3161" spans="1:18" x14ac:dyDescent="0.2">
      <c r="A3161" t="s">
        <v>5477</v>
      </c>
      <c r="B3161" t="s">
        <v>5478</v>
      </c>
      <c r="C3161">
        <v>2016</v>
      </c>
      <c r="D3161">
        <v>1</v>
      </c>
      <c r="E3161" t="s">
        <v>55</v>
      </c>
      <c r="F3161" t="s">
        <v>128</v>
      </c>
      <c r="G3161" t="s">
        <v>63</v>
      </c>
      <c r="H3161">
        <v>1</v>
      </c>
      <c r="I3161">
        <v>4.4174585500000001</v>
      </c>
      <c r="J3161">
        <v>1022</v>
      </c>
      <c r="K3161">
        <v>1.95</v>
      </c>
      <c r="M3161">
        <v>2.9</v>
      </c>
      <c r="O3161">
        <v>0.25900000000000001</v>
      </c>
      <c r="Q3161">
        <v>1.4</v>
      </c>
      <c r="R3161">
        <v>1.66</v>
      </c>
    </row>
    <row r="3162" spans="1:18" x14ac:dyDescent="0.2">
      <c r="A3162" t="s">
        <v>5479</v>
      </c>
      <c r="B3162" t="s">
        <v>5480</v>
      </c>
      <c r="C3162">
        <v>2016</v>
      </c>
      <c r="D3162">
        <v>1</v>
      </c>
      <c r="E3162" t="s">
        <v>55</v>
      </c>
      <c r="F3162" t="s">
        <v>128</v>
      </c>
      <c r="G3162" t="s">
        <v>63</v>
      </c>
      <c r="H3162">
        <v>1</v>
      </c>
      <c r="I3162">
        <v>16.338896259999999</v>
      </c>
      <c r="J3162">
        <v>1029</v>
      </c>
      <c r="K3162">
        <v>12.02</v>
      </c>
      <c r="M3162">
        <v>10.16</v>
      </c>
      <c r="O3162">
        <v>0.90600000000000003</v>
      </c>
      <c r="Q3162">
        <v>1</v>
      </c>
      <c r="R3162">
        <v>2.52</v>
      </c>
    </row>
    <row r="3163" spans="1:18" x14ac:dyDescent="0.2">
      <c r="A3163" t="s">
        <v>5481</v>
      </c>
      <c r="B3163" t="s">
        <v>5482</v>
      </c>
      <c r="C3163">
        <v>2016</v>
      </c>
      <c r="D3163">
        <v>1</v>
      </c>
      <c r="E3163" t="s">
        <v>55</v>
      </c>
      <c r="F3163" t="s">
        <v>128</v>
      </c>
      <c r="G3163" t="s">
        <v>63</v>
      </c>
      <c r="H3163">
        <v>1</v>
      </c>
      <c r="I3163">
        <v>3.1739171000000002</v>
      </c>
      <c r="J3163">
        <v>1413</v>
      </c>
      <c r="K3163">
        <v>1.62</v>
      </c>
      <c r="M3163">
        <v>3.15</v>
      </c>
      <c r="O3163">
        <v>0.28100000000000003</v>
      </c>
      <c r="Q3163">
        <v>1.49</v>
      </c>
      <c r="R3163">
        <v>1.81</v>
      </c>
    </row>
    <row r="3164" spans="1:18" x14ac:dyDescent="0.2">
      <c r="A3164" t="s">
        <v>5483</v>
      </c>
      <c r="B3164" t="s">
        <v>5484</v>
      </c>
      <c r="C3164">
        <v>2016</v>
      </c>
      <c r="D3164">
        <v>1</v>
      </c>
      <c r="E3164" t="s">
        <v>55</v>
      </c>
      <c r="F3164" t="s">
        <v>128</v>
      </c>
      <c r="G3164" t="s">
        <v>63</v>
      </c>
      <c r="H3164">
        <v>1</v>
      </c>
      <c r="I3164">
        <v>3.27582262</v>
      </c>
      <c r="J3164">
        <v>901</v>
      </c>
      <c r="K3164">
        <v>2.95</v>
      </c>
      <c r="M3164">
        <v>2.1</v>
      </c>
      <c r="O3164">
        <v>0.187</v>
      </c>
      <c r="Q3164">
        <v>1.1299999999999999</v>
      </c>
      <c r="R3164">
        <v>1.21</v>
      </c>
    </row>
    <row r="3165" spans="1:18" x14ac:dyDescent="0.2">
      <c r="A3165" t="s">
        <v>5485</v>
      </c>
      <c r="B3165" t="s">
        <v>5486</v>
      </c>
      <c r="C3165">
        <v>2016</v>
      </c>
      <c r="D3165">
        <v>1</v>
      </c>
      <c r="E3165" t="s">
        <v>55</v>
      </c>
      <c r="F3165" t="s">
        <v>128</v>
      </c>
      <c r="G3165" t="s">
        <v>63</v>
      </c>
      <c r="H3165">
        <v>1</v>
      </c>
      <c r="I3165">
        <v>15.87364565</v>
      </c>
      <c r="J3165">
        <v>513</v>
      </c>
      <c r="K3165">
        <v>4.57</v>
      </c>
      <c r="M3165">
        <v>1.99</v>
      </c>
      <c r="O3165">
        <v>0.17799999999999999</v>
      </c>
      <c r="Q3165">
        <v>0.93</v>
      </c>
      <c r="R3165">
        <v>0.91</v>
      </c>
    </row>
    <row r="3166" spans="1:18" x14ac:dyDescent="0.2">
      <c r="A3166" t="s">
        <v>5487</v>
      </c>
      <c r="B3166" t="s">
        <v>5488</v>
      </c>
      <c r="C3166">
        <v>2016</v>
      </c>
      <c r="D3166">
        <v>1</v>
      </c>
      <c r="E3166" t="s">
        <v>55</v>
      </c>
      <c r="F3166" t="s">
        <v>128</v>
      </c>
      <c r="G3166" t="s">
        <v>63</v>
      </c>
      <c r="H3166">
        <v>1</v>
      </c>
      <c r="I3166">
        <v>16.225464899999999</v>
      </c>
      <c r="J3166">
        <v>789</v>
      </c>
      <c r="K3166">
        <v>4.2699999999999996</v>
      </c>
      <c r="M3166">
        <v>1.17</v>
      </c>
      <c r="O3166">
        <v>0.104</v>
      </c>
      <c r="Q3166">
        <v>1.03</v>
      </c>
      <c r="R3166">
        <v>1.07</v>
      </c>
    </row>
    <row r="3167" spans="1:18" x14ac:dyDescent="0.2">
      <c r="A3167" t="s">
        <v>5489</v>
      </c>
      <c r="B3167" t="s">
        <v>5490</v>
      </c>
      <c r="C3167">
        <v>2016</v>
      </c>
      <c r="D3167">
        <v>1</v>
      </c>
      <c r="E3167" t="s">
        <v>55</v>
      </c>
      <c r="F3167" t="s">
        <v>128</v>
      </c>
      <c r="G3167" t="s">
        <v>63</v>
      </c>
      <c r="H3167">
        <v>1</v>
      </c>
      <c r="I3167">
        <v>17.4211749</v>
      </c>
      <c r="J3167">
        <v>665</v>
      </c>
      <c r="K3167">
        <v>1.82</v>
      </c>
      <c r="M3167">
        <v>3.22</v>
      </c>
      <c r="O3167">
        <v>0.28699999999999998</v>
      </c>
      <c r="Q3167">
        <v>1.05</v>
      </c>
      <c r="R3167">
        <v>0.98</v>
      </c>
    </row>
    <row r="3168" spans="1:18" x14ac:dyDescent="0.2">
      <c r="A3168" t="s">
        <v>5491</v>
      </c>
      <c r="B3168" t="s">
        <v>5492</v>
      </c>
      <c r="C3168">
        <v>2016</v>
      </c>
      <c r="D3168">
        <v>1</v>
      </c>
      <c r="E3168" t="s">
        <v>55</v>
      </c>
      <c r="F3168" t="s">
        <v>128</v>
      </c>
      <c r="G3168" t="s">
        <v>63</v>
      </c>
      <c r="H3168">
        <v>1</v>
      </c>
      <c r="I3168">
        <v>29.907226739999999</v>
      </c>
      <c r="J3168">
        <v>525</v>
      </c>
      <c r="K3168">
        <v>2.95</v>
      </c>
      <c r="M3168">
        <v>2.2599999999999998</v>
      </c>
      <c r="O3168">
        <v>0.20200000000000001</v>
      </c>
      <c r="Q3168">
        <v>0.97</v>
      </c>
      <c r="R3168">
        <v>0.94</v>
      </c>
    </row>
    <row r="3169" spans="1:19" x14ac:dyDescent="0.2">
      <c r="A3169" t="s">
        <v>5493</v>
      </c>
      <c r="B3169" t="s">
        <v>5494</v>
      </c>
      <c r="C3169">
        <v>2012</v>
      </c>
      <c r="D3169">
        <v>1</v>
      </c>
      <c r="E3169" t="s">
        <v>55</v>
      </c>
      <c r="F3169" t="s">
        <v>128</v>
      </c>
      <c r="G3169" t="s">
        <v>63</v>
      </c>
      <c r="H3169">
        <v>3</v>
      </c>
      <c r="I3169">
        <v>2.1549100000000001</v>
      </c>
      <c r="J3169">
        <v>291</v>
      </c>
      <c r="K3169">
        <v>2.9</v>
      </c>
      <c r="M3169">
        <v>1.42</v>
      </c>
      <c r="O3169">
        <v>0.127</v>
      </c>
      <c r="Q3169">
        <v>1.25</v>
      </c>
      <c r="R3169">
        <v>1.41</v>
      </c>
      <c r="S3169">
        <v>0.621</v>
      </c>
    </row>
    <row r="3170" spans="1:19" x14ac:dyDescent="0.2">
      <c r="A3170" t="s">
        <v>5493</v>
      </c>
      <c r="B3170" t="s">
        <v>5495</v>
      </c>
      <c r="C3170">
        <v>2012</v>
      </c>
      <c r="D3170">
        <v>1</v>
      </c>
      <c r="E3170" t="s">
        <v>55</v>
      </c>
      <c r="F3170" t="s">
        <v>128</v>
      </c>
      <c r="G3170" t="s">
        <v>63</v>
      </c>
      <c r="H3170">
        <v>3</v>
      </c>
      <c r="I3170">
        <v>5.8599439999999996</v>
      </c>
      <c r="J3170">
        <v>291</v>
      </c>
      <c r="K3170">
        <v>2.9</v>
      </c>
      <c r="M3170">
        <v>2.58</v>
      </c>
      <c r="O3170">
        <v>0.23</v>
      </c>
      <c r="Q3170">
        <v>1.25</v>
      </c>
      <c r="R3170">
        <v>1.41</v>
      </c>
      <c r="S3170">
        <v>0.621</v>
      </c>
    </row>
    <row r="3171" spans="1:19" x14ac:dyDescent="0.2">
      <c r="A3171" t="s">
        <v>5493</v>
      </c>
      <c r="B3171" t="s">
        <v>5496</v>
      </c>
      <c r="C3171">
        <v>2012</v>
      </c>
      <c r="D3171">
        <v>1</v>
      </c>
      <c r="E3171" t="s">
        <v>55</v>
      </c>
      <c r="F3171" t="s">
        <v>128</v>
      </c>
      <c r="G3171" t="s">
        <v>63</v>
      </c>
      <c r="H3171">
        <v>3</v>
      </c>
      <c r="I3171">
        <v>8.1312300000000004</v>
      </c>
      <c r="J3171">
        <v>291</v>
      </c>
      <c r="K3171">
        <v>2.9</v>
      </c>
      <c r="M3171">
        <v>1.52</v>
      </c>
      <c r="O3171">
        <v>0.13600000000000001</v>
      </c>
      <c r="Q3171">
        <v>1.25</v>
      </c>
      <c r="R3171">
        <v>1.41</v>
      </c>
      <c r="S3171">
        <v>0.621</v>
      </c>
    </row>
    <row r="3172" spans="1:19" x14ac:dyDescent="0.2">
      <c r="A3172" t="s">
        <v>5497</v>
      </c>
      <c r="B3172" t="s">
        <v>5498</v>
      </c>
      <c r="C3172">
        <v>2016</v>
      </c>
      <c r="D3172">
        <v>1</v>
      </c>
      <c r="E3172" t="s">
        <v>55</v>
      </c>
      <c r="F3172" t="s">
        <v>128</v>
      </c>
      <c r="G3172" t="s">
        <v>63</v>
      </c>
      <c r="H3172">
        <v>1</v>
      </c>
      <c r="I3172">
        <v>3.0321455899999998</v>
      </c>
      <c r="J3172">
        <v>805</v>
      </c>
      <c r="K3172">
        <v>6.46</v>
      </c>
      <c r="M3172">
        <v>2.96</v>
      </c>
      <c r="O3172">
        <v>0.26400000000000001</v>
      </c>
      <c r="Q3172">
        <v>1.08</v>
      </c>
      <c r="R3172">
        <v>1.35</v>
      </c>
    </row>
    <row r="3173" spans="1:19" x14ac:dyDescent="0.2">
      <c r="A3173" t="s">
        <v>5499</v>
      </c>
      <c r="B3173" t="s">
        <v>5500</v>
      </c>
      <c r="C3173">
        <v>2016</v>
      </c>
      <c r="D3173">
        <v>1</v>
      </c>
      <c r="E3173" t="s">
        <v>55</v>
      </c>
      <c r="F3173" t="s">
        <v>128</v>
      </c>
      <c r="G3173" t="s">
        <v>63</v>
      </c>
      <c r="H3173">
        <v>1</v>
      </c>
      <c r="I3173">
        <v>21.38521506</v>
      </c>
      <c r="J3173">
        <v>537</v>
      </c>
      <c r="K3173">
        <v>3.55</v>
      </c>
      <c r="M3173">
        <v>2.37</v>
      </c>
      <c r="O3173">
        <v>0.21099999999999999</v>
      </c>
      <c r="Q3173">
        <v>0.92</v>
      </c>
      <c r="R3173">
        <v>0.87</v>
      </c>
    </row>
    <row r="3174" spans="1:19" x14ac:dyDescent="0.2">
      <c r="A3174" t="s">
        <v>5501</v>
      </c>
      <c r="B3174" t="s">
        <v>5502</v>
      </c>
      <c r="C3174">
        <v>2016</v>
      </c>
      <c r="D3174">
        <v>1</v>
      </c>
      <c r="E3174" t="s">
        <v>55</v>
      </c>
      <c r="F3174" t="s">
        <v>128</v>
      </c>
      <c r="G3174" t="s">
        <v>63</v>
      </c>
      <c r="H3174">
        <v>1</v>
      </c>
      <c r="I3174">
        <v>4.1820025300000001</v>
      </c>
      <c r="J3174">
        <v>423</v>
      </c>
      <c r="K3174">
        <v>1.48</v>
      </c>
      <c r="M3174">
        <v>2.4900000000000002</v>
      </c>
      <c r="O3174">
        <v>0.222</v>
      </c>
      <c r="Q3174">
        <v>0.97</v>
      </c>
      <c r="R3174">
        <v>0.88</v>
      </c>
    </row>
    <row r="3175" spans="1:19" x14ac:dyDescent="0.2">
      <c r="A3175" t="s">
        <v>5503</v>
      </c>
      <c r="B3175" t="s">
        <v>5504</v>
      </c>
      <c r="C3175">
        <v>2016</v>
      </c>
      <c r="D3175">
        <v>1</v>
      </c>
      <c r="E3175" t="s">
        <v>55</v>
      </c>
      <c r="F3175" t="s">
        <v>128</v>
      </c>
      <c r="G3175" t="s">
        <v>63</v>
      </c>
      <c r="H3175">
        <v>2</v>
      </c>
      <c r="I3175">
        <v>14.70748976</v>
      </c>
      <c r="J3175">
        <v>593</v>
      </c>
      <c r="K3175">
        <v>7.76</v>
      </c>
      <c r="M3175">
        <v>1.95</v>
      </c>
      <c r="O3175">
        <v>0.17399999999999999</v>
      </c>
      <c r="Q3175">
        <v>1.02</v>
      </c>
      <c r="R3175">
        <v>1.19</v>
      </c>
    </row>
    <row r="3176" spans="1:19" x14ac:dyDescent="0.2">
      <c r="A3176" t="s">
        <v>5503</v>
      </c>
      <c r="B3176" t="s">
        <v>5505</v>
      </c>
      <c r="C3176">
        <v>2016</v>
      </c>
      <c r="D3176">
        <v>1</v>
      </c>
      <c r="E3176" t="s">
        <v>55</v>
      </c>
      <c r="F3176" t="s">
        <v>128</v>
      </c>
      <c r="G3176" t="s">
        <v>63</v>
      </c>
      <c r="H3176">
        <v>2</v>
      </c>
      <c r="I3176">
        <v>0.90037648000000003</v>
      </c>
      <c r="J3176">
        <v>593</v>
      </c>
      <c r="K3176">
        <v>7.76</v>
      </c>
      <c r="M3176">
        <v>0.78</v>
      </c>
      <c r="O3176">
        <v>7.0000000000000007E-2</v>
      </c>
      <c r="Q3176">
        <v>1.02</v>
      </c>
      <c r="R3176">
        <v>1.19</v>
      </c>
    </row>
    <row r="3177" spans="1:19" x14ac:dyDescent="0.2">
      <c r="A3177" t="s">
        <v>5506</v>
      </c>
      <c r="B3177" t="s">
        <v>5507</v>
      </c>
      <c r="C3177">
        <v>2016</v>
      </c>
      <c r="D3177">
        <v>1</v>
      </c>
      <c r="E3177" t="s">
        <v>55</v>
      </c>
      <c r="F3177" t="s">
        <v>128</v>
      </c>
      <c r="G3177" t="s">
        <v>63</v>
      </c>
      <c r="H3177">
        <v>1</v>
      </c>
      <c r="I3177">
        <v>13.724651290000001</v>
      </c>
      <c r="J3177">
        <v>661</v>
      </c>
      <c r="K3177">
        <v>5.37</v>
      </c>
      <c r="M3177">
        <v>2.0699999999999998</v>
      </c>
      <c r="O3177">
        <v>0.185</v>
      </c>
      <c r="Q3177">
        <v>1.04</v>
      </c>
      <c r="R3177">
        <v>1.1100000000000001</v>
      </c>
    </row>
    <row r="3178" spans="1:19" x14ac:dyDescent="0.2">
      <c r="A3178" t="s">
        <v>5508</v>
      </c>
      <c r="B3178" t="s">
        <v>5509</v>
      </c>
      <c r="C3178">
        <v>2016</v>
      </c>
      <c r="D3178">
        <v>1</v>
      </c>
      <c r="E3178" t="s">
        <v>55</v>
      </c>
      <c r="F3178" t="s">
        <v>128</v>
      </c>
      <c r="G3178" t="s">
        <v>63</v>
      </c>
      <c r="H3178">
        <v>1</v>
      </c>
      <c r="I3178">
        <v>46.406335800000001</v>
      </c>
      <c r="J3178">
        <v>783</v>
      </c>
      <c r="K3178">
        <v>3.39</v>
      </c>
      <c r="M3178">
        <v>2.71</v>
      </c>
      <c r="O3178">
        <v>0.24199999999999999</v>
      </c>
      <c r="Q3178">
        <v>1.1499999999999999</v>
      </c>
      <c r="R3178">
        <v>1.24</v>
      </c>
    </row>
    <row r="3179" spans="1:19" x14ac:dyDescent="0.2">
      <c r="A3179" t="s">
        <v>5510</v>
      </c>
      <c r="B3179" t="s">
        <v>5511</v>
      </c>
      <c r="C3179">
        <v>2016</v>
      </c>
      <c r="D3179">
        <v>1</v>
      </c>
      <c r="E3179" t="s">
        <v>55</v>
      </c>
      <c r="F3179" t="s">
        <v>128</v>
      </c>
      <c r="G3179" t="s">
        <v>63</v>
      </c>
      <c r="H3179">
        <v>1</v>
      </c>
      <c r="I3179">
        <v>1.2602590899999999</v>
      </c>
      <c r="J3179">
        <v>867</v>
      </c>
      <c r="K3179">
        <v>4.37</v>
      </c>
      <c r="M3179">
        <v>3.12</v>
      </c>
      <c r="O3179">
        <v>0.27800000000000002</v>
      </c>
      <c r="Q3179">
        <v>0.86</v>
      </c>
      <c r="R3179">
        <v>0.82</v>
      </c>
    </row>
    <row r="3180" spans="1:19" x14ac:dyDescent="0.2">
      <c r="A3180" t="s">
        <v>5512</v>
      </c>
      <c r="B3180" t="s">
        <v>5513</v>
      </c>
      <c r="C3180">
        <v>2016</v>
      </c>
      <c r="D3180">
        <v>1</v>
      </c>
      <c r="E3180" t="s">
        <v>55</v>
      </c>
      <c r="F3180" t="s">
        <v>128</v>
      </c>
      <c r="G3180" t="s">
        <v>63</v>
      </c>
      <c r="H3180">
        <v>1</v>
      </c>
      <c r="I3180">
        <v>24.543504179999999</v>
      </c>
      <c r="J3180">
        <v>1244</v>
      </c>
      <c r="K3180">
        <v>4.17</v>
      </c>
      <c r="M3180">
        <v>3.52</v>
      </c>
      <c r="O3180">
        <v>0.314</v>
      </c>
      <c r="Q3180">
        <v>1.01</v>
      </c>
      <c r="R3180">
        <v>1.01</v>
      </c>
    </row>
    <row r="3181" spans="1:19" x14ac:dyDescent="0.2">
      <c r="A3181" t="s">
        <v>5514</v>
      </c>
      <c r="B3181" t="s">
        <v>5515</v>
      </c>
      <c r="C3181">
        <v>2016</v>
      </c>
      <c r="D3181">
        <v>1</v>
      </c>
      <c r="E3181" t="s">
        <v>55</v>
      </c>
      <c r="F3181" t="s">
        <v>128</v>
      </c>
      <c r="G3181" t="s">
        <v>63</v>
      </c>
      <c r="H3181">
        <v>1</v>
      </c>
      <c r="I3181">
        <v>1.2870767599999999</v>
      </c>
      <c r="J3181">
        <v>341</v>
      </c>
      <c r="K3181">
        <v>3.09</v>
      </c>
      <c r="M3181">
        <v>1.63</v>
      </c>
      <c r="O3181">
        <v>0.14499999999999999</v>
      </c>
      <c r="Q3181">
        <v>0.63</v>
      </c>
      <c r="R3181">
        <v>0.6</v>
      </c>
    </row>
    <row r="3182" spans="1:19" x14ac:dyDescent="0.2">
      <c r="A3182" t="s">
        <v>5516</v>
      </c>
      <c r="B3182" t="s">
        <v>5517</v>
      </c>
      <c r="C3182">
        <v>2016</v>
      </c>
      <c r="D3182">
        <v>1</v>
      </c>
      <c r="E3182" t="s">
        <v>55</v>
      </c>
      <c r="F3182" t="s">
        <v>128</v>
      </c>
      <c r="G3182" t="s">
        <v>63</v>
      </c>
      <c r="H3182">
        <v>1</v>
      </c>
      <c r="I3182">
        <v>17.671796000000001</v>
      </c>
      <c r="J3182">
        <v>688</v>
      </c>
      <c r="K3182">
        <v>3.24</v>
      </c>
      <c r="M3182">
        <v>2.5</v>
      </c>
      <c r="O3182">
        <v>0.223</v>
      </c>
      <c r="Q3182">
        <v>0.79</v>
      </c>
      <c r="R3182">
        <v>0.74</v>
      </c>
    </row>
    <row r="3183" spans="1:19" x14ac:dyDescent="0.2">
      <c r="A3183" t="s">
        <v>5518</v>
      </c>
      <c r="B3183" t="s">
        <v>5519</v>
      </c>
      <c r="C3183">
        <v>2013</v>
      </c>
      <c r="D3183">
        <v>1</v>
      </c>
      <c r="E3183" t="s">
        <v>55</v>
      </c>
      <c r="F3183" t="s">
        <v>128</v>
      </c>
      <c r="G3183" t="s">
        <v>63</v>
      </c>
      <c r="H3183">
        <v>1</v>
      </c>
      <c r="I3183">
        <v>17.815815000000001</v>
      </c>
      <c r="J3183">
        <v>1107</v>
      </c>
      <c r="K3183">
        <v>1</v>
      </c>
      <c r="M3183">
        <v>2.8</v>
      </c>
      <c r="O3183">
        <v>0.25</v>
      </c>
      <c r="Q3183">
        <v>1.04</v>
      </c>
      <c r="R3183">
        <v>0.97</v>
      </c>
      <c r="S3183">
        <v>1.62</v>
      </c>
    </row>
    <row r="3184" spans="1:19" x14ac:dyDescent="0.2">
      <c r="A3184" t="s">
        <v>5520</v>
      </c>
      <c r="B3184" t="s">
        <v>5521</v>
      </c>
      <c r="C3184">
        <v>2016</v>
      </c>
      <c r="D3184">
        <v>1</v>
      </c>
      <c r="E3184" t="s">
        <v>55</v>
      </c>
      <c r="F3184" t="s">
        <v>128</v>
      </c>
      <c r="G3184" t="s">
        <v>63</v>
      </c>
      <c r="H3184">
        <v>1</v>
      </c>
      <c r="I3184">
        <v>9.2735819399999997</v>
      </c>
      <c r="J3184">
        <v>564</v>
      </c>
      <c r="K3184">
        <v>4.57</v>
      </c>
      <c r="M3184">
        <v>2.57</v>
      </c>
      <c r="O3184">
        <v>0.22900000000000001</v>
      </c>
      <c r="Q3184">
        <v>0.75</v>
      </c>
      <c r="R3184">
        <v>0.71</v>
      </c>
    </row>
    <row r="3185" spans="1:19" x14ac:dyDescent="0.2">
      <c r="A3185" t="s">
        <v>5522</v>
      </c>
      <c r="B3185" t="s">
        <v>5523</v>
      </c>
      <c r="C3185">
        <v>2016</v>
      </c>
      <c r="D3185">
        <v>1</v>
      </c>
      <c r="E3185" t="s">
        <v>55</v>
      </c>
      <c r="F3185" t="s">
        <v>128</v>
      </c>
      <c r="G3185" t="s">
        <v>63</v>
      </c>
      <c r="H3185">
        <v>1</v>
      </c>
      <c r="I3185">
        <v>6.0293013200000001</v>
      </c>
      <c r="J3185">
        <v>558</v>
      </c>
      <c r="K3185">
        <v>4.2699999999999996</v>
      </c>
      <c r="M3185">
        <v>3.07</v>
      </c>
      <c r="O3185">
        <v>0.27400000000000002</v>
      </c>
      <c r="Q3185">
        <v>0.7</v>
      </c>
      <c r="R3185">
        <v>0.67</v>
      </c>
    </row>
    <row r="3186" spans="1:19" x14ac:dyDescent="0.2">
      <c r="A3186" t="s">
        <v>5524</v>
      </c>
      <c r="B3186" t="s">
        <v>5525</v>
      </c>
      <c r="C3186">
        <v>2016</v>
      </c>
      <c r="D3186">
        <v>1</v>
      </c>
      <c r="E3186" t="s">
        <v>55</v>
      </c>
      <c r="F3186" t="s">
        <v>128</v>
      </c>
      <c r="G3186" t="s">
        <v>63</v>
      </c>
      <c r="H3186">
        <v>1</v>
      </c>
      <c r="I3186">
        <v>21.676974860000001</v>
      </c>
      <c r="J3186">
        <v>641</v>
      </c>
      <c r="K3186">
        <v>3.63</v>
      </c>
      <c r="M3186">
        <v>2.1800000000000002</v>
      </c>
      <c r="O3186">
        <v>0.19400000000000001</v>
      </c>
      <c r="Q3186">
        <v>0.79</v>
      </c>
      <c r="R3186">
        <v>0.74</v>
      </c>
    </row>
    <row r="3187" spans="1:19" x14ac:dyDescent="0.2">
      <c r="A3187" t="s">
        <v>5526</v>
      </c>
      <c r="B3187" t="s">
        <v>5527</v>
      </c>
      <c r="C3187">
        <v>2016</v>
      </c>
      <c r="D3187">
        <v>1</v>
      </c>
      <c r="E3187" t="s">
        <v>55</v>
      </c>
      <c r="F3187" t="s">
        <v>128</v>
      </c>
      <c r="G3187" t="s">
        <v>63</v>
      </c>
      <c r="H3187">
        <v>1</v>
      </c>
      <c r="I3187">
        <v>4.9967828399999998</v>
      </c>
      <c r="J3187">
        <v>1030</v>
      </c>
      <c r="K3187">
        <v>4.57</v>
      </c>
      <c r="M3187">
        <v>2.6</v>
      </c>
      <c r="O3187">
        <v>0.23200000000000001</v>
      </c>
      <c r="Q3187">
        <v>0.86</v>
      </c>
      <c r="R3187">
        <v>0.82</v>
      </c>
    </row>
    <row r="3188" spans="1:19" x14ac:dyDescent="0.2">
      <c r="A3188" t="s">
        <v>5528</v>
      </c>
      <c r="B3188" t="s">
        <v>5529</v>
      </c>
      <c r="C3188">
        <v>2016</v>
      </c>
      <c r="D3188">
        <v>1</v>
      </c>
      <c r="E3188" t="s">
        <v>55</v>
      </c>
      <c r="F3188" t="s">
        <v>128</v>
      </c>
      <c r="G3188" t="s">
        <v>63</v>
      </c>
      <c r="H3188">
        <v>1</v>
      </c>
      <c r="I3188">
        <v>2.52559332</v>
      </c>
      <c r="J3188">
        <v>1386</v>
      </c>
      <c r="K3188">
        <v>4.68</v>
      </c>
      <c r="M3188">
        <v>2.66</v>
      </c>
      <c r="O3188">
        <v>0.23699999999999999</v>
      </c>
      <c r="Q3188">
        <v>1.01</v>
      </c>
      <c r="R3188">
        <v>1.02</v>
      </c>
    </row>
    <row r="3189" spans="1:19" x14ac:dyDescent="0.2">
      <c r="A3189" t="s">
        <v>5530</v>
      </c>
      <c r="B3189" t="s">
        <v>5531</v>
      </c>
      <c r="C3189">
        <v>2016</v>
      </c>
      <c r="D3189">
        <v>1</v>
      </c>
      <c r="E3189" t="s">
        <v>55</v>
      </c>
      <c r="F3189" t="s">
        <v>128</v>
      </c>
      <c r="G3189" t="s">
        <v>63</v>
      </c>
      <c r="H3189">
        <v>1</v>
      </c>
      <c r="I3189">
        <v>16.013102050000001</v>
      </c>
      <c r="J3189">
        <v>651</v>
      </c>
      <c r="K3189">
        <v>4.68</v>
      </c>
      <c r="M3189">
        <v>2.6</v>
      </c>
      <c r="O3189">
        <v>0.23200000000000001</v>
      </c>
      <c r="Q3189">
        <v>0.79</v>
      </c>
      <c r="R3189">
        <v>0.74</v>
      </c>
    </row>
    <row r="3190" spans="1:19" x14ac:dyDescent="0.2">
      <c r="A3190" t="s">
        <v>5532</v>
      </c>
      <c r="B3190" t="s">
        <v>5533</v>
      </c>
      <c r="C3190">
        <v>2016</v>
      </c>
      <c r="D3190">
        <v>1</v>
      </c>
      <c r="E3190" t="s">
        <v>55</v>
      </c>
      <c r="F3190" t="s">
        <v>128</v>
      </c>
      <c r="G3190" t="s">
        <v>63</v>
      </c>
      <c r="H3190">
        <v>1</v>
      </c>
      <c r="I3190">
        <v>4.4987609199999996</v>
      </c>
      <c r="J3190">
        <v>1330</v>
      </c>
      <c r="K3190">
        <v>3.8</v>
      </c>
      <c r="M3190">
        <v>2.4</v>
      </c>
      <c r="O3190">
        <v>0.214</v>
      </c>
      <c r="Q3190">
        <v>1.03</v>
      </c>
      <c r="R3190">
        <v>1.05</v>
      </c>
    </row>
    <row r="3191" spans="1:19" x14ac:dyDescent="0.2">
      <c r="A3191" t="s">
        <v>5534</v>
      </c>
      <c r="B3191" t="s">
        <v>5535</v>
      </c>
      <c r="C3191">
        <v>2016</v>
      </c>
      <c r="D3191">
        <v>1</v>
      </c>
      <c r="E3191" t="s">
        <v>55</v>
      </c>
      <c r="F3191" t="s">
        <v>128</v>
      </c>
      <c r="G3191" t="s">
        <v>63</v>
      </c>
      <c r="H3191">
        <v>1</v>
      </c>
      <c r="I3191">
        <v>41.439628079999999</v>
      </c>
      <c r="J3191">
        <v>907</v>
      </c>
      <c r="K3191">
        <v>4.68</v>
      </c>
      <c r="M3191">
        <v>4.7300000000000004</v>
      </c>
      <c r="O3191">
        <v>0.42199999999999999</v>
      </c>
      <c r="Q3191">
        <v>0.91</v>
      </c>
      <c r="R3191">
        <v>0.87</v>
      </c>
    </row>
    <row r="3192" spans="1:19" x14ac:dyDescent="0.2">
      <c r="A3192" t="s">
        <v>5536</v>
      </c>
      <c r="B3192" t="s">
        <v>5537</v>
      </c>
      <c r="C3192">
        <v>2016</v>
      </c>
      <c r="D3192">
        <v>1</v>
      </c>
      <c r="E3192" t="s">
        <v>55</v>
      </c>
      <c r="F3192" t="s">
        <v>128</v>
      </c>
      <c r="G3192" t="s">
        <v>63</v>
      </c>
      <c r="H3192">
        <v>1</v>
      </c>
      <c r="I3192">
        <v>8.3539063900000006</v>
      </c>
      <c r="J3192">
        <v>877</v>
      </c>
      <c r="K3192">
        <v>3.89</v>
      </c>
      <c r="M3192">
        <v>2.7</v>
      </c>
      <c r="O3192">
        <v>0.24099999999999999</v>
      </c>
      <c r="Q3192">
        <v>0.87</v>
      </c>
      <c r="R3192">
        <v>0.82</v>
      </c>
    </row>
    <row r="3193" spans="1:19" x14ac:dyDescent="0.2">
      <c r="A3193" t="s">
        <v>5538</v>
      </c>
      <c r="B3193" t="s">
        <v>5539</v>
      </c>
      <c r="C3193">
        <v>2016</v>
      </c>
      <c r="D3193">
        <v>1</v>
      </c>
      <c r="E3193" t="s">
        <v>55</v>
      </c>
      <c r="F3193" t="s">
        <v>128</v>
      </c>
      <c r="G3193" t="s">
        <v>63</v>
      </c>
      <c r="H3193">
        <v>1</v>
      </c>
      <c r="I3193">
        <v>4.12554687</v>
      </c>
      <c r="J3193">
        <v>1778</v>
      </c>
      <c r="K3193">
        <v>3.16</v>
      </c>
      <c r="M3193">
        <v>4.83</v>
      </c>
      <c r="O3193">
        <v>0.43099999999999999</v>
      </c>
      <c r="Q3193">
        <v>1.1499999999999999</v>
      </c>
      <c r="R3193">
        <v>1.2</v>
      </c>
    </row>
    <row r="3194" spans="1:19" x14ac:dyDescent="0.2">
      <c r="A3194" t="s">
        <v>5540</v>
      </c>
      <c r="B3194" t="s">
        <v>5541</v>
      </c>
      <c r="C3194">
        <v>2013</v>
      </c>
      <c r="D3194">
        <v>1</v>
      </c>
      <c r="E3194" t="s">
        <v>55</v>
      </c>
      <c r="F3194" t="s">
        <v>128</v>
      </c>
      <c r="G3194" t="s">
        <v>63</v>
      </c>
      <c r="H3194">
        <v>1</v>
      </c>
      <c r="I3194">
        <v>15.725899999999999</v>
      </c>
      <c r="J3194">
        <v>1107</v>
      </c>
      <c r="K3194">
        <v>1</v>
      </c>
      <c r="M3194">
        <v>2.94</v>
      </c>
      <c r="O3194">
        <v>0.26200000000000001</v>
      </c>
      <c r="Q3194">
        <v>0.86</v>
      </c>
      <c r="R3194">
        <v>0.78</v>
      </c>
      <c r="S3194">
        <v>2.66</v>
      </c>
    </row>
    <row r="3195" spans="1:19" x14ac:dyDescent="0.2">
      <c r="A3195" t="s">
        <v>5542</v>
      </c>
      <c r="B3195" t="s">
        <v>5543</v>
      </c>
      <c r="C3195">
        <v>2016</v>
      </c>
      <c r="D3195">
        <v>1</v>
      </c>
      <c r="E3195" t="s">
        <v>55</v>
      </c>
      <c r="F3195" t="s">
        <v>128</v>
      </c>
      <c r="G3195" t="s">
        <v>63</v>
      </c>
      <c r="H3195">
        <v>1</v>
      </c>
      <c r="I3195">
        <v>2.8165048499999998</v>
      </c>
      <c r="J3195">
        <v>980</v>
      </c>
      <c r="K3195">
        <v>4.79</v>
      </c>
      <c r="M3195">
        <v>13.18</v>
      </c>
      <c r="O3195">
        <v>1.1759999999999999</v>
      </c>
      <c r="Q3195">
        <v>0.99</v>
      </c>
      <c r="R3195">
        <v>0.99</v>
      </c>
    </row>
    <row r="3196" spans="1:19" x14ac:dyDescent="0.2">
      <c r="A3196" t="s">
        <v>5544</v>
      </c>
      <c r="B3196" t="s">
        <v>5545</v>
      </c>
      <c r="C3196">
        <v>2016</v>
      </c>
      <c r="D3196">
        <v>1</v>
      </c>
      <c r="E3196" t="s">
        <v>55</v>
      </c>
      <c r="F3196" t="s">
        <v>128</v>
      </c>
      <c r="G3196" t="s">
        <v>63</v>
      </c>
      <c r="H3196">
        <v>1</v>
      </c>
      <c r="I3196">
        <v>4.28095859</v>
      </c>
      <c r="J3196">
        <v>1139</v>
      </c>
      <c r="K3196">
        <v>4.47</v>
      </c>
      <c r="M3196">
        <v>2.69</v>
      </c>
      <c r="O3196">
        <v>0.24</v>
      </c>
      <c r="Q3196">
        <v>0.97</v>
      </c>
      <c r="R3196">
        <v>0.95</v>
      </c>
    </row>
    <row r="3197" spans="1:19" x14ac:dyDescent="0.2">
      <c r="A3197" t="s">
        <v>5546</v>
      </c>
      <c r="B3197" t="s">
        <v>5547</v>
      </c>
      <c r="C3197">
        <v>2016</v>
      </c>
      <c r="D3197">
        <v>1</v>
      </c>
      <c r="E3197" t="s">
        <v>55</v>
      </c>
      <c r="F3197" t="s">
        <v>128</v>
      </c>
      <c r="G3197" t="s">
        <v>63</v>
      </c>
      <c r="H3197">
        <v>1</v>
      </c>
      <c r="I3197">
        <v>38.377462299999998</v>
      </c>
      <c r="J3197">
        <v>1011</v>
      </c>
      <c r="K3197">
        <v>4.07</v>
      </c>
      <c r="M3197">
        <v>2.5</v>
      </c>
      <c r="O3197">
        <v>0.223</v>
      </c>
      <c r="Q3197">
        <v>0.95</v>
      </c>
      <c r="R3197">
        <v>0.92</v>
      </c>
    </row>
    <row r="3198" spans="1:19" x14ac:dyDescent="0.2">
      <c r="A3198" t="s">
        <v>5548</v>
      </c>
      <c r="B3198" t="s">
        <v>5549</v>
      </c>
      <c r="C3198">
        <v>2016</v>
      </c>
      <c r="D3198">
        <v>1</v>
      </c>
      <c r="E3198" t="s">
        <v>55</v>
      </c>
      <c r="F3198" t="s">
        <v>128</v>
      </c>
      <c r="G3198" t="s">
        <v>63</v>
      </c>
      <c r="H3198">
        <v>1</v>
      </c>
      <c r="I3198">
        <v>3.7287310900000001</v>
      </c>
      <c r="J3198">
        <v>978</v>
      </c>
      <c r="K3198">
        <v>4.47</v>
      </c>
      <c r="M3198">
        <v>6.54</v>
      </c>
      <c r="O3198">
        <v>0.58299999999999996</v>
      </c>
      <c r="Q3198">
        <v>0.88</v>
      </c>
      <c r="R3198">
        <v>0.84</v>
      </c>
    </row>
    <row r="3199" spans="1:19" x14ac:dyDescent="0.2">
      <c r="A3199" t="s">
        <v>5550</v>
      </c>
      <c r="B3199" t="s">
        <v>5551</v>
      </c>
      <c r="C3199">
        <v>2016</v>
      </c>
      <c r="D3199">
        <v>1</v>
      </c>
      <c r="E3199" t="s">
        <v>55</v>
      </c>
      <c r="F3199" t="s">
        <v>128</v>
      </c>
      <c r="G3199" t="s">
        <v>63</v>
      </c>
      <c r="H3199">
        <v>1</v>
      </c>
      <c r="I3199">
        <v>2.24338185</v>
      </c>
      <c r="J3199">
        <v>302</v>
      </c>
      <c r="K3199">
        <v>3.31</v>
      </c>
      <c r="M3199">
        <v>1.69</v>
      </c>
      <c r="O3199">
        <v>0.151</v>
      </c>
      <c r="Q3199">
        <v>0.6</v>
      </c>
      <c r="R3199">
        <v>0.56999999999999995</v>
      </c>
    </row>
    <row r="3200" spans="1:19" x14ac:dyDescent="0.2">
      <c r="A3200" t="s">
        <v>5552</v>
      </c>
      <c r="B3200" t="s">
        <v>5553</v>
      </c>
      <c r="C3200">
        <v>2016</v>
      </c>
      <c r="D3200">
        <v>1</v>
      </c>
      <c r="E3200" t="s">
        <v>55</v>
      </c>
      <c r="F3200" t="s">
        <v>128</v>
      </c>
      <c r="G3200" t="s">
        <v>63</v>
      </c>
      <c r="H3200">
        <v>1</v>
      </c>
      <c r="I3200">
        <v>2.3374380100000001</v>
      </c>
      <c r="J3200">
        <v>651</v>
      </c>
      <c r="K3200">
        <v>4.68</v>
      </c>
      <c r="M3200">
        <v>2.44</v>
      </c>
      <c r="O3200">
        <v>0.218</v>
      </c>
      <c r="Q3200">
        <v>0.79</v>
      </c>
      <c r="R3200">
        <v>0.75</v>
      </c>
    </row>
    <row r="3201" spans="1:19" x14ac:dyDescent="0.2">
      <c r="A3201" t="s">
        <v>5554</v>
      </c>
      <c r="B3201" t="s">
        <v>5555</v>
      </c>
      <c r="C3201">
        <v>2016</v>
      </c>
      <c r="D3201">
        <v>1</v>
      </c>
      <c r="E3201" t="s">
        <v>55</v>
      </c>
      <c r="F3201" t="s">
        <v>128</v>
      </c>
      <c r="G3201" t="s">
        <v>63</v>
      </c>
      <c r="H3201">
        <v>1</v>
      </c>
      <c r="I3201">
        <v>11.59822172</v>
      </c>
      <c r="J3201">
        <v>243</v>
      </c>
      <c r="K3201">
        <v>4.2699999999999996</v>
      </c>
      <c r="M3201">
        <v>3.04</v>
      </c>
      <c r="O3201">
        <v>0.27100000000000002</v>
      </c>
      <c r="Q3201">
        <v>0.51</v>
      </c>
      <c r="R3201">
        <v>0.49</v>
      </c>
    </row>
    <row r="3202" spans="1:19" x14ac:dyDescent="0.2">
      <c r="A3202" t="s">
        <v>5556</v>
      </c>
      <c r="B3202" t="s">
        <v>5557</v>
      </c>
      <c r="C3202">
        <v>2016</v>
      </c>
      <c r="D3202">
        <v>1</v>
      </c>
      <c r="E3202" t="s">
        <v>55</v>
      </c>
      <c r="F3202" t="s">
        <v>128</v>
      </c>
      <c r="G3202" t="s">
        <v>63</v>
      </c>
      <c r="H3202">
        <v>1</v>
      </c>
      <c r="I3202">
        <v>6.5753167799999996</v>
      </c>
      <c r="J3202">
        <v>1180</v>
      </c>
      <c r="K3202">
        <v>4.57</v>
      </c>
      <c r="M3202">
        <v>5.38</v>
      </c>
      <c r="O3202">
        <v>0.48</v>
      </c>
      <c r="Q3202">
        <v>1</v>
      </c>
      <c r="R3202">
        <v>0.99</v>
      </c>
    </row>
    <row r="3203" spans="1:19" x14ac:dyDescent="0.2">
      <c r="A3203" t="s">
        <v>5558</v>
      </c>
      <c r="B3203" t="s">
        <v>5559</v>
      </c>
      <c r="C3203">
        <v>2016</v>
      </c>
      <c r="D3203">
        <v>1</v>
      </c>
      <c r="E3203" t="s">
        <v>55</v>
      </c>
      <c r="F3203" t="s">
        <v>128</v>
      </c>
      <c r="G3203" t="s">
        <v>63</v>
      </c>
      <c r="H3203">
        <v>1</v>
      </c>
      <c r="I3203">
        <v>7.2750372399999996</v>
      </c>
      <c r="J3203">
        <v>875</v>
      </c>
      <c r="K3203">
        <v>4.47</v>
      </c>
      <c r="M3203">
        <v>5.14</v>
      </c>
      <c r="O3203">
        <v>0.45900000000000002</v>
      </c>
      <c r="Q3203">
        <v>0.94</v>
      </c>
      <c r="R3203">
        <v>0.91</v>
      </c>
    </row>
    <row r="3204" spans="1:19" x14ac:dyDescent="0.2">
      <c r="A3204" t="s">
        <v>5560</v>
      </c>
      <c r="B3204" t="s">
        <v>5561</v>
      </c>
      <c r="C3204">
        <v>2016</v>
      </c>
      <c r="D3204">
        <v>1</v>
      </c>
      <c r="E3204" t="s">
        <v>55</v>
      </c>
      <c r="F3204" t="s">
        <v>128</v>
      </c>
      <c r="G3204" t="s">
        <v>63</v>
      </c>
      <c r="H3204">
        <v>1</v>
      </c>
      <c r="I3204">
        <v>12.393586040000001</v>
      </c>
      <c r="J3204">
        <v>968</v>
      </c>
      <c r="K3204">
        <v>4.47</v>
      </c>
      <c r="M3204">
        <v>3.01</v>
      </c>
      <c r="O3204">
        <v>0.26900000000000002</v>
      </c>
      <c r="Q3204">
        <v>0.87</v>
      </c>
      <c r="R3204">
        <v>0.84</v>
      </c>
    </row>
    <row r="3205" spans="1:19" x14ac:dyDescent="0.2">
      <c r="A3205" t="s">
        <v>5562</v>
      </c>
      <c r="B3205" t="s">
        <v>5563</v>
      </c>
      <c r="C3205">
        <v>2013</v>
      </c>
      <c r="D3205">
        <v>1</v>
      </c>
      <c r="E3205" t="s">
        <v>55</v>
      </c>
      <c r="F3205" t="s">
        <v>128</v>
      </c>
      <c r="G3205" t="s">
        <v>63</v>
      </c>
      <c r="H3205">
        <v>3</v>
      </c>
      <c r="I3205">
        <v>5.3987600000000002</v>
      </c>
      <c r="J3205">
        <v>135</v>
      </c>
      <c r="L3205">
        <v>6.3566000000000003</v>
      </c>
      <c r="M3205">
        <v>2.3540000000000001</v>
      </c>
      <c r="N3205">
        <v>0.02</v>
      </c>
      <c r="O3205">
        <v>0.21</v>
      </c>
      <c r="Q3205">
        <v>1.19</v>
      </c>
      <c r="R3205">
        <v>1.28</v>
      </c>
      <c r="S3205">
        <v>0.8</v>
      </c>
    </row>
    <row r="3206" spans="1:19" x14ac:dyDescent="0.2">
      <c r="A3206" t="s">
        <v>5562</v>
      </c>
      <c r="B3206" t="s">
        <v>5564</v>
      </c>
      <c r="C3206">
        <v>2013</v>
      </c>
      <c r="D3206">
        <v>1</v>
      </c>
      <c r="E3206" t="s">
        <v>55</v>
      </c>
      <c r="F3206" t="s">
        <v>128</v>
      </c>
      <c r="G3206" t="s">
        <v>63</v>
      </c>
      <c r="H3206">
        <v>3</v>
      </c>
      <c r="I3206">
        <v>9.6050400000000007</v>
      </c>
      <c r="J3206">
        <v>135</v>
      </c>
      <c r="L3206">
        <v>7.2</v>
      </c>
      <c r="M3206">
        <v>1</v>
      </c>
      <c r="N3206">
        <v>2.265E-2</v>
      </c>
      <c r="O3206">
        <v>8.8999999999999996E-2</v>
      </c>
      <c r="Q3206">
        <v>1.19</v>
      </c>
      <c r="R3206">
        <v>1.28</v>
      </c>
      <c r="S3206">
        <v>0.8</v>
      </c>
    </row>
    <row r="3207" spans="1:19" x14ac:dyDescent="0.2">
      <c r="A3207" t="s">
        <v>5562</v>
      </c>
      <c r="B3207" t="s">
        <v>5565</v>
      </c>
      <c r="C3207">
        <v>2013</v>
      </c>
      <c r="D3207">
        <v>1</v>
      </c>
      <c r="E3207" t="s">
        <v>21</v>
      </c>
      <c r="F3207" t="s">
        <v>22</v>
      </c>
      <c r="G3207" t="s">
        <v>32</v>
      </c>
      <c r="H3207">
        <v>3</v>
      </c>
      <c r="I3207">
        <v>625</v>
      </c>
      <c r="J3207">
        <v>135</v>
      </c>
      <c r="L3207">
        <v>267</v>
      </c>
      <c r="N3207">
        <v>0.84006999999999998</v>
      </c>
      <c r="Q3207">
        <v>1.19</v>
      </c>
      <c r="R3207">
        <v>1.28</v>
      </c>
      <c r="S3207">
        <v>0.8</v>
      </c>
    </row>
    <row r="3208" spans="1:19" x14ac:dyDescent="0.2">
      <c r="A3208" t="s">
        <v>5566</v>
      </c>
      <c r="B3208" t="s">
        <v>5567</v>
      </c>
      <c r="C3208">
        <v>2016</v>
      </c>
      <c r="D3208">
        <v>1</v>
      </c>
      <c r="E3208" t="s">
        <v>55</v>
      </c>
      <c r="F3208" t="s">
        <v>128</v>
      </c>
      <c r="G3208" t="s">
        <v>63</v>
      </c>
      <c r="H3208">
        <v>1</v>
      </c>
      <c r="I3208">
        <v>3.6899262899999998</v>
      </c>
      <c r="J3208">
        <v>1342</v>
      </c>
      <c r="K3208">
        <v>3.72</v>
      </c>
      <c r="M3208">
        <v>2.42</v>
      </c>
      <c r="O3208">
        <v>0.216</v>
      </c>
      <c r="Q3208">
        <v>1.08</v>
      </c>
      <c r="R3208">
        <v>1.1100000000000001</v>
      </c>
    </row>
    <row r="3209" spans="1:19" x14ac:dyDescent="0.2">
      <c r="A3209" t="s">
        <v>5568</v>
      </c>
      <c r="B3209" t="s">
        <v>5569</v>
      </c>
      <c r="C3209">
        <v>2016</v>
      </c>
      <c r="D3209">
        <v>1</v>
      </c>
      <c r="E3209" t="s">
        <v>55</v>
      </c>
      <c r="F3209" t="s">
        <v>128</v>
      </c>
      <c r="G3209" t="s">
        <v>63</v>
      </c>
      <c r="H3209">
        <v>1</v>
      </c>
      <c r="I3209">
        <v>26.394356460000001</v>
      </c>
      <c r="J3209">
        <v>666</v>
      </c>
      <c r="K3209">
        <v>5.01</v>
      </c>
      <c r="M3209">
        <v>3.08</v>
      </c>
      <c r="O3209">
        <v>0.27500000000000002</v>
      </c>
      <c r="Q3209">
        <v>0.8</v>
      </c>
      <c r="R3209">
        <v>0.76</v>
      </c>
    </row>
    <row r="3210" spans="1:19" x14ac:dyDescent="0.2">
      <c r="A3210" t="s">
        <v>5570</v>
      </c>
      <c r="B3210" t="s">
        <v>5571</v>
      </c>
      <c r="C3210">
        <v>2016</v>
      </c>
      <c r="D3210">
        <v>1</v>
      </c>
      <c r="E3210" t="s">
        <v>55</v>
      </c>
      <c r="F3210" t="s">
        <v>128</v>
      </c>
      <c r="G3210" t="s">
        <v>63</v>
      </c>
      <c r="H3210">
        <v>1</v>
      </c>
      <c r="I3210">
        <v>12.61190667</v>
      </c>
      <c r="J3210">
        <v>951</v>
      </c>
      <c r="K3210">
        <v>3.98</v>
      </c>
      <c r="M3210">
        <v>7.37</v>
      </c>
      <c r="O3210">
        <v>0.65800000000000003</v>
      </c>
      <c r="Q3210">
        <v>0.92</v>
      </c>
      <c r="R3210">
        <v>0.89</v>
      </c>
    </row>
    <row r="3211" spans="1:19" x14ac:dyDescent="0.2">
      <c r="A3211" t="s">
        <v>5572</v>
      </c>
      <c r="B3211" t="s">
        <v>5573</v>
      </c>
      <c r="C3211">
        <v>2016</v>
      </c>
      <c r="D3211">
        <v>1</v>
      </c>
      <c r="E3211" t="s">
        <v>55</v>
      </c>
      <c r="F3211" t="s">
        <v>128</v>
      </c>
      <c r="G3211" t="s">
        <v>63</v>
      </c>
      <c r="H3211">
        <v>1</v>
      </c>
      <c r="I3211">
        <v>2.5391831800000002</v>
      </c>
      <c r="J3211">
        <v>976</v>
      </c>
      <c r="K3211">
        <v>4.37</v>
      </c>
      <c r="M3211">
        <v>1.97</v>
      </c>
      <c r="O3211">
        <v>0.17599999999999999</v>
      </c>
      <c r="Q3211">
        <v>0.96</v>
      </c>
      <c r="R3211">
        <v>0.95</v>
      </c>
    </row>
    <row r="3212" spans="1:19" x14ac:dyDescent="0.2">
      <c r="A3212" t="s">
        <v>5574</v>
      </c>
      <c r="B3212" t="s">
        <v>5575</v>
      </c>
      <c r="C3212">
        <v>2016</v>
      </c>
      <c r="D3212">
        <v>1</v>
      </c>
      <c r="E3212" t="s">
        <v>55</v>
      </c>
      <c r="F3212" t="s">
        <v>128</v>
      </c>
      <c r="G3212" t="s">
        <v>63</v>
      </c>
      <c r="H3212">
        <v>1</v>
      </c>
      <c r="I3212">
        <v>6.77030201</v>
      </c>
      <c r="J3212">
        <v>1066</v>
      </c>
      <c r="K3212">
        <v>4.37</v>
      </c>
      <c r="M3212">
        <v>3.36</v>
      </c>
      <c r="O3212">
        <v>0.3</v>
      </c>
      <c r="Q3212">
        <v>0.89</v>
      </c>
      <c r="R3212">
        <v>0.86</v>
      </c>
    </row>
    <row r="3213" spans="1:19" x14ac:dyDescent="0.2">
      <c r="A3213" t="s">
        <v>5576</v>
      </c>
      <c r="B3213" t="s">
        <v>5577</v>
      </c>
      <c r="C3213">
        <v>2016</v>
      </c>
      <c r="D3213">
        <v>1</v>
      </c>
      <c r="E3213" t="s">
        <v>55</v>
      </c>
      <c r="F3213" t="s">
        <v>128</v>
      </c>
      <c r="G3213" t="s">
        <v>63</v>
      </c>
      <c r="H3213">
        <v>1</v>
      </c>
      <c r="I3213">
        <v>1.6255222</v>
      </c>
      <c r="J3213">
        <v>1145</v>
      </c>
      <c r="K3213">
        <v>3.39</v>
      </c>
      <c r="M3213">
        <v>10.58</v>
      </c>
      <c r="O3213">
        <v>0.94399999999999995</v>
      </c>
      <c r="Q3213">
        <v>1.1100000000000001</v>
      </c>
      <c r="R3213">
        <v>1.1599999999999999</v>
      </c>
    </row>
    <row r="3214" spans="1:19" x14ac:dyDescent="0.2">
      <c r="A3214" t="s">
        <v>5578</v>
      </c>
      <c r="B3214" t="s">
        <v>5579</v>
      </c>
      <c r="C3214">
        <v>2016</v>
      </c>
      <c r="D3214">
        <v>1</v>
      </c>
      <c r="E3214" t="s">
        <v>55</v>
      </c>
      <c r="F3214" t="s">
        <v>128</v>
      </c>
      <c r="G3214" t="s">
        <v>63</v>
      </c>
      <c r="H3214">
        <v>1</v>
      </c>
      <c r="I3214">
        <v>1.5947454599999999</v>
      </c>
      <c r="J3214">
        <v>1203</v>
      </c>
      <c r="K3214">
        <v>4.47</v>
      </c>
      <c r="M3214">
        <v>12.15</v>
      </c>
      <c r="O3214">
        <v>1.0840000000000001</v>
      </c>
      <c r="Q3214">
        <v>0.94</v>
      </c>
      <c r="R3214">
        <v>0.92</v>
      </c>
    </row>
    <row r="3215" spans="1:19" x14ac:dyDescent="0.2">
      <c r="A3215" t="s">
        <v>5580</v>
      </c>
      <c r="B3215" t="s">
        <v>5581</v>
      </c>
      <c r="C3215">
        <v>2016</v>
      </c>
      <c r="D3215">
        <v>1</v>
      </c>
      <c r="E3215" t="s">
        <v>55</v>
      </c>
      <c r="F3215" t="s">
        <v>128</v>
      </c>
      <c r="G3215" t="s">
        <v>63</v>
      </c>
      <c r="H3215">
        <v>1</v>
      </c>
      <c r="I3215">
        <v>20.505869780000001</v>
      </c>
      <c r="J3215">
        <v>628</v>
      </c>
      <c r="K3215">
        <v>5.5</v>
      </c>
      <c r="M3215">
        <v>3.52</v>
      </c>
      <c r="O3215">
        <v>0.314</v>
      </c>
      <c r="Q3215">
        <v>0.77</v>
      </c>
      <c r="R3215">
        <v>0.73</v>
      </c>
    </row>
    <row r="3216" spans="1:19" x14ac:dyDescent="0.2">
      <c r="A3216" t="s">
        <v>5582</v>
      </c>
      <c r="B3216" t="s">
        <v>5583</v>
      </c>
      <c r="C3216">
        <v>2016</v>
      </c>
      <c r="D3216">
        <v>1</v>
      </c>
      <c r="E3216" t="s">
        <v>55</v>
      </c>
      <c r="F3216" t="s">
        <v>128</v>
      </c>
      <c r="G3216" t="s">
        <v>63</v>
      </c>
      <c r="H3216">
        <v>1</v>
      </c>
      <c r="I3216">
        <v>3.8959368400000001</v>
      </c>
      <c r="J3216">
        <v>1247</v>
      </c>
      <c r="K3216">
        <v>4.2699999999999996</v>
      </c>
      <c r="M3216">
        <v>9.76</v>
      </c>
      <c r="O3216">
        <v>0.871</v>
      </c>
      <c r="Q3216">
        <v>0.98</v>
      </c>
      <c r="R3216">
        <v>0.96</v>
      </c>
    </row>
    <row r="3217" spans="1:19" x14ac:dyDescent="0.2">
      <c r="A3217" t="s">
        <v>5584</v>
      </c>
      <c r="B3217" t="s">
        <v>5585</v>
      </c>
      <c r="C3217">
        <v>2016</v>
      </c>
      <c r="D3217">
        <v>1</v>
      </c>
      <c r="E3217" t="s">
        <v>55</v>
      </c>
      <c r="F3217" t="s">
        <v>128</v>
      </c>
      <c r="G3217" t="s">
        <v>63</v>
      </c>
      <c r="H3217">
        <v>1</v>
      </c>
      <c r="I3217">
        <v>22.366560790000001</v>
      </c>
      <c r="J3217">
        <v>1044</v>
      </c>
      <c r="K3217">
        <v>4.57</v>
      </c>
      <c r="M3217">
        <v>2.89</v>
      </c>
      <c r="O3217">
        <v>0.25800000000000001</v>
      </c>
      <c r="Q3217">
        <v>0.91</v>
      </c>
      <c r="R3217">
        <v>0.88</v>
      </c>
    </row>
    <row r="3218" spans="1:19" x14ac:dyDescent="0.2">
      <c r="A3218" t="s">
        <v>5586</v>
      </c>
      <c r="B3218" t="s">
        <v>5587</v>
      </c>
      <c r="C3218">
        <v>2013</v>
      </c>
      <c r="D3218">
        <v>1</v>
      </c>
      <c r="E3218" t="s">
        <v>55</v>
      </c>
      <c r="F3218" t="s">
        <v>128</v>
      </c>
      <c r="G3218" t="s">
        <v>63</v>
      </c>
      <c r="H3218">
        <v>2</v>
      </c>
      <c r="I3218">
        <v>13.722341</v>
      </c>
      <c r="J3218">
        <v>584</v>
      </c>
      <c r="M3218">
        <v>2.2400000000000002</v>
      </c>
      <c r="O3218">
        <v>0.2</v>
      </c>
      <c r="Q3218">
        <v>0.81</v>
      </c>
      <c r="R3218">
        <v>0.93</v>
      </c>
      <c r="S3218">
        <v>1.37</v>
      </c>
    </row>
    <row r="3219" spans="1:19" x14ac:dyDescent="0.2">
      <c r="A3219" t="s">
        <v>5586</v>
      </c>
      <c r="B3219" t="s">
        <v>5588</v>
      </c>
      <c r="C3219">
        <v>2013</v>
      </c>
      <c r="D3219">
        <v>1</v>
      </c>
      <c r="E3219" t="s">
        <v>55</v>
      </c>
      <c r="F3219" t="s">
        <v>128</v>
      </c>
      <c r="G3219" t="s">
        <v>63</v>
      </c>
      <c r="H3219">
        <v>2</v>
      </c>
      <c r="I3219">
        <v>242.46129999999999</v>
      </c>
      <c r="J3219">
        <v>584</v>
      </c>
      <c r="M3219">
        <v>1.71</v>
      </c>
      <c r="O3219">
        <v>0.153</v>
      </c>
      <c r="Q3219">
        <v>0.81</v>
      </c>
      <c r="R3219">
        <v>0.93</v>
      </c>
      <c r="S3219">
        <v>1.37</v>
      </c>
    </row>
    <row r="3220" spans="1:19" x14ac:dyDescent="0.2">
      <c r="A3220" t="s">
        <v>5589</v>
      </c>
      <c r="B3220" t="s">
        <v>5590</v>
      </c>
      <c r="C3220">
        <v>2016</v>
      </c>
      <c r="D3220">
        <v>1</v>
      </c>
      <c r="E3220" t="s">
        <v>55</v>
      </c>
      <c r="F3220" t="s">
        <v>128</v>
      </c>
      <c r="G3220" t="s">
        <v>63</v>
      </c>
      <c r="H3220">
        <v>1</v>
      </c>
      <c r="I3220">
        <v>7.7480943699999996</v>
      </c>
      <c r="J3220">
        <v>1653</v>
      </c>
      <c r="K3220">
        <v>3.55</v>
      </c>
      <c r="M3220">
        <v>5.95</v>
      </c>
      <c r="O3220">
        <v>0.53100000000000003</v>
      </c>
      <c r="Q3220">
        <v>1.1100000000000001</v>
      </c>
      <c r="R3220">
        <v>1.1599999999999999</v>
      </c>
    </row>
    <row r="3221" spans="1:19" x14ac:dyDescent="0.2">
      <c r="A3221" t="s">
        <v>5591</v>
      </c>
      <c r="B3221" t="s">
        <v>5592</v>
      </c>
      <c r="C3221">
        <v>2016</v>
      </c>
      <c r="D3221">
        <v>1</v>
      </c>
      <c r="E3221" t="s">
        <v>55</v>
      </c>
      <c r="F3221" t="s">
        <v>128</v>
      </c>
      <c r="G3221" t="s">
        <v>63</v>
      </c>
      <c r="H3221">
        <v>1</v>
      </c>
      <c r="I3221">
        <v>8.1143789999999996</v>
      </c>
      <c r="J3221">
        <v>239</v>
      </c>
      <c r="K3221">
        <v>3.98</v>
      </c>
      <c r="M3221">
        <v>2.09</v>
      </c>
      <c r="O3221">
        <v>0.186</v>
      </c>
      <c r="Q3221">
        <v>0.53</v>
      </c>
      <c r="R3221">
        <v>0.5</v>
      </c>
    </row>
    <row r="3222" spans="1:19" x14ac:dyDescent="0.2">
      <c r="A3222" t="s">
        <v>5593</v>
      </c>
      <c r="B3222" t="s">
        <v>5594</v>
      </c>
      <c r="C3222">
        <v>2016</v>
      </c>
      <c r="D3222">
        <v>1</v>
      </c>
      <c r="E3222" t="s">
        <v>55</v>
      </c>
      <c r="F3222" t="s">
        <v>128</v>
      </c>
      <c r="G3222" t="s">
        <v>63</v>
      </c>
      <c r="H3222">
        <v>1</v>
      </c>
      <c r="I3222">
        <v>21.812934940000002</v>
      </c>
      <c r="J3222">
        <v>1000</v>
      </c>
      <c r="K3222">
        <v>4.68</v>
      </c>
      <c r="M3222">
        <v>3.11</v>
      </c>
      <c r="O3222">
        <v>0.27700000000000002</v>
      </c>
      <c r="Q3222">
        <v>0.9</v>
      </c>
      <c r="R3222">
        <v>0.86</v>
      </c>
    </row>
    <row r="3223" spans="1:19" x14ac:dyDescent="0.2">
      <c r="A3223" t="s">
        <v>5595</v>
      </c>
      <c r="B3223" t="s">
        <v>5596</v>
      </c>
      <c r="C3223">
        <v>2016</v>
      </c>
      <c r="D3223">
        <v>1</v>
      </c>
      <c r="E3223" t="s">
        <v>55</v>
      </c>
      <c r="F3223" t="s">
        <v>128</v>
      </c>
      <c r="G3223" t="s">
        <v>63</v>
      </c>
      <c r="H3223">
        <v>1</v>
      </c>
      <c r="I3223">
        <v>15.37563332</v>
      </c>
      <c r="J3223">
        <v>1002</v>
      </c>
      <c r="K3223">
        <v>4.47</v>
      </c>
      <c r="M3223">
        <v>10.18</v>
      </c>
      <c r="O3223">
        <v>0.90800000000000003</v>
      </c>
      <c r="Q3223">
        <v>0.76</v>
      </c>
      <c r="R3223">
        <v>0.72</v>
      </c>
    </row>
    <row r="3224" spans="1:19" x14ac:dyDescent="0.2">
      <c r="A3224" t="s">
        <v>5597</v>
      </c>
      <c r="B3224" t="s">
        <v>5598</v>
      </c>
      <c r="C3224">
        <v>2016</v>
      </c>
      <c r="D3224">
        <v>1</v>
      </c>
      <c r="E3224" t="s">
        <v>55</v>
      </c>
      <c r="F3224" t="s">
        <v>128</v>
      </c>
      <c r="G3224" t="s">
        <v>63</v>
      </c>
      <c r="H3224">
        <v>1</v>
      </c>
      <c r="I3224">
        <v>6.3658416100000004</v>
      </c>
      <c r="J3224">
        <v>1023</v>
      </c>
      <c r="K3224">
        <v>4.07</v>
      </c>
      <c r="M3224">
        <v>2.8</v>
      </c>
      <c r="O3224">
        <v>0.25</v>
      </c>
      <c r="Q3224">
        <v>0.97</v>
      </c>
      <c r="R3224">
        <v>0.95</v>
      </c>
    </row>
    <row r="3225" spans="1:19" x14ac:dyDescent="0.2">
      <c r="A3225" t="s">
        <v>5599</v>
      </c>
      <c r="B3225" t="s">
        <v>5600</v>
      </c>
      <c r="C3225">
        <v>2016</v>
      </c>
      <c r="D3225">
        <v>1</v>
      </c>
      <c r="E3225" t="s">
        <v>55</v>
      </c>
      <c r="F3225" t="s">
        <v>128</v>
      </c>
      <c r="G3225" t="s">
        <v>63</v>
      </c>
      <c r="H3225">
        <v>1</v>
      </c>
      <c r="I3225">
        <v>3.0403304200000001</v>
      </c>
      <c r="J3225">
        <v>620</v>
      </c>
      <c r="K3225">
        <v>4.47</v>
      </c>
      <c r="M3225">
        <v>9.2100000000000009</v>
      </c>
      <c r="O3225">
        <v>0.82199999999999995</v>
      </c>
      <c r="Q3225">
        <v>0.84</v>
      </c>
      <c r="R3225">
        <v>0.8</v>
      </c>
    </row>
    <row r="3226" spans="1:19" x14ac:dyDescent="0.2">
      <c r="A3226" t="s">
        <v>5601</v>
      </c>
      <c r="B3226" t="s">
        <v>5602</v>
      </c>
      <c r="C3226">
        <v>2016</v>
      </c>
      <c r="D3226">
        <v>1</v>
      </c>
      <c r="E3226" t="s">
        <v>55</v>
      </c>
      <c r="F3226" t="s">
        <v>128</v>
      </c>
      <c r="G3226" t="s">
        <v>63</v>
      </c>
      <c r="H3226">
        <v>1</v>
      </c>
      <c r="I3226">
        <v>4.1904255700000004</v>
      </c>
      <c r="J3226">
        <v>1285</v>
      </c>
      <c r="K3226">
        <v>3.98</v>
      </c>
      <c r="M3226">
        <v>6.14</v>
      </c>
      <c r="O3226">
        <v>0.54800000000000004</v>
      </c>
      <c r="Q3226">
        <v>1.06</v>
      </c>
      <c r="R3226">
        <v>1.08</v>
      </c>
    </row>
    <row r="3227" spans="1:19" x14ac:dyDescent="0.2">
      <c r="A3227" t="s">
        <v>5603</v>
      </c>
      <c r="B3227" t="s">
        <v>5604</v>
      </c>
      <c r="C3227">
        <v>2016</v>
      </c>
      <c r="D3227">
        <v>1</v>
      </c>
      <c r="E3227" t="s">
        <v>55</v>
      </c>
      <c r="F3227" t="s">
        <v>128</v>
      </c>
      <c r="G3227" t="s">
        <v>63</v>
      </c>
      <c r="H3227">
        <v>1</v>
      </c>
      <c r="I3227">
        <v>3.70987065</v>
      </c>
      <c r="J3227">
        <v>1091</v>
      </c>
      <c r="K3227">
        <v>4.37</v>
      </c>
      <c r="M3227">
        <v>4.13</v>
      </c>
      <c r="O3227">
        <v>0.36799999999999999</v>
      </c>
      <c r="Q3227">
        <v>0.92</v>
      </c>
      <c r="R3227">
        <v>0.88</v>
      </c>
    </row>
    <row r="3228" spans="1:19" x14ac:dyDescent="0.2">
      <c r="A3228" t="s">
        <v>5605</v>
      </c>
      <c r="B3228" t="s">
        <v>5606</v>
      </c>
      <c r="C3228">
        <v>2016</v>
      </c>
      <c r="D3228">
        <v>1</v>
      </c>
      <c r="E3228" t="s">
        <v>55</v>
      </c>
      <c r="F3228" t="s">
        <v>128</v>
      </c>
      <c r="G3228" t="s">
        <v>63</v>
      </c>
      <c r="H3228">
        <v>1</v>
      </c>
      <c r="I3228">
        <v>16.329762179999999</v>
      </c>
      <c r="J3228">
        <v>1135</v>
      </c>
      <c r="K3228">
        <v>4.2699999999999996</v>
      </c>
      <c r="M3228">
        <v>3.68</v>
      </c>
      <c r="O3228">
        <v>0.32800000000000001</v>
      </c>
      <c r="Q3228">
        <v>0.94</v>
      </c>
      <c r="R3228">
        <v>0.91</v>
      </c>
    </row>
    <row r="3229" spans="1:19" x14ac:dyDescent="0.2">
      <c r="A3229" t="s">
        <v>5607</v>
      </c>
      <c r="B3229" t="s">
        <v>5608</v>
      </c>
      <c r="C3229">
        <v>2016</v>
      </c>
      <c r="D3229">
        <v>1</v>
      </c>
      <c r="E3229" t="s">
        <v>55</v>
      </c>
      <c r="F3229" t="s">
        <v>128</v>
      </c>
      <c r="G3229" t="s">
        <v>63</v>
      </c>
      <c r="H3229">
        <v>1</v>
      </c>
      <c r="I3229">
        <v>27.80756293</v>
      </c>
      <c r="J3229">
        <v>888</v>
      </c>
      <c r="K3229">
        <v>4.57</v>
      </c>
      <c r="M3229">
        <v>14.11</v>
      </c>
      <c r="O3229">
        <v>1.2589999999999999</v>
      </c>
      <c r="Q3229">
        <v>0.81</v>
      </c>
      <c r="R3229">
        <v>0.78</v>
      </c>
    </row>
    <row r="3230" spans="1:19" x14ac:dyDescent="0.2">
      <c r="A3230" t="s">
        <v>5609</v>
      </c>
      <c r="B3230" t="s">
        <v>5610</v>
      </c>
      <c r="C3230">
        <v>2009</v>
      </c>
      <c r="D3230">
        <v>1</v>
      </c>
      <c r="E3230" t="s">
        <v>55</v>
      </c>
      <c r="F3230" t="s">
        <v>128</v>
      </c>
      <c r="G3230" t="s">
        <v>63</v>
      </c>
      <c r="H3230">
        <v>1</v>
      </c>
      <c r="I3230">
        <v>4.8854892000000003</v>
      </c>
      <c r="J3230">
        <v>907</v>
      </c>
      <c r="L3230">
        <v>140.16302999999999</v>
      </c>
      <c r="M3230">
        <v>18.181000000000001</v>
      </c>
      <c r="N3230">
        <v>0.441</v>
      </c>
      <c r="O3230">
        <v>1.6220000000000001</v>
      </c>
      <c r="P3230">
        <v>0.14000000000000001</v>
      </c>
      <c r="Q3230">
        <v>1.36</v>
      </c>
      <c r="R3230">
        <v>1.97</v>
      </c>
    </row>
    <row r="3231" spans="1:19" x14ac:dyDescent="0.2">
      <c r="A3231" t="s">
        <v>5611</v>
      </c>
      <c r="B3231" t="s">
        <v>5612</v>
      </c>
      <c r="C3231">
        <v>2016</v>
      </c>
      <c r="D3231">
        <v>1</v>
      </c>
      <c r="E3231" t="s">
        <v>55</v>
      </c>
      <c r="F3231" t="s">
        <v>128</v>
      </c>
      <c r="G3231" t="s">
        <v>63</v>
      </c>
      <c r="H3231">
        <v>1</v>
      </c>
      <c r="I3231">
        <v>80.872063900000001</v>
      </c>
      <c r="J3231">
        <v>1061</v>
      </c>
      <c r="K3231">
        <v>4.37</v>
      </c>
      <c r="M3231">
        <v>5.99</v>
      </c>
      <c r="O3231">
        <v>0.53400000000000003</v>
      </c>
      <c r="Q3231">
        <v>0.98</v>
      </c>
      <c r="R3231">
        <v>0.96</v>
      </c>
    </row>
    <row r="3232" spans="1:19" x14ac:dyDescent="0.2">
      <c r="A3232" t="s">
        <v>5613</v>
      </c>
      <c r="B3232" t="s">
        <v>5614</v>
      </c>
      <c r="C3232">
        <v>2016</v>
      </c>
      <c r="D3232">
        <v>1</v>
      </c>
      <c r="E3232" t="s">
        <v>55</v>
      </c>
      <c r="F3232" t="s">
        <v>128</v>
      </c>
      <c r="G3232" t="s">
        <v>63</v>
      </c>
      <c r="H3232">
        <v>1</v>
      </c>
      <c r="I3232">
        <v>10.355331769999999</v>
      </c>
      <c r="J3232">
        <v>755</v>
      </c>
      <c r="K3232">
        <v>4.47</v>
      </c>
      <c r="M3232">
        <v>2.84</v>
      </c>
      <c r="O3232">
        <v>0.253</v>
      </c>
      <c r="Q3232">
        <v>0.88</v>
      </c>
      <c r="R3232">
        <v>0.84</v>
      </c>
    </row>
    <row r="3233" spans="1:18" x14ac:dyDescent="0.2">
      <c r="A3233" t="s">
        <v>5615</v>
      </c>
      <c r="B3233" t="s">
        <v>5616</v>
      </c>
      <c r="C3233">
        <v>2016</v>
      </c>
      <c r="D3233">
        <v>1</v>
      </c>
      <c r="E3233" t="s">
        <v>55</v>
      </c>
      <c r="F3233" t="s">
        <v>128</v>
      </c>
      <c r="G3233" t="s">
        <v>63</v>
      </c>
      <c r="H3233">
        <v>1</v>
      </c>
      <c r="I3233">
        <v>10.52629406</v>
      </c>
      <c r="J3233">
        <v>892</v>
      </c>
      <c r="K3233">
        <v>4.47</v>
      </c>
      <c r="M3233">
        <v>9.17</v>
      </c>
      <c r="O3233">
        <v>0.81799999999999995</v>
      </c>
      <c r="Q3233">
        <v>0.9</v>
      </c>
      <c r="R3233">
        <v>0.86</v>
      </c>
    </row>
    <row r="3234" spans="1:18" x14ac:dyDescent="0.2">
      <c r="A3234" t="s">
        <v>5617</v>
      </c>
      <c r="B3234" t="s">
        <v>5618</v>
      </c>
      <c r="C3234">
        <v>2016</v>
      </c>
      <c r="D3234">
        <v>1</v>
      </c>
      <c r="E3234" t="s">
        <v>55</v>
      </c>
      <c r="F3234" t="s">
        <v>128</v>
      </c>
      <c r="G3234" t="s">
        <v>63</v>
      </c>
      <c r="H3234">
        <v>1</v>
      </c>
      <c r="I3234">
        <v>4.58352176</v>
      </c>
      <c r="J3234">
        <v>1482</v>
      </c>
      <c r="K3234">
        <v>2.69</v>
      </c>
      <c r="M3234">
        <v>8.1999999999999993</v>
      </c>
      <c r="O3234">
        <v>0.73199999999999998</v>
      </c>
      <c r="Q3234">
        <v>1.18</v>
      </c>
      <c r="R3234">
        <v>1.27</v>
      </c>
    </row>
    <row r="3235" spans="1:18" x14ac:dyDescent="0.2">
      <c r="A3235" t="s">
        <v>5619</v>
      </c>
      <c r="B3235" t="s">
        <v>5620</v>
      </c>
      <c r="C3235">
        <v>2016</v>
      </c>
      <c r="D3235">
        <v>1</v>
      </c>
      <c r="E3235" t="s">
        <v>55</v>
      </c>
      <c r="F3235" t="s">
        <v>128</v>
      </c>
      <c r="G3235" t="s">
        <v>63</v>
      </c>
      <c r="H3235">
        <v>1</v>
      </c>
      <c r="I3235">
        <v>3.7618211499999998</v>
      </c>
      <c r="J3235">
        <v>1054</v>
      </c>
      <c r="K3235">
        <v>5.13</v>
      </c>
      <c r="M3235">
        <v>2.61</v>
      </c>
      <c r="O3235">
        <v>0.23300000000000001</v>
      </c>
      <c r="Q3235">
        <v>0.97</v>
      </c>
      <c r="R3235">
        <v>0.96</v>
      </c>
    </row>
    <row r="3236" spans="1:18" x14ac:dyDescent="0.2">
      <c r="A3236" t="s">
        <v>5621</v>
      </c>
      <c r="B3236" t="s">
        <v>5622</v>
      </c>
      <c r="C3236">
        <v>2016</v>
      </c>
      <c r="D3236">
        <v>1</v>
      </c>
      <c r="E3236" t="s">
        <v>55</v>
      </c>
      <c r="F3236" t="s">
        <v>128</v>
      </c>
      <c r="G3236" t="s">
        <v>63</v>
      </c>
      <c r="H3236">
        <v>1</v>
      </c>
      <c r="I3236">
        <v>56.056053800000001</v>
      </c>
      <c r="J3236">
        <v>251</v>
      </c>
      <c r="K3236">
        <v>3.89</v>
      </c>
      <c r="M3236">
        <v>2.11</v>
      </c>
      <c r="O3236">
        <v>0.188</v>
      </c>
      <c r="Q3236">
        <v>0.53</v>
      </c>
      <c r="R3236">
        <v>0.51</v>
      </c>
    </row>
    <row r="3237" spans="1:18" x14ac:dyDescent="0.2">
      <c r="A3237" t="s">
        <v>5623</v>
      </c>
      <c r="B3237" t="s">
        <v>5624</v>
      </c>
      <c r="C3237">
        <v>2016</v>
      </c>
      <c r="D3237">
        <v>1</v>
      </c>
      <c r="E3237" t="s">
        <v>55</v>
      </c>
      <c r="F3237" t="s">
        <v>128</v>
      </c>
      <c r="G3237" t="s">
        <v>63</v>
      </c>
      <c r="H3237">
        <v>1</v>
      </c>
      <c r="I3237">
        <v>41.408313470000003</v>
      </c>
      <c r="J3237">
        <v>810</v>
      </c>
      <c r="K3237">
        <v>4.79</v>
      </c>
      <c r="M3237">
        <v>13.17</v>
      </c>
      <c r="O3237">
        <v>1.175</v>
      </c>
      <c r="Q3237">
        <v>0.87</v>
      </c>
      <c r="R3237">
        <v>0.84</v>
      </c>
    </row>
    <row r="3238" spans="1:18" x14ac:dyDescent="0.2">
      <c r="A3238" t="s">
        <v>5625</v>
      </c>
      <c r="B3238" t="s">
        <v>5626</v>
      </c>
      <c r="C3238">
        <v>2016</v>
      </c>
      <c r="D3238">
        <v>1</v>
      </c>
      <c r="E3238" t="s">
        <v>55</v>
      </c>
      <c r="F3238" t="s">
        <v>128</v>
      </c>
      <c r="G3238" t="s">
        <v>63</v>
      </c>
      <c r="H3238">
        <v>1</v>
      </c>
      <c r="I3238">
        <v>2.2374927499999999</v>
      </c>
      <c r="J3238">
        <v>626</v>
      </c>
      <c r="K3238">
        <v>4.9000000000000004</v>
      </c>
      <c r="M3238">
        <v>1.33</v>
      </c>
      <c r="O3238">
        <v>0.11899999999999999</v>
      </c>
      <c r="Q3238">
        <v>0.8</v>
      </c>
      <c r="R3238">
        <v>0.76</v>
      </c>
    </row>
    <row r="3239" spans="1:18" x14ac:dyDescent="0.2">
      <c r="A3239" t="s">
        <v>5627</v>
      </c>
      <c r="B3239" t="s">
        <v>5628</v>
      </c>
      <c r="C3239">
        <v>2016</v>
      </c>
      <c r="D3239">
        <v>1</v>
      </c>
      <c r="E3239" t="s">
        <v>55</v>
      </c>
      <c r="F3239" t="s">
        <v>128</v>
      </c>
      <c r="G3239" t="s">
        <v>63</v>
      </c>
      <c r="H3239">
        <v>1</v>
      </c>
      <c r="I3239">
        <v>3.1678919400000001</v>
      </c>
      <c r="J3239">
        <v>1241</v>
      </c>
      <c r="K3239">
        <v>4.37</v>
      </c>
      <c r="M3239">
        <v>2.93</v>
      </c>
      <c r="O3239">
        <v>0.26100000000000001</v>
      </c>
      <c r="Q3239">
        <v>0.97</v>
      </c>
      <c r="R3239">
        <v>0.96</v>
      </c>
    </row>
    <row r="3240" spans="1:18" x14ac:dyDescent="0.2">
      <c r="A3240" t="s">
        <v>5629</v>
      </c>
      <c r="B3240" t="s">
        <v>5630</v>
      </c>
      <c r="C3240">
        <v>2016</v>
      </c>
      <c r="D3240">
        <v>1</v>
      </c>
      <c r="E3240" t="s">
        <v>55</v>
      </c>
      <c r="F3240" t="s">
        <v>128</v>
      </c>
      <c r="G3240" t="s">
        <v>63</v>
      </c>
      <c r="H3240">
        <v>1</v>
      </c>
      <c r="I3240">
        <v>16.08524954</v>
      </c>
      <c r="J3240">
        <v>668</v>
      </c>
      <c r="K3240">
        <v>4.9000000000000004</v>
      </c>
      <c r="M3240">
        <v>2.92</v>
      </c>
      <c r="O3240">
        <v>0.26100000000000001</v>
      </c>
      <c r="Q3240">
        <v>0.8</v>
      </c>
      <c r="R3240">
        <v>0.77</v>
      </c>
    </row>
    <row r="3241" spans="1:18" x14ac:dyDescent="0.2">
      <c r="A3241" t="s">
        <v>5631</v>
      </c>
      <c r="B3241" t="s">
        <v>5632</v>
      </c>
      <c r="C3241">
        <v>2016</v>
      </c>
      <c r="D3241">
        <v>1</v>
      </c>
      <c r="E3241" t="s">
        <v>55</v>
      </c>
      <c r="F3241" t="s">
        <v>128</v>
      </c>
      <c r="G3241" t="s">
        <v>63</v>
      </c>
      <c r="H3241">
        <v>1</v>
      </c>
      <c r="I3241">
        <v>4.3472855299999997</v>
      </c>
      <c r="J3241">
        <v>919</v>
      </c>
      <c r="K3241">
        <v>4.17</v>
      </c>
      <c r="M3241">
        <v>1.88</v>
      </c>
      <c r="O3241">
        <v>0.16800000000000001</v>
      </c>
      <c r="Q3241">
        <v>0.94</v>
      </c>
      <c r="R3241">
        <v>0.91</v>
      </c>
    </row>
    <row r="3242" spans="1:18" x14ac:dyDescent="0.2">
      <c r="A3242" t="s">
        <v>5633</v>
      </c>
      <c r="B3242" t="s">
        <v>5634</v>
      </c>
      <c r="C3242">
        <v>2016</v>
      </c>
      <c r="D3242">
        <v>1</v>
      </c>
      <c r="E3242" t="s">
        <v>55</v>
      </c>
      <c r="F3242" t="s">
        <v>128</v>
      </c>
      <c r="G3242" t="s">
        <v>63</v>
      </c>
      <c r="H3242">
        <v>1</v>
      </c>
      <c r="I3242">
        <v>23.589143979999999</v>
      </c>
      <c r="J3242">
        <v>664</v>
      </c>
      <c r="K3242">
        <v>4.37</v>
      </c>
      <c r="M3242">
        <v>3.41</v>
      </c>
      <c r="O3242">
        <v>0.30399999999999999</v>
      </c>
      <c r="Q3242">
        <v>0.84</v>
      </c>
      <c r="R3242">
        <v>0.8</v>
      </c>
    </row>
    <row r="3243" spans="1:18" x14ac:dyDescent="0.2">
      <c r="A3243" t="s">
        <v>5635</v>
      </c>
      <c r="B3243" t="s">
        <v>5636</v>
      </c>
      <c r="C3243">
        <v>2016</v>
      </c>
      <c r="D3243">
        <v>1</v>
      </c>
      <c r="E3243" t="s">
        <v>55</v>
      </c>
      <c r="F3243" t="s">
        <v>128</v>
      </c>
      <c r="G3243" t="s">
        <v>63</v>
      </c>
      <c r="H3243">
        <v>2</v>
      </c>
      <c r="I3243">
        <v>21.022476990000001</v>
      </c>
      <c r="J3243">
        <v>944</v>
      </c>
      <c r="K3243">
        <v>3.31</v>
      </c>
      <c r="M3243">
        <v>3.41</v>
      </c>
      <c r="O3243">
        <v>0.30399999999999999</v>
      </c>
      <c r="Q3243">
        <v>0.84</v>
      </c>
      <c r="R3243">
        <v>0.78</v>
      </c>
    </row>
    <row r="3244" spans="1:18" x14ac:dyDescent="0.2">
      <c r="A3244" t="s">
        <v>5635</v>
      </c>
      <c r="B3244" t="s">
        <v>5637</v>
      </c>
      <c r="C3244">
        <v>2016</v>
      </c>
      <c r="D3244">
        <v>1</v>
      </c>
      <c r="E3244" t="s">
        <v>55</v>
      </c>
      <c r="F3244" t="s">
        <v>128</v>
      </c>
      <c r="G3244" t="s">
        <v>63</v>
      </c>
      <c r="H3244">
        <v>2</v>
      </c>
      <c r="I3244">
        <v>226.89046999999999</v>
      </c>
      <c r="J3244">
        <v>944</v>
      </c>
      <c r="K3244">
        <v>3.31</v>
      </c>
      <c r="M3244">
        <v>4.8499999999999996</v>
      </c>
      <c r="O3244">
        <v>0.433</v>
      </c>
      <c r="Q3244">
        <v>0.84</v>
      </c>
      <c r="R3244">
        <v>0.78</v>
      </c>
    </row>
    <row r="3245" spans="1:18" x14ac:dyDescent="0.2">
      <c r="A3245" t="s">
        <v>5638</v>
      </c>
      <c r="B3245" t="s">
        <v>5639</v>
      </c>
      <c r="C3245">
        <v>2016</v>
      </c>
      <c r="D3245">
        <v>1</v>
      </c>
      <c r="E3245" t="s">
        <v>55</v>
      </c>
      <c r="F3245" t="s">
        <v>128</v>
      </c>
      <c r="G3245" t="s">
        <v>63</v>
      </c>
      <c r="H3245">
        <v>1</v>
      </c>
      <c r="I3245">
        <v>7.4111409999999998</v>
      </c>
      <c r="J3245">
        <v>1003</v>
      </c>
      <c r="K3245">
        <v>3.8</v>
      </c>
      <c r="M3245">
        <v>2.48</v>
      </c>
      <c r="O3245">
        <v>0.221</v>
      </c>
      <c r="Q3245">
        <v>0.98</v>
      </c>
      <c r="R3245">
        <v>0.99</v>
      </c>
    </row>
    <row r="3246" spans="1:18" x14ac:dyDescent="0.2">
      <c r="A3246" t="s">
        <v>5640</v>
      </c>
      <c r="B3246" t="s">
        <v>5641</v>
      </c>
      <c r="C3246">
        <v>2016</v>
      </c>
      <c r="D3246">
        <v>1</v>
      </c>
      <c r="E3246" t="s">
        <v>55</v>
      </c>
      <c r="F3246" t="s">
        <v>128</v>
      </c>
      <c r="G3246" t="s">
        <v>63</v>
      </c>
      <c r="H3246">
        <v>1</v>
      </c>
      <c r="I3246">
        <v>8.0988879899999997</v>
      </c>
      <c r="J3246">
        <v>1460</v>
      </c>
      <c r="K3246">
        <v>3.55</v>
      </c>
      <c r="M3246">
        <v>9.67</v>
      </c>
      <c r="O3246">
        <v>0.86299999999999999</v>
      </c>
      <c r="Q3246">
        <v>1.0900000000000001</v>
      </c>
      <c r="R3246">
        <v>1.1200000000000001</v>
      </c>
    </row>
    <row r="3247" spans="1:18" x14ac:dyDescent="0.2">
      <c r="A3247" t="s">
        <v>5642</v>
      </c>
      <c r="B3247" t="s">
        <v>5643</v>
      </c>
      <c r="C3247">
        <v>2016</v>
      </c>
      <c r="D3247">
        <v>1</v>
      </c>
      <c r="E3247" t="s">
        <v>55</v>
      </c>
      <c r="F3247" t="s">
        <v>128</v>
      </c>
      <c r="G3247" t="s">
        <v>63</v>
      </c>
      <c r="H3247">
        <v>1</v>
      </c>
      <c r="I3247">
        <v>10.006529949999999</v>
      </c>
      <c r="J3247">
        <v>1214</v>
      </c>
      <c r="K3247">
        <v>3.98</v>
      </c>
      <c r="M3247">
        <v>3.75</v>
      </c>
      <c r="O3247">
        <v>0.33500000000000002</v>
      </c>
      <c r="Q3247">
        <v>1.04</v>
      </c>
      <c r="R3247">
        <v>1.04</v>
      </c>
    </row>
    <row r="3248" spans="1:18" x14ac:dyDescent="0.2">
      <c r="A3248" t="s">
        <v>5644</v>
      </c>
      <c r="B3248" t="s">
        <v>5645</v>
      </c>
      <c r="C3248">
        <v>2016</v>
      </c>
      <c r="D3248">
        <v>1</v>
      </c>
      <c r="E3248" t="s">
        <v>55</v>
      </c>
      <c r="F3248" t="s">
        <v>128</v>
      </c>
      <c r="G3248" t="s">
        <v>63</v>
      </c>
      <c r="H3248">
        <v>1</v>
      </c>
      <c r="I3248">
        <v>10.37168453</v>
      </c>
      <c r="J3248">
        <v>675</v>
      </c>
      <c r="K3248">
        <v>4.57</v>
      </c>
      <c r="M3248">
        <v>2.9</v>
      </c>
      <c r="O3248">
        <v>0.25900000000000001</v>
      </c>
      <c r="Q3248">
        <v>0.83</v>
      </c>
      <c r="R3248">
        <v>0.78</v>
      </c>
    </row>
    <row r="3249" spans="1:19" x14ac:dyDescent="0.2">
      <c r="A3249" t="s">
        <v>5646</v>
      </c>
      <c r="B3249" t="s">
        <v>5647</v>
      </c>
      <c r="C3249">
        <v>2016</v>
      </c>
      <c r="D3249">
        <v>1</v>
      </c>
      <c r="E3249" t="s">
        <v>55</v>
      </c>
      <c r="F3249" t="s">
        <v>128</v>
      </c>
      <c r="G3249" t="s">
        <v>63</v>
      </c>
      <c r="H3249">
        <v>1</v>
      </c>
      <c r="I3249">
        <v>4.4084002299999998</v>
      </c>
      <c r="J3249">
        <v>1126</v>
      </c>
      <c r="K3249">
        <v>4.37</v>
      </c>
      <c r="M3249">
        <v>2.42</v>
      </c>
      <c r="O3249">
        <v>0.216</v>
      </c>
      <c r="Q3249">
        <v>0.88</v>
      </c>
      <c r="R3249">
        <v>0.85</v>
      </c>
    </row>
    <row r="3250" spans="1:19" x14ac:dyDescent="0.2">
      <c r="A3250" t="s">
        <v>5648</v>
      </c>
      <c r="B3250" t="s">
        <v>5649</v>
      </c>
      <c r="C3250">
        <v>2016</v>
      </c>
      <c r="D3250">
        <v>1</v>
      </c>
      <c r="E3250" t="s">
        <v>55</v>
      </c>
      <c r="F3250" t="s">
        <v>128</v>
      </c>
      <c r="G3250" t="s">
        <v>63</v>
      </c>
      <c r="H3250">
        <v>1</v>
      </c>
      <c r="I3250">
        <v>2.0523498999999998</v>
      </c>
      <c r="J3250">
        <v>1520</v>
      </c>
      <c r="K3250">
        <v>2.57</v>
      </c>
      <c r="M3250">
        <v>16.559999999999999</v>
      </c>
      <c r="O3250">
        <v>1.4770000000000001</v>
      </c>
      <c r="Q3250">
        <v>1.18</v>
      </c>
      <c r="R3250">
        <v>1.3</v>
      </c>
    </row>
    <row r="3251" spans="1:19" x14ac:dyDescent="0.2">
      <c r="A3251" t="s">
        <v>5650</v>
      </c>
      <c r="B3251" t="s">
        <v>5651</v>
      </c>
      <c r="C3251">
        <v>2016</v>
      </c>
      <c r="D3251">
        <v>1</v>
      </c>
      <c r="E3251" t="s">
        <v>55</v>
      </c>
      <c r="F3251" t="s">
        <v>128</v>
      </c>
      <c r="G3251" t="s">
        <v>63</v>
      </c>
      <c r="H3251">
        <v>1</v>
      </c>
      <c r="I3251">
        <v>5.0073177800000002</v>
      </c>
      <c r="J3251">
        <v>1427</v>
      </c>
      <c r="K3251">
        <v>3.98</v>
      </c>
      <c r="M3251">
        <v>8.52</v>
      </c>
      <c r="O3251">
        <v>0.76</v>
      </c>
      <c r="Q3251">
        <v>0.99</v>
      </c>
      <c r="R3251">
        <v>0.98</v>
      </c>
    </row>
    <row r="3252" spans="1:19" x14ac:dyDescent="0.2">
      <c r="A3252" t="s">
        <v>5652</v>
      </c>
      <c r="B3252" t="s">
        <v>5653</v>
      </c>
      <c r="C3252">
        <v>2016</v>
      </c>
      <c r="D3252">
        <v>1</v>
      </c>
      <c r="E3252" t="s">
        <v>55</v>
      </c>
      <c r="F3252" t="s">
        <v>128</v>
      </c>
      <c r="G3252" t="s">
        <v>63</v>
      </c>
      <c r="H3252">
        <v>1</v>
      </c>
      <c r="I3252">
        <v>4.7083265399999998</v>
      </c>
      <c r="J3252">
        <v>880</v>
      </c>
      <c r="K3252">
        <v>3.63</v>
      </c>
      <c r="M3252">
        <v>8.41</v>
      </c>
      <c r="O3252">
        <v>0.75</v>
      </c>
      <c r="Q3252">
        <v>0.95</v>
      </c>
      <c r="R3252">
        <v>0.92</v>
      </c>
    </row>
    <row r="3253" spans="1:19" x14ac:dyDescent="0.2">
      <c r="A3253" t="s">
        <v>5654</v>
      </c>
      <c r="B3253" t="s">
        <v>5655</v>
      </c>
      <c r="C3253">
        <v>2016</v>
      </c>
      <c r="D3253">
        <v>1</v>
      </c>
      <c r="E3253" t="s">
        <v>55</v>
      </c>
      <c r="F3253" t="s">
        <v>128</v>
      </c>
      <c r="G3253" t="s">
        <v>63</v>
      </c>
      <c r="H3253">
        <v>1</v>
      </c>
      <c r="I3253">
        <v>5.3920253899999997</v>
      </c>
      <c r="J3253">
        <v>848</v>
      </c>
      <c r="K3253">
        <v>4.9000000000000004</v>
      </c>
      <c r="M3253">
        <v>2.64</v>
      </c>
      <c r="O3253">
        <v>0.23599999999999999</v>
      </c>
      <c r="Q3253">
        <v>0.82</v>
      </c>
      <c r="R3253">
        <v>0.78</v>
      </c>
    </row>
    <row r="3254" spans="1:19" x14ac:dyDescent="0.2">
      <c r="A3254" t="s">
        <v>5656</v>
      </c>
      <c r="B3254" t="s">
        <v>5657</v>
      </c>
      <c r="C3254">
        <v>2016</v>
      </c>
      <c r="D3254">
        <v>1</v>
      </c>
      <c r="E3254" t="s">
        <v>55</v>
      </c>
      <c r="F3254" t="s">
        <v>128</v>
      </c>
      <c r="G3254" t="s">
        <v>63</v>
      </c>
      <c r="H3254">
        <v>2</v>
      </c>
      <c r="I3254">
        <v>4.0935732500000004</v>
      </c>
      <c r="J3254">
        <v>1375</v>
      </c>
      <c r="K3254">
        <v>4.37</v>
      </c>
      <c r="M3254">
        <v>2.63</v>
      </c>
      <c r="O3254">
        <v>0.23499999999999999</v>
      </c>
      <c r="Q3254">
        <v>1.03</v>
      </c>
      <c r="R3254">
        <v>1.05</v>
      </c>
    </row>
    <row r="3255" spans="1:19" x14ac:dyDescent="0.2">
      <c r="A3255" t="s">
        <v>5656</v>
      </c>
      <c r="B3255" t="s">
        <v>5658</v>
      </c>
      <c r="C3255">
        <v>2016</v>
      </c>
      <c r="D3255">
        <v>1</v>
      </c>
      <c r="E3255" t="s">
        <v>55</v>
      </c>
      <c r="F3255" t="s">
        <v>128</v>
      </c>
      <c r="G3255" t="s">
        <v>63</v>
      </c>
      <c r="H3255">
        <v>2</v>
      </c>
      <c r="I3255">
        <v>105.144749</v>
      </c>
      <c r="J3255">
        <v>1375</v>
      </c>
      <c r="K3255">
        <v>4.37</v>
      </c>
      <c r="M3255">
        <v>2.82</v>
      </c>
      <c r="O3255">
        <v>0.252</v>
      </c>
      <c r="Q3255">
        <v>1.03</v>
      </c>
      <c r="R3255">
        <v>1.05</v>
      </c>
    </row>
    <row r="3256" spans="1:19" x14ac:dyDescent="0.2">
      <c r="A3256" t="s">
        <v>5659</v>
      </c>
      <c r="B3256" t="s">
        <v>5660</v>
      </c>
      <c r="C3256">
        <v>2016</v>
      </c>
      <c r="D3256">
        <v>1</v>
      </c>
      <c r="E3256" t="s">
        <v>55</v>
      </c>
      <c r="F3256" t="s">
        <v>128</v>
      </c>
      <c r="G3256" t="s">
        <v>63</v>
      </c>
      <c r="H3256">
        <v>1</v>
      </c>
      <c r="I3256">
        <v>4.0822750699999997</v>
      </c>
      <c r="J3256">
        <v>965</v>
      </c>
      <c r="K3256">
        <v>4.57</v>
      </c>
      <c r="M3256">
        <v>12.19</v>
      </c>
      <c r="O3256">
        <v>1.0880000000000001</v>
      </c>
      <c r="Q3256">
        <v>0.92</v>
      </c>
      <c r="R3256">
        <v>0.89</v>
      </c>
    </row>
    <row r="3257" spans="1:19" x14ac:dyDescent="0.2">
      <c r="A3257" t="s">
        <v>5661</v>
      </c>
      <c r="B3257" t="s">
        <v>5662</v>
      </c>
      <c r="C3257">
        <v>2016</v>
      </c>
      <c r="D3257">
        <v>1</v>
      </c>
      <c r="E3257" t="s">
        <v>55</v>
      </c>
      <c r="F3257" t="s">
        <v>128</v>
      </c>
      <c r="G3257" t="s">
        <v>63</v>
      </c>
      <c r="H3257">
        <v>1</v>
      </c>
      <c r="I3257">
        <v>3.3149463400000001</v>
      </c>
      <c r="J3257">
        <v>862</v>
      </c>
      <c r="K3257">
        <v>4.37</v>
      </c>
      <c r="M3257">
        <v>3.29</v>
      </c>
      <c r="O3257">
        <v>0.29399999999999998</v>
      </c>
      <c r="Q3257">
        <v>0.9</v>
      </c>
      <c r="R3257">
        <v>0.86</v>
      </c>
    </row>
    <row r="3258" spans="1:19" x14ac:dyDescent="0.2">
      <c r="A3258" t="s">
        <v>5663</v>
      </c>
      <c r="B3258" t="s">
        <v>5664</v>
      </c>
      <c r="C3258">
        <v>2016</v>
      </c>
      <c r="D3258">
        <v>1</v>
      </c>
      <c r="E3258" t="s">
        <v>55</v>
      </c>
      <c r="F3258" t="s">
        <v>128</v>
      </c>
      <c r="G3258" t="s">
        <v>63</v>
      </c>
      <c r="H3258">
        <v>1</v>
      </c>
      <c r="I3258">
        <v>39.643178110000001</v>
      </c>
      <c r="J3258">
        <v>778</v>
      </c>
      <c r="K3258">
        <v>4.37</v>
      </c>
      <c r="M3258">
        <v>10.63</v>
      </c>
      <c r="O3258">
        <v>0.94799999999999995</v>
      </c>
      <c r="Q3258">
        <v>0.88</v>
      </c>
      <c r="R3258">
        <v>0.84</v>
      </c>
    </row>
    <row r="3259" spans="1:19" x14ac:dyDescent="0.2">
      <c r="A3259" t="s">
        <v>5665</v>
      </c>
      <c r="B3259" t="s">
        <v>5666</v>
      </c>
      <c r="C3259">
        <v>2016</v>
      </c>
      <c r="D3259">
        <v>1</v>
      </c>
      <c r="E3259" t="s">
        <v>55</v>
      </c>
      <c r="F3259" t="s">
        <v>128</v>
      </c>
      <c r="G3259" t="s">
        <v>63</v>
      </c>
      <c r="H3259">
        <v>1</v>
      </c>
      <c r="I3259">
        <v>21.804510879999999</v>
      </c>
      <c r="J3259">
        <v>838</v>
      </c>
      <c r="K3259">
        <v>4.47</v>
      </c>
      <c r="M3259">
        <v>3.26</v>
      </c>
      <c r="O3259">
        <v>0.29099999999999998</v>
      </c>
      <c r="Q3259">
        <v>0.88</v>
      </c>
      <c r="R3259">
        <v>0.85</v>
      </c>
    </row>
    <row r="3260" spans="1:19" x14ac:dyDescent="0.2">
      <c r="A3260" t="s">
        <v>5667</v>
      </c>
      <c r="B3260" t="s">
        <v>5668</v>
      </c>
      <c r="C3260">
        <v>2016</v>
      </c>
      <c r="D3260">
        <v>1</v>
      </c>
      <c r="E3260" t="s">
        <v>55</v>
      </c>
      <c r="F3260" t="s">
        <v>128</v>
      </c>
      <c r="G3260" t="s">
        <v>63</v>
      </c>
      <c r="H3260">
        <v>1</v>
      </c>
      <c r="I3260">
        <v>5.1544844200000002</v>
      </c>
      <c r="J3260">
        <v>892</v>
      </c>
      <c r="K3260">
        <v>4.79</v>
      </c>
      <c r="M3260">
        <v>2.5299999999999998</v>
      </c>
      <c r="O3260">
        <v>0.22600000000000001</v>
      </c>
      <c r="Q3260">
        <v>0.89</v>
      </c>
      <c r="R3260">
        <v>0.86</v>
      </c>
    </row>
    <row r="3261" spans="1:19" x14ac:dyDescent="0.2">
      <c r="A3261" t="s">
        <v>5669</v>
      </c>
      <c r="B3261" t="s">
        <v>5670</v>
      </c>
      <c r="C3261">
        <v>2016</v>
      </c>
      <c r="D3261">
        <v>1</v>
      </c>
      <c r="E3261" t="s">
        <v>55</v>
      </c>
      <c r="F3261" t="s">
        <v>128</v>
      </c>
      <c r="G3261" t="s">
        <v>63</v>
      </c>
      <c r="H3261">
        <v>1</v>
      </c>
      <c r="I3261">
        <v>5.7434772699999996</v>
      </c>
      <c r="J3261">
        <v>1236</v>
      </c>
      <c r="K3261">
        <v>4.07</v>
      </c>
      <c r="M3261">
        <v>3.34</v>
      </c>
      <c r="O3261">
        <v>0.29799999999999999</v>
      </c>
      <c r="Q3261">
        <v>0.95</v>
      </c>
      <c r="R3261">
        <v>0.93</v>
      </c>
    </row>
    <row r="3262" spans="1:19" x14ac:dyDescent="0.2">
      <c r="A3262" t="s">
        <v>5671</v>
      </c>
      <c r="B3262" t="s">
        <v>5672</v>
      </c>
      <c r="C3262">
        <v>2016</v>
      </c>
      <c r="D3262">
        <v>1</v>
      </c>
      <c r="E3262" t="s">
        <v>55</v>
      </c>
      <c r="F3262" t="s">
        <v>128</v>
      </c>
      <c r="G3262" t="s">
        <v>63</v>
      </c>
      <c r="H3262">
        <v>1</v>
      </c>
      <c r="I3262">
        <v>3.1663537100000001</v>
      </c>
      <c r="J3262">
        <v>1271</v>
      </c>
      <c r="K3262">
        <v>4.2699999999999996</v>
      </c>
      <c r="M3262">
        <v>3.58</v>
      </c>
      <c r="O3262">
        <v>0.31900000000000001</v>
      </c>
      <c r="Q3262">
        <v>0.94</v>
      </c>
      <c r="R3262">
        <v>0.91</v>
      </c>
    </row>
    <row r="3263" spans="1:19" x14ac:dyDescent="0.2">
      <c r="A3263" t="s">
        <v>5673</v>
      </c>
      <c r="B3263" t="s">
        <v>5674</v>
      </c>
      <c r="C3263">
        <v>2016</v>
      </c>
      <c r="D3263">
        <v>1</v>
      </c>
      <c r="E3263" t="s">
        <v>55</v>
      </c>
      <c r="F3263" t="s">
        <v>128</v>
      </c>
      <c r="G3263" t="s">
        <v>63</v>
      </c>
      <c r="H3263">
        <v>2</v>
      </c>
      <c r="I3263">
        <v>6.4916828100000004</v>
      </c>
      <c r="J3263">
        <v>2020.2</v>
      </c>
      <c r="K3263">
        <v>9.5</v>
      </c>
      <c r="M3263">
        <v>12.33</v>
      </c>
      <c r="O3263">
        <v>1.1000000000000001</v>
      </c>
      <c r="Q3263">
        <v>1.05</v>
      </c>
      <c r="R3263">
        <v>1.41</v>
      </c>
      <c r="S3263">
        <v>0.52900000000000003</v>
      </c>
    </row>
    <row r="3264" spans="1:19" x14ac:dyDescent="0.2">
      <c r="A3264" t="s">
        <v>5673</v>
      </c>
      <c r="B3264" t="s">
        <v>5675</v>
      </c>
      <c r="C3264">
        <v>2018</v>
      </c>
      <c r="D3264">
        <v>1</v>
      </c>
      <c r="E3264" t="s">
        <v>55</v>
      </c>
      <c r="F3264" t="s">
        <v>128</v>
      </c>
      <c r="G3264" t="s">
        <v>63</v>
      </c>
      <c r="H3264">
        <v>2</v>
      </c>
      <c r="I3264">
        <v>2.8518833799999999</v>
      </c>
      <c r="J3264">
        <v>2020.2</v>
      </c>
      <c r="K3264">
        <v>9.5</v>
      </c>
      <c r="M3264">
        <v>1.569</v>
      </c>
      <c r="O3264">
        <v>0.14000000000000001</v>
      </c>
      <c r="Q3264">
        <v>1.05</v>
      </c>
      <c r="R3264">
        <v>1.41</v>
      </c>
      <c r="S3264">
        <v>0.52900000000000003</v>
      </c>
    </row>
    <row r="3265" spans="1:19" x14ac:dyDescent="0.2">
      <c r="A3265" t="s">
        <v>5676</v>
      </c>
      <c r="B3265" t="s">
        <v>5677</v>
      </c>
      <c r="C3265">
        <v>2016</v>
      </c>
      <c r="D3265">
        <v>1</v>
      </c>
      <c r="E3265" t="s">
        <v>55</v>
      </c>
      <c r="F3265" t="s">
        <v>128</v>
      </c>
      <c r="G3265" t="s">
        <v>63</v>
      </c>
      <c r="H3265">
        <v>1</v>
      </c>
      <c r="I3265">
        <v>3.8556035500000001</v>
      </c>
      <c r="J3265">
        <v>1311</v>
      </c>
      <c r="K3265">
        <v>3.8</v>
      </c>
      <c r="M3265">
        <v>13.88</v>
      </c>
      <c r="O3265">
        <v>1.238</v>
      </c>
      <c r="Q3265">
        <v>1.03</v>
      </c>
      <c r="R3265">
        <v>1.06</v>
      </c>
    </row>
    <row r="3266" spans="1:19" x14ac:dyDescent="0.2">
      <c r="A3266" t="s">
        <v>5678</v>
      </c>
      <c r="B3266" t="s">
        <v>5679</v>
      </c>
      <c r="C3266">
        <v>2016</v>
      </c>
      <c r="D3266">
        <v>1</v>
      </c>
      <c r="E3266" t="s">
        <v>55</v>
      </c>
      <c r="F3266" t="s">
        <v>128</v>
      </c>
      <c r="G3266" t="s">
        <v>63</v>
      </c>
      <c r="H3266">
        <v>2</v>
      </c>
      <c r="I3266">
        <v>9.4678140499999994</v>
      </c>
      <c r="J3266">
        <v>150</v>
      </c>
      <c r="K3266">
        <v>4.47</v>
      </c>
      <c r="M3266">
        <v>2.1800000000000002</v>
      </c>
      <c r="O3266">
        <v>0.19400000000000001</v>
      </c>
      <c r="Q3266">
        <v>0.49</v>
      </c>
      <c r="R3266">
        <v>0.46</v>
      </c>
    </row>
    <row r="3267" spans="1:19" x14ac:dyDescent="0.2">
      <c r="A3267" t="s">
        <v>5678</v>
      </c>
      <c r="B3267" t="s">
        <v>5680</v>
      </c>
      <c r="C3267">
        <v>2016</v>
      </c>
      <c r="D3267">
        <v>1</v>
      </c>
      <c r="E3267" t="s">
        <v>55</v>
      </c>
      <c r="F3267" t="s">
        <v>128</v>
      </c>
      <c r="G3267" t="s">
        <v>63</v>
      </c>
      <c r="H3267">
        <v>2</v>
      </c>
      <c r="I3267">
        <v>0.89304123999999996</v>
      </c>
      <c r="J3267">
        <v>150</v>
      </c>
      <c r="K3267">
        <v>4.47</v>
      </c>
      <c r="M3267">
        <v>1.27</v>
      </c>
      <c r="O3267">
        <v>0.113</v>
      </c>
      <c r="Q3267">
        <v>0.49</v>
      </c>
      <c r="R3267">
        <v>0.46</v>
      </c>
    </row>
    <row r="3268" spans="1:19" x14ac:dyDescent="0.2">
      <c r="A3268" t="s">
        <v>5681</v>
      </c>
      <c r="B3268" t="s">
        <v>5682</v>
      </c>
      <c r="C3268">
        <v>2016</v>
      </c>
      <c r="D3268">
        <v>1</v>
      </c>
      <c r="E3268" t="s">
        <v>55</v>
      </c>
      <c r="F3268" t="s">
        <v>128</v>
      </c>
      <c r="G3268" t="s">
        <v>63</v>
      </c>
      <c r="H3268">
        <v>1</v>
      </c>
      <c r="I3268">
        <v>20.834247260000001</v>
      </c>
      <c r="J3268">
        <v>980</v>
      </c>
      <c r="K3268">
        <v>4.2699999999999996</v>
      </c>
      <c r="M3268">
        <v>2.82</v>
      </c>
      <c r="O3268">
        <v>0.252</v>
      </c>
      <c r="Q3268">
        <v>0.9</v>
      </c>
      <c r="R3268">
        <v>0.86</v>
      </c>
    </row>
    <row r="3269" spans="1:19" x14ac:dyDescent="0.2">
      <c r="A3269" t="s">
        <v>5683</v>
      </c>
      <c r="B3269" t="s">
        <v>5684</v>
      </c>
      <c r="C3269">
        <v>2016</v>
      </c>
      <c r="D3269">
        <v>1</v>
      </c>
      <c r="E3269" t="s">
        <v>55</v>
      </c>
      <c r="F3269" t="s">
        <v>128</v>
      </c>
      <c r="G3269" t="s">
        <v>63</v>
      </c>
      <c r="H3269">
        <v>1</v>
      </c>
      <c r="I3269">
        <v>6.1048528600000003</v>
      </c>
      <c r="J3269">
        <v>553</v>
      </c>
      <c r="K3269">
        <v>2.34</v>
      </c>
      <c r="M3269">
        <v>3.56</v>
      </c>
      <c r="O3269">
        <v>0.318</v>
      </c>
      <c r="Q3269">
        <v>0.85</v>
      </c>
      <c r="R3269">
        <v>0.78</v>
      </c>
    </row>
    <row r="3270" spans="1:19" x14ac:dyDescent="0.2">
      <c r="A3270" t="s">
        <v>5685</v>
      </c>
      <c r="B3270" t="s">
        <v>5686</v>
      </c>
      <c r="C3270">
        <v>2016</v>
      </c>
      <c r="D3270">
        <v>1</v>
      </c>
      <c r="E3270" t="s">
        <v>55</v>
      </c>
      <c r="F3270" t="s">
        <v>128</v>
      </c>
      <c r="G3270" t="s">
        <v>63</v>
      </c>
      <c r="H3270">
        <v>1</v>
      </c>
      <c r="I3270">
        <v>11.51516988</v>
      </c>
      <c r="J3270">
        <v>790</v>
      </c>
      <c r="K3270">
        <v>4.37</v>
      </c>
      <c r="M3270">
        <v>2.95</v>
      </c>
      <c r="O3270">
        <v>0.26300000000000001</v>
      </c>
      <c r="Q3270">
        <v>0.85</v>
      </c>
      <c r="R3270">
        <v>0.8</v>
      </c>
    </row>
    <row r="3271" spans="1:19" x14ac:dyDescent="0.2">
      <c r="A3271" t="s">
        <v>5687</v>
      </c>
      <c r="B3271" t="s">
        <v>5688</v>
      </c>
      <c r="C3271">
        <v>2016</v>
      </c>
      <c r="D3271">
        <v>1</v>
      </c>
      <c r="E3271" t="s">
        <v>55</v>
      </c>
      <c r="F3271" t="s">
        <v>128</v>
      </c>
      <c r="G3271" t="s">
        <v>63</v>
      </c>
      <c r="H3271">
        <v>1</v>
      </c>
      <c r="I3271">
        <v>3.6014720100000002</v>
      </c>
      <c r="J3271">
        <v>1007</v>
      </c>
      <c r="K3271">
        <v>4.2699999999999996</v>
      </c>
      <c r="M3271">
        <v>2.93</v>
      </c>
      <c r="O3271">
        <v>0.26100000000000001</v>
      </c>
      <c r="Q3271">
        <v>0.86</v>
      </c>
      <c r="R3271">
        <v>0.81</v>
      </c>
    </row>
    <row r="3272" spans="1:19" x14ac:dyDescent="0.2">
      <c r="A3272" t="s">
        <v>5689</v>
      </c>
      <c r="B3272" t="s">
        <v>5690</v>
      </c>
      <c r="C3272">
        <v>2016</v>
      </c>
      <c r="D3272">
        <v>1</v>
      </c>
      <c r="E3272" t="s">
        <v>55</v>
      </c>
      <c r="F3272" t="s">
        <v>128</v>
      </c>
      <c r="G3272" t="s">
        <v>63</v>
      </c>
      <c r="H3272">
        <v>1</v>
      </c>
      <c r="I3272">
        <v>28.599153990000001</v>
      </c>
      <c r="J3272">
        <v>195</v>
      </c>
      <c r="K3272">
        <v>3.89</v>
      </c>
      <c r="M3272">
        <v>1.96</v>
      </c>
      <c r="O3272">
        <v>0.17499999999999999</v>
      </c>
      <c r="Q3272">
        <v>0.51</v>
      </c>
      <c r="R3272">
        <v>0.48</v>
      </c>
    </row>
    <row r="3273" spans="1:19" x14ac:dyDescent="0.2">
      <c r="A3273" t="s">
        <v>5691</v>
      </c>
      <c r="B3273" t="s">
        <v>5692</v>
      </c>
      <c r="C3273">
        <v>2016</v>
      </c>
      <c r="D3273">
        <v>1</v>
      </c>
      <c r="E3273" t="s">
        <v>55</v>
      </c>
      <c r="F3273" t="s">
        <v>128</v>
      </c>
      <c r="G3273" t="s">
        <v>63</v>
      </c>
      <c r="H3273">
        <v>1</v>
      </c>
      <c r="I3273">
        <v>24.58721573</v>
      </c>
      <c r="J3273">
        <v>992</v>
      </c>
      <c r="K3273">
        <v>4.57</v>
      </c>
      <c r="M3273">
        <v>2.5</v>
      </c>
      <c r="O3273">
        <v>0.223</v>
      </c>
      <c r="Q3273">
        <v>0.86</v>
      </c>
      <c r="R3273">
        <v>0.82</v>
      </c>
    </row>
    <row r="3274" spans="1:19" x14ac:dyDescent="0.2">
      <c r="A3274" t="s">
        <v>5693</v>
      </c>
      <c r="B3274" t="s">
        <v>5694</v>
      </c>
      <c r="C3274">
        <v>2016</v>
      </c>
      <c r="D3274">
        <v>1</v>
      </c>
      <c r="E3274" t="s">
        <v>55</v>
      </c>
      <c r="F3274" t="s">
        <v>128</v>
      </c>
      <c r="G3274" t="s">
        <v>63</v>
      </c>
      <c r="H3274">
        <v>1</v>
      </c>
      <c r="I3274">
        <v>12.532484650000001</v>
      </c>
      <c r="J3274">
        <v>1128</v>
      </c>
      <c r="K3274">
        <v>4.2699999999999996</v>
      </c>
      <c r="M3274">
        <v>3.32</v>
      </c>
      <c r="O3274">
        <v>0.29599999999999999</v>
      </c>
      <c r="Q3274">
        <v>0.93</v>
      </c>
      <c r="R3274">
        <v>0.9</v>
      </c>
    </row>
    <row r="3275" spans="1:19" x14ac:dyDescent="0.2">
      <c r="A3275" t="s">
        <v>5695</v>
      </c>
      <c r="B3275" t="s">
        <v>5696</v>
      </c>
      <c r="C3275">
        <v>2013</v>
      </c>
      <c r="D3275">
        <v>1</v>
      </c>
      <c r="E3275" t="s">
        <v>55</v>
      </c>
      <c r="F3275" t="s">
        <v>128</v>
      </c>
      <c r="G3275" t="s">
        <v>63</v>
      </c>
      <c r="H3275">
        <v>1</v>
      </c>
      <c r="I3275">
        <v>7.3407109999999998</v>
      </c>
      <c r="J3275">
        <v>1330</v>
      </c>
      <c r="K3275">
        <v>0.8</v>
      </c>
      <c r="L3275">
        <v>200.22</v>
      </c>
      <c r="M3275">
        <v>10.76</v>
      </c>
      <c r="N3275">
        <v>0.63</v>
      </c>
      <c r="O3275">
        <v>0.96</v>
      </c>
      <c r="P3275">
        <v>0.88</v>
      </c>
      <c r="Q3275">
        <v>1.18</v>
      </c>
      <c r="R3275">
        <v>1.1200000000000001</v>
      </c>
      <c r="S3275">
        <v>1.3</v>
      </c>
    </row>
    <row r="3276" spans="1:19" x14ac:dyDescent="0.2">
      <c r="A3276" t="s">
        <v>5697</v>
      </c>
      <c r="B3276" t="s">
        <v>5698</v>
      </c>
      <c r="C3276">
        <v>2016</v>
      </c>
      <c r="D3276">
        <v>1</v>
      </c>
      <c r="E3276" t="s">
        <v>55</v>
      </c>
      <c r="F3276" t="s">
        <v>128</v>
      </c>
      <c r="G3276" t="s">
        <v>63</v>
      </c>
      <c r="H3276">
        <v>1</v>
      </c>
      <c r="I3276">
        <v>3.58410122</v>
      </c>
      <c r="J3276">
        <v>1262</v>
      </c>
      <c r="K3276">
        <v>4.79</v>
      </c>
      <c r="M3276">
        <v>4.57</v>
      </c>
      <c r="O3276">
        <v>0.40799999999999997</v>
      </c>
      <c r="Q3276">
        <v>0.91</v>
      </c>
      <c r="R3276">
        <v>0.87</v>
      </c>
    </row>
    <row r="3277" spans="1:19" x14ac:dyDescent="0.2">
      <c r="A3277" t="s">
        <v>5699</v>
      </c>
      <c r="B3277" t="s">
        <v>5700</v>
      </c>
      <c r="C3277">
        <v>2016</v>
      </c>
      <c r="D3277">
        <v>1</v>
      </c>
      <c r="E3277" t="s">
        <v>55</v>
      </c>
      <c r="F3277" t="s">
        <v>128</v>
      </c>
      <c r="G3277" t="s">
        <v>63</v>
      </c>
      <c r="H3277">
        <v>1</v>
      </c>
      <c r="I3277">
        <v>7.0390237400000002</v>
      </c>
      <c r="J3277">
        <v>1530</v>
      </c>
      <c r="K3277">
        <v>3.16</v>
      </c>
      <c r="M3277">
        <v>2.97</v>
      </c>
      <c r="O3277">
        <v>0.26500000000000001</v>
      </c>
      <c r="Q3277">
        <v>1.1599999999999999</v>
      </c>
      <c r="R3277">
        <v>1.24</v>
      </c>
    </row>
    <row r="3278" spans="1:19" x14ac:dyDescent="0.2">
      <c r="A3278" t="s">
        <v>5701</v>
      </c>
      <c r="B3278" t="s">
        <v>5702</v>
      </c>
      <c r="C3278">
        <v>2016</v>
      </c>
      <c r="D3278">
        <v>1</v>
      </c>
      <c r="E3278" t="s">
        <v>55</v>
      </c>
      <c r="F3278" t="s">
        <v>128</v>
      </c>
      <c r="G3278" t="s">
        <v>63</v>
      </c>
      <c r="H3278">
        <v>1</v>
      </c>
      <c r="I3278">
        <v>8.3608682400000003</v>
      </c>
      <c r="J3278">
        <v>499</v>
      </c>
      <c r="K3278">
        <v>2.57</v>
      </c>
      <c r="M3278">
        <v>3.24</v>
      </c>
      <c r="O3278">
        <v>0.28899999999999998</v>
      </c>
      <c r="Q3278">
        <v>0.76</v>
      </c>
      <c r="R3278">
        <v>0.71</v>
      </c>
    </row>
    <row r="3279" spans="1:19" x14ac:dyDescent="0.2">
      <c r="A3279" t="s">
        <v>5703</v>
      </c>
      <c r="B3279" t="s">
        <v>5704</v>
      </c>
      <c r="C3279">
        <v>2016</v>
      </c>
      <c r="D3279">
        <v>1</v>
      </c>
      <c r="E3279" t="s">
        <v>55</v>
      </c>
      <c r="F3279" t="s">
        <v>128</v>
      </c>
      <c r="G3279" t="s">
        <v>63</v>
      </c>
      <c r="H3279">
        <v>1</v>
      </c>
      <c r="I3279">
        <v>3.1792629200000002</v>
      </c>
      <c r="J3279">
        <v>258</v>
      </c>
      <c r="K3279">
        <v>1.86</v>
      </c>
      <c r="M3279">
        <v>1.21</v>
      </c>
      <c r="O3279">
        <v>0.108</v>
      </c>
      <c r="Q3279">
        <v>0.94</v>
      </c>
      <c r="R3279">
        <v>0.85</v>
      </c>
    </row>
    <row r="3280" spans="1:19" x14ac:dyDescent="0.2">
      <c r="A3280" t="s">
        <v>5705</v>
      </c>
      <c r="B3280" t="s">
        <v>5706</v>
      </c>
      <c r="C3280">
        <v>2016</v>
      </c>
      <c r="D3280">
        <v>1</v>
      </c>
      <c r="E3280" t="s">
        <v>55</v>
      </c>
      <c r="F3280" t="s">
        <v>128</v>
      </c>
      <c r="G3280" t="s">
        <v>63</v>
      </c>
      <c r="H3280">
        <v>1</v>
      </c>
      <c r="I3280">
        <v>12.062224430000001</v>
      </c>
      <c r="J3280">
        <v>486</v>
      </c>
      <c r="K3280">
        <v>5.13</v>
      </c>
      <c r="M3280">
        <v>1.62</v>
      </c>
      <c r="O3280">
        <v>0.14499999999999999</v>
      </c>
      <c r="Q3280">
        <v>0.94</v>
      </c>
      <c r="R3280">
        <v>0.93</v>
      </c>
    </row>
    <row r="3281" spans="1:19" x14ac:dyDescent="0.2">
      <c r="A3281" t="s">
        <v>5707</v>
      </c>
      <c r="B3281" t="s">
        <v>5708</v>
      </c>
      <c r="C3281">
        <v>2016</v>
      </c>
      <c r="D3281">
        <v>1</v>
      </c>
      <c r="E3281" t="s">
        <v>55</v>
      </c>
      <c r="F3281" t="s">
        <v>128</v>
      </c>
      <c r="G3281" t="s">
        <v>63</v>
      </c>
      <c r="H3281">
        <v>1</v>
      </c>
      <c r="I3281">
        <v>9.9314355600000006</v>
      </c>
      <c r="J3281">
        <v>1199</v>
      </c>
      <c r="K3281">
        <v>4.07</v>
      </c>
      <c r="M3281">
        <v>2.16</v>
      </c>
      <c r="O3281">
        <v>0.193</v>
      </c>
      <c r="Q3281">
        <v>1.04</v>
      </c>
      <c r="R3281">
        <v>1.04</v>
      </c>
    </row>
    <row r="3282" spans="1:19" x14ac:dyDescent="0.2">
      <c r="A3282" t="s">
        <v>5709</v>
      </c>
      <c r="B3282" t="s">
        <v>5710</v>
      </c>
      <c r="C3282">
        <v>2016</v>
      </c>
      <c r="D3282">
        <v>1</v>
      </c>
      <c r="E3282" t="s">
        <v>55</v>
      </c>
      <c r="F3282" t="s">
        <v>128</v>
      </c>
      <c r="G3282" t="s">
        <v>63</v>
      </c>
      <c r="H3282">
        <v>1</v>
      </c>
      <c r="I3282">
        <v>3.48159251</v>
      </c>
      <c r="J3282">
        <v>450</v>
      </c>
      <c r="K3282">
        <v>8.7100000000000009</v>
      </c>
      <c r="M3282">
        <v>1.1100000000000001</v>
      </c>
      <c r="O3282">
        <v>9.9000000000000005E-2</v>
      </c>
      <c r="Q3282">
        <v>0.91</v>
      </c>
      <c r="R3282">
        <v>0.93</v>
      </c>
    </row>
    <row r="3283" spans="1:19" x14ac:dyDescent="0.2">
      <c r="A3283" t="s">
        <v>5711</v>
      </c>
      <c r="B3283" t="s">
        <v>5712</v>
      </c>
      <c r="C3283">
        <v>2016</v>
      </c>
      <c r="D3283">
        <v>1</v>
      </c>
      <c r="E3283" t="s">
        <v>55</v>
      </c>
      <c r="F3283" t="s">
        <v>128</v>
      </c>
      <c r="G3283" t="s">
        <v>63</v>
      </c>
      <c r="H3283">
        <v>1</v>
      </c>
      <c r="I3283">
        <v>35.617605869999998</v>
      </c>
      <c r="J3283">
        <v>855</v>
      </c>
      <c r="K3283">
        <v>4.79</v>
      </c>
      <c r="M3283">
        <v>5.27</v>
      </c>
      <c r="O3283">
        <v>0.47</v>
      </c>
      <c r="Q3283">
        <v>0.82</v>
      </c>
      <c r="R3283">
        <v>0.78</v>
      </c>
    </row>
    <row r="3284" spans="1:19" x14ac:dyDescent="0.2">
      <c r="A3284" t="s">
        <v>5713</v>
      </c>
      <c r="B3284" t="s">
        <v>5714</v>
      </c>
      <c r="C3284">
        <v>2016</v>
      </c>
      <c r="D3284">
        <v>1</v>
      </c>
      <c r="E3284" t="s">
        <v>55</v>
      </c>
      <c r="F3284" t="s">
        <v>128</v>
      </c>
      <c r="G3284" t="s">
        <v>63</v>
      </c>
      <c r="H3284">
        <v>1</v>
      </c>
      <c r="I3284">
        <v>7.4074279299999999</v>
      </c>
      <c r="J3284">
        <v>1271</v>
      </c>
      <c r="K3284">
        <v>3.72</v>
      </c>
      <c r="M3284">
        <v>2.52</v>
      </c>
      <c r="O3284">
        <v>0.22500000000000001</v>
      </c>
      <c r="Q3284">
        <v>1.07</v>
      </c>
      <c r="R3284">
        <v>1.1000000000000001</v>
      </c>
    </row>
    <row r="3285" spans="1:19" x14ac:dyDescent="0.2">
      <c r="A3285" t="s">
        <v>5715</v>
      </c>
      <c r="B3285" t="s">
        <v>5716</v>
      </c>
      <c r="C3285">
        <v>2016</v>
      </c>
      <c r="D3285">
        <v>1</v>
      </c>
      <c r="E3285" t="s">
        <v>55</v>
      </c>
      <c r="F3285" t="s">
        <v>128</v>
      </c>
      <c r="G3285" t="s">
        <v>63</v>
      </c>
      <c r="H3285">
        <v>1</v>
      </c>
      <c r="I3285">
        <v>17.317165849999999</v>
      </c>
      <c r="J3285">
        <v>753</v>
      </c>
      <c r="K3285">
        <v>4.57</v>
      </c>
      <c r="M3285">
        <v>3.1</v>
      </c>
      <c r="O3285">
        <v>0.27700000000000002</v>
      </c>
      <c r="Q3285">
        <v>0.79</v>
      </c>
      <c r="R3285">
        <v>0.75</v>
      </c>
    </row>
    <row r="3286" spans="1:19" x14ac:dyDescent="0.2">
      <c r="A3286" t="s">
        <v>5717</v>
      </c>
      <c r="B3286" t="s">
        <v>5718</v>
      </c>
      <c r="C3286">
        <v>2013</v>
      </c>
      <c r="D3286">
        <v>1</v>
      </c>
      <c r="E3286" t="s">
        <v>55</v>
      </c>
      <c r="F3286" t="s">
        <v>128</v>
      </c>
      <c r="G3286" t="s">
        <v>63</v>
      </c>
      <c r="H3286">
        <v>1</v>
      </c>
      <c r="I3286">
        <v>8.8849116000000006</v>
      </c>
      <c r="J3286">
        <v>1140</v>
      </c>
      <c r="K3286">
        <v>6.2</v>
      </c>
      <c r="L3286">
        <v>3209.9</v>
      </c>
      <c r="M3286">
        <v>11.77</v>
      </c>
      <c r="N3286">
        <v>10.1</v>
      </c>
      <c r="O3286">
        <v>1.05</v>
      </c>
      <c r="P3286">
        <v>11</v>
      </c>
      <c r="Q3286">
        <v>0.91</v>
      </c>
      <c r="R3286">
        <v>0.89</v>
      </c>
      <c r="S3286">
        <v>1.85</v>
      </c>
    </row>
    <row r="3287" spans="1:19" x14ac:dyDescent="0.2">
      <c r="A3287" t="s">
        <v>5719</v>
      </c>
      <c r="B3287" t="s">
        <v>5720</v>
      </c>
      <c r="C3287">
        <v>2016</v>
      </c>
      <c r="D3287">
        <v>1</v>
      </c>
      <c r="E3287" t="s">
        <v>55</v>
      </c>
      <c r="F3287" t="s">
        <v>128</v>
      </c>
      <c r="G3287" t="s">
        <v>63</v>
      </c>
      <c r="H3287">
        <v>2</v>
      </c>
      <c r="I3287">
        <v>9.4288717900000005</v>
      </c>
      <c r="J3287">
        <v>1181</v>
      </c>
      <c r="K3287">
        <v>3.09</v>
      </c>
      <c r="M3287">
        <v>3.07</v>
      </c>
      <c r="O3287">
        <v>0.27400000000000002</v>
      </c>
      <c r="Q3287">
        <v>1.1499999999999999</v>
      </c>
      <c r="R3287">
        <v>1.23</v>
      </c>
    </row>
    <row r="3288" spans="1:19" x14ac:dyDescent="0.2">
      <c r="A3288" t="s">
        <v>5719</v>
      </c>
      <c r="B3288" t="s">
        <v>5721</v>
      </c>
      <c r="C3288">
        <v>2016</v>
      </c>
      <c r="D3288">
        <v>1</v>
      </c>
      <c r="E3288" t="s">
        <v>55</v>
      </c>
      <c r="F3288" t="s">
        <v>128</v>
      </c>
      <c r="G3288" t="s">
        <v>63</v>
      </c>
      <c r="H3288">
        <v>2</v>
      </c>
      <c r="I3288">
        <v>4.0889902200000003</v>
      </c>
      <c r="J3288">
        <v>1181</v>
      </c>
      <c r="K3288">
        <v>3.09</v>
      </c>
      <c r="M3288">
        <v>1.62</v>
      </c>
      <c r="O3288">
        <v>0.14499999999999999</v>
      </c>
      <c r="Q3288">
        <v>1.1499999999999999</v>
      </c>
      <c r="R3288">
        <v>1.23</v>
      </c>
    </row>
    <row r="3289" spans="1:19" x14ac:dyDescent="0.2">
      <c r="A3289" t="s">
        <v>5722</v>
      </c>
      <c r="B3289" t="s">
        <v>5723</v>
      </c>
      <c r="C3289">
        <v>2016</v>
      </c>
      <c r="D3289">
        <v>1</v>
      </c>
      <c r="E3289" t="s">
        <v>55</v>
      </c>
      <c r="F3289" t="s">
        <v>128</v>
      </c>
      <c r="G3289" t="s">
        <v>63</v>
      </c>
      <c r="H3289">
        <v>1</v>
      </c>
      <c r="I3289">
        <v>17.444906360000001</v>
      </c>
      <c r="J3289">
        <v>748</v>
      </c>
      <c r="K3289">
        <v>4.47</v>
      </c>
      <c r="M3289">
        <v>2.46</v>
      </c>
      <c r="O3289">
        <v>0.219</v>
      </c>
      <c r="Q3289">
        <v>0.87</v>
      </c>
      <c r="R3289">
        <v>0.84</v>
      </c>
    </row>
    <row r="3290" spans="1:19" x14ac:dyDescent="0.2">
      <c r="A3290" t="s">
        <v>5724</v>
      </c>
      <c r="B3290" t="s">
        <v>5725</v>
      </c>
      <c r="C3290">
        <v>2016</v>
      </c>
      <c r="D3290">
        <v>1</v>
      </c>
      <c r="E3290" t="s">
        <v>55</v>
      </c>
      <c r="F3290" t="s">
        <v>128</v>
      </c>
      <c r="G3290" t="s">
        <v>63</v>
      </c>
      <c r="H3290">
        <v>1</v>
      </c>
      <c r="I3290">
        <v>18.827472650000001</v>
      </c>
      <c r="J3290">
        <v>1075</v>
      </c>
      <c r="K3290">
        <v>4.07</v>
      </c>
      <c r="M3290">
        <v>2.81</v>
      </c>
      <c r="O3290">
        <v>0.251</v>
      </c>
      <c r="Q3290">
        <v>0.87</v>
      </c>
      <c r="R3290">
        <v>0.83</v>
      </c>
    </row>
    <row r="3291" spans="1:19" x14ac:dyDescent="0.2">
      <c r="A3291" t="s">
        <v>5726</v>
      </c>
      <c r="B3291" t="s">
        <v>5727</v>
      </c>
      <c r="C3291">
        <v>2016</v>
      </c>
      <c r="D3291">
        <v>1</v>
      </c>
      <c r="E3291" t="s">
        <v>55</v>
      </c>
      <c r="F3291" t="s">
        <v>128</v>
      </c>
      <c r="G3291" t="s">
        <v>63</v>
      </c>
      <c r="H3291">
        <v>1</v>
      </c>
      <c r="I3291">
        <v>5.7477250099999999</v>
      </c>
      <c r="J3291">
        <v>278</v>
      </c>
      <c r="K3291">
        <v>3.63</v>
      </c>
      <c r="M3291">
        <v>1.91</v>
      </c>
      <c r="O3291">
        <v>0.17</v>
      </c>
      <c r="Q3291">
        <v>0.68</v>
      </c>
      <c r="R3291">
        <v>0.65</v>
      </c>
    </row>
    <row r="3292" spans="1:19" x14ac:dyDescent="0.2">
      <c r="A3292" t="s">
        <v>5728</v>
      </c>
      <c r="B3292" t="s">
        <v>5729</v>
      </c>
      <c r="C3292">
        <v>2016</v>
      </c>
      <c r="D3292">
        <v>1</v>
      </c>
      <c r="E3292" t="s">
        <v>55</v>
      </c>
      <c r="F3292" t="s">
        <v>128</v>
      </c>
      <c r="G3292" t="s">
        <v>63</v>
      </c>
      <c r="H3292">
        <v>1</v>
      </c>
      <c r="I3292">
        <v>14.5596237</v>
      </c>
      <c r="J3292">
        <v>1192</v>
      </c>
      <c r="K3292">
        <v>3.8</v>
      </c>
      <c r="M3292">
        <v>2.0099999999999998</v>
      </c>
      <c r="O3292">
        <v>0.17899999999999999</v>
      </c>
      <c r="Q3292">
        <v>1.06</v>
      </c>
      <c r="R3292">
        <v>1.08</v>
      </c>
    </row>
    <row r="3293" spans="1:19" x14ac:dyDescent="0.2">
      <c r="A3293" t="s">
        <v>5730</v>
      </c>
      <c r="B3293" t="s">
        <v>5731</v>
      </c>
      <c r="C3293">
        <v>2016</v>
      </c>
      <c r="D3293">
        <v>1</v>
      </c>
      <c r="E3293" t="s">
        <v>55</v>
      </c>
      <c r="F3293" t="s">
        <v>128</v>
      </c>
      <c r="G3293" t="s">
        <v>63</v>
      </c>
      <c r="H3293">
        <v>2</v>
      </c>
      <c r="I3293">
        <v>1.26909037</v>
      </c>
      <c r="J3293">
        <v>368</v>
      </c>
      <c r="K3293">
        <v>4.9000000000000004</v>
      </c>
      <c r="M3293">
        <v>1.76</v>
      </c>
      <c r="O3293">
        <v>0.157</v>
      </c>
      <c r="Q3293">
        <v>0.82</v>
      </c>
      <c r="R3293">
        <v>0.77</v>
      </c>
    </row>
    <row r="3294" spans="1:19" x14ac:dyDescent="0.2">
      <c r="A3294" t="s">
        <v>5730</v>
      </c>
      <c r="B3294" t="s">
        <v>5732</v>
      </c>
      <c r="C3294">
        <v>2016</v>
      </c>
      <c r="D3294">
        <v>1</v>
      </c>
      <c r="E3294" t="s">
        <v>55</v>
      </c>
      <c r="F3294" t="s">
        <v>128</v>
      </c>
      <c r="G3294" t="s">
        <v>63</v>
      </c>
      <c r="H3294">
        <v>2</v>
      </c>
      <c r="I3294">
        <v>2.8531336399999998</v>
      </c>
      <c r="J3294">
        <v>368</v>
      </c>
      <c r="K3294">
        <v>4.9000000000000004</v>
      </c>
      <c r="M3294">
        <v>1.26</v>
      </c>
      <c r="O3294">
        <v>0.112</v>
      </c>
      <c r="Q3294">
        <v>0.82</v>
      </c>
      <c r="R3294">
        <v>0.77</v>
      </c>
    </row>
    <row r="3295" spans="1:19" x14ac:dyDescent="0.2">
      <c r="A3295" t="s">
        <v>5733</v>
      </c>
      <c r="B3295" t="s">
        <v>5734</v>
      </c>
      <c r="C3295">
        <v>2016</v>
      </c>
      <c r="D3295">
        <v>1</v>
      </c>
      <c r="E3295" t="s">
        <v>55</v>
      </c>
      <c r="F3295" t="s">
        <v>128</v>
      </c>
      <c r="G3295" t="s">
        <v>63</v>
      </c>
      <c r="H3295">
        <v>1</v>
      </c>
      <c r="I3295">
        <v>1.2248663200000001</v>
      </c>
      <c r="J3295">
        <v>852</v>
      </c>
      <c r="K3295">
        <v>4.47</v>
      </c>
      <c r="M3295">
        <v>1.1200000000000001</v>
      </c>
      <c r="O3295">
        <v>0.1</v>
      </c>
      <c r="Q3295">
        <v>0.82</v>
      </c>
      <c r="R3295">
        <v>0.79</v>
      </c>
    </row>
    <row r="3296" spans="1:19" x14ac:dyDescent="0.2">
      <c r="A3296" t="s">
        <v>5735</v>
      </c>
      <c r="B3296" t="s">
        <v>5736</v>
      </c>
      <c r="C3296">
        <v>2016</v>
      </c>
      <c r="D3296">
        <v>1</v>
      </c>
      <c r="E3296" t="s">
        <v>55</v>
      </c>
      <c r="F3296" t="s">
        <v>128</v>
      </c>
      <c r="G3296" t="s">
        <v>63</v>
      </c>
      <c r="H3296">
        <v>1</v>
      </c>
      <c r="I3296">
        <v>1.0226788200000001</v>
      </c>
      <c r="J3296">
        <v>1016</v>
      </c>
      <c r="K3296">
        <v>3.31</v>
      </c>
      <c r="M3296">
        <v>1.36</v>
      </c>
      <c r="O3296">
        <v>0.121</v>
      </c>
      <c r="Q3296">
        <v>1.08</v>
      </c>
      <c r="R3296">
        <v>1.1299999999999999</v>
      </c>
    </row>
    <row r="3297" spans="1:18" x14ac:dyDescent="0.2">
      <c r="A3297" t="s">
        <v>5737</v>
      </c>
      <c r="B3297" t="s">
        <v>5738</v>
      </c>
      <c r="C3297">
        <v>2016</v>
      </c>
      <c r="D3297">
        <v>1</v>
      </c>
      <c r="E3297" t="s">
        <v>55</v>
      </c>
      <c r="F3297" t="s">
        <v>128</v>
      </c>
      <c r="G3297" t="s">
        <v>63</v>
      </c>
      <c r="H3297">
        <v>4</v>
      </c>
      <c r="I3297">
        <v>12.109710400000001</v>
      </c>
      <c r="J3297">
        <v>1353</v>
      </c>
      <c r="K3297">
        <v>3.8</v>
      </c>
      <c r="M3297">
        <v>2.48</v>
      </c>
      <c r="O3297">
        <v>0.221</v>
      </c>
      <c r="Q3297">
        <v>1.1599999999999999</v>
      </c>
      <c r="R3297">
        <v>1.42</v>
      </c>
    </row>
    <row r="3298" spans="1:18" x14ac:dyDescent="0.2">
      <c r="A3298" t="s">
        <v>5737</v>
      </c>
      <c r="B3298" t="s">
        <v>5739</v>
      </c>
      <c r="C3298">
        <v>2016</v>
      </c>
      <c r="D3298">
        <v>1</v>
      </c>
      <c r="E3298" t="s">
        <v>55</v>
      </c>
      <c r="F3298" t="s">
        <v>128</v>
      </c>
      <c r="G3298" t="s">
        <v>63</v>
      </c>
      <c r="H3298">
        <v>4</v>
      </c>
      <c r="I3298">
        <v>4.7579398599999996</v>
      </c>
      <c r="J3298">
        <v>1353</v>
      </c>
      <c r="K3298">
        <v>3.8</v>
      </c>
      <c r="M3298">
        <v>1.69</v>
      </c>
      <c r="O3298">
        <v>0.151</v>
      </c>
      <c r="Q3298">
        <v>1.1599999999999999</v>
      </c>
      <c r="R3298">
        <v>1.42</v>
      </c>
    </row>
    <row r="3299" spans="1:18" x14ac:dyDescent="0.2">
      <c r="A3299" t="s">
        <v>5737</v>
      </c>
      <c r="B3299" t="s">
        <v>5740</v>
      </c>
      <c r="C3299">
        <v>2016</v>
      </c>
      <c r="D3299">
        <v>1</v>
      </c>
      <c r="E3299" t="s">
        <v>55</v>
      </c>
      <c r="F3299" t="s">
        <v>128</v>
      </c>
      <c r="G3299" t="s">
        <v>63</v>
      </c>
      <c r="H3299">
        <v>4</v>
      </c>
      <c r="I3299">
        <v>20.4966197</v>
      </c>
      <c r="J3299">
        <v>1353</v>
      </c>
      <c r="K3299">
        <v>3.8</v>
      </c>
      <c r="M3299">
        <v>2.12</v>
      </c>
      <c r="O3299">
        <v>0.189</v>
      </c>
      <c r="Q3299">
        <v>1.1599999999999999</v>
      </c>
      <c r="R3299">
        <v>1.42</v>
      </c>
    </row>
    <row r="3300" spans="1:18" x14ac:dyDescent="0.2">
      <c r="A3300" t="s">
        <v>5737</v>
      </c>
      <c r="B3300" t="s">
        <v>5741</v>
      </c>
      <c r="C3300">
        <v>2016</v>
      </c>
      <c r="D3300">
        <v>1</v>
      </c>
      <c r="E3300" t="s">
        <v>55</v>
      </c>
      <c r="F3300" t="s">
        <v>128</v>
      </c>
      <c r="G3300" t="s">
        <v>63</v>
      </c>
      <c r="H3300">
        <v>4</v>
      </c>
      <c r="I3300">
        <v>8.1934719000000005</v>
      </c>
      <c r="J3300">
        <v>1353</v>
      </c>
      <c r="K3300">
        <v>3.8</v>
      </c>
      <c r="M3300">
        <v>1.53</v>
      </c>
      <c r="O3300">
        <v>0.13600000000000001</v>
      </c>
      <c r="Q3300">
        <v>1.1599999999999999</v>
      </c>
      <c r="R3300">
        <v>1.42</v>
      </c>
    </row>
    <row r="3301" spans="1:18" x14ac:dyDescent="0.2">
      <c r="A3301" t="s">
        <v>5742</v>
      </c>
      <c r="B3301" t="s">
        <v>5743</v>
      </c>
      <c r="C3301">
        <v>2016</v>
      </c>
      <c r="D3301">
        <v>1</v>
      </c>
      <c r="E3301" t="s">
        <v>55</v>
      </c>
      <c r="F3301" t="s">
        <v>128</v>
      </c>
      <c r="G3301" t="s">
        <v>63</v>
      </c>
      <c r="H3301">
        <v>1</v>
      </c>
      <c r="I3301">
        <v>41.805985</v>
      </c>
      <c r="J3301">
        <v>892</v>
      </c>
      <c r="K3301">
        <v>3.89</v>
      </c>
      <c r="M3301">
        <v>2.27</v>
      </c>
      <c r="O3301">
        <v>0.20300000000000001</v>
      </c>
      <c r="Q3301">
        <v>1.04</v>
      </c>
      <c r="R3301">
        <v>1.04</v>
      </c>
    </row>
    <row r="3302" spans="1:18" x14ac:dyDescent="0.2">
      <c r="A3302" t="s">
        <v>5744</v>
      </c>
      <c r="B3302" t="s">
        <v>5745</v>
      </c>
      <c r="C3302">
        <v>2013</v>
      </c>
      <c r="D3302">
        <v>1</v>
      </c>
      <c r="E3302" t="s">
        <v>55</v>
      </c>
      <c r="F3302" t="s">
        <v>2301</v>
      </c>
      <c r="G3302" t="s">
        <v>63</v>
      </c>
      <c r="H3302">
        <v>1</v>
      </c>
      <c r="I3302">
        <v>1.5449298</v>
      </c>
      <c r="J3302">
        <v>844</v>
      </c>
      <c r="L3302">
        <v>638.8383</v>
      </c>
      <c r="M3302">
        <v>15.244</v>
      </c>
      <c r="N3302">
        <v>2.0099999999999998</v>
      </c>
      <c r="O3302">
        <v>1.36</v>
      </c>
      <c r="P3302">
        <v>1.1000000000000001</v>
      </c>
      <c r="Q3302">
        <v>1.2</v>
      </c>
      <c r="R3302">
        <v>1.32</v>
      </c>
    </row>
    <row r="3303" spans="1:18" x14ac:dyDescent="0.2">
      <c r="A3303" t="s">
        <v>5746</v>
      </c>
      <c r="B3303" t="s">
        <v>5747</v>
      </c>
      <c r="C3303">
        <v>2016</v>
      </c>
      <c r="D3303">
        <v>1</v>
      </c>
      <c r="E3303" t="s">
        <v>55</v>
      </c>
      <c r="F3303" t="s">
        <v>128</v>
      </c>
      <c r="G3303" t="s">
        <v>63</v>
      </c>
      <c r="H3303">
        <v>2</v>
      </c>
      <c r="I3303">
        <v>8.7041941600000001</v>
      </c>
      <c r="J3303">
        <v>782</v>
      </c>
      <c r="K3303">
        <v>4.57</v>
      </c>
      <c r="M3303">
        <v>3.06</v>
      </c>
      <c r="O3303">
        <v>0.27300000000000002</v>
      </c>
      <c r="Q3303">
        <v>0.89</v>
      </c>
      <c r="R3303">
        <v>0.85</v>
      </c>
    </row>
    <row r="3304" spans="1:18" x14ac:dyDescent="0.2">
      <c r="A3304" t="s">
        <v>5746</v>
      </c>
      <c r="B3304" t="s">
        <v>5748</v>
      </c>
      <c r="C3304">
        <v>2016</v>
      </c>
      <c r="D3304">
        <v>1</v>
      </c>
      <c r="E3304" t="s">
        <v>55</v>
      </c>
      <c r="F3304" t="s">
        <v>128</v>
      </c>
      <c r="G3304" t="s">
        <v>63</v>
      </c>
      <c r="H3304">
        <v>2</v>
      </c>
      <c r="I3304">
        <v>2.4669743899999999</v>
      </c>
      <c r="J3304">
        <v>782</v>
      </c>
      <c r="K3304">
        <v>4.57</v>
      </c>
      <c r="M3304">
        <v>1.48</v>
      </c>
      <c r="O3304">
        <v>0.13200000000000001</v>
      </c>
      <c r="Q3304">
        <v>0.89</v>
      </c>
      <c r="R3304">
        <v>0.85</v>
      </c>
    </row>
    <row r="3305" spans="1:18" x14ac:dyDescent="0.2">
      <c r="A3305" t="s">
        <v>5749</v>
      </c>
      <c r="B3305" t="s">
        <v>5750</v>
      </c>
      <c r="C3305">
        <v>2016</v>
      </c>
      <c r="D3305">
        <v>1</v>
      </c>
      <c r="E3305" t="s">
        <v>55</v>
      </c>
      <c r="F3305" t="s">
        <v>128</v>
      </c>
      <c r="G3305" t="s">
        <v>63</v>
      </c>
      <c r="H3305">
        <v>1</v>
      </c>
      <c r="I3305">
        <v>10.128047889999999</v>
      </c>
      <c r="J3305">
        <v>867</v>
      </c>
      <c r="K3305">
        <v>4.07</v>
      </c>
      <c r="M3305">
        <v>2.0299999999999998</v>
      </c>
      <c r="O3305">
        <v>0.18099999999999999</v>
      </c>
      <c r="Q3305">
        <v>0.95</v>
      </c>
      <c r="R3305">
        <v>0.93</v>
      </c>
    </row>
    <row r="3306" spans="1:18" x14ac:dyDescent="0.2">
      <c r="A3306" t="s">
        <v>5751</v>
      </c>
      <c r="B3306" t="s">
        <v>5752</v>
      </c>
      <c r="C3306">
        <v>2016</v>
      </c>
      <c r="D3306">
        <v>1</v>
      </c>
      <c r="E3306" t="s">
        <v>55</v>
      </c>
      <c r="F3306" t="s">
        <v>128</v>
      </c>
      <c r="G3306" t="s">
        <v>63</v>
      </c>
      <c r="H3306">
        <v>1</v>
      </c>
      <c r="I3306">
        <v>3.7705521000000002</v>
      </c>
      <c r="J3306">
        <v>1465</v>
      </c>
      <c r="K3306">
        <v>3.8</v>
      </c>
      <c r="M3306">
        <v>12.68</v>
      </c>
      <c r="O3306">
        <v>1.131</v>
      </c>
      <c r="Q3306">
        <v>1.06</v>
      </c>
      <c r="R3306">
        <v>1.08</v>
      </c>
    </row>
    <row r="3307" spans="1:18" x14ac:dyDescent="0.2">
      <c r="A3307" t="s">
        <v>5753</v>
      </c>
      <c r="B3307" t="s">
        <v>5754</v>
      </c>
      <c r="C3307">
        <v>2016</v>
      </c>
      <c r="D3307">
        <v>1</v>
      </c>
      <c r="E3307" t="s">
        <v>55</v>
      </c>
      <c r="F3307" t="s">
        <v>128</v>
      </c>
      <c r="G3307" t="s">
        <v>63</v>
      </c>
      <c r="H3307">
        <v>1</v>
      </c>
      <c r="I3307">
        <v>1.1965515600000001</v>
      </c>
      <c r="J3307">
        <v>902</v>
      </c>
      <c r="K3307">
        <v>4.79</v>
      </c>
      <c r="M3307">
        <v>1.22</v>
      </c>
      <c r="O3307">
        <v>0.109</v>
      </c>
      <c r="Q3307">
        <v>0.84</v>
      </c>
      <c r="R3307">
        <v>0.8</v>
      </c>
    </row>
    <row r="3308" spans="1:18" x14ac:dyDescent="0.2">
      <c r="A3308" t="s">
        <v>5755</v>
      </c>
      <c r="B3308" t="s">
        <v>5756</v>
      </c>
      <c r="C3308">
        <v>2016</v>
      </c>
      <c r="D3308">
        <v>1</v>
      </c>
      <c r="E3308" t="s">
        <v>55</v>
      </c>
      <c r="F3308" t="s">
        <v>128</v>
      </c>
      <c r="G3308" t="s">
        <v>63</v>
      </c>
      <c r="H3308">
        <v>1</v>
      </c>
      <c r="I3308">
        <v>7.3368393599999999</v>
      </c>
      <c r="J3308">
        <v>1013</v>
      </c>
      <c r="K3308">
        <v>4.17</v>
      </c>
      <c r="M3308">
        <v>1.64</v>
      </c>
      <c r="O3308">
        <v>0.14599999999999999</v>
      </c>
      <c r="Q3308">
        <v>0.92</v>
      </c>
      <c r="R3308">
        <v>0.89</v>
      </c>
    </row>
    <row r="3309" spans="1:18" x14ac:dyDescent="0.2">
      <c r="A3309" t="s">
        <v>5757</v>
      </c>
      <c r="B3309" t="s">
        <v>5758</v>
      </c>
      <c r="C3309">
        <v>2016</v>
      </c>
      <c r="D3309">
        <v>1</v>
      </c>
      <c r="E3309" t="s">
        <v>55</v>
      </c>
      <c r="F3309" t="s">
        <v>128</v>
      </c>
      <c r="G3309" t="s">
        <v>63</v>
      </c>
      <c r="H3309">
        <v>1</v>
      </c>
      <c r="I3309">
        <v>27.665522599999999</v>
      </c>
      <c r="J3309">
        <v>1000</v>
      </c>
      <c r="K3309">
        <v>3.72</v>
      </c>
      <c r="M3309">
        <v>2.4300000000000002</v>
      </c>
      <c r="O3309">
        <v>0.217</v>
      </c>
      <c r="Q3309">
        <v>1.05</v>
      </c>
      <c r="R3309">
        <v>1.06</v>
      </c>
    </row>
    <row r="3310" spans="1:18" x14ac:dyDescent="0.2">
      <c r="A3310" t="s">
        <v>5759</v>
      </c>
      <c r="B3310" t="s">
        <v>5760</v>
      </c>
      <c r="C3310">
        <v>2016</v>
      </c>
      <c r="D3310">
        <v>1</v>
      </c>
      <c r="E3310" t="s">
        <v>55</v>
      </c>
      <c r="F3310" t="s">
        <v>128</v>
      </c>
      <c r="G3310" t="s">
        <v>63</v>
      </c>
      <c r="H3310">
        <v>1</v>
      </c>
      <c r="I3310">
        <v>6.1002780400000001</v>
      </c>
      <c r="J3310">
        <v>1614</v>
      </c>
      <c r="K3310">
        <v>3.63</v>
      </c>
      <c r="M3310">
        <v>3.39</v>
      </c>
      <c r="O3310">
        <v>0.30199999999999999</v>
      </c>
      <c r="Q3310">
        <v>1.1000000000000001</v>
      </c>
      <c r="R3310">
        <v>1.1499999999999999</v>
      </c>
    </row>
    <row r="3311" spans="1:18" x14ac:dyDescent="0.2">
      <c r="A3311" t="s">
        <v>5761</v>
      </c>
      <c r="B3311" t="s">
        <v>5762</v>
      </c>
      <c r="C3311">
        <v>2016</v>
      </c>
      <c r="D3311">
        <v>1</v>
      </c>
      <c r="E3311" t="s">
        <v>55</v>
      </c>
      <c r="F3311" t="s">
        <v>128</v>
      </c>
      <c r="G3311" t="s">
        <v>63</v>
      </c>
      <c r="H3311">
        <v>1</v>
      </c>
      <c r="I3311">
        <v>161.52801009999999</v>
      </c>
      <c r="J3311">
        <v>1185</v>
      </c>
      <c r="K3311">
        <v>4.07</v>
      </c>
      <c r="M3311">
        <v>6.64</v>
      </c>
      <c r="O3311">
        <v>0.59199999999999997</v>
      </c>
      <c r="Q3311">
        <v>0.96</v>
      </c>
      <c r="R3311">
        <v>0.94</v>
      </c>
    </row>
    <row r="3312" spans="1:18" x14ac:dyDescent="0.2">
      <c r="A3312" t="s">
        <v>5763</v>
      </c>
      <c r="B3312" t="s">
        <v>5764</v>
      </c>
      <c r="C3312">
        <v>2016</v>
      </c>
      <c r="D3312">
        <v>1</v>
      </c>
      <c r="E3312" t="s">
        <v>55</v>
      </c>
      <c r="F3312" t="s">
        <v>128</v>
      </c>
      <c r="G3312" t="s">
        <v>63</v>
      </c>
      <c r="H3312">
        <v>1</v>
      </c>
      <c r="I3312">
        <v>11.391002500000001</v>
      </c>
      <c r="J3312">
        <v>795</v>
      </c>
      <c r="K3312">
        <v>4.57</v>
      </c>
      <c r="M3312">
        <v>1.79</v>
      </c>
      <c r="O3312">
        <v>0.16</v>
      </c>
      <c r="Q3312">
        <v>0.82</v>
      </c>
      <c r="R3312">
        <v>0.78</v>
      </c>
    </row>
    <row r="3313" spans="1:19" x14ac:dyDescent="0.2">
      <c r="A3313" t="s">
        <v>5765</v>
      </c>
      <c r="B3313" t="s">
        <v>5766</v>
      </c>
      <c r="C3313">
        <v>2016</v>
      </c>
      <c r="D3313">
        <v>1</v>
      </c>
      <c r="E3313" t="s">
        <v>55</v>
      </c>
      <c r="F3313" t="s">
        <v>128</v>
      </c>
      <c r="G3313" t="s">
        <v>63</v>
      </c>
      <c r="H3313">
        <v>2</v>
      </c>
      <c r="I3313">
        <v>7.4260899800000004</v>
      </c>
      <c r="J3313">
        <v>1362</v>
      </c>
      <c r="K3313">
        <v>2.88</v>
      </c>
      <c r="M3313">
        <v>2.92</v>
      </c>
      <c r="O3313">
        <v>0.26100000000000001</v>
      </c>
      <c r="Q3313">
        <v>1.19</v>
      </c>
      <c r="R3313">
        <v>1.28</v>
      </c>
    </row>
    <row r="3314" spans="1:19" x14ac:dyDescent="0.2">
      <c r="A3314" t="s">
        <v>5765</v>
      </c>
      <c r="B3314" t="s">
        <v>5767</v>
      </c>
      <c r="C3314">
        <v>2016</v>
      </c>
      <c r="D3314">
        <v>1</v>
      </c>
      <c r="E3314" t="s">
        <v>55</v>
      </c>
      <c r="F3314" t="s">
        <v>128</v>
      </c>
      <c r="G3314" t="s">
        <v>63</v>
      </c>
      <c r="H3314">
        <v>2</v>
      </c>
      <c r="I3314">
        <v>15.987017399999999</v>
      </c>
      <c r="J3314">
        <v>1362</v>
      </c>
      <c r="K3314">
        <v>2.88</v>
      </c>
      <c r="M3314">
        <v>1.79</v>
      </c>
      <c r="O3314">
        <v>0.16</v>
      </c>
      <c r="Q3314">
        <v>1.19</v>
      </c>
      <c r="R3314">
        <v>1.28</v>
      </c>
    </row>
    <row r="3315" spans="1:19" x14ac:dyDescent="0.2">
      <c r="A3315" t="s">
        <v>5768</v>
      </c>
      <c r="B3315" t="s">
        <v>5769</v>
      </c>
      <c r="C3315">
        <v>2013</v>
      </c>
      <c r="D3315">
        <v>1</v>
      </c>
      <c r="E3315" t="s">
        <v>55</v>
      </c>
      <c r="F3315" t="s">
        <v>128</v>
      </c>
      <c r="G3315" t="s">
        <v>63</v>
      </c>
      <c r="H3315">
        <v>1</v>
      </c>
      <c r="I3315">
        <v>3.5787808700000001</v>
      </c>
      <c r="J3315">
        <v>570</v>
      </c>
      <c r="K3315">
        <v>7.5</v>
      </c>
      <c r="L3315">
        <v>136.661</v>
      </c>
      <c r="M3315">
        <v>10.760999999999999</v>
      </c>
      <c r="N3315">
        <v>0.43</v>
      </c>
      <c r="O3315">
        <v>0.96</v>
      </c>
      <c r="P3315">
        <v>0.60299999999999998</v>
      </c>
      <c r="Q3315">
        <v>0.95</v>
      </c>
      <c r="R3315">
        <v>0.99</v>
      </c>
      <c r="S3315">
        <v>1.365</v>
      </c>
    </row>
    <row r="3316" spans="1:19" x14ac:dyDescent="0.2">
      <c r="A3316" t="s">
        <v>5770</v>
      </c>
      <c r="B3316" t="s">
        <v>5771</v>
      </c>
      <c r="C3316">
        <v>2016</v>
      </c>
      <c r="D3316">
        <v>1</v>
      </c>
      <c r="E3316" t="s">
        <v>55</v>
      </c>
      <c r="F3316" t="s">
        <v>128</v>
      </c>
      <c r="G3316" t="s">
        <v>63</v>
      </c>
      <c r="H3316">
        <v>3</v>
      </c>
      <c r="I3316">
        <v>18.925402739999999</v>
      </c>
      <c r="J3316">
        <v>761</v>
      </c>
      <c r="K3316">
        <v>4.57</v>
      </c>
      <c r="M3316">
        <v>2.2999999999999998</v>
      </c>
      <c r="O3316">
        <v>0.20499999999999999</v>
      </c>
      <c r="Q3316">
        <v>0.94</v>
      </c>
      <c r="R3316">
        <v>0.92</v>
      </c>
    </row>
    <row r="3317" spans="1:19" x14ac:dyDescent="0.2">
      <c r="A3317" t="s">
        <v>5770</v>
      </c>
      <c r="B3317" t="s">
        <v>5772</v>
      </c>
      <c r="C3317">
        <v>2016</v>
      </c>
      <c r="D3317">
        <v>1</v>
      </c>
      <c r="E3317" t="s">
        <v>55</v>
      </c>
      <c r="F3317" t="s">
        <v>128</v>
      </c>
      <c r="G3317" t="s">
        <v>63</v>
      </c>
      <c r="H3317">
        <v>3</v>
      </c>
      <c r="I3317">
        <v>1.4753223099999999</v>
      </c>
      <c r="J3317">
        <v>761</v>
      </c>
      <c r="K3317">
        <v>4.57</v>
      </c>
      <c r="M3317">
        <v>1.2</v>
      </c>
      <c r="O3317">
        <v>0.107</v>
      </c>
      <c r="Q3317">
        <v>0.94</v>
      </c>
      <c r="R3317">
        <v>0.92</v>
      </c>
    </row>
    <row r="3318" spans="1:19" x14ac:dyDescent="0.2">
      <c r="A3318" t="s">
        <v>5770</v>
      </c>
      <c r="B3318" t="s">
        <v>5773</v>
      </c>
      <c r="C3318">
        <v>2016</v>
      </c>
      <c r="D3318">
        <v>1</v>
      </c>
      <c r="E3318" t="s">
        <v>55</v>
      </c>
      <c r="F3318" t="s">
        <v>128</v>
      </c>
      <c r="G3318" t="s">
        <v>63</v>
      </c>
      <c r="H3318">
        <v>3</v>
      </c>
      <c r="I3318">
        <v>4.15244722</v>
      </c>
      <c r="J3318">
        <v>761</v>
      </c>
      <c r="K3318">
        <v>4.57</v>
      </c>
      <c r="M3318">
        <v>1.4</v>
      </c>
      <c r="O3318">
        <v>0.125</v>
      </c>
      <c r="Q3318">
        <v>0.94</v>
      </c>
      <c r="R3318">
        <v>0.92</v>
      </c>
    </row>
    <row r="3319" spans="1:19" x14ac:dyDescent="0.2">
      <c r="A3319" t="s">
        <v>5774</v>
      </c>
      <c r="B3319" t="s">
        <v>5775</v>
      </c>
      <c r="C3319">
        <v>2016</v>
      </c>
      <c r="D3319">
        <v>1</v>
      </c>
      <c r="E3319" t="s">
        <v>55</v>
      </c>
      <c r="F3319" t="s">
        <v>128</v>
      </c>
      <c r="G3319" t="s">
        <v>63</v>
      </c>
      <c r="H3319">
        <v>1</v>
      </c>
      <c r="I3319">
        <v>8.7348583600000005</v>
      </c>
      <c r="J3319">
        <v>1000</v>
      </c>
      <c r="K3319">
        <v>3.72</v>
      </c>
      <c r="M3319">
        <v>1.82</v>
      </c>
      <c r="O3319">
        <v>0.16200000000000001</v>
      </c>
      <c r="Q3319">
        <v>1.03</v>
      </c>
      <c r="R3319">
        <v>1.05</v>
      </c>
    </row>
    <row r="3320" spans="1:19" x14ac:dyDescent="0.2">
      <c r="A3320" t="s">
        <v>5776</v>
      </c>
      <c r="B3320" t="s">
        <v>5777</v>
      </c>
      <c r="C3320">
        <v>2016</v>
      </c>
      <c r="D3320">
        <v>1</v>
      </c>
      <c r="E3320" t="s">
        <v>55</v>
      </c>
      <c r="F3320" t="s">
        <v>128</v>
      </c>
      <c r="G3320" t="s">
        <v>63</v>
      </c>
      <c r="H3320">
        <v>1</v>
      </c>
      <c r="I3320">
        <v>12.99207337</v>
      </c>
      <c r="J3320">
        <v>689</v>
      </c>
      <c r="K3320">
        <v>8.1300000000000008</v>
      </c>
      <c r="M3320">
        <v>1.82</v>
      </c>
      <c r="O3320">
        <v>0.16200000000000001</v>
      </c>
      <c r="Q3320">
        <v>0.98</v>
      </c>
      <c r="R3320">
        <v>1.1100000000000001</v>
      </c>
    </row>
    <row r="3321" spans="1:19" x14ac:dyDescent="0.2">
      <c r="A3321" t="s">
        <v>5778</v>
      </c>
      <c r="B3321" t="s">
        <v>5779</v>
      </c>
      <c r="C3321">
        <v>2016</v>
      </c>
      <c r="D3321">
        <v>1</v>
      </c>
      <c r="E3321" t="s">
        <v>55</v>
      </c>
      <c r="F3321" t="s">
        <v>128</v>
      </c>
      <c r="G3321" t="s">
        <v>63</v>
      </c>
      <c r="H3321">
        <v>1</v>
      </c>
      <c r="I3321">
        <v>3.74910006</v>
      </c>
      <c r="J3321">
        <v>528</v>
      </c>
      <c r="K3321">
        <v>2.82</v>
      </c>
      <c r="M3321">
        <v>1.43</v>
      </c>
      <c r="O3321">
        <v>0.128</v>
      </c>
      <c r="Q3321">
        <v>1.04</v>
      </c>
      <c r="R3321">
        <v>1.01</v>
      </c>
    </row>
    <row r="3322" spans="1:19" x14ac:dyDescent="0.2">
      <c r="A3322" t="s">
        <v>5780</v>
      </c>
      <c r="B3322" t="s">
        <v>5781</v>
      </c>
      <c r="C3322">
        <v>2016</v>
      </c>
      <c r="D3322">
        <v>1</v>
      </c>
      <c r="E3322" t="s">
        <v>55</v>
      </c>
      <c r="F3322" t="s">
        <v>128</v>
      </c>
      <c r="G3322" t="s">
        <v>63</v>
      </c>
      <c r="H3322">
        <v>1</v>
      </c>
      <c r="I3322">
        <v>11.0895723</v>
      </c>
      <c r="J3322">
        <v>1190</v>
      </c>
      <c r="K3322">
        <v>2.14</v>
      </c>
      <c r="M3322">
        <v>3.17</v>
      </c>
      <c r="O3322">
        <v>0.28299999999999997</v>
      </c>
      <c r="Q3322">
        <v>1.57</v>
      </c>
      <c r="R3322">
        <v>2.42</v>
      </c>
    </row>
    <row r="3323" spans="1:19" x14ac:dyDescent="0.2">
      <c r="A3323" t="s">
        <v>5782</v>
      </c>
      <c r="B3323" t="s">
        <v>5783</v>
      </c>
      <c r="C3323">
        <v>2016</v>
      </c>
      <c r="D3323">
        <v>1</v>
      </c>
      <c r="E3323" t="s">
        <v>55</v>
      </c>
      <c r="F3323" t="s">
        <v>128</v>
      </c>
      <c r="G3323" t="s">
        <v>63</v>
      </c>
      <c r="H3323">
        <v>1</v>
      </c>
      <c r="I3323">
        <v>0.97486892999999997</v>
      </c>
      <c r="J3323">
        <v>400</v>
      </c>
      <c r="K3323">
        <v>1.86</v>
      </c>
      <c r="M3323">
        <v>1.19</v>
      </c>
      <c r="O3323">
        <v>0.106</v>
      </c>
      <c r="Q3323">
        <v>0.92</v>
      </c>
      <c r="R3323">
        <v>0.84</v>
      </c>
    </row>
    <row r="3324" spans="1:19" x14ac:dyDescent="0.2">
      <c r="A3324" t="s">
        <v>5784</v>
      </c>
      <c r="B3324" t="s">
        <v>5785</v>
      </c>
      <c r="C3324">
        <v>2016</v>
      </c>
      <c r="D3324">
        <v>1</v>
      </c>
      <c r="E3324" t="s">
        <v>55</v>
      </c>
      <c r="F3324" t="s">
        <v>128</v>
      </c>
      <c r="G3324" t="s">
        <v>63</v>
      </c>
      <c r="H3324">
        <v>1</v>
      </c>
      <c r="I3324">
        <v>4.89718784</v>
      </c>
      <c r="J3324">
        <v>727</v>
      </c>
      <c r="K3324">
        <v>4.37</v>
      </c>
      <c r="M3324">
        <v>1.28</v>
      </c>
      <c r="O3324">
        <v>0.114</v>
      </c>
      <c r="Q3324">
        <v>0.83</v>
      </c>
      <c r="R3324">
        <v>0.78</v>
      </c>
    </row>
    <row r="3325" spans="1:19" x14ac:dyDescent="0.2">
      <c r="A3325" t="s">
        <v>5786</v>
      </c>
      <c r="B3325" t="s">
        <v>5787</v>
      </c>
      <c r="C3325">
        <v>2016</v>
      </c>
      <c r="D3325">
        <v>1</v>
      </c>
      <c r="E3325" t="s">
        <v>55</v>
      </c>
      <c r="F3325" t="s">
        <v>128</v>
      </c>
      <c r="G3325" t="s">
        <v>63</v>
      </c>
      <c r="H3325">
        <v>1</v>
      </c>
      <c r="I3325">
        <v>5.7281259899999997</v>
      </c>
      <c r="J3325">
        <v>383</v>
      </c>
      <c r="K3325">
        <v>3.16</v>
      </c>
      <c r="M3325">
        <v>1.47</v>
      </c>
      <c r="O3325">
        <v>0.13100000000000001</v>
      </c>
      <c r="Q3325">
        <v>0.57999999999999996</v>
      </c>
      <c r="R3325">
        <v>0.56000000000000005</v>
      </c>
    </row>
    <row r="3326" spans="1:19" x14ac:dyDescent="0.2">
      <c r="A3326" t="s">
        <v>5788</v>
      </c>
      <c r="B3326" t="s">
        <v>5789</v>
      </c>
      <c r="C3326">
        <v>2016</v>
      </c>
      <c r="D3326">
        <v>1</v>
      </c>
      <c r="E3326" t="s">
        <v>55</v>
      </c>
      <c r="F3326" t="s">
        <v>128</v>
      </c>
      <c r="G3326" t="s">
        <v>63</v>
      </c>
      <c r="H3326">
        <v>1</v>
      </c>
      <c r="I3326">
        <v>3.7557442600000002</v>
      </c>
      <c r="J3326">
        <v>899</v>
      </c>
      <c r="K3326">
        <v>5.25</v>
      </c>
      <c r="M3326">
        <v>1.68</v>
      </c>
      <c r="O3326">
        <v>0.15</v>
      </c>
      <c r="Q3326">
        <v>0.81</v>
      </c>
      <c r="R3326">
        <v>0.77</v>
      </c>
    </row>
    <row r="3327" spans="1:19" x14ac:dyDescent="0.2">
      <c r="A3327" t="s">
        <v>5790</v>
      </c>
      <c r="B3327" t="s">
        <v>5791</v>
      </c>
      <c r="C3327">
        <v>2016</v>
      </c>
      <c r="D3327">
        <v>1</v>
      </c>
      <c r="E3327" t="s">
        <v>55</v>
      </c>
      <c r="F3327" t="s">
        <v>128</v>
      </c>
      <c r="G3327" t="s">
        <v>63</v>
      </c>
      <c r="H3327">
        <v>1</v>
      </c>
      <c r="I3327">
        <v>7.0971422300000002</v>
      </c>
      <c r="J3327">
        <v>224</v>
      </c>
      <c r="K3327">
        <v>3.89</v>
      </c>
      <c r="M3327">
        <v>0.92</v>
      </c>
      <c r="O3327">
        <v>8.2000000000000003E-2</v>
      </c>
      <c r="Q3327">
        <v>0.46</v>
      </c>
      <c r="R3327">
        <v>0.44</v>
      </c>
    </row>
    <row r="3328" spans="1:19" x14ac:dyDescent="0.2">
      <c r="A3328" t="s">
        <v>5792</v>
      </c>
      <c r="B3328" t="s">
        <v>5793</v>
      </c>
      <c r="C3328">
        <v>2013</v>
      </c>
      <c r="D3328">
        <v>1</v>
      </c>
      <c r="E3328" t="s">
        <v>55</v>
      </c>
      <c r="F3328" t="s">
        <v>128</v>
      </c>
      <c r="G3328" t="s">
        <v>63</v>
      </c>
      <c r="H3328">
        <v>1</v>
      </c>
      <c r="I3328">
        <v>0.35500744000000001</v>
      </c>
      <c r="J3328">
        <v>124.36</v>
      </c>
      <c r="L3328">
        <v>3.1783000000000001</v>
      </c>
      <c r="M3328">
        <v>1.121</v>
      </c>
      <c r="N3328">
        <v>0.01</v>
      </c>
      <c r="O3328">
        <v>0.1</v>
      </c>
      <c r="Q3328">
        <v>0.84</v>
      </c>
      <c r="R3328">
        <v>0.75</v>
      </c>
      <c r="S3328">
        <v>2.84</v>
      </c>
    </row>
    <row r="3329" spans="1:19" x14ac:dyDescent="0.2">
      <c r="A3329" t="s">
        <v>5794</v>
      </c>
      <c r="B3329" t="s">
        <v>5795</v>
      </c>
      <c r="C3329">
        <v>2016</v>
      </c>
      <c r="D3329">
        <v>1</v>
      </c>
      <c r="E3329" t="s">
        <v>55</v>
      </c>
      <c r="F3329" t="s">
        <v>128</v>
      </c>
      <c r="G3329" t="s">
        <v>63</v>
      </c>
      <c r="H3329">
        <v>1</v>
      </c>
      <c r="I3329">
        <v>0.67737515999999998</v>
      </c>
      <c r="J3329">
        <v>520</v>
      </c>
      <c r="K3329">
        <v>4.9000000000000004</v>
      </c>
      <c r="M3329">
        <v>0.89</v>
      </c>
      <c r="O3329">
        <v>7.9000000000000001E-2</v>
      </c>
      <c r="Q3329">
        <v>1.01</v>
      </c>
      <c r="R3329">
        <v>1.02</v>
      </c>
    </row>
    <row r="3330" spans="1:19" x14ac:dyDescent="0.2">
      <c r="A3330" t="s">
        <v>5796</v>
      </c>
      <c r="B3330" t="s">
        <v>5797</v>
      </c>
      <c r="C3330">
        <v>2016</v>
      </c>
      <c r="D3330">
        <v>1</v>
      </c>
      <c r="E3330" t="s">
        <v>55</v>
      </c>
      <c r="F3330" t="s">
        <v>128</v>
      </c>
      <c r="G3330" t="s">
        <v>63</v>
      </c>
      <c r="H3330">
        <v>1</v>
      </c>
      <c r="I3330">
        <v>13.2140732</v>
      </c>
      <c r="J3330">
        <v>1036</v>
      </c>
      <c r="K3330">
        <v>4.9000000000000004</v>
      </c>
      <c r="M3330">
        <v>2.89</v>
      </c>
      <c r="O3330">
        <v>0.25800000000000001</v>
      </c>
      <c r="Q3330">
        <v>0.81</v>
      </c>
      <c r="R3330">
        <v>0.78</v>
      </c>
    </row>
    <row r="3331" spans="1:19" x14ac:dyDescent="0.2">
      <c r="A3331" t="s">
        <v>5798</v>
      </c>
      <c r="B3331" t="s">
        <v>5799</v>
      </c>
      <c r="C3331">
        <v>2016</v>
      </c>
      <c r="D3331">
        <v>1</v>
      </c>
      <c r="E3331" t="s">
        <v>55</v>
      </c>
      <c r="F3331" t="s">
        <v>128</v>
      </c>
      <c r="G3331" t="s">
        <v>63</v>
      </c>
      <c r="H3331">
        <v>1</v>
      </c>
      <c r="I3331">
        <v>158.6853308</v>
      </c>
      <c r="J3331">
        <v>412</v>
      </c>
      <c r="K3331">
        <v>5.25</v>
      </c>
      <c r="M3331">
        <v>3.21</v>
      </c>
      <c r="O3331">
        <v>0.28599999999999998</v>
      </c>
      <c r="Q3331">
        <v>0.98</v>
      </c>
      <c r="R3331">
        <v>1.01</v>
      </c>
    </row>
    <row r="3332" spans="1:19" x14ac:dyDescent="0.2">
      <c r="A3332" t="s">
        <v>5800</v>
      </c>
      <c r="B3332" t="s">
        <v>5801</v>
      </c>
      <c r="C3332">
        <v>2016</v>
      </c>
      <c r="D3332">
        <v>1</v>
      </c>
      <c r="E3332" t="s">
        <v>55</v>
      </c>
      <c r="F3332" t="s">
        <v>128</v>
      </c>
      <c r="G3332" t="s">
        <v>63</v>
      </c>
      <c r="H3332">
        <v>1</v>
      </c>
      <c r="I3332">
        <v>4.2926463799999999</v>
      </c>
      <c r="J3332">
        <v>544</v>
      </c>
      <c r="K3332">
        <v>3.89</v>
      </c>
      <c r="M3332">
        <v>0.78</v>
      </c>
      <c r="O3332">
        <v>7.0000000000000007E-2</v>
      </c>
      <c r="Q3332">
        <v>0.93</v>
      </c>
      <c r="R3332">
        <v>0.89</v>
      </c>
    </row>
    <row r="3333" spans="1:19" x14ac:dyDescent="0.2">
      <c r="A3333" t="s">
        <v>5802</v>
      </c>
      <c r="B3333" t="s">
        <v>5803</v>
      </c>
      <c r="C3333">
        <v>2016</v>
      </c>
      <c r="D3333">
        <v>1</v>
      </c>
      <c r="E3333" t="s">
        <v>55</v>
      </c>
      <c r="F3333" t="s">
        <v>128</v>
      </c>
      <c r="G3333" t="s">
        <v>63</v>
      </c>
      <c r="H3333">
        <v>1</v>
      </c>
      <c r="I3333">
        <v>31.5922646</v>
      </c>
      <c r="J3333">
        <v>604</v>
      </c>
      <c r="K3333">
        <v>9.1199999999999992</v>
      </c>
      <c r="M3333">
        <v>1.58</v>
      </c>
      <c r="O3333">
        <v>0.14099999999999999</v>
      </c>
      <c r="Q3333">
        <v>1</v>
      </c>
      <c r="R3333">
        <v>1.32</v>
      </c>
    </row>
    <row r="3334" spans="1:19" x14ac:dyDescent="0.2">
      <c r="A3334" t="s">
        <v>5804</v>
      </c>
      <c r="B3334" t="s">
        <v>5805</v>
      </c>
      <c r="C3334">
        <v>2016</v>
      </c>
      <c r="D3334">
        <v>1</v>
      </c>
      <c r="E3334" t="s">
        <v>55</v>
      </c>
      <c r="F3334" t="s">
        <v>128</v>
      </c>
      <c r="G3334" t="s">
        <v>63</v>
      </c>
      <c r="H3334">
        <v>1</v>
      </c>
      <c r="I3334">
        <v>1.9737609300000001</v>
      </c>
      <c r="J3334">
        <v>666</v>
      </c>
      <c r="K3334">
        <v>2.82</v>
      </c>
      <c r="M3334">
        <v>13.02</v>
      </c>
      <c r="O3334">
        <v>1.1619999999999999</v>
      </c>
      <c r="Q3334">
        <v>0.77</v>
      </c>
      <c r="R3334">
        <v>0.71</v>
      </c>
    </row>
    <row r="3335" spans="1:19" x14ac:dyDescent="0.2">
      <c r="A3335" t="s">
        <v>5806</v>
      </c>
      <c r="B3335" t="s">
        <v>5807</v>
      </c>
      <c r="C3335">
        <v>2016</v>
      </c>
      <c r="D3335">
        <v>1</v>
      </c>
      <c r="E3335" t="s">
        <v>55</v>
      </c>
      <c r="F3335" t="s">
        <v>128</v>
      </c>
      <c r="G3335" t="s">
        <v>63</v>
      </c>
      <c r="H3335">
        <v>1</v>
      </c>
      <c r="I3335">
        <v>53.5293487</v>
      </c>
      <c r="J3335">
        <v>512</v>
      </c>
      <c r="K3335">
        <v>2.5099999999999998</v>
      </c>
      <c r="M3335">
        <v>2.4300000000000002</v>
      </c>
      <c r="O3335">
        <v>0.217</v>
      </c>
      <c r="Q3335">
        <v>0.81</v>
      </c>
      <c r="R3335">
        <v>0.74</v>
      </c>
    </row>
    <row r="3336" spans="1:19" x14ac:dyDescent="0.2">
      <c r="A3336" t="s">
        <v>5808</v>
      </c>
      <c r="B3336" t="s">
        <v>5809</v>
      </c>
      <c r="C3336">
        <v>2016</v>
      </c>
      <c r="D3336">
        <v>1</v>
      </c>
      <c r="E3336" t="s">
        <v>55</v>
      </c>
      <c r="F3336" t="s">
        <v>128</v>
      </c>
      <c r="G3336" t="s">
        <v>63</v>
      </c>
      <c r="H3336">
        <v>1</v>
      </c>
      <c r="I3336">
        <v>0.92831050000000004</v>
      </c>
      <c r="J3336">
        <v>468</v>
      </c>
      <c r="K3336">
        <v>3.39</v>
      </c>
      <c r="M3336">
        <v>1.28</v>
      </c>
      <c r="O3336">
        <v>0.114</v>
      </c>
      <c r="Q3336">
        <v>0.65</v>
      </c>
      <c r="R3336">
        <v>0.62</v>
      </c>
    </row>
    <row r="3337" spans="1:19" x14ac:dyDescent="0.2">
      <c r="A3337" t="s">
        <v>5810</v>
      </c>
      <c r="B3337" t="s">
        <v>5811</v>
      </c>
      <c r="C3337">
        <v>2016</v>
      </c>
      <c r="D3337">
        <v>1</v>
      </c>
      <c r="E3337" t="s">
        <v>55</v>
      </c>
      <c r="F3337" t="s">
        <v>128</v>
      </c>
      <c r="G3337" t="s">
        <v>63</v>
      </c>
      <c r="H3337">
        <v>1</v>
      </c>
      <c r="I3337">
        <v>8.3984626900000006</v>
      </c>
      <c r="J3337">
        <v>1649</v>
      </c>
      <c r="K3337">
        <v>3.02</v>
      </c>
      <c r="M3337">
        <v>2.5499999999999998</v>
      </c>
      <c r="O3337">
        <v>0.22700000000000001</v>
      </c>
      <c r="Q3337">
        <v>1.1599999999999999</v>
      </c>
      <c r="R3337">
        <v>1.23</v>
      </c>
    </row>
    <row r="3338" spans="1:19" x14ac:dyDescent="0.2">
      <c r="A3338" t="s">
        <v>5812</v>
      </c>
      <c r="B3338" t="s">
        <v>5813</v>
      </c>
      <c r="C3338">
        <v>2016</v>
      </c>
      <c r="D3338">
        <v>1</v>
      </c>
      <c r="E3338" t="s">
        <v>55</v>
      </c>
      <c r="F3338" t="s">
        <v>128</v>
      </c>
      <c r="G3338" t="s">
        <v>63</v>
      </c>
      <c r="H3338">
        <v>1</v>
      </c>
      <c r="I3338">
        <v>8.6384772499999993</v>
      </c>
      <c r="J3338">
        <v>915</v>
      </c>
      <c r="K3338">
        <v>3.72</v>
      </c>
      <c r="M3338">
        <v>2.12</v>
      </c>
      <c r="O3338">
        <v>0.189</v>
      </c>
      <c r="Q3338">
        <v>1.01</v>
      </c>
      <c r="R3338">
        <v>1.02</v>
      </c>
    </row>
    <row r="3339" spans="1:19" x14ac:dyDescent="0.2">
      <c r="A3339" t="s">
        <v>5814</v>
      </c>
      <c r="B3339" t="s">
        <v>5815</v>
      </c>
      <c r="C3339">
        <v>2012</v>
      </c>
      <c r="D3339">
        <v>1</v>
      </c>
      <c r="E3339" t="s">
        <v>55</v>
      </c>
      <c r="F3339" t="s">
        <v>128</v>
      </c>
      <c r="G3339" t="s">
        <v>63</v>
      </c>
      <c r="H3339">
        <v>4</v>
      </c>
      <c r="I3339">
        <v>13.484500000000001</v>
      </c>
      <c r="J3339">
        <v>995</v>
      </c>
      <c r="K3339">
        <v>3.44</v>
      </c>
      <c r="L3339">
        <v>10.9</v>
      </c>
      <c r="M3339">
        <v>3.47</v>
      </c>
      <c r="N3339">
        <v>3.4299999999999997E-2</v>
      </c>
      <c r="O3339">
        <v>0.31</v>
      </c>
      <c r="P3339">
        <v>1.43</v>
      </c>
      <c r="Q3339">
        <v>1.17</v>
      </c>
      <c r="R3339">
        <v>1.3</v>
      </c>
      <c r="S3339">
        <v>0.74099999999999999</v>
      </c>
    </row>
    <row r="3340" spans="1:19" x14ac:dyDescent="0.2">
      <c r="A3340" t="s">
        <v>5814</v>
      </c>
      <c r="B3340" t="s">
        <v>5816</v>
      </c>
      <c r="C3340">
        <v>2012</v>
      </c>
      <c r="D3340">
        <v>1</v>
      </c>
      <c r="E3340" t="s">
        <v>55</v>
      </c>
      <c r="F3340" t="s">
        <v>128</v>
      </c>
      <c r="G3340" t="s">
        <v>63</v>
      </c>
      <c r="H3340">
        <v>4</v>
      </c>
      <c r="I3340">
        <v>27.402899999999999</v>
      </c>
      <c r="J3340">
        <v>995</v>
      </c>
      <c r="K3340">
        <v>3.44</v>
      </c>
      <c r="L3340">
        <v>5.9</v>
      </c>
      <c r="M3340">
        <v>3.72</v>
      </c>
      <c r="N3340">
        <v>1.9E-2</v>
      </c>
      <c r="O3340">
        <v>0.33200000000000002</v>
      </c>
      <c r="P3340">
        <v>0.62</v>
      </c>
      <c r="Q3340">
        <v>1.17</v>
      </c>
      <c r="R3340">
        <v>1.3</v>
      </c>
      <c r="S3340">
        <v>0.74099999999999999</v>
      </c>
    </row>
    <row r="3341" spans="1:19" x14ac:dyDescent="0.2">
      <c r="A3341" t="s">
        <v>5814</v>
      </c>
      <c r="B3341" t="s">
        <v>5817</v>
      </c>
      <c r="C3341">
        <v>2014</v>
      </c>
      <c r="D3341">
        <v>1</v>
      </c>
      <c r="E3341" t="s">
        <v>55</v>
      </c>
      <c r="F3341" t="s">
        <v>128</v>
      </c>
      <c r="G3341" t="s">
        <v>63</v>
      </c>
      <c r="H3341">
        <v>4</v>
      </c>
      <c r="I3341">
        <v>52.090200000000003</v>
      </c>
      <c r="J3341">
        <v>995</v>
      </c>
      <c r="K3341">
        <v>3.44</v>
      </c>
      <c r="L3341">
        <v>6</v>
      </c>
      <c r="M3341">
        <v>7.16</v>
      </c>
      <c r="N3341">
        <v>1.9E-2</v>
      </c>
      <c r="O3341">
        <v>0.63900000000000001</v>
      </c>
      <c r="P3341">
        <v>0.09</v>
      </c>
      <c r="Q3341">
        <v>1.17</v>
      </c>
      <c r="R3341">
        <v>1.3</v>
      </c>
      <c r="S3341">
        <v>0.74099999999999999</v>
      </c>
    </row>
    <row r="3342" spans="1:19" x14ac:dyDescent="0.2">
      <c r="A3342" t="s">
        <v>5814</v>
      </c>
      <c r="B3342" t="s">
        <v>5818</v>
      </c>
      <c r="C3342">
        <v>2014</v>
      </c>
      <c r="D3342">
        <v>1</v>
      </c>
      <c r="E3342" t="s">
        <v>55</v>
      </c>
      <c r="F3342" t="s">
        <v>128</v>
      </c>
      <c r="G3342" t="s">
        <v>63</v>
      </c>
      <c r="H3342">
        <v>4</v>
      </c>
      <c r="I3342">
        <v>81.065899999999999</v>
      </c>
      <c r="J3342">
        <v>995</v>
      </c>
      <c r="K3342">
        <v>3.44</v>
      </c>
      <c r="L3342">
        <v>4.0999999999999996</v>
      </c>
      <c r="M3342">
        <v>3.49</v>
      </c>
      <c r="N3342">
        <v>1.2999999999999999E-2</v>
      </c>
      <c r="O3342">
        <v>0.311</v>
      </c>
      <c r="P3342">
        <v>0.53</v>
      </c>
      <c r="Q3342">
        <v>1.17</v>
      </c>
      <c r="R3342">
        <v>1.3</v>
      </c>
      <c r="S3342">
        <v>0.74099999999999999</v>
      </c>
    </row>
    <row r="3343" spans="1:19" x14ac:dyDescent="0.2">
      <c r="A3343" t="s">
        <v>5819</v>
      </c>
      <c r="B3343" t="s">
        <v>5820</v>
      </c>
      <c r="C3343">
        <v>2016</v>
      </c>
      <c r="D3343">
        <v>1</v>
      </c>
      <c r="E3343" t="s">
        <v>55</v>
      </c>
      <c r="F3343" t="s">
        <v>128</v>
      </c>
      <c r="G3343" t="s">
        <v>63</v>
      </c>
      <c r="H3343">
        <v>1</v>
      </c>
      <c r="I3343">
        <v>13.73469807</v>
      </c>
      <c r="J3343">
        <v>727</v>
      </c>
      <c r="K3343">
        <v>4.9000000000000004</v>
      </c>
      <c r="M3343">
        <v>2.1800000000000002</v>
      </c>
      <c r="O3343">
        <v>0.19400000000000001</v>
      </c>
      <c r="Q3343">
        <v>0.84</v>
      </c>
      <c r="R3343">
        <v>0.8</v>
      </c>
    </row>
    <row r="3344" spans="1:19" x14ac:dyDescent="0.2">
      <c r="A3344" t="s">
        <v>5821</v>
      </c>
      <c r="B3344" t="s">
        <v>5822</v>
      </c>
      <c r="C3344">
        <v>2016</v>
      </c>
      <c r="D3344">
        <v>1</v>
      </c>
      <c r="E3344" t="s">
        <v>55</v>
      </c>
      <c r="F3344" t="s">
        <v>128</v>
      </c>
      <c r="G3344" t="s">
        <v>63</v>
      </c>
      <c r="H3344">
        <v>1</v>
      </c>
      <c r="I3344">
        <v>14.553975899999999</v>
      </c>
      <c r="J3344">
        <v>1447</v>
      </c>
      <c r="K3344">
        <v>2.2400000000000002</v>
      </c>
      <c r="M3344">
        <v>3.05</v>
      </c>
      <c r="O3344">
        <v>0.27200000000000002</v>
      </c>
      <c r="Q3344">
        <v>1.3</v>
      </c>
      <c r="R3344">
        <v>1.47</v>
      </c>
    </row>
    <row r="3345" spans="1:19" x14ac:dyDescent="0.2">
      <c r="A3345" t="s">
        <v>5823</v>
      </c>
      <c r="B3345" t="s">
        <v>5824</v>
      </c>
      <c r="C3345">
        <v>2016</v>
      </c>
      <c r="D3345">
        <v>1</v>
      </c>
      <c r="E3345" t="s">
        <v>55</v>
      </c>
      <c r="F3345" t="s">
        <v>128</v>
      </c>
      <c r="G3345" t="s">
        <v>63</v>
      </c>
      <c r="H3345">
        <v>1</v>
      </c>
      <c r="I3345">
        <v>11.30119217</v>
      </c>
      <c r="J3345">
        <v>1205</v>
      </c>
      <c r="K3345">
        <v>3.39</v>
      </c>
      <c r="M3345">
        <v>1.96</v>
      </c>
      <c r="O3345">
        <v>0.17499999999999999</v>
      </c>
      <c r="Q3345">
        <v>1.0900000000000001</v>
      </c>
      <c r="R3345">
        <v>1.1200000000000001</v>
      </c>
    </row>
    <row r="3346" spans="1:19" x14ac:dyDescent="0.2">
      <c r="A3346" t="s">
        <v>5825</v>
      </c>
      <c r="B3346" t="s">
        <v>5826</v>
      </c>
      <c r="C3346">
        <v>2016</v>
      </c>
      <c r="D3346">
        <v>1</v>
      </c>
      <c r="E3346" t="s">
        <v>55</v>
      </c>
      <c r="F3346" t="s">
        <v>128</v>
      </c>
      <c r="G3346" t="s">
        <v>63</v>
      </c>
      <c r="H3346">
        <v>1</v>
      </c>
      <c r="I3346">
        <v>4.2415363900000003</v>
      </c>
      <c r="J3346">
        <v>794</v>
      </c>
      <c r="K3346">
        <v>4.2699999999999996</v>
      </c>
      <c r="M3346">
        <v>1.37</v>
      </c>
      <c r="O3346">
        <v>0.122</v>
      </c>
      <c r="Q3346">
        <v>0.98</v>
      </c>
      <c r="R3346">
        <v>0.97</v>
      </c>
    </row>
    <row r="3347" spans="1:19" x14ac:dyDescent="0.2">
      <c r="A3347" t="s">
        <v>5827</v>
      </c>
      <c r="B3347" t="s">
        <v>5828</v>
      </c>
      <c r="C3347">
        <v>2016</v>
      </c>
      <c r="D3347">
        <v>1</v>
      </c>
      <c r="E3347" t="s">
        <v>55</v>
      </c>
      <c r="F3347" t="s">
        <v>128</v>
      </c>
      <c r="G3347" t="s">
        <v>63</v>
      </c>
      <c r="H3347">
        <v>1</v>
      </c>
      <c r="I3347">
        <v>11.131251320000001</v>
      </c>
      <c r="J3347">
        <v>763</v>
      </c>
      <c r="K3347">
        <v>4.07</v>
      </c>
      <c r="M3347">
        <v>2.11</v>
      </c>
      <c r="O3347">
        <v>0.188</v>
      </c>
      <c r="Q3347">
        <v>1.19</v>
      </c>
      <c r="R3347">
        <v>1.38</v>
      </c>
    </row>
    <row r="3348" spans="1:19" x14ac:dyDescent="0.2">
      <c r="A3348" t="s">
        <v>5829</v>
      </c>
      <c r="B3348" t="s">
        <v>5830</v>
      </c>
      <c r="C3348">
        <v>2016</v>
      </c>
      <c r="D3348">
        <v>1</v>
      </c>
      <c r="E3348" t="s">
        <v>55</v>
      </c>
      <c r="F3348" t="s">
        <v>128</v>
      </c>
      <c r="G3348" t="s">
        <v>63</v>
      </c>
      <c r="H3348">
        <v>1</v>
      </c>
      <c r="I3348">
        <v>29.619342100000001</v>
      </c>
      <c r="J3348">
        <v>458</v>
      </c>
      <c r="K3348">
        <v>6.46</v>
      </c>
      <c r="M3348">
        <v>1.68</v>
      </c>
      <c r="O3348">
        <v>0.15</v>
      </c>
      <c r="Q3348">
        <v>0.94</v>
      </c>
      <c r="R3348">
        <v>0.96</v>
      </c>
    </row>
    <row r="3349" spans="1:19" x14ac:dyDescent="0.2">
      <c r="A3349" t="s">
        <v>5831</v>
      </c>
      <c r="B3349" t="s">
        <v>5832</v>
      </c>
      <c r="C3349">
        <v>2016</v>
      </c>
      <c r="D3349">
        <v>1</v>
      </c>
      <c r="E3349" t="s">
        <v>55</v>
      </c>
      <c r="F3349" t="s">
        <v>128</v>
      </c>
      <c r="G3349" t="s">
        <v>63</v>
      </c>
      <c r="H3349">
        <v>1</v>
      </c>
      <c r="I3349">
        <v>6.40087618</v>
      </c>
      <c r="J3349">
        <v>377</v>
      </c>
      <c r="K3349">
        <v>11.75</v>
      </c>
      <c r="M3349">
        <v>1.3</v>
      </c>
      <c r="O3349">
        <v>0.11600000000000001</v>
      </c>
      <c r="Q3349">
        <v>0.93</v>
      </c>
      <c r="R3349">
        <v>1.0900000000000001</v>
      </c>
    </row>
    <row r="3350" spans="1:19" x14ac:dyDescent="0.2">
      <c r="A3350" t="s">
        <v>5833</v>
      </c>
      <c r="B3350" t="s">
        <v>5834</v>
      </c>
      <c r="C3350">
        <v>2016</v>
      </c>
      <c r="D3350">
        <v>1</v>
      </c>
      <c r="E3350" t="s">
        <v>55</v>
      </c>
      <c r="F3350" t="s">
        <v>128</v>
      </c>
      <c r="G3350" t="s">
        <v>63</v>
      </c>
      <c r="H3350">
        <v>1</v>
      </c>
      <c r="I3350">
        <v>27.072377110000001</v>
      </c>
      <c r="J3350">
        <v>752</v>
      </c>
      <c r="K3350">
        <v>3.89</v>
      </c>
      <c r="M3350">
        <v>2.17</v>
      </c>
      <c r="O3350">
        <v>0.19400000000000001</v>
      </c>
      <c r="Q3350">
        <v>0.96</v>
      </c>
      <c r="R3350">
        <v>0.95</v>
      </c>
    </row>
    <row r="3351" spans="1:19" x14ac:dyDescent="0.2">
      <c r="A3351" t="s">
        <v>5835</v>
      </c>
      <c r="B3351" t="s">
        <v>5836</v>
      </c>
      <c r="C3351">
        <v>2016</v>
      </c>
      <c r="D3351">
        <v>1</v>
      </c>
      <c r="E3351" t="s">
        <v>55</v>
      </c>
      <c r="F3351" t="s">
        <v>128</v>
      </c>
      <c r="G3351" t="s">
        <v>63</v>
      </c>
      <c r="H3351">
        <v>1</v>
      </c>
      <c r="I3351">
        <v>13.719333689999999</v>
      </c>
      <c r="J3351">
        <v>1085</v>
      </c>
      <c r="K3351">
        <v>2.82</v>
      </c>
      <c r="M3351">
        <v>2.39</v>
      </c>
      <c r="O3351">
        <v>0.21299999999999999</v>
      </c>
      <c r="Q3351">
        <v>1.19</v>
      </c>
      <c r="R3351">
        <v>1.29</v>
      </c>
    </row>
    <row r="3352" spans="1:19" x14ac:dyDescent="0.2">
      <c r="A3352" t="s">
        <v>5837</v>
      </c>
      <c r="B3352" t="s">
        <v>5838</v>
      </c>
      <c r="C3352">
        <v>2016</v>
      </c>
      <c r="D3352">
        <v>1</v>
      </c>
      <c r="E3352" t="s">
        <v>55</v>
      </c>
      <c r="F3352" t="s">
        <v>128</v>
      </c>
      <c r="G3352" t="s">
        <v>63</v>
      </c>
      <c r="H3352">
        <v>1</v>
      </c>
      <c r="I3352">
        <v>133.46052349999999</v>
      </c>
      <c r="J3352">
        <v>1029</v>
      </c>
      <c r="K3352">
        <v>3.98</v>
      </c>
      <c r="M3352">
        <v>6.88</v>
      </c>
      <c r="O3352">
        <v>0.61399999999999999</v>
      </c>
      <c r="Q3352">
        <v>0.95</v>
      </c>
      <c r="R3352">
        <v>0.93</v>
      </c>
    </row>
    <row r="3353" spans="1:19" x14ac:dyDescent="0.2">
      <c r="A3353" t="s">
        <v>5839</v>
      </c>
      <c r="B3353" t="s">
        <v>5840</v>
      </c>
      <c r="C3353">
        <v>2010</v>
      </c>
      <c r="D3353">
        <v>1</v>
      </c>
      <c r="E3353" t="s">
        <v>55</v>
      </c>
      <c r="F3353" t="s">
        <v>128</v>
      </c>
      <c r="G3353" t="s">
        <v>63</v>
      </c>
      <c r="H3353">
        <v>1</v>
      </c>
      <c r="I3353">
        <v>3.5224991000000001</v>
      </c>
      <c r="J3353">
        <v>1330</v>
      </c>
      <c r="L3353">
        <v>187.5197</v>
      </c>
      <c r="M3353">
        <v>15.872</v>
      </c>
      <c r="N3353">
        <v>0.59</v>
      </c>
      <c r="O3353">
        <v>1.4159999999999999</v>
      </c>
      <c r="P3353">
        <v>0.27</v>
      </c>
      <c r="Q3353">
        <v>1.21</v>
      </c>
      <c r="R3353">
        <v>1.49</v>
      </c>
    </row>
    <row r="3354" spans="1:19" x14ac:dyDescent="0.2">
      <c r="A3354" t="s">
        <v>5841</v>
      </c>
      <c r="B3354" t="s">
        <v>5842</v>
      </c>
      <c r="C3354">
        <v>2012</v>
      </c>
      <c r="D3354">
        <v>1</v>
      </c>
      <c r="E3354" t="s">
        <v>55</v>
      </c>
      <c r="F3354" t="s">
        <v>128</v>
      </c>
      <c r="G3354" t="s">
        <v>63</v>
      </c>
      <c r="H3354">
        <v>6</v>
      </c>
      <c r="I3354">
        <v>7.05246</v>
      </c>
      <c r="J3354">
        <v>357</v>
      </c>
      <c r="K3354">
        <v>2</v>
      </c>
      <c r="L3354">
        <v>6.93</v>
      </c>
      <c r="M3354">
        <v>2.67</v>
      </c>
      <c r="N3354">
        <v>2.18E-2</v>
      </c>
      <c r="O3354">
        <v>0.23799999999999999</v>
      </c>
      <c r="P3354">
        <v>1.38</v>
      </c>
      <c r="Q3354">
        <v>0.73</v>
      </c>
      <c r="R3354">
        <v>0.68</v>
      </c>
      <c r="S3354">
        <v>2.33</v>
      </c>
    </row>
    <row r="3355" spans="1:19" x14ac:dyDescent="0.2">
      <c r="A3355" t="s">
        <v>5841</v>
      </c>
      <c r="B3355" t="s">
        <v>5843</v>
      </c>
      <c r="C3355">
        <v>2012</v>
      </c>
      <c r="D3355">
        <v>1</v>
      </c>
      <c r="E3355" t="s">
        <v>55</v>
      </c>
      <c r="F3355" t="s">
        <v>128</v>
      </c>
      <c r="G3355" t="s">
        <v>63</v>
      </c>
      <c r="H3355">
        <v>6</v>
      </c>
      <c r="I3355">
        <v>9.5235500000000002</v>
      </c>
      <c r="J3355">
        <v>357</v>
      </c>
      <c r="K3355">
        <v>2</v>
      </c>
      <c r="L3355">
        <v>6.74</v>
      </c>
      <c r="M3355">
        <v>2.74</v>
      </c>
      <c r="N3355">
        <v>2.121E-2</v>
      </c>
      <c r="O3355">
        <v>0.24399999999999999</v>
      </c>
      <c r="P3355">
        <v>1.22</v>
      </c>
      <c r="Q3355">
        <v>0.73</v>
      </c>
      <c r="R3355">
        <v>0.68</v>
      </c>
      <c r="S3355">
        <v>2.33</v>
      </c>
    </row>
    <row r="3356" spans="1:19" x14ac:dyDescent="0.2">
      <c r="A3356" t="s">
        <v>5841</v>
      </c>
      <c r="B3356" t="s">
        <v>5844</v>
      </c>
      <c r="C3356">
        <v>2014</v>
      </c>
      <c r="D3356">
        <v>1</v>
      </c>
      <c r="E3356" t="s">
        <v>55</v>
      </c>
      <c r="F3356" t="s">
        <v>128</v>
      </c>
      <c r="G3356" t="s">
        <v>63</v>
      </c>
      <c r="H3356">
        <v>6</v>
      </c>
      <c r="I3356">
        <v>3.0722200000000002</v>
      </c>
      <c r="J3356">
        <v>357</v>
      </c>
      <c r="K3356">
        <v>2</v>
      </c>
      <c r="L3356">
        <v>6.75</v>
      </c>
      <c r="M3356">
        <v>1.53</v>
      </c>
      <c r="N3356">
        <v>2.1239999999999998E-2</v>
      </c>
      <c r="O3356">
        <v>0.13600000000000001</v>
      </c>
      <c r="P3356">
        <v>7.04</v>
      </c>
      <c r="Q3356">
        <v>0.73</v>
      </c>
      <c r="R3356">
        <v>0.68</v>
      </c>
      <c r="S3356">
        <v>2.33</v>
      </c>
    </row>
    <row r="3357" spans="1:19" x14ac:dyDescent="0.2">
      <c r="A3357" t="s">
        <v>5841</v>
      </c>
      <c r="B3357" t="s">
        <v>5845</v>
      </c>
      <c r="C3357">
        <v>2014</v>
      </c>
      <c r="D3357">
        <v>1</v>
      </c>
      <c r="E3357" t="s">
        <v>55</v>
      </c>
      <c r="F3357" t="s">
        <v>128</v>
      </c>
      <c r="G3357" t="s">
        <v>63</v>
      </c>
      <c r="H3357">
        <v>6</v>
      </c>
      <c r="I3357">
        <v>4.6448900000000002</v>
      </c>
      <c r="J3357">
        <v>357</v>
      </c>
      <c r="K3357">
        <v>2</v>
      </c>
      <c r="L3357">
        <v>4.13</v>
      </c>
      <c r="M3357">
        <v>1.6</v>
      </c>
      <c r="N3357">
        <v>1.299E-2</v>
      </c>
      <c r="O3357">
        <v>0.14299999999999999</v>
      </c>
      <c r="P3357">
        <v>3.75</v>
      </c>
      <c r="Q3357">
        <v>0.73</v>
      </c>
      <c r="R3357">
        <v>0.68</v>
      </c>
      <c r="S3357">
        <v>2.33</v>
      </c>
    </row>
    <row r="3358" spans="1:19" x14ac:dyDescent="0.2">
      <c r="A3358" t="s">
        <v>5841</v>
      </c>
      <c r="B3358" t="s">
        <v>5846</v>
      </c>
      <c r="C3358">
        <v>2016</v>
      </c>
      <c r="D3358">
        <v>1</v>
      </c>
      <c r="E3358" t="s">
        <v>55</v>
      </c>
      <c r="F3358" t="s">
        <v>128</v>
      </c>
      <c r="G3358" t="s">
        <v>63</v>
      </c>
      <c r="H3358">
        <v>6</v>
      </c>
      <c r="I3358">
        <v>0.98678730000000003</v>
      </c>
      <c r="J3358">
        <v>357</v>
      </c>
      <c r="K3358">
        <v>2</v>
      </c>
      <c r="M3358">
        <v>1.21</v>
      </c>
      <c r="O3358">
        <v>0.108</v>
      </c>
      <c r="Q3358">
        <v>0.73</v>
      </c>
      <c r="R3358">
        <v>0.68</v>
      </c>
      <c r="S3358">
        <v>2.33</v>
      </c>
    </row>
    <row r="3359" spans="1:19" x14ac:dyDescent="0.2">
      <c r="A3359" t="s">
        <v>5841</v>
      </c>
      <c r="B3359" t="s">
        <v>5847</v>
      </c>
      <c r="C3359">
        <v>2017</v>
      </c>
      <c r="D3359">
        <v>1</v>
      </c>
      <c r="E3359" t="s">
        <v>55</v>
      </c>
      <c r="F3359" t="s">
        <v>128</v>
      </c>
      <c r="G3359" t="s">
        <v>63</v>
      </c>
      <c r="H3359">
        <v>6</v>
      </c>
      <c r="I3359">
        <v>14.645580000000001</v>
      </c>
      <c r="J3359">
        <v>357</v>
      </c>
      <c r="K3359">
        <v>2</v>
      </c>
      <c r="M3359">
        <v>1.1299999999999999</v>
      </c>
      <c r="O3359">
        <v>0.10100000000000001</v>
      </c>
      <c r="Q3359">
        <v>0.73</v>
      </c>
      <c r="R3359">
        <v>0.68</v>
      </c>
      <c r="S3359">
        <v>2.33</v>
      </c>
    </row>
    <row r="3360" spans="1:19" x14ac:dyDescent="0.2">
      <c r="A3360" t="s">
        <v>5848</v>
      </c>
      <c r="B3360" t="s">
        <v>5849</v>
      </c>
      <c r="C3360">
        <v>2016</v>
      </c>
      <c r="D3360">
        <v>1</v>
      </c>
      <c r="E3360" t="s">
        <v>55</v>
      </c>
      <c r="F3360" t="s">
        <v>128</v>
      </c>
      <c r="G3360" t="s">
        <v>63</v>
      </c>
      <c r="H3360">
        <v>1</v>
      </c>
      <c r="I3360">
        <v>14.13176026</v>
      </c>
      <c r="J3360">
        <v>1049</v>
      </c>
      <c r="K3360">
        <v>4.68</v>
      </c>
      <c r="M3360">
        <v>2.85</v>
      </c>
      <c r="O3360">
        <v>0.254</v>
      </c>
      <c r="Q3360">
        <v>0.85</v>
      </c>
      <c r="R3360">
        <v>0.82</v>
      </c>
    </row>
    <row r="3361" spans="1:18" x14ac:dyDescent="0.2">
      <c r="A3361" t="s">
        <v>5850</v>
      </c>
      <c r="B3361" t="s">
        <v>5851</v>
      </c>
      <c r="C3361">
        <v>2016</v>
      </c>
      <c r="D3361">
        <v>1</v>
      </c>
      <c r="E3361" t="s">
        <v>55</v>
      </c>
      <c r="F3361" t="s">
        <v>128</v>
      </c>
      <c r="G3361" t="s">
        <v>63</v>
      </c>
      <c r="H3361">
        <v>1</v>
      </c>
      <c r="I3361">
        <v>11.41928253</v>
      </c>
      <c r="J3361">
        <v>419</v>
      </c>
      <c r="K3361">
        <v>3.55</v>
      </c>
      <c r="M3361">
        <v>2</v>
      </c>
      <c r="O3361">
        <v>0.17799999999999999</v>
      </c>
      <c r="Q3361">
        <v>0.67</v>
      </c>
      <c r="R3361">
        <v>0.63</v>
      </c>
    </row>
    <row r="3362" spans="1:18" x14ac:dyDescent="0.2">
      <c r="A3362" t="s">
        <v>5852</v>
      </c>
      <c r="B3362" t="s">
        <v>5853</v>
      </c>
      <c r="C3362">
        <v>2016</v>
      </c>
      <c r="D3362">
        <v>1</v>
      </c>
      <c r="E3362" t="s">
        <v>55</v>
      </c>
      <c r="F3362" t="s">
        <v>128</v>
      </c>
      <c r="G3362" t="s">
        <v>63</v>
      </c>
      <c r="H3362">
        <v>1</v>
      </c>
      <c r="I3362">
        <v>40.0587473</v>
      </c>
      <c r="J3362">
        <v>828</v>
      </c>
      <c r="K3362">
        <v>4.68</v>
      </c>
      <c r="M3362">
        <v>3.54</v>
      </c>
      <c r="O3362">
        <v>0.316</v>
      </c>
      <c r="Q3362">
        <v>0.93</v>
      </c>
      <c r="R3362">
        <v>0.9</v>
      </c>
    </row>
    <row r="3363" spans="1:18" x14ac:dyDescent="0.2">
      <c r="A3363" t="s">
        <v>5854</v>
      </c>
      <c r="B3363" t="s">
        <v>5855</v>
      </c>
      <c r="C3363">
        <v>2016</v>
      </c>
      <c r="D3363">
        <v>1</v>
      </c>
      <c r="E3363" t="s">
        <v>55</v>
      </c>
      <c r="F3363" t="s">
        <v>128</v>
      </c>
      <c r="G3363" t="s">
        <v>63</v>
      </c>
      <c r="H3363">
        <v>1</v>
      </c>
      <c r="I3363">
        <v>50.286381919999997</v>
      </c>
      <c r="J3363">
        <v>615</v>
      </c>
      <c r="K3363">
        <v>4.9000000000000004</v>
      </c>
      <c r="M3363">
        <v>3.79</v>
      </c>
      <c r="O3363">
        <v>0.33800000000000002</v>
      </c>
      <c r="Q3363">
        <v>1.05</v>
      </c>
      <c r="R3363">
        <v>1.1200000000000001</v>
      </c>
    </row>
    <row r="3364" spans="1:18" x14ac:dyDescent="0.2">
      <c r="A3364" t="s">
        <v>5856</v>
      </c>
      <c r="B3364" t="s">
        <v>5857</v>
      </c>
      <c r="C3364">
        <v>2016</v>
      </c>
      <c r="D3364">
        <v>1</v>
      </c>
      <c r="E3364" t="s">
        <v>55</v>
      </c>
      <c r="F3364" t="s">
        <v>128</v>
      </c>
      <c r="G3364" t="s">
        <v>63</v>
      </c>
      <c r="H3364">
        <v>2</v>
      </c>
      <c r="I3364">
        <v>14.374573509999999</v>
      </c>
      <c r="J3364">
        <v>648</v>
      </c>
      <c r="K3364">
        <v>5.25</v>
      </c>
      <c r="M3364">
        <v>1.94</v>
      </c>
      <c r="O3364">
        <v>0.17299999999999999</v>
      </c>
      <c r="Q3364">
        <v>1.01</v>
      </c>
      <c r="R3364">
        <v>1.05</v>
      </c>
    </row>
    <row r="3365" spans="1:18" x14ac:dyDescent="0.2">
      <c r="A3365" t="s">
        <v>5856</v>
      </c>
      <c r="B3365" t="s">
        <v>5858</v>
      </c>
      <c r="C3365">
        <v>2016</v>
      </c>
      <c r="D3365">
        <v>1</v>
      </c>
      <c r="E3365" t="s">
        <v>55</v>
      </c>
      <c r="F3365" t="s">
        <v>128</v>
      </c>
      <c r="G3365" t="s">
        <v>63</v>
      </c>
      <c r="H3365">
        <v>2</v>
      </c>
      <c r="I3365">
        <v>9.6518501699999995</v>
      </c>
      <c r="J3365">
        <v>648</v>
      </c>
      <c r="K3365">
        <v>5.25</v>
      </c>
      <c r="M3365">
        <v>1.1399999999999999</v>
      </c>
      <c r="O3365">
        <v>0.10199999999999999</v>
      </c>
      <c r="Q3365">
        <v>1.01</v>
      </c>
      <c r="R3365">
        <v>1.05</v>
      </c>
    </row>
    <row r="3366" spans="1:18" x14ac:dyDescent="0.2">
      <c r="A3366" t="s">
        <v>5859</v>
      </c>
      <c r="B3366" t="s">
        <v>5860</v>
      </c>
      <c r="C3366">
        <v>2016</v>
      </c>
      <c r="D3366">
        <v>1</v>
      </c>
      <c r="E3366" t="s">
        <v>55</v>
      </c>
      <c r="F3366" t="s">
        <v>128</v>
      </c>
      <c r="G3366" t="s">
        <v>63</v>
      </c>
      <c r="H3366">
        <v>1</v>
      </c>
      <c r="I3366">
        <v>30.863893099999999</v>
      </c>
      <c r="J3366">
        <v>657</v>
      </c>
      <c r="K3366">
        <v>4.2699999999999996</v>
      </c>
      <c r="M3366">
        <v>2.89</v>
      </c>
      <c r="O3366">
        <v>0.25800000000000001</v>
      </c>
      <c r="Q3366">
        <v>1.19</v>
      </c>
      <c r="R3366">
        <v>1.65</v>
      </c>
    </row>
    <row r="3367" spans="1:18" x14ac:dyDescent="0.2">
      <c r="A3367" t="s">
        <v>5861</v>
      </c>
      <c r="B3367" t="s">
        <v>5862</v>
      </c>
      <c r="C3367">
        <v>2016</v>
      </c>
      <c r="D3367">
        <v>1</v>
      </c>
      <c r="E3367" t="s">
        <v>55</v>
      </c>
      <c r="F3367" t="s">
        <v>128</v>
      </c>
      <c r="G3367" t="s">
        <v>63</v>
      </c>
      <c r="H3367">
        <v>1</v>
      </c>
      <c r="I3367">
        <v>8.0921964200000005</v>
      </c>
      <c r="J3367">
        <v>260</v>
      </c>
      <c r="K3367">
        <v>7.76</v>
      </c>
      <c r="M3367">
        <v>1.1399999999999999</v>
      </c>
      <c r="O3367">
        <v>0.10199999999999999</v>
      </c>
      <c r="Q3367">
        <v>0.99</v>
      </c>
      <c r="R3367">
        <v>1.1599999999999999</v>
      </c>
    </row>
    <row r="3368" spans="1:18" x14ac:dyDescent="0.2">
      <c r="A3368" t="s">
        <v>5863</v>
      </c>
      <c r="B3368" t="s">
        <v>5864</v>
      </c>
      <c r="C3368">
        <v>2016</v>
      </c>
      <c r="D3368">
        <v>1</v>
      </c>
      <c r="E3368" t="s">
        <v>55</v>
      </c>
      <c r="F3368" t="s">
        <v>128</v>
      </c>
      <c r="G3368" t="s">
        <v>63</v>
      </c>
      <c r="H3368">
        <v>1</v>
      </c>
      <c r="I3368">
        <v>117.9310878</v>
      </c>
      <c r="J3368">
        <v>1312</v>
      </c>
      <c r="K3368">
        <v>3.72</v>
      </c>
      <c r="M3368">
        <v>10.42</v>
      </c>
      <c r="O3368">
        <v>0.93</v>
      </c>
      <c r="Q3368">
        <v>1.04</v>
      </c>
      <c r="R3368">
        <v>1.06</v>
      </c>
    </row>
    <row r="3369" spans="1:18" x14ac:dyDescent="0.2">
      <c r="A3369" t="s">
        <v>5865</v>
      </c>
      <c r="B3369" t="s">
        <v>5866</v>
      </c>
      <c r="C3369">
        <v>2016</v>
      </c>
      <c r="D3369">
        <v>1</v>
      </c>
      <c r="E3369" t="s">
        <v>55</v>
      </c>
      <c r="F3369" t="s">
        <v>128</v>
      </c>
      <c r="G3369" t="s">
        <v>63</v>
      </c>
      <c r="H3369">
        <v>1</v>
      </c>
      <c r="I3369">
        <v>0.63133234999999999</v>
      </c>
      <c r="J3369">
        <v>321</v>
      </c>
      <c r="K3369">
        <v>1.95</v>
      </c>
      <c r="M3369">
        <v>1.46</v>
      </c>
      <c r="O3369">
        <v>0.13</v>
      </c>
      <c r="Q3369">
        <v>0.76</v>
      </c>
      <c r="R3369">
        <v>0.71</v>
      </c>
    </row>
    <row r="3370" spans="1:18" x14ac:dyDescent="0.2">
      <c r="A3370" t="s">
        <v>5867</v>
      </c>
      <c r="B3370" t="s">
        <v>5868</v>
      </c>
      <c r="C3370">
        <v>2016</v>
      </c>
      <c r="D3370">
        <v>1</v>
      </c>
      <c r="E3370" t="s">
        <v>55</v>
      </c>
      <c r="F3370" t="s">
        <v>128</v>
      </c>
      <c r="G3370" t="s">
        <v>63</v>
      </c>
      <c r="H3370">
        <v>1</v>
      </c>
      <c r="I3370">
        <v>55.639339999999997</v>
      </c>
      <c r="J3370">
        <v>933</v>
      </c>
      <c r="K3370">
        <v>4.37</v>
      </c>
      <c r="M3370">
        <v>3.01</v>
      </c>
      <c r="O3370">
        <v>0.26900000000000002</v>
      </c>
      <c r="Q3370">
        <v>0.99</v>
      </c>
      <c r="R3370">
        <v>0.98</v>
      </c>
    </row>
    <row r="3371" spans="1:18" x14ac:dyDescent="0.2">
      <c r="A3371" t="s">
        <v>5869</v>
      </c>
      <c r="B3371" t="s">
        <v>5870</v>
      </c>
      <c r="C3371">
        <v>2012</v>
      </c>
      <c r="D3371">
        <v>1</v>
      </c>
      <c r="E3371" t="s">
        <v>55</v>
      </c>
      <c r="F3371" t="s">
        <v>128</v>
      </c>
      <c r="G3371" t="s">
        <v>63</v>
      </c>
      <c r="H3371">
        <v>3</v>
      </c>
      <c r="I3371">
        <v>5.9550000000000001</v>
      </c>
      <c r="J3371">
        <v>366</v>
      </c>
      <c r="M3371">
        <v>2.42</v>
      </c>
      <c r="O3371">
        <v>0.216</v>
      </c>
      <c r="R3371">
        <v>0.59</v>
      </c>
    </row>
    <row r="3372" spans="1:18" x14ac:dyDescent="0.2">
      <c r="A3372" t="s">
        <v>5869</v>
      </c>
      <c r="B3372" t="s">
        <v>5871</v>
      </c>
      <c r="C3372">
        <v>2012</v>
      </c>
      <c r="D3372">
        <v>1</v>
      </c>
      <c r="E3372" t="s">
        <v>55</v>
      </c>
      <c r="F3372" t="s">
        <v>128</v>
      </c>
      <c r="G3372" t="s">
        <v>63</v>
      </c>
      <c r="H3372">
        <v>3</v>
      </c>
      <c r="I3372">
        <v>12.04</v>
      </c>
      <c r="J3372">
        <v>366</v>
      </c>
      <c r="M3372">
        <v>2.37</v>
      </c>
      <c r="O3372">
        <v>0.21099999999999999</v>
      </c>
      <c r="R3372">
        <v>0.59</v>
      </c>
    </row>
    <row r="3373" spans="1:18" x14ac:dyDescent="0.2">
      <c r="A3373" t="s">
        <v>5869</v>
      </c>
      <c r="B3373" t="s">
        <v>5872</v>
      </c>
      <c r="C3373">
        <v>2014</v>
      </c>
      <c r="D3373">
        <v>1</v>
      </c>
      <c r="E3373" t="s">
        <v>55</v>
      </c>
      <c r="F3373" t="s">
        <v>128</v>
      </c>
      <c r="G3373" t="s">
        <v>63</v>
      </c>
      <c r="H3373">
        <v>3</v>
      </c>
      <c r="I3373">
        <v>20.837845999999999</v>
      </c>
      <c r="J3373">
        <v>366</v>
      </c>
      <c r="M3373">
        <v>1.21</v>
      </c>
      <c r="O3373">
        <v>0.108</v>
      </c>
      <c r="R3373">
        <v>0.59</v>
      </c>
    </row>
    <row r="3374" spans="1:18" x14ac:dyDescent="0.2">
      <c r="A3374" t="s">
        <v>5873</v>
      </c>
      <c r="B3374" t="s">
        <v>5874</v>
      </c>
      <c r="C3374">
        <v>2016</v>
      </c>
      <c r="D3374">
        <v>1</v>
      </c>
      <c r="E3374" t="s">
        <v>55</v>
      </c>
      <c r="F3374" t="s">
        <v>128</v>
      </c>
      <c r="G3374" t="s">
        <v>63</v>
      </c>
      <c r="H3374">
        <v>1</v>
      </c>
      <c r="I3374">
        <v>4.5972538500000004</v>
      </c>
      <c r="J3374">
        <v>1554</v>
      </c>
      <c r="K3374">
        <v>4.17</v>
      </c>
      <c r="M3374">
        <v>1.93</v>
      </c>
      <c r="O3374">
        <v>0.17199999999999999</v>
      </c>
      <c r="Q3374">
        <v>1.03</v>
      </c>
      <c r="R3374">
        <v>1.04</v>
      </c>
    </row>
    <row r="3375" spans="1:18" x14ac:dyDescent="0.2">
      <c r="A3375" t="s">
        <v>5875</v>
      </c>
      <c r="B3375" t="s">
        <v>5876</v>
      </c>
      <c r="C3375">
        <v>2016</v>
      </c>
      <c r="D3375">
        <v>1</v>
      </c>
      <c r="E3375" t="s">
        <v>55</v>
      </c>
      <c r="F3375" t="s">
        <v>128</v>
      </c>
      <c r="G3375" t="s">
        <v>63</v>
      </c>
      <c r="H3375">
        <v>1</v>
      </c>
      <c r="I3375">
        <v>23.584476970000001</v>
      </c>
      <c r="J3375">
        <v>847</v>
      </c>
      <c r="K3375">
        <v>7.94</v>
      </c>
      <c r="M3375">
        <v>2.7</v>
      </c>
      <c r="O3375">
        <v>0.24099999999999999</v>
      </c>
      <c r="Q3375">
        <v>1.01</v>
      </c>
      <c r="R3375">
        <v>1.24</v>
      </c>
    </row>
    <row r="3376" spans="1:18" x14ac:dyDescent="0.2">
      <c r="A3376" t="s">
        <v>5877</v>
      </c>
      <c r="B3376" t="s">
        <v>5878</v>
      </c>
      <c r="C3376">
        <v>2016</v>
      </c>
      <c r="D3376">
        <v>1</v>
      </c>
      <c r="E3376" t="s">
        <v>55</v>
      </c>
      <c r="F3376" t="s">
        <v>128</v>
      </c>
      <c r="G3376" t="s">
        <v>63</v>
      </c>
      <c r="H3376">
        <v>1</v>
      </c>
      <c r="I3376">
        <v>10.117165310000001</v>
      </c>
      <c r="J3376">
        <v>1482</v>
      </c>
      <c r="K3376">
        <v>1.66</v>
      </c>
      <c r="M3376">
        <v>3.55</v>
      </c>
      <c r="O3376">
        <v>0.317</v>
      </c>
      <c r="Q3376">
        <v>1.45</v>
      </c>
      <c r="R3376">
        <v>1.71</v>
      </c>
    </row>
    <row r="3377" spans="1:18" x14ac:dyDescent="0.2">
      <c r="A3377" t="s">
        <v>5879</v>
      </c>
      <c r="B3377" t="s">
        <v>5880</v>
      </c>
      <c r="C3377">
        <v>2016</v>
      </c>
      <c r="D3377">
        <v>1</v>
      </c>
      <c r="E3377" t="s">
        <v>55</v>
      </c>
      <c r="F3377" t="s">
        <v>128</v>
      </c>
      <c r="G3377" t="s">
        <v>63</v>
      </c>
      <c r="H3377">
        <v>1</v>
      </c>
      <c r="I3377">
        <v>19.129473369999999</v>
      </c>
      <c r="J3377">
        <v>840</v>
      </c>
      <c r="K3377">
        <v>3.98</v>
      </c>
      <c r="M3377">
        <v>2.14</v>
      </c>
      <c r="O3377">
        <v>0.191</v>
      </c>
      <c r="Q3377">
        <v>0.95</v>
      </c>
      <c r="R3377">
        <v>0.93</v>
      </c>
    </row>
    <row r="3378" spans="1:18" x14ac:dyDescent="0.2">
      <c r="A3378" t="s">
        <v>5881</v>
      </c>
      <c r="B3378" t="s">
        <v>5882</v>
      </c>
      <c r="C3378">
        <v>2016</v>
      </c>
      <c r="D3378">
        <v>1</v>
      </c>
      <c r="E3378" t="s">
        <v>55</v>
      </c>
      <c r="F3378" t="s">
        <v>128</v>
      </c>
      <c r="G3378" t="s">
        <v>63</v>
      </c>
      <c r="H3378">
        <v>1</v>
      </c>
      <c r="I3378">
        <v>6.1469851000000002</v>
      </c>
      <c r="J3378">
        <v>1327</v>
      </c>
      <c r="K3378">
        <v>3.02</v>
      </c>
      <c r="M3378">
        <v>2.12</v>
      </c>
      <c r="O3378">
        <v>0.189</v>
      </c>
      <c r="Q3378">
        <v>1.1499999999999999</v>
      </c>
      <c r="R3378">
        <v>1.22</v>
      </c>
    </row>
    <row r="3379" spans="1:18" x14ac:dyDescent="0.2">
      <c r="A3379" t="s">
        <v>5883</v>
      </c>
      <c r="B3379" t="s">
        <v>5884</v>
      </c>
      <c r="C3379">
        <v>2016</v>
      </c>
      <c r="D3379">
        <v>1</v>
      </c>
      <c r="E3379" t="s">
        <v>55</v>
      </c>
      <c r="F3379" t="s">
        <v>128</v>
      </c>
      <c r="G3379" t="s">
        <v>63</v>
      </c>
      <c r="H3379">
        <v>1</v>
      </c>
      <c r="I3379">
        <v>8.5750355200000001</v>
      </c>
      <c r="J3379">
        <v>1199</v>
      </c>
      <c r="K3379">
        <v>4.9000000000000004</v>
      </c>
      <c r="M3379">
        <v>4.1100000000000003</v>
      </c>
      <c r="O3379">
        <v>0.36699999999999999</v>
      </c>
      <c r="Q3379">
        <v>1.25</v>
      </c>
      <c r="R3379">
        <v>3.42</v>
      </c>
    </row>
    <row r="3380" spans="1:18" x14ac:dyDescent="0.2">
      <c r="A3380" t="s">
        <v>5885</v>
      </c>
      <c r="B3380" t="s">
        <v>5886</v>
      </c>
      <c r="C3380">
        <v>2016</v>
      </c>
      <c r="D3380">
        <v>1</v>
      </c>
      <c r="E3380" t="s">
        <v>55</v>
      </c>
      <c r="F3380" t="s">
        <v>128</v>
      </c>
      <c r="G3380" t="s">
        <v>63</v>
      </c>
      <c r="H3380">
        <v>1</v>
      </c>
      <c r="I3380">
        <v>10.50682565</v>
      </c>
      <c r="J3380">
        <v>1059</v>
      </c>
      <c r="K3380">
        <v>4.17</v>
      </c>
      <c r="M3380">
        <v>10.24</v>
      </c>
      <c r="O3380">
        <v>0.91400000000000003</v>
      </c>
      <c r="Q3380">
        <v>0.9</v>
      </c>
      <c r="R3380">
        <v>0.85</v>
      </c>
    </row>
    <row r="3381" spans="1:18" x14ac:dyDescent="0.2">
      <c r="A3381" t="s">
        <v>5887</v>
      </c>
      <c r="B3381" t="s">
        <v>5888</v>
      </c>
      <c r="C3381">
        <v>2016</v>
      </c>
      <c r="D3381">
        <v>1</v>
      </c>
      <c r="E3381" t="s">
        <v>55</v>
      </c>
      <c r="F3381" t="s">
        <v>128</v>
      </c>
      <c r="G3381" t="s">
        <v>63</v>
      </c>
      <c r="H3381">
        <v>1</v>
      </c>
      <c r="I3381">
        <v>3.9901062299999999</v>
      </c>
      <c r="J3381">
        <v>1401</v>
      </c>
      <c r="K3381">
        <v>3.55</v>
      </c>
      <c r="M3381">
        <v>9.0299999999999994</v>
      </c>
      <c r="O3381">
        <v>0.80600000000000005</v>
      </c>
      <c r="Q3381">
        <v>1.03</v>
      </c>
      <c r="R3381">
        <v>1.03</v>
      </c>
    </row>
    <row r="3382" spans="1:18" x14ac:dyDescent="0.2">
      <c r="A3382" t="s">
        <v>5889</v>
      </c>
      <c r="B3382" t="s">
        <v>5890</v>
      </c>
      <c r="C3382">
        <v>2016</v>
      </c>
      <c r="D3382">
        <v>1</v>
      </c>
      <c r="E3382" t="s">
        <v>55</v>
      </c>
      <c r="F3382" t="s">
        <v>128</v>
      </c>
      <c r="G3382" t="s">
        <v>63</v>
      </c>
      <c r="H3382">
        <v>1</v>
      </c>
      <c r="I3382">
        <v>10.035385809999999</v>
      </c>
      <c r="J3382">
        <v>967</v>
      </c>
      <c r="K3382">
        <v>3.98</v>
      </c>
      <c r="M3382">
        <v>5.1100000000000003</v>
      </c>
      <c r="O3382">
        <v>0.45600000000000002</v>
      </c>
      <c r="Q3382">
        <v>0.94</v>
      </c>
      <c r="R3382">
        <v>0.92</v>
      </c>
    </row>
    <row r="3383" spans="1:18" x14ac:dyDescent="0.2">
      <c r="A3383" t="s">
        <v>5891</v>
      </c>
      <c r="B3383" t="s">
        <v>5892</v>
      </c>
      <c r="C3383">
        <v>2016</v>
      </c>
      <c r="D3383">
        <v>1</v>
      </c>
      <c r="E3383" t="s">
        <v>55</v>
      </c>
      <c r="F3383" t="s">
        <v>128</v>
      </c>
      <c r="G3383" t="s">
        <v>63</v>
      </c>
      <c r="H3383">
        <v>1</v>
      </c>
      <c r="I3383">
        <v>33.199564799999997</v>
      </c>
      <c r="J3383">
        <v>722</v>
      </c>
      <c r="K3383">
        <v>4.47</v>
      </c>
      <c r="M3383">
        <v>2.76</v>
      </c>
      <c r="O3383">
        <v>0.246</v>
      </c>
      <c r="Q3383">
        <v>0.86</v>
      </c>
      <c r="R3383">
        <v>0.81</v>
      </c>
    </row>
    <row r="3384" spans="1:18" x14ac:dyDescent="0.2">
      <c r="A3384" t="s">
        <v>5893</v>
      </c>
      <c r="B3384" t="s">
        <v>5894</v>
      </c>
      <c r="C3384">
        <v>2012</v>
      </c>
      <c r="D3384">
        <v>1</v>
      </c>
      <c r="E3384" t="s">
        <v>55</v>
      </c>
      <c r="F3384" t="s">
        <v>128</v>
      </c>
      <c r="G3384" t="s">
        <v>63</v>
      </c>
      <c r="H3384">
        <v>4</v>
      </c>
      <c r="I3384">
        <v>26.443999999999999</v>
      </c>
      <c r="J3384">
        <v>987</v>
      </c>
      <c r="M3384">
        <v>4</v>
      </c>
      <c r="O3384">
        <v>0.35699999999999998</v>
      </c>
      <c r="R3384">
        <v>0.94</v>
      </c>
    </row>
    <row r="3385" spans="1:18" x14ac:dyDescent="0.2">
      <c r="A3385" t="s">
        <v>5893</v>
      </c>
      <c r="B3385" t="s">
        <v>5895</v>
      </c>
      <c r="C3385">
        <v>2012</v>
      </c>
      <c r="D3385">
        <v>1</v>
      </c>
      <c r="E3385" t="s">
        <v>55</v>
      </c>
      <c r="F3385" t="s">
        <v>128</v>
      </c>
      <c r="G3385" t="s">
        <v>63</v>
      </c>
      <c r="H3385">
        <v>4</v>
      </c>
      <c r="I3385">
        <v>51.537999999999997</v>
      </c>
      <c r="J3385">
        <v>987</v>
      </c>
      <c r="M3385">
        <v>5.35</v>
      </c>
      <c r="O3385">
        <v>0.47699999999999998</v>
      </c>
      <c r="R3385">
        <v>0.94</v>
      </c>
    </row>
    <row r="3386" spans="1:18" x14ac:dyDescent="0.2">
      <c r="A3386" t="s">
        <v>5893</v>
      </c>
      <c r="B3386" t="s">
        <v>5896</v>
      </c>
      <c r="C3386">
        <v>2014</v>
      </c>
      <c r="D3386">
        <v>1</v>
      </c>
      <c r="E3386" t="s">
        <v>55</v>
      </c>
      <c r="F3386" t="s">
        <v>128</v>
      </c>
      <c r="G3386" t="s">
        <v>63</v>
      </c>
      <c r="H3386">
        <v>4</v>
      </c>
      <c r="I3386">
        <v>2.3829609999999999</v>
      </c>
      <c r="J3386">
        <v>987</v>
      </c>
      <c r="M3386">
        <v>1.77</v>
      </c>
      <c r="O3386">
        <v>0.158</v>
      </c>
      <c r="R3386">
        <v>0.94</v>
      </c>
    </row>
    <row r="3387" spans="1:18" x14ac:dyDescent="0.2">
      <c r="A3387" t="s">
        <v>5893</v>
      </c>
      <c r="B3387" t="s">
        <v>5897</v>
      </c>
      <c r="C3387">
        <v>2014</v>
      </c>
      <c r="D3387">
        <v>1</v>
      </c>
      <c r="E3387" t="s">
        <v>55</v>
      </c>
      <c r="F3387" t="s">
        <v>128</v>
      </c>
      <c r="G3387" t="s">
        <v>63</v>
      </c>
      <c r="H3387">
        <v>4</v>
      </c>
      <c r="I3387">
        <v>5.9022059999999996</v>
      </c>
      <c r="J3387">
        <v>987</v>
      </c>
      <c r="M3387">
        <v>2.4700000000000002</v>
      </c>
      <c r="O3387">
        <v>0.22</v>
      </c>
      <c r="R3387">
        <v>0.94</v>
      </c>
    </row>
    <row r="3388" spans="1:18" x14ac:dyDescent="0.2">
      <c r="A3388" t="s">
        <v>5898</v>
      </c>
      <c r="B3388" t="s">
        <v>5899</v>
      </c>
      <c r="C3388">
        <v>2016</v>
      </c>
      <c r="D3388">
        <v>1</v>
      </c>
      <c r="E3388" t="s">
        <v>55</v>
      </c>
      <c r="F3388" t="s">
        <v>128</v>
      </c>
      <c r="G3388" t="s">
        <v>63</v>
      </c>
      <c r="H3388">
        <v>1</v>
      </c>
      <c r="I3388">
        <v>127.8338098</v>
      </c>
      <c r="J3388">
        <v>989</v>
      </c>
      <c r="K3388">
        <v>2.63</v>
      </c>
      <c r="M3388">
        <v>6.09</v>
      </c>
      <c r="O3388">
        <v>0.54300000000000004</v>
      </c>
      <c r="Q3388">
        <v>1.23</v>
      </c>
      <c r="R3388">
        <v>1.36</v>
      </c>
    </row>
    <row r="3389" spans="1:18" x14ac:dyDescent="0.2">
      <c r="A3389" t="s">
        <v>5900</v>
      </c>
      <c r="B3389" t="s">
        <v>5901</v>
      </c>
      <c r="C3389">
        <v>2016</v>
      </c>
      <c r="D3389">
        <v>1</v>
      </c>
      <c r="E3389" t="s">
        <v>55</v>
      </c>
      <c r="F3389" t="s">
        <v>128</v>
      </c>
      <c r="G3389" t="s">
        <v>63</v>
      </c>
      <c r="H3389">
        <v>1</v>
      </c>
      <c r="I3389">
        <v>1.92279873</v>
      </c>
      <c r="J3389">
        <v>619</v>
      </c>
      <c r="K3389">
        <v>4.79</v>
      </c>
      <c r="M3389">
        <v>1.31</v>
      </c>
      <c r="O3389">
        <v>0.11700000000000001</v>
      </c>
      <c r="Q3389">
        <v>0.84</v>
      </c>
      <c r="R3389">
        <v>0.8</v>
      </c>
    </row>
    <row r="3390" spans="1:18" x14ac:dyDescent="0.2">
      <c r="A3390" t="s">
        <v>5902</v>
      </c>
      <c r="B3390" t="s">
        <v>5903</v>
      </c>
      <c r="C3390">
        <v>2016</v>
      </c>
      <c r="D3390">
        <v>1</v>
      </c>
      <c r="E3390" t="s">
        <v>55</v>
      </c>
      <c r="F3390" t="s">
        <v>128</v>
      </c>
      <c r="G3390" t="s">
        <v>63</v>
      </c>
      <c r="H3390">
        <v>1</v>
      </c>
      <c r="I3390">
        <v>3.2229692700000001</v>
      </c>
      <c r="J3390">
        <v>956</v>
      </c>
      <c r="K3390">
        <v>3.55</v>
      </c>
      <c r="M3390">
        <v>1.77</v>
      </c>
      <c r="O3390">
        <v>0.158</v>
      </c>
      <c r="Q3390">
        <v>1.06</v>
      </c>
      <c r="R3390">
        <v>1.08</v>
      </c>
    </row>
    <row r="3391" spans="1:18" x14ac:dyDescent="0.2">
      <c r="A3391" t="s">
        <v>5904</v>
      </c>
      <c r="B3391" t="s">
        <v>5905</v>
      </c>
      <c r="C3391">
        <v>2016</v>
      </c>
      <c r="D3391">
        <v>1</v>
      </c>
      <c r="E3391" t="s">
        <v>55</v>
      </c>
      <c r="F3391" t="s">
        <v>128</v>
      </c>
      <c r="G3391" t="s">
        <v>63</v>
      </c>
      <c r="H3391">
        <v>1</v>
      </c>
      <c r="I3391">
        <v>4.1680908199999998</v>
      </c>
      <c r="J3391">
        <v>896</v>
      </c>
      <c r="K3391">
        <v>4.47</v>
      </c>
      <c r="M3391">
        <v>1.57</v>
      </c>
      <c r="O3391">
        <v>0.14000000000000001</v>
      </c>
      <c r="Q3391">
        <v>0.98</v>
      </c>
      <c r="R3391">
        <v>0.96</v>
      </c>
    </row>
    <row r="3392" spans="1:18" x14ac:dyDescent="0.2">
      <c r="A3392" t="s">
        <v>5906</v>
      </c>
      <c r="B3392" t="s">
        <v>5907</v>
      </c>
      <c r="C3392">
        <v>2016</v>
      </c>
      <c r="D3392">
        <v>1</v>
      </c>
      <c r="E3392" t="s">
        <v>55</v>
      </c>
      <c r="F3392" t="s">
        <v>128</v>
      </c>
      <c r="G3392" t="s">
        <v>63</v>
      </c>
      <c r="H3392">
        <v>1</v>
      </c>
      <c r="I3392">
        <v>4.5143663299999996</v>
      </c>
      <c r="J3392">
        <v>1352</v>
      </c>
      <c r="K3392">
        <v>3.31</v>
      </c>
      <c r="M3392">
        <v>1.87</v>
      </c>
      <c r="O3392">
        <v>0.16700000000000001</v>
      </c>
      <c r="Q3392">
        <v>1.1499999999999999</v>
      </c>
      <c r="R3392">
        <v>1.22</v>
      </c>
    </row>
    <row r="3393" spans="1:18" x14ac:dyDescent="0.2">
      <c r="A3393" t="s">
        <v>5908</v>
      </c>
      <c r="B3393" t="s">
        <v>5909</v>
      </c>
      <c r="C3393">
        <v>2016</v>
      </c>
      <c r="D3393">
        <v>1</v>
      </c>
      <c r="E3393" t="s">
        <v>55</v>
      </c>
      <c r="F3393" t="s">
        <v>128</v>
      </c>
      <c r="G3393" t="s">
        <v>63</v>
      </c>
      <c r="H3393">
        <v>2</v>
      </c>
      <c r="I3393">
        <v>3.77360059</v>
      </c>
      <c r="J3393">
        <v>820</v>
      </c>
      <c r="K3393">
        <v>3.55</v>
      </c>
      <c r="M3393">
        <v>1.53</v>
      </c>
      <c r="O3393">
        <v>0.13600000000000001</v>
      </c>
      <c r="Q3393">
        <v>1.03</v>
      </c>
      <c r="R3393">
        <v>1.08</v>
      </c>
    </row>
    <row r="3394" spans="1:18" x14ac:dyDescent="0.2">
      <c r="A3394" t="s">
        <v>5908</v>
      </c>
      <c r="B3394" t="s">
        <v>5910</v>
      </c>
      <c r="C3394">
        <v>2016</v>
      </c>
      <c r="D3394">
        <v>1</v>
      </c>
      <c r="E3394" t="s">
        <v>55</v>
      </c>
      <c r="F3394" t="s">
        <v>128</v>
      </c>
      <c r="G3394" t="s">
        <v>63</v>
      </c>
      <c r="H3394">
        <v>2</v>
      </c>
      <c r="I3394">
        <v>8.1818246000000006</v>
      </c>
      <c r="J3394">
        <v>820</v>
      </c>
      <c r="K3394">
        <v>3.55</v>
      </c>
      <c r="M3394">
        <v>1.84</v>
      </c>
      <c r="O3394">
        <v>0.16400000000000001</v>
      </c>
      <c r="Q3394">
        <v>1.03</v>
      </c>
      <c r="R3394">
        <v>1.08</v>
      </c>
    </row>
    <row r="3395" spans="1:18" x14ac:dyDescent="0.2">
      <c r="A3395" t="s">
        <v>5911</v>
      </c>
      <c r="B3395" t="s">
        <v>5912</v>
      </c>
      <c r="C3395">
        <v>2016</v>
      </c>
      <c r="D3395">
        <v>1</v>
      </c>
      <c r="E3395" t="s">
        <v>55</v>
      </c>
      <c r="F3395" t="s">
        <v>128</v>
      </c>
      <c r="G3395" t="s">
        <v>63</v>
      </c>
      <c r="H3395">
        <v>1</v>
      </c>
      <c r="I3395">
        <v>4.4875890700000003</v>
      </c>
      <c r="J3395">
        <v>649</v>
      </c>
      <c r="K3395">
        <v>4.37</v>
      </c>
      <c r="M3395">
        <v>1.25</v>
      </c>
      <c r="O3395">
        <v>0.112</v>
      </c>
      <c r="Q3395">
        <v>1.05</v>
      </c>
      <c r="R3395">
        <v>1.1499999999999999</v>
      </c>
    </row>
    <row r="3396" spans="1:18" x14ac:dyDescent="0.2">
      <c r="A3396" t="s">
        <v>5913</v>
      </c>
      <c r="B3396" t="s">
        <v>5914</v>
      </c>
      <c r="C3396">
        <v>2016</v>
      </c>
      <c r="D3396">
        <v>1</v>
      </c>
      <c r="E3396" t="s">
        <v>55</v>
      </c>
      <c r="F3396" t="s">
        <v>128</v>
      </c>
      <c r="G3396" t="s">
        <v>63</v>
      </c>
      <c r="H3396">
        <v>1</v>
      </c>
      <c r="I3396">
        <v>51.929275910000001</v>
      </c>
      <c r="J3396">
        <v>1352</v>
      </c>
      <c r="K3396">
        <v>4.37</v>
      </c>
      <c r="M3396">
        <v>5.63</v>
      </c>
      <c r="O3396">
        <v>0.502</v>
      </c>
      <c r="Q3396">
        <v>0.93</v>
      </c>
      <c r="R3396">
        <v>0.91</v>
      </c>
    </row>
    <row r="3397" spans="1:18" x14ac:dyDescent="0.2">
      <c r="A3397" t="s">
        <v>5915</v>
      </c>
      <c r="B3397" t="s">
        <v>5916</v>
      </c>
      <c r="C3397">
        <v>2016</v>
      </c>
      <c r="D3397">
        <v>1</v>
      </c>
      <c r="E3397" t="s">
        <v>55</v>
      </c>
      <c r="F3397" t="s">
        <v>128</v>
      </c>
      <c r="G3397" t="s">
        <v>63</v>
      </c>
      <c r="H3397">
        <v>1</v>
      </c>
      <c r="I3397">
        <v>0.56785713999999998</v>
      </c>
      <c r="J3397">
        <v>625</v>
      </c>
      <c r="K3397">
        <v>4.57</v>
      </c>
      <c r="M3397">
        <v>1.51</v>
      </c>
      <c r="O3397">
        <v>0.13500000000000001</v>
      </c>
      <c r="Q3397">
        <v>0.81</v>
      </c>
      <c r="R3397">
        <v>0.77</v>
      </c>
    </row>
    <row r="3398" spans="1:18" x14ac:dyDescent="0.2">
      <c r="A3398" t="s">
        <v>5917</v>
      </c>
      <c r="B3398" t="s">
        <v>5918</v>
      </c>
      <c r="C3398">
        <v>2016</v>
      </c>
      <c r="D3398">
        <v>1</v>
      </c>
      <c r="E3398" t="s">
        <v>55</v>
      </c>
      <c r="F3398" t="s">
        <v>128</v>
      </c>
      <c r="G3398" t="s">
        <v>63</v>
      </c>
      <c r="H3398">
        <v>1</v>
      </c>
      <c r="I3398">
        <v>6.8833756199999998</v>
      </c>
      <c r="J3398">
        <v>954</v>
      </c>
      <c r="K3398">
        <v>4.68</v>
      </c>
      <c r="M3398">
        <v>2.11</v>
      </c>
      <c r="O3398">
        <v>0.188</v>
      </c>
      <c r="Q3398">
        <v>0.98</v>
      </c>
      <c r="R3398">
        <v>0.97</v>
      </c>
    </row>
    <row r="3399" spans="1:18" x14ac:dyDescent="0.2">
      <c r="A3399" t="s">
        <v>5919</v>
      </c>
      <c r="B3399" t="s">
        <v>5920</v>
      </c>
      <c r="C3399">
        <v>2012</v>
      </c>
      <c r="D3399">
        <v>1</v>
      </c>
      <c r="E3399" t="s">
        <v>55</v>
      </c>
      <c r="F3399" t="s">
        <v>128</v>
      </c>
      <c r="G3399" t="s">
        <v>63</v>
      </c>
      <c r="H3399">
        <v>3</v>
      </c>
      <c r="I3399">
        <v>9.77</v>
      </c>
      <c r="J3399">
        <v>365</v>
      </c>
      <c r="M3399">
        <v>2.83</v>
      </c>
      <c r="O3399">
        <v>0.252</v>
      </c>
      <c r="R3399">
        <v>0.59</v>
      </c>
    </row>
    <row r="3400" spans="1:18" x14ac:dyDescent="0.2">
      <c r="A3400" t="s">
        <v>5919</v>
      </c>
      <c r="B3400" t="s">
        <v>5921</v>
      </c>
      <c r="C3400">
        <v>2012</v>
      </c>
      <c r="D3400">
        <v>1</v>
      </c>
      <c r="E3400" t="s">
        <v>55</v>
      </c>
      <c r="F3400" t="s">
        <v>128</v>
      </c>
      <c r="G3400" t="s">
        <v>63</v>
      </c>
      <c r="H3400">
        <v>3</v>
      </c>
      <c r="I3400">
        <v>20.09</v>
      </c>
      <c r="J3400">
        <v>365</v>
      </c>
      <c r="M3400">
        <v>2.36</v>
      </c>
      <c r="O3400">
        <v>0.21099999999999999</v>
      </c>
      <c r="R3400">
        <v>0.59</v>
      </c>
    </row>
    <row r="3401" spans="1:18" x14ac:dyDescent="0.2">
      <c r="A3401" t="s">
        <v>5919</v>
      </c>
      <c r="B3401" t="s">
        <v>5922</v>
      </c>
      <c r="C3401">
        <v>2014</v>
      </c>
      <c r="D3401">
        <v>1</v>
      </c>
      <c r="E3401" t="s">
        <v>55</v>
      </c>
      <c r="F3401" t="s">
        <v>128</v>
      </c>
      <c r="G3401" t="s">
        <v>63</v>
      </c>
      <c r="H3401">
        <v>3</v>
      </c>
      <c r="I3401">
        <v>5.1697959999999998</v>
      </c>
      <c r="J3401">
        <v>365</v>
      </c>
      <c r="M3401">
        <v>1.94</v>
      </c>
      <c r="O3401">
        <v>0.17299999999999999</v>
      </c>
      <c r="R3401">
        <v>0.59</v>
      </c>
    </row>
    <row r="3402" spans="1:18" x14ac:dyDescent="0.2">
      <c r="A3402" t="s">
        <v>5923</v>
      </c>
      <c r="B3402" t="s">
        <v>5924</v>
      </c>
      <c r="C3402">
        <v>2016</v>
      </c>
      <c r="D3402">
        <v>1</v>
      </c>
      <c r="E3402" t="s">
        <v>55</v>
      </c>
      <c r="F3402" t="s">
        <v>128</v>
      </c>
      <c r="G3402" t="s">
        <v>63</v>
      </c>
      <c r="H3402">
        <v>1</v>
      </c>
      <c r="I3402">
        <v>11.29695137</v>
      </c>
      <c r="J3402">
        <v>1122</v>
      </c>
      <c r="K3402">
        <v>3.47</v>
      </c>
      <c r="M3402">
        <v>1.7</v>
      </c>
      <c r="O3402">
        <v>0.152</v>
      </c>
      <c r="Q3402">
        <v>1.07</v>
      </c>
      <c r="R3402">
        <v>1.1100000000000001</v>
      </c>
    </row>
    <row r="3403" spans="1:18" x14ac:dyDescent="0.2">
      <c r="A3403" t="s">
        <v>5925</v>
      </c>
      <c r="B3403" t="s">
        <v>5926</v>
      </c>
      <c r="C3403">
        <v>2016</v>
      </c>
      <c r="D3403">
        <v>1</v>
      </c>
      <c r="E3403" t="s">
        <v>55</v>
      </c>
      <c r="F3403" t="s">
        <v>128</v>
      </c>
      <c r="G3403" t="s">
        <v>63</v>
      </c>
      <c r="H3403">
        <v>1</v>
      </c>
      <c r="I3403">
        <v>5.6215394099999996</v>
      </c>
      <c r="J3403">
        <v>577</v>
      </c>
      <c r="K3403">
        <v>4.17</v>
      </c>
      <c r="M3403">
        <v>1.27</v>
      </c>
      <c r="O3403">
        <v>0.113</v>
      </c>
      <c r="Q3403">
        <v>0.99</v>
      </c>
      <c r="R3403">
        <v>0.97</v>
      </c>
    </row>
    <row r="3404" spans="1:18" x14ac:dyDescent="0.2">
      <c r="A3404" t="s">
        <v>5927</v>
      </c>
      <c r="B3404" t="s">
        <v>5928</v>
      </c>
      <c r="C3404">
        <v>2016</v>
      </c>
      <c r="D3404">
        <v>1</v>
      </c>
      <c r="E3404" t="s">
        <v>55</v>
      </c>
      <c r="F3404" t="s">
        <v>128</v>
      </c>
      <c r="G3404" t="s">
        <v>63</v>
      </c>
      <c r="H3404">
        <v>1</v>
      </c>
      <c r="I3404">
        <v>7.1396940999999998</v>
      </c>
      <c r="J3404">
        <v>1346</v>
      </c>
      <c r="K3404">
        <v>4.37</v>
      </c>
      <c r="M3404">
        <v>2.06</v>
      </c>
      <c r="O3404">
        <v>0.184</v>
      </c>
      <c r="Q3404">
        <v>0.92</v>
      </c>
      <c r="R3404">
        <v>0.9</v>
      </c>
    </row>
    <row r="3405" spans="1:18" x14ac:dyDescent="0.2">
      <c r="A3405" t="s">
        <v>5929</v>
      </c>
      <c r="B3405" t="s">
        <v>5930</v>
      </c>
      <c r="C3405">
        <v>2016</v>
      </c>
      <c r="D3405">
        <v>1</v>
      </c>
      <c r="E3405" t="s">
        <v>55</v>
      </c>
      <c r="F3405" t="s">
        <v>128</v>
      </c>
      <c r="G3405" t="s">
        <v>63</v>
      </c>
      <c r="H3405">
        <v>1</v>
      </c>
      <c r="I3405">
        <v>18.754699800000001</v>
      </c>
      <c r="J3405">
        <v>421</v>
      </c>
      <c r="K3405">
        <v>3.72</v>
      </c>
      <c r="M3405">
        <v>2.02</v>
      </c>
      <c r="O3405">
        <v>0.18</v>
      </c>
      <c r="Q3405">
        <v>0.64</v>
      </c>
      <c r="R3405">
        <v>0.62</v>
      </c>
    </row>
    <row r="3406" spans="1:18" x14ac:dyDescent="0.2">
      <c r="A3406" t="s">
        <v>5931</v>
      </c>
      <c r="B3406" t="s">
        <v>5932</v>
      </c>
      <c r="C3406">
        <v>2016</v>
      </c>
      <c r="D3406">
        <v>1</v>
      </c>
      <c r="E3406" t="s">
        <v>55</v>
      </c>
      <c r="F3406" t="s">
        <v>128</v>
      </c>
      <c r="G3406" t="s">
        <v>63</v>
      </c>
      <c r="H3406">
        <v>1</v>
      </c>
      <c r="I3406">
        <v>13.323883009999999</v>
      </c>
      <c r="J3406">
        <v>620</v>
      </c>
      <c r="K3406">
        <v>2.69</v>
      </c>
      <c r="M3406">
        <v>2.02</v>
      </c>
      <c r="O3406">
        <v>0.18</v>
      </c>
      <c r="Q3406">
        <v>0.7</v>
      </c>
      <c r="R3406">
        <v>0.66</v>
      </c>
    </row>
    <row r="3407" spans="1:18" x14ac:dyDescent="0.2">
      <c r="A3407" t="s">
        <v>5933</v>
      </c>
      <c r="B3407" t="s">
        <v>5934</v>
      </c>
      <c r="C3407">
        <v>2016</v>
      </c>
      <c r="D3407">
        <v>1</v>
      </c>
      <c r="E3407" t="s">
        <v>55</v>
      </c>
      <c r="F3407" t="s">
        <v>128</v>
      </c>
      <c r="G3407" t="s">
        <v>63</v>
      </c>
      <c r="H3407">
        <v>1</v>
      </c>
      <c r="I3407">
        <v>11.41909375</v>
      </c>
      <c r="J3407">
        <v>2011</v>
      </c>
      <c r="K3407">
        <v>3.63</v>
      </c>
      <c r="M3407">
        <v>2.79</v>
      </c>
      <c r="O3407">
        <v>0.249</v>
      </c>
      <c r="Q3407">
        <v>1.08</v>
      </c>
      <c r="R3407">
        <v>1.1100000000000001</v>
      </c>
    </row>
    <row r="3408" spans="1:18" x14ac:dyDescent="0.2">
      <c r="A3408" t="s">
        <v>5935</v>
      </c>
      <c r="B3408" t="s">
        <v>5936</v>
      </c>
      <c r="C3408">
        <v>2016</v>
      </c>
      <c r="D3408">
        <v>1</v>
      </c>
      <c r="E3408" t="s">
        <v>55</v>
      </c>
      <c r="F3408" t="s">
        <v>128</v>
      </c>
      <c r="G3408" t="s">
        <v>63</v>
      </c>
      <c r="H3408">
        <v>1</v>
      </c>
      <c r="I3408">
        <v>11.36112327</v>
      </c>
      <c r="J3408">
        <v>1003</v>
      </c>
      <c r="K3408">
        <v>4.2699999999999996</v>
      </c>
      <c r="M3408">
        <v>2.73</v>
      </c>
      <c r="O3408">
        <v>0.24399999999999999</v>
      </c>
      <c r="Q3408">
        <v>1.03</v>
      </c>
      <c r="R3408">
        <v>1.04</v>
      </c>
    </row>
    <row r="3409" spans="1:18" x14ac:dyDescent="0.2">
      <c r="A3409" t="s">
        <v>5937</v>
      </c>
      <c r="B3409" t="s">
        <v>5938</v>
      </c>
      <c r="C3409">
        <v>2016</v>
      </c>
      <c r="D3409">
        <v>1</v>
      </c>
      <c r="E3409" t="s">
        <v>55</v>
      </c>
      <c r="F3409" t="s">
        <v>128</v>
      </c>
      <c r="G3409" t="s">
        <v>63</v>
      </c>
      <c r="H3409">
        <v>1</v>
      </c>
      <c r="I3409">
        <v>16.560595039999999</v>
      </c>
      <c r="J3409">
        <v>846</v>
      </c>
      <c r="K3409">
        <v>3.98</v>
      </c>
      <c r="M3409">
        <v>2.56</v>
      </c>
      <c r="O3409">
        <v>0.22800000000000001</v>
      </c>
      <c r="Q3409">
        <v>0.85</v>
      </c>
      <c r="R3409">
        <v>0.81</v>
      </c>
    </row>
    <row r="3410" spans="1:18" x14ac:dyDescent="0.2">
      <c r="A3410" t="s">
        <v>5939</v>
      </c>
      <c r="B3410" t="s">
        <v>5940</v>
      </c>
      <c r="C3410">
        <v>2016</v>
      </c>
      <c r="D3410">
        <v>1</v>
      </c>
      <c r="E3410" t="s">
        <v>55</v>
      </c>
      <c r="F3410" t="s">
        <v>128</v>
      </c>
      <c r="G3410" t="s">
        <v>63</v>
      </c>
      <c r="H3410">
        <v>1</v>
      </c>
      <c r="I3410">
        <v>15.74957994</v>
      </c>
      <c r="J3410">
        <v>1210</v>
      </c>
      <c r="K3410">
        <v>4.17</v>
      </c>
      <c r="M3410">
        <v>2.73</v>
      </c>
      <c r="O3410">
        <v>0.24399999999999999</v>
      </c>
      <c r="Q3410">
        <v>0.98</v>
      </c>
      <c r="R3410">
        <v>0.96</v>
      </c>
    </row>
    <row r="3411" spans="1:18" x14ac:dyDescent="0.2">
      <c r="A3411" t="s">
        <v>5941</v>
      </c>
      <c r="B3411" t="s">
        <v>5942</v>
      </c>
      <c r="C3411">
        <v>2016</v>
      </c>
      <c r="D3411">
        <v>1</v>
      </c>
      <c r="E3411" t="s">
        <v>55</v>
      </c>
      <c r="F3411" t="s">
        <v>128</v>
      </c>
      <c r="G3411" t="s">
        <v>63</v>
      </c>
      <c r="H3411">
        <v>1</v>
      </c>
      <c r="I3411">
        <v>37.814451400000003</v>
      </c>
      <c r="J3411">
        <v>833</v>
      </c>
      <c r="K3411">
        <v>2.82</v>
      </c>
      <c r="M3411">
        <v>2.57</v>
      </c>
      <c r="O3411">
        <v>0.22900000000000001</v>
      </c>
      <c r="Q3411">
        <v>1.22</v>
      </c>
      <c r="R3411">
        <v>1.31</v>
      </c>
    </row>
    <row r="3412" spans="1:18" x14ac:dyDescent="0.2">
      <c r="A3412" t="s">
        <v>5943</v>
      </c>
      <c r="B3412" t="s">
        <v>5944</v>
      </c>
      <c r="C3412">
        <v>2012</v>
      </c>
      <c r="D3412">
        <v>1</v>
      </c>
      <c r="E3412" t="s">
        <v>55</v>
      </c>
      <c r="F3412" t="s">
        <v>128</v>
      </c>
      <c r="G3412" t="s">
        <v>63</v>
      </c>
      <c r="H3412">
        <v>5</v>
      </c>
      <c r="I3412">
        <v>8.7260000000000009</v>
      </c>
      <c r="J3412">
        <v>1066</v>
      </c>
      <c r="M3412">
        <v>2.23</v>
      </c>
      <c r="O3412">
        <v>0.19900000000000001</v>
      </c>
      <c r="R3412">
        <v>1.17</v>
      </c>
    </row>
    <row r="3413" spans="1:18" x14ac:dyDescent="0.2">
      <c r="A3413" t="s">
        <v>5943</v>
      </c>
      <c r="B3413" t="s">
        <v>5945</v>
      </c>
      <c r="C3413">
        <v>2012</v>
      </c>
      <c r="D3413">
        <v>1</v>
      </c>
      <c r="E3413" t="s">
        <v>55</v>
      </c>
      <c r="F3413" t="s">
        <v>128</v>
      </c>
      <c r="G3413" t="s">
        <v>63</v>
      </c>
      <c r="H3413">
        <v>5</v>
      </c>
      <c r="I3413">
        <v>12.882999999999999</v>
      </c>
      <c r="J3413">
        <v>1066</v>
      </c>
      <c r="M3413">
        <v>2.36</v>
      </c>
      <c r="O3413">
        <v>0.21099999999999999</v>
      </c>
      <c r="R3413">
        <v>1.17</v>
      </c>
    </row>
    <row r="3414" spans="1:18" x14ac:dyDescent="0.2">
      <c r="A3414" t="s">
        <v>5943</v>
      </c>
      <c r="B3414" t="s">
        <v>5946</v>
      </c>
      <c r="C3414">
        <v>2014</v>
      </c>
      <c r="D3414">
        <v>1</v>
      </c>
      <c r="E3414" t="s">
        <v>55</v>
      </c>
      <c r="F3414" t="s">
        <v>128</v>
      </c>
      <c r="G3414" t="s">
        <v>63</v>
      </c>
      <c r="H3414">
        <v>5</v>
      </c>
      <c r="I3414">
        <v>4.2245369999999998</v>
      </c>
      <c r="J3414">
        <v>1066</v>
      </c>
      <c r="M3414">
        <v>1.38</v>
      </c>
      <c r="O3414">
        <v>0.123</v>
      </c>
      <c r="R3414">
        <v>1.17</v>
      </c>
    </row>
    <row r="3415" spans="1:18" x14ac:dyDescent="0.2">
      <c r="A3415" t="s">
        <v>5943</v>
      </c>
      <c r="B3415" t="s">
        <v>5947</v>
      </c>
      <c r="C3415">
        <v>2014</v>
      </c>
      <c r="D3415">
        <v>1</v>
      </c>
      <c r="E3415" t="s">
        <v>55</v>
      </c>
      <c r="F3415" t="s">
        <v>128</v>
      </c>
      <c r="G3415" t="s">
        <v>63</v>
      </c>
      <c r="H3415">
        <v>5</v>
      </c>
      <c r="I3415">
        <v>27.434388999999999</v>
      </c>
      <c r="J3415">
        <v>1066</v>
      </c>
      <c r="M3415">
        <v>2.6</v>
      </c>
      <c r="O3415">
        <v>0.23200000000000001</v>
      </c>
      <c r="R3415">
        <v>1.17</v>
      </c>
    </row>
    <row r="3416" spans="1:18" x14ac:dyDescent="0.2">
      <c r="A3416" t="s">
        <v>5943</v>
      </c>
      <c r="B3416" t="s">
        <v>5948</v>
      </c>
      <c r="C3416">
        <v>2014</v>
      </c>
      <c r="D3416">
        <v>1</v>
      </c>
      <c r="E3416" t="s">
        <v>55</v>
      </c>
      <c r="F3416" t="s">
        <v>128</v>
      </c>
      <c r="G3416" t="s">
        <v>63</v>
      </c>
      <c r="H3416">
        <v>5</v>
      </c>
      <c r="I3416">
        <v>44.552168999999999</v>
      </c>
      <c r="J3416">
        <v>1066</v>
      </c>
      <c r="M3416">
        <v>2.2000000000000002</v>
      </c>
      <c r="O3416">
        <v>0.19600000000000001</v>
      </c>
      <c r="R3416">
        <v>1.17</v>
      </c>
    </row>
    <row r="3417" spans="1:18" x14ac:dyDescent="0.2">
      <c r="A3417" t="s">
        <v>5949</v>
      </c>
      <c r="B3417" t="s">
        <v>5950</v>
      </c>
      <c r="C3417">
        <v>2016</v>
      </c>
      <c r="D3417">
        <v>1</v>
      </c>
      <c r="E3417" t="s">
        <v>55</v>
      </c>
      <c r="F3417" t="s">
        <v>128</v>
      </c>
      <c r="G3417" t="s">
        <v>63</v>
      </c>
      <c r="H3417">
        <v>1</v>
      </c>
      <c r="I3417">
        <v>2.49577962</v>
      </c>
      <c r="J3417">
        <v>778</v>
      </c>
      <c r="K3417">
        <v>3.89</v>
      </c>
      <c r="M3417">
        <v>17.07</v>
      </c>
      <c r="O3417">
        <v>1.5229999999999999</v>
      </c>
      <c r="Q3417">
        <v>1.04</v>
      </c>
      <c r="R3417">
        <v>1.06</v>
      </c>
    </row>
    <row r="3418" spans="1:18" x14ac:dyDescent="0.2">
      <c r="A3418" t="s">
        <v>5951</v>
      </c>
      <c r="B3418" t="s">
        <v>5952</v>
      </c>
      <c r="C3418">
        <v>2016</v>
      </c>
      <c r="D3418">
        <v>1</v>
      </c>
      <c r="E3418" t="s">
        <v>55</v>
      </c>
      <c r="F3418" t="s">
        <v>128</v>
      </c>
      <c r="G3418" t="s">
        <v>63</v>
      </c>
      <c r="H3418">
        <v>1</v>
      </c>
      <c r="I3418">
        <v>124.41983980000001</v>
      </c>
      <c r="J3418">
        <v>1052</v>
      </c>
      <c r="K3418">
        <v>4.47</v>
      </c>
      <c r="M3418">
        <v>5.23</v>
      </c>
      <c r="O3418">
        <v>0.46700000000000003</v>
      </c>
      <c r="Q3418">
        <v>0.85</v>
      </c>
      <c r="R3418">
        <v>0.81</v>
      </c>
    </row>
    <row r="3419" spans="1:18" x14ac:dyDescent="0.2">
      <c r="A3419" t="s">
        <v>5953</v>
      </c>
      <c r="B3419" t="s">
        <v>5954</v>
      </c>
      <c r="C3419">
        <v>2016</v>
      </c>
      <c r="D3419">
        <v>1</v>
      </c>
      <c r="E3419" t="s">
        <v>55</v>
      </c>
      <c r="F3419" t="s">
        <v>128</v>
      </c>
      <c r="G3419" t="s">
        <v>63</v>
      </c>
      <c r="H3419">
        <v>1</v>
      </c>
      <c r="I3419">
        <v>1.2195682699999999</v>
      </c>
      <c r="J3419">
        <v>552</v>
      </c>
      <c r="K3419">
        <v>4.37</v>
      </c>
      <c r="M3419">
        <v>1.6</v>
      </c>
      <c r="O3419">
        <v>0.14299999999999999</v>
      </c>
      <c r="Q3419">
        <v>0.78</v>
      </c>
      <c r="R3419">
        <v>0.73</v>
      </c>
    </row>
    <row r="3420" spans="1:18" x14ac:dyDescent="0.2">
      <c r="A3420" t="s">
        <v>5955</v>
      </c>
      <c r="B3420" t="s">
        <v>5956</v>
      </c>
      <c r="C3420">
        <v>2016</v>
      </c>
      <c r="D3420">
        <v>1</v>
      </c>
      <c r="E3420" t="s">
        <v>55</v>
      </c>
      <c r="F3420" t="s">
        <v>128</v>
      </c>
      <c r="G3420" t="s">
        <v>63</v>
      </c>
      <c r="H3420">
        <v>1</v>
      </c>
      <c r="I3420">
        <v>2.0538798200000001</v>
      </c>
      <c r="J3420">
        <v>1247</v>
      </c>
      <c r="K3420">
        <v>4.17</v>
      </c>
      <c r="M3420">
        <v>2.59</v>
      </c>
      <c r="O3420">
        <v>0.23100000000000001</v>
      </c>
      <c r="Q3420">
        <v>1.02</v>
      </c>
      <c r="R3420">
        <v>1.03</v>
      </c>
    </row>
    <row r="3421" spans="1:18" x14ac:dyDescent="0.2">
      <c r="A3421" t="s">
        <v>5957</v>
      </c>
      <c r="B3421" t="s">
        <v>5958</v>
      </c>
      <c r="C3421">
        <v>2016</v>
      </c>
      <c r="D3421">
        <v>1</v>
      </c>
      <c r="E3421" t="s">
        <v>55</v>
      </c>
      <c r="F3421" t="s">
        <v>128</v>
      </c>
      <c r="G3421" t="s">
        <v>63</v>
      </c>
      <c r="H3421">
        <v>1</v>
      </c>
      <c r="I3421">
        <v>2.6130208599999998</v>
      </c>
      <c r="J3421">
        <v>394</v>
      </c>
      <c r="K3421">
        <v>3.8</v>
      </c>
      <c r="M3421">
        <v>1.68</v>
      </c>
      <c r="O3421">
        <v>0.15</v>
      </c>
      <c r="Q3421">
        <v>0.59</v>
      </c>
      <c r="R3421">
        <v>0.56999999999999995</v>
      </c>
    </row>
    <row r="3422" spans="1:18" x14ac:dyDescent="0.2">
      <c r="A3422" t="s">
        <v>5959</v>
      </c>
      <c r="B3422" t="s">
        <v>5960</v>
      </c>
      <c r="C3422">
        <v>2016</v>
      </c>
      <c r="D3422">
        <v>1</v>
      </c>
      <c r="E3422" t="s">
        <v>55</v>
      </c>
      <c r="F3422" t="s">
        <v>128</v>
      </c>
      <c r="G3422" t="s">
        <v>63</v>
      </c>
      <c r="H3422">
        <v>1</v>
      </c>
      <c r="I3422">
        <v>0.92785982</v>
      </c>
      <c r="J3422">
        <v>471</v>
      </c>
      <c r="K3422">
        <v>4.79</v>
      </c>
      <c r="M3422">
        <v>2.04</v>
      </c>
      <c r="O3422">
        <v>0.182</v>
      </c>
      <c r="Q3422">
        <v>0.79</v>
      </c>
      <c r="R3422">
        <v>0.75</v>
      </c>
    </row>
    <row r="3423" spans="1:18" x14ac:dyDescent="0.2">
      <c r="A3423" t="s">
        <v>5961</v>
      </c>
      <c r="B3423" t="s">
        <v>5962</v>
      </c>
      <c r="C3423">
        <v>2016</v>
      </c>
      <c r="D3423">
        <v>1</v>
      </c>
      <c r="E3423" t="s">
        <v>55</v>
      </c>
      <c r="F3423" t="s">
        <v>128</v>
      </c>
      <c r="G3423" t="s">
        <v>63</v>
      </c>
      <c r="H3423">
        <v>1</v>
      </c>
      <c r="I3423">
        <v>19.80792185</v>
      </c>
      <c r="J3423">
        <v>1233</v>
      </c>
      <c r="K3423">
        <v>4.37</v>
      </c>
      <c r="M3423">
        <v>2.48</v>
      </c>
      <c r="O3423">
        <v>0.221</v>
      </c>
      <c r="Q3423">
        <v>0.94</v>
      </c>
      <c r="R3423">
        <v>0.91</v>
      </c>
    </row>
    <row r="3424" spans="1:18" x14ac:dyDescent="0.2">
      <c r="A3424" t="s">
        <v>5963</v>
      </c>
      <c r="B3424" t="s">
        <v>5964</v>
      </c>
      <c r="C3424">
        <v>2016</v>
      </c>
      <c r="D3424">
        <v>1</v>
      </c>
      <c r="E3424" t="s">
        <v>55</v>
      </c>
      <c r="F3424" t="s">
        <v>128</v>
      </c>
      <c r="G3424" t="s">
        <v>63</v>
      </c>
      <c r="H3424">
        <v>1</v>
      </c>
      <c r="I3424">
        <v>2.3432319000000001</v>
      </c>
      <c r="J3424">
        <v>529</v>
      </c>
      <c r="K3424">
        <v>3.89</v>
      </c>
      <c r="M3424">
        <v>1.18</v>
      </c>
      <c r="O3424">
        <v>0.105</v>
      </c>
      <c r="Q3424">
        <v>0.83</v>
      </c>
      <c r="R3424">
        <v>0.77</v>
      </c>
    </row>
    <row r="3425" spans="1:18" x14ac:dyDescent="0.2">
      <c r="A3425" t="s">
        <v>5965</v>
      </c>
      <c r="B3425" t="s">
        <v>5966</v>
      </c>
      <c r="C3425">
        <v>2016</v>
      </c>
      <c r="D3425">
        <v>1</v>
      </c>
      <c r="E3425" t="s">
        <v>55</v>
      </c>
      <c r="F3425" t="s">
        <v>128</v>
      </c>
      <c r="G3425" t="s">
        <v>63</v>
      </c>
      <c r="H3425">
        <v>1</v>
      </c>
      <c r="I3425">
        <v>6.9113441599999996</v>
      </c>
      <c r="J3425">
        <v>797</v>
      </c>
      <c r="K3425">
        <v>8.32</v>
      </c>
      <c r="M3425">
        <v>1.7</v>
      </c>
      <c r="O3425">
        <v>0.152</v>
      </c>
      <c r="Q3425">
        <v>1.01</v>
      </c>
      <c r="R3425">
        <v>1.2</v>
      </c>
    </row>
    <row r="3426" spans="1:18" x14ac:dyDescent="0.2">
      <c r="A3426" t="s">
        <v>5967</v>
      </c>
      <c r="B3426" t="s">
        <v>5968</v>
      </c>
      <c r="C3426">
        <v>2016</v>
      </c>
      <c r="D3426">
        <v>1</v>
      </c>
      <c r="E3426" t="s">
        <v>55</v>
      </c>
      <c r="F3426" t="s">
        <v>128</v>
      </c>
      <c r="G3426" t="s">
        <v>63</v>
      </c>
      <c r="H3426">
        <v>1</v>
      </c>
      <c r="I3426">
        <v>394.62449040000001</v>
      </c>
      <c r="J3426">
        <v>747</v>
      </c>
      <c r="K3426">
        <v>3.98</v>
      </c>
      <c r="M3426">
        <v>7.14</v>
      </c>
      <c r="O3426">
        <v>0.63700000000000001</v>
      </c>
      <c r="Q3426">
        <v>1.23</v>
      </c>
      <c r="R3426">
        <v>1.64</v>
      </c>
    </row>
    <row r="3427" spans="1:18" x14ac:dyDescent="0.2">
      <c r="A3427" t="s">
        <v>5969</v>
      </c>
      <c r="B3427" t="s">
        <v>5970</v>
      </c>
      <c r="C3427">
        <v>2012</v>
      </c>
      <c r="D3427">
        <v>1</v>
      </c>
      <c r="E3427" t="s">
        <v>55</v>
      </c>
      <c r="F3427" t="s">
        <v>128</v>
      </c>
      <c r="G3427" t="s">
        <v>63</v>
      </c>
      <c r="H3427">
        <v>4</v>
      </c>
      <c r="I3427">
        <v>8.3059999999999992</v>
      </c>
      <c r="J3427">
        <v>789</v>
      </c>
      <c r="M3427">
        <v>1.97</v>
      </c>
      <c r="O3427">
        <v>0.17599999999999999</v>
      </c>
      <c r="R3427">
        <v>0.89</v>
      </c>
    </row>
    <row r="3428" spans="1:18" x14ac:dyDescent="0.2">
      <c r="A3428" t="s">
        <v>5969</v>
      </c>
      <c r="B3428" t="s">
        <v>5971</v>
      </c>
      <c r="C3428">
        <v>2012</v>
      </c>
      <c r="D3428">
        <v>1</v>
      </c>
      <c r="E3428" t="s">
        <v>55</v>
      </c>
      <c r="F3428" t="s">
        <v>128</v>
      </c>
      <c r="G3428" t="s">
        <v>63</v>
      </c>
      <c r="H3428">
        <v>4</v>
      </c>
      <c r="I3428">
        <v>12.513</v>
      </c>
      <c r="J3428">
        <v>789</v>
      </c>
      <c r="M3428">
        <v>2.1800000000000002</v>
      </c>
      <c r="O3428">
        <v>0.19400000000000001</v>
      </c>
      <c r="R3428">
        <v>0.89</v>
      </c>
    </row>
    <row r="3429" spans="1:18" x14ac:dyDescent="0.2">
      <c r="A3429" t="s">
        <v>5969</v>
      </c>
      <c r="B3429" t="s">
        <v>5972</v>
      </c>
      <c r="C3429">
        <v>2014</v>
      </c>
      <c r="D3429">
        <v>1</v>
      </c>
      <c r="E3429" t="s">
        <v>55</v>
      </c>
      <c r="F3429" t="s">
        <v>128</v>
      </c>
      <c r="G3429" t="s">
        <v>63</v>
      </c>
      <c r="H3429">
        <v>4</v>
      </c>
      <c r="I3429">
        <v>17.913229999999999</v>
      </c>
      <c r="J3429">
        <v>789</v>
      </c>
      <c r="M3429">
        <v>1.2</v>
      </c>
      <c r="O3429">
        <v>0.107</v>
      </c>
      <c r="R3429">
        <v>0.89</v>
      </c>
    </row>
    <row r="3430" spans="1:18" x14ac:dyDescent="0.2">
      <c r="A3430" t="s">
        <v>5969</v>
      </c>
      <c r="B3430" t="s">
        <v>5973</v>
      </c>
      <c r="C3430">
        <v>2014</v>
      </c>
      <c r="D3430">
        <v>1</v>
      </c>
      <c r="E3430" t="s">
        <v>55</v>
      </c>
      <c r="F3430" t="s">
        <v>128</v>
      </c>
      <c r="G3430" t="s">
        <v>63</v>
      </c>
      <c r="H3430">
        <v>4</v>
      </c>
      <c r="I3430">
        <v>25.216750999999999</v>
      </c>
      <c r="J3430">
        <v>789</v>
      </c>
      <c r="M3430">
        <v>1.27</v>
      </c>
      <c r="O3430">
        <v>0.113</v>
      </c>
      <c r="R3430">
        <v>0.89</v>
      </c>
    </row>
    <row r="3431" spans="1:18" x14ac:dyDescent="0.2">
      <c r="A3431" t="s">
        <v>5974</v>
      </c>
      <c r="B3431" t="s">
        <v>5975</v>
      </c>
      <c r="C3431">
        <v>2016</v>
      </c>
      <c r="D3431">
        <v>1</v>
      </c>
      <c r="E3431" t="s">
        <v>55</v>
      </c>
      <c r="F3431" t="s">
        <v>128</v>
      </c>
      <c r="G3431" t="s">
        <v>63</v>
      </c>
      <c r="H3431">
        <v>1</v>
      </c>
      <c r="I3431">
        <v>7.1930387800000002</v>
      </c>
      <c r="J3431">
        <v>1535</v>
      </c>
      <c r="K3431">
        <v>3.89</v>
      </c>
      <c r="M3431">
        <v>1.78</v>
      </c>
      <c r="O3431">
        <v>0.159</v>
      </c>
      <c r="Q3431">
        <v>1.06</v>
      </c>
      <c r="R3431">
        <v>1.0900000000000001</v>
      </c>
    </row>
    <row r="3432" spans="1:18" x14ac:dyDescent="0.2">
      <c r="A3432" t="s">
        <v>5976</v>
      </c>
      <c r="B3432" t="s">
        <v>5977</v>
      </c>
      <c r="C3432">
        <v>2016</v>
      </c>
      <c r="D3432">
        <v>1</v>
      </c>
      <c r="E3432" t="s">
        <v>55</v>
      </c>
      <c r="F3432" t="s">
        <v>128</v>
      </c>
      <c r="G3432" t="s">
        <v>63</v>
      </c>
      <c r="H3432">
        <v>1</v>
      </c>
      <c r="I3432">
        <v>8.5069965799999991</v>
      </c>
      <c r="J3432">
        <v>869</v>
      </c>
      <c r="K3432">
        <v>4.47</v>
      </c>
      <c r="M3432">
        <v>1.68</v>
      </c>
      <c r="O3432">
        <v>0.15</v>
      </c>
      <c r="Q3432">
        <v>0.89</v>
      </c>
      <c r="R3432">
        <v>0.85</v>
      </c>
    </row>
    <row r="3433" spans="1:18" x14ac:dyDescent="0.2">
      <c r="A3433" t="s">
        <v>5978</v>
      </c>
      <c r="B3433" t="s">
        <v>5979</v>
      </c>
      <c r="C3433">
        <v>2016</v>
      </c>
      <c r="D3433">
        <v>1</v>
      </c>
      <c r="E3433" t="s">
        <v>55</v>
      </c>
      <c r="F3433" t="s">
        <v>128</v>
      </c>
      <c r="G3433" t="s">
        <v>63</v>
      </c>
      <c r="H3433">
        <v>1</v>
      </c>
      <c r="I3433">
        <v>44.930980400000003</v>
      </c>
      <c r="J3433">
        <v>854</v>
      </c>
      <c r="K3433">
        <v>1.48</v>
      </c>
      <c r="M3433">
        <v>2.54</v>
      </c>
      <c r="O3433">
        <v>0.22700000000000001</v>
      </c>
      <c r="Q3433">
        <v>1.19</v>
      </c>
      <c r="R3433">
        <v>1.1599999999999999</v>
      </c>
    </row>
    <row r="3434" spans="1:18" x14ac:dyDescent="0.2">
      <c r="A3434" t="s">
        <v>5980</v>
      </c>
      <c r="B3434" t="s">
        <v>5981</v>
      </c>
      <c r="C3434">
        <v>2016</v>
      </c>
      <c r="D3434">
        <v>1</v>
      </c>
      <c r="E3434" t="s">
        <v>55</v>
      </c>
      <c r="F3434" t="s">
        <v>128</v>
      </c>
      <c r="G3434" t="s">
        <v>63</v>
      </c>
      <c r="H3434">
        <v>1</v>
      </c>
      <c r="I3434">
        <v>7.1689246300000002</v>
      </c>
      <c r="J3434">
        <v>610</v>
      </c>
      <c r="K3434">
        <v>2.69</v>
      </c>
      <c r="M3434">
        <v>1.69</v>
      </c>
      <c r="O3434">
        <v>0.151</v>
      </c>
      <c r="Q3434">
        <v>1.3</v>
      </c>
      <c r="R3434">
        <v>1.55</v>
      </c>
    </row>
    <row r="3435" spans="1:18" x14ac:dyDescent="0.2">
      <c r="A3435" t="s">
        <v>5982</v>
      </c>
      <c r="B3435" t="s">
        <v>5983</v>
      </c>
      <c r="C3435">
        <v>2016</v>
      </c>
      <c r="D3435">
        <v>1</v>
      </c>
      <c r="E3435" t="s">
        <v>55</v>
      </c>
      <c r="F3435" t="s">
        <v>128</v>
      </c>
      <c r="G3435" t="s">
        <v>63</v>
      </c>
      <c r="H3435">
        <v>1</v>
      </c>
      <c r="I3435">
        <v>2.1446328499999998</v>
      </c>
      <c r="J3435">
        <v>741</v>
      </c>
      <c r="K3435">
        <v>3.02</v>
      </c>
      <c r="M3435">
        <v>16.72</v>
      </c>
      <c r="O3435">
        <v>1.492</v>
      </c>
      <c r="Q3435">
        <v>1.17</v>
      </c>
      <c r="R3435">
        <v>1.27</v>
      </c>
    </row>
    <row r="3436" spans="1:18" x14ac:dyDescent="0.2">
      <c r="A3436" t="s">
        <v>5984</v>
      </c>
      <c r="B3436" t="s">
        <v>5985</v>
      </c>
      <c r="C3436">
        <v>2016</v>
      </c>
      <c r="D3436">
        <v>1</v>
      </c>
      <c r="E3436" t="s">
        <v>55</v>
      </c>
      <c r="F3436" t="s">
        <v>128</v>
      </c>
      <c r="G3436" t="s">
        <v>63</v>
      </c>
      <c r="H3436">
        <v>1</v>
      </c>
      <c r="I3436">
        <v>7.8866310999999998</v>
      </c>
      <c r="J3436">
        <v>1043</v>
      </c>
      <c r="K3436">
        <v>4.17</v>
      </c>
      <c r="M3436">
        <v>8.35</v>
      </c>
      <c r="O3436">
        <v>0.745</v>
      </c>
      <c r="Q3436">
        <v>1.03</v>
      </c>
      <c r="R3436">
        <v>1.03</v>
      </c>
    </row>
    <row r="3437" spans="1:18" x14ac:dyDescent="0.2">
      <c r="A3437" t="s">
        <v>5986</v>
      </c>
      <c r="B3437" t="s">
        <v>5987</v>
      </c>
      <c r="C3437">
        <v>2016</v>
      </c>
      <c r="D3437">
        <v>1</v>
      </c>
      <c r="E3437" t="s">
        <v>55</v>
      </c>
      <c r="F3437" t="s">
        <v>128</v>
      </c>
      <c r="G3437" t="s">
        <v>63</v>
      </c>
      <c r="H3437">
        <v>1</v>
      </c>
      <c r="I3437">
        <v>8.0276805899999992</v>
      </c>
      <c r="J3437">
        <v>1175</v>
      </c>
      <c r="K3437">
        <v>4.2699999999999996</v>
      </c>
      <c r="M3437">
        <v>9.3000000000000007</v>
      </c>
      <c r="O3437">
        <v>0.83</v>
      </c>
      <c r="Q3437">
        <v>0.96</v>
      </c>
      <c r="R3437">
        <v>0.93</v>
      </c>
    </row>
    <row r="3438" spans="1:18" x14ac:dyDescent="0.2">
      <c r="A3438" t="s">
        <v>5988</v>
      </c>
      <c r="B3438" t="s">
        <v>5989</v>
      </c>
      <c r="C3438">
        <v>2016</v>
      </c>
      <c r="D3438">
        <v>1</v>
      </c>
      <c r="E3438" t="s">
        <v>55</v>
      </c>
      <c r="F3438" t="s">
        <v>128</v>
      </c>
      <c r="G3438" t="s">
        <v>63</v>
      </c>
      <c r="H3438">
        <v>1</v>
      </c>
      <c r="I3438">
        <v>85.351294269999997</v>
      </c>
      <c r="J3438">
        <v>1039</v>
      </c>
      <c r="K3438">
        <v>4.2699999999999996</v>
      </c>
      <c r="M3438">
        <v>6.8</v>
      </c>
      <c r="O3438">
        <v>0.60699999999999998</v>
      </c>
      <c r="Q3438">
        <v>0.99</v>
      </c>
      <c r="R3438">
        <v>0.99</v>
      </c>
    </row>
    <row r="3439" spans="1:18" x14ac:dyDescent="0.2">
      <c r="A3439" t="s">
        <v>5990</v>
      </c>
      <c r="B3439" t="s">
        <v>5991</v>
      </c>
      <c r="C3439">
        <v>2016</v>
      </c>
      <c r="D3439">
        <v>1</v>
      </c>
      <c r="E3439" t="s">
        <v>55</v>
      </c>
      <c r="F3439" t="s">
        <v>128</v>
      </c>
      <c r="G3439" t="s">
        <v>63</v>
      </c>
      <c r="H3439">
        <v>1</v>
      </c>
      <c r="I3439">
        <v>76.136020279999997</v>
      </c>
      <c r="J3439">
        <v>296</v>
      </c>
      <c r="K3439">
        <v>3.39</v>
      </c>
      <c r="M3439">
        <v>4.87</v>
      </c>
      <c r="O3439">
        <v>0.434</v>
      </c>
      <c r="Q3439">
        <v>0.96</v>
      </c>
      <c r="R3439">
        <v>0.91</v>
      </c>
    </row>
    <row r="3440" spans="1:18" x14ac:dyDescent="0.2">
      <c r="A3440" t="s">
        <v>5992</v>
      </c>
      <c r="B3440" t="s">
        <v>5993</v>
      </c>
      <c r="C3440">
        <v>2016</v>
      </c>
      <c r="D3440">
        <v>1</v>
      </c>
      <c r="E3440" t="s">
        <v>55</v>
      </c>
      <c r="F3440" t="s">
        <v>128</v>
      </c>
      <c r="G3440" t="s">
        <v>63</v>
      </c>
      <c r="H3440">
        <v>1</v>
      </c>
      <c r="I3440">
        <v>20.381775730000001</v>
      </c>
      <c r="J3440">
        <v>915</v>
      </c>
      <c r="K3440">
        <v>4.57</v>
      </c>
      <c r="M3440">
        <v>3.09</v>
      </c>
      <c r="O3440">
        <v>0.27600000000000002</v>
      </c>
      <c r="Q3440">
        <v>0.81</v>
      </c>
      <c r="R3440">
        <v>0.77</v>
      </c>
    </row>
    <row r="3441" spans="1:18" x14ac:dyDescent="0.2">
      <c r="A3441" t="s">
        <v>5994</v>
      </c>
      <c r="B3441" t="s">
        <v>5995</v>
      </c>
      <c r="C3441">
        <v>2016</v>
      </c>
      <c r="D3441">
        <v>1</v>
      </c>
      <c r="E3441" t="s">
        <v>55</v>
      </c>
      <c r="F3441" t="s">
        <v>128</v>
      </c>
      <c r="G3441" t="s">
        <v>63</v>
      </c>
      <c r="H3441">
        <v>1</v>
      </c>
      <c r="I3441">
        <v>5.1013794499999996</v>
      </c>
      <c r="J3441">
        <v>1295</v>
      </c>
      <c r="K3441">
        <v>4.2699999999999996</v>
      </c>
      <c r="M3441">
        <v>3.24</v>
      </c>
      <c r="O3441">
        <v>0.28899999999999998</v>
      </c>
      <c r="Q3441">
        <v>1.04</v>
      </c>
      <c r="R3441">
        <v>1.06</v>
      </c>
    </row>
    <row r="3442" spans="1:18" x14ac:dyDescent="0.2">
      <c r="A3442" t="s">
        <v>5996</v>
      </c>
      <c r="B3442" t="s">
        <v>5997</v>
      </c>
      <c r="C3442">
        <v>2016</v>
      </c>
      <c r="D3442">
        <v>1</v>
      </c>
      <c r="E3442" t="s">
        <v>55</v>
      </c>
      <c r="F3442" t="s">
        <v>128</v>
      </c>
      <c r="G3442" t="s">
        <v>63</v>
      </c>
      <c r="H3442">
        <v>1</v>
      </c>
      <c r="I3442">
        <v>3.94963138</v>
      </c>
      <c r="J3442">
        <v>806</v>
      </c>
      <c r="K3442">
        <v>4.47</v>
      </c>
      <c r="M3442">
        <v>2.2799999999999998</v>
      </c>
      <c r="O3442">
        <v>0.20300000000000001</v>
      </c>
      <c r="Q3442">
        <v>0.82</v>
      </c>
      <c r="R3442">
        <v>0.78</v>
      </c>
    </row>
    <row r="3443" spans="1:18" x14ac:dyDescent="0.2">
      <c r="A3443" t="s">
        <v>5998</v>
      </c>
      <c r="B3443" t="s">
        <v>5999</v>
      </c>
      <c r="C3443">
        <v>2016</v>
      </c>
      <c r="D3443">
        <v>1</v>
      </c>
      <c r="E3443" t="s">
        <v>55</v>
      </c>
      <c r="F3443" t="s">
        <v>128</v>
      </c>
      <c r="G3443" t="s">
        <v>63</v>
      </c>
      <c r="H3443">
        <v>1</v>
      </c>
      <c r="I3443">
        <v>3.14866453</v>
      </c>
      <c r="J3443">
        <v>806</v>
      </c>
      <c r="K3443">
        <v>4.79</v>
      </c>
      <c r="M3443">
        <v>2.21</v>
      </c>
      <c r="O3443">
        <v>0.19700000000000001</v>
      </c>
      <c r="Q3443">
        <v>0.88</v>
      </c>
      <c r="R3443">
        <v>0.84</v>
      </c>
    </row>
    <row r="3444" spans="1:18" x14ac:dyDescent="0.2">
      <c r="A3444" t="s">
        <v>6000</v>
      </c>
      <c r="B3444" t="s">
        <v>6001</v>
      </c>
      <c r="C3444">
        <v>2016</v>
      </c>
      <c r="D3444">
        <v>1</v>
      </c>
      <c r="E3444" t="s">
        <v>55</v>
      </c>
      <c r="F3444" t="s">
        <v>128</v>
      </c>
      <c r="G3444" t="s">
        <v>63</v>
      </c>
      <c r="H3444">
        <v>1</v>
      </c>
      <c r="I3444">
        <v>15.59461874</v>
      </c>
      <c r="J3444">
        <v>1145</v>
      </c>
      <c r="K3444">
        <v>3.8</v>
      </c>
      <c r="M3444">
        <v>2.9</v>
      </c>
      <c r="O3444">
        <v>0.25900000000000001</v>
      </c>
      <c r="Q3444">
        <v>0.96</v>
      </c>
      <c r="R3444">
        <v>0.95</v>
      </c>
    </row>
    <row r="3445" spans="1:18" x14ac:dyDescent="0.2">
      <c r="A3445" t="s">
        <v>6002</v>
      </c>
      <c r="B3445" t="s">
        <v>6003</v>
      </c>
      <c r="C3445">
        <v>2016</v>
      </c>
      <c r="D3445">
        <v>1</v>
      </c>
      <c r="E3445" t="s">
        <v>55</v>
      </c>
      <c r="F3445" t="s">
        <v>128</v>
      </c>
      <c r="G3445" t="s">
        <v>63</v>
      </c>
      <c r="H3445">
        <v>1</v>
      </c>
      <c r="I3445">
        <v>5.8337609199999996</v>
      </c>
      <c r="J3445">
        <v>1573</v>
      </c>
      <c r="K3445">
        <v>4.68</v>
      </c>
      <c r="M3445">
        <v>2.4</v>
      </c>
      <c r="O3445">
        <v>0.214</v>
      </c>
      <c r="Q3445">
        <v>1</v>
      </c>
      <c r="R3445">
        <v>1</v>
      </c>
    </row>
    <row r="3446" spans="1:18" x14ac:dyDescent="0.2">
      <c r="A3446" t="s">
        <v>6004</v>
      </c>
      <c r="B3446" t="s">
        <v>6005</v>
      </c>
      <c r="C3446">
        <v>2016</v>
      </c>
      <c r="D3446">
        <v>1</v>
      </c>
      <c r="E3446" t="s">
        <v>55</v>
      </c>
      <c r="F3446" t="s">
        <v>128</v>
      </c>
      <c r="G3446" t="s">
        <v>63</v>
      </c>
      <c r="H3446">
        <v>1</v>
      </c>
      <c r="I3446">
        <v>14.16399294</v>
      </c>
      <c r="J3446">
        <v>664</v>
      </c>
      <c r="K3446">
        <v>4.2699999999999996</v>
      </c>
      <c r="M3446">
        <v>2.4900000000000002</v>
      </c>
      <c r="O3446">
        <v>0.222</v>
      </c>
      <c r="Q3446">
        <v>0.93</v>
      </c>
      <c r="R3446">
        <v>0.92</v>
      </c>
    </row>
    <row r="3447" spans="1:18" x14ac:dyDescent="0.2">
      <c r="A3447" t="s">
        <v>6006</v>
      </c>
      <c r="B3447" t="s">
        <v>6007</v>
      </c>
      <c r="C3447">
        <v>2016</v>
      </c>
      <c r="D3447">
        <v>1</v>
      </c>
      <c r="E3447" t="s">
        <v>55</v>
      </c>
      <c r="F3447" t="s">
        <v>128</v>
      </c>
      <c r="G3447" t="s">
        <v>63</v>
      </c>
      <c r="H3447">
        <v>1</v>
      </c>
      <c r="I3447">
        <v>2.6170325399999999</v>
      </c>
      <c r="J3447">
        <v>690</v>
      </c>
      <c r="K3447">
        <v>4.2699999999999996</v>
      </c>
      <c r="M3447">
        <v>1.63</v>
      </c>
      <c r="O3447">
        <v>0.14499999999999999</v>
      </c>
      <c r="Q3447">
        <v>0.75</v>
      </c>
      <c r="R3447">
        <v>0.71</v>
      </c>
    </row>
    <row r="3448" spans="1:18" x14ac:dyDescent="0.2">
      <c r="A3448" t="s">
        <v>6008</v>
      </c>
      <c r="B3448" t="s">
        <v>6009</v>
      </c>
      <c r="C3448">
        <v>2016</v>
      </c>
      <c r="D3448">
        <v>1</v>
      </c>
      <c r="E3448" t="s">
        <v>55</v>
      </c>
      <c r="F3448" t="s">
        <v>128</v>
      </c>
      <c r="G3448" t="s">
        <v>63</v>
      </c>
      <c r="H3448">
        <v>1</v>
      </c>
      <c r="I3448">
        <v>150.24212700000001</v>
      </c>
      <c r="J3448">
        <v>824</v>
      </c>
      <c r="K3448">
        <v>5.89</v>
      </c>
      <c r="M3448">
        <v>4.6399999999999997</v>
      </c>
      <c r="O3448">
        <v>0.41399999999999998</v>
      </c>
      <c r="Q3448">
        <v>0.92</v>
      </c>
      <c r="R3448">
        <v>0.91</v>
      </c>
    </row>
    <row r="3449" spans="1:18" x14ac:dyDescent="0.2">
      <c r="A3449" t="s">
        <v>6010</v>
      </c>
      <c r="B3449" t="s">
        <v>6011</v>
      </c>
      <c r="C3449">
        <v>2016</v>
      </c>
      <c r="D3449">
        <v>1</v>
      </c>
      <c r="E3449" t="s">
        <v>55</v>
      </c>
      <c r="F3449" t="s">
        <v>128</v>
      </c>
      <c r="G3449" t="s">
        <v>63</v>
      </c>
      <c r="H3449">
        <v>1</v>
      </c>
      <c r="I3449">
        <v>5.0325179100000001</v>
      </c>
      <c r="J3449">
        <v>1269</v>
      </c>
      <c r="K3449">
        <v>3.89</v>
      </c>
      <c r="M3449">
        <v>2.0499999999999998</v>
      </c>
      <c r="O3449">
        <v>0.183</v>
      </c>
      <c r="Q3449">
        <v>0.93</v>
      </c>
      <c r="R3449">
        <v>0.89</v>
      </c>
    </row>
    <row r="3450" spans="1:18" x14ac:dyDescent="0.2">
      <c r="A3450" t="s">
        <v>6012</v>
      </c>
      <c r="B3450" t="s">
        <v>6013</v>
      </c>
      <c r="C3450">
        <v>2016</v>
      </c>
      <c r="D3450">
        <v>1</v>
      </c>
      <c r="E3450" t="s">
        <v>55</v>
      </c>
      <c r="F3450" t="s">
        <v>128</v>
      </c>
      <c r="G3450" t="s">
        <v>63</v>
      </c>
      <c r="H3450">
        <v>1</v>
      </c>
      <c r="I3450">
        <v>40.4287755</v>
      </c>
      <c r="J3450">
        <v>957</v>
      </c>
      <c r="K3450">
        <v>4.79</v>
      </c>
      <c r="M3450">
        <v>3.61</v>
      </c>
      <c r="O3450">
        <v>0.32200000000000001</v>
      </c>
      <c r="Q3450">
        <v>0.97</v>
      </c>
      <c r="R3450">
        <v>0.95</v>
      </c>
    </row>
    <row r="3451" spans="1:18" x14ac:dyDescent="0.2">
      <c r="A3451" t="s">
        <v>6014</v>
      </c>
      <c r="B3451" t="s">
        <v>6015</v>
      </c>
      <c r="C3451">
        <v>2013</v>
      </c>
      <c r="D3451">
        <v>1</v>
      </c>
      <c r="E3451" t="s">
        <v>55</v>
      </c>
      <c r="F3451" t="s">
        <v>128</v>
      </c>
      <c r="G3451" t="s">
        <v>63</v>
      </c>
      <c r="H3451">
        <v>2</v>
      </c>
      <c r="I3451">
        <v>114.73635</v>
      </c>
      <c r="J3451">
        <v>1525</v>
      </c>
      <c r="K3451">
        <v>7.5</v>
      </c>
      <c r="L3451">
        <v>324.2</v>
      </c>
      <c r="M3451">
        <v>13.49</v>
      </c>
      <c r="N3451">
        <v>1.02</v>
      </c>
      <c r="O3451">
        <v>1.204</v>
      </c>
      <c r="P3451">
        <v>0.72899999999999998</v>
      </c>
      <c r="Q3451">
        <v>1.1000000000000001</v>
      </c>
      <c r="R3451">
        <v>1.82</v>
      </c>
    </row>
    <row r="3452" spans="1:18" x14ac:dyDescent="0.2">
      <c r="A3452" t="s">
        <v>6014</v>
      </c>
      <c r="B3452" t="s">
        <v>6016</v>
      </c>
      <c r="C3452">
        <v>2013</v>
      </c>
      <c r="D3452">
        <v>1</v>
      </c>
      <c r="E3452" t="s">
        <v>55</v>
      </c>
      <c r="F3452" t="s">
        <v>128</v>
      </c>
      <c r="G3452" t="s">
        <v>63</v>
      </c>
      <c r="H3452">
        <v>2</v>
      </c>
      <c r="I3452">
        <v>191.23179999999999</v>
      </c>
      <c r="J3452">
        <v>1525</v>
      </c>
      <c r="K3452">
        <v>7.5</v>
      </c>
      <c r="L3452">
        <v>6.4</v>
      </c>
      <c r="M3452">
        <v>6.14</v>
      </c>
      <c r="N3452">
        <v>0.02</v>
      </c>
      <c r="O3452">
        <v>0.54800000000000004</v>
      </c>
      <c r="P3452">
        <v>0.152</v>
      </c>
      <c r="Q3452">
        <v>1.1000000000000001</v>
      </c>
      <c r="R3452">
        <v>1.82</v>
      </c>
    </row>
    <row r="3453" spans="1:18" x14ac:dyDescent="0.2">
      <c r="A3453" t="s">
        <v>6017</v>
      </c>
      <c r="B3453" t="s">
        <v>6018</v>
      </c>
      <c r="C3453">
        <v>2016</v>
      </c>
      <c r="D3453">
        <v>1</v>
      </c>
      <c r="E3453" t="s">
        <v>55</v>
      </c>
      <c r="F3453" t="s">
        <v>128</v>
      </c>
      <c r="G3453" t="s">
        <v>63</v>
      </c>
      <c r="H3453">
        <v>1</v>
      </c>
      <c r="I3453">
        <v>21.3587621</v>
      </c>
      <c r="J3453">
        <v>1231</v>
      </c>
      <c r="K3453">
        <v>3.8</v>
      </c>
      <c r="M3453">
        <v>2.78</v>
      </c>
      <c r="O3453">
        <v>0.248</v>
      </c>
      <c r="Q3453">
        <v>1.01</v>
      </c>
      <c r="R3453">
        <v>1.02</v>
      </c>
    </row>
    <row r="3454" spans="1:18" x14ac:dyDescent="0.2">
      <c r="A3454" t="s">
        <v>6019</v>
      </c>
      <c r="B3454" t="s">
        <v>6020</v>
      </c>
      <c r="C3454">
        <v>2016</v>
      </c>
      <c r="D3454">
        <v>1</v>
      </c>
      <c r="E3454" t="s">
        <v>55</v>
      </c>
      <c r="F3454" t="s">
        <v>128</v>
      </c>
      <c r="G3454" t="s">
        <v>63</v>
      </c>
      <c r="H3454">
        <v>1</v>
      </c>
      <c r="I3454">
        <v>22.045901799999999</v>
      </c>
      <c r="J3454">
        <v>1695</v>
      </c>
      <c r="K3454">
        <v>3.47</v>
      </c>
      <c r="M3454">
        <v>3.74</v>
      </c>
      <c r="O3454">
        <v>0.33400000000000002</v>
      </c>
      <c r="Q3454">
        <v>1.1100000000000001</v>
      </c>
      <c r="R3454">
        <v>1.1399999999999999</v>
      </c>
    </row>
    <row r="3455" spans="1:18" x14ac:dyDescent="0.2">
      <c r="A3455" t="s">
        <v>6021</v>
      </c>
      <c r="B3455" t="s">
        <v>6022</v>
      </c>
      <c r="C3455">
        <v>2016</v>
      </c>
      <c r="D3455">
        <v>1</v>
      </c>
      <c r="E3455" t="s">
        <v>55</v>
      </c>
      <c r="F3455" t="s">
        <v>128</v>
      </c>
      <c r="G3455" t="s">
        <v>63</v>
      </c>
      <c r="H3455">
        <v>1</v>
      </c>
      <c r="I3455">
        <v>2.5788550699999999</v>
      </c>
      <c r="J3455">
        <v>1114</v>
      </c>
      <c r="K3455">
        <v>4.17</v>
      </c>
      <c r="M3455">
        <v>1.99</v>
      </c>
      <c r="O3455">
        <v>0.17799999999999999</v>
      </c>
      <c r="Q3455">
        <v>1.05</v>
      </c>
      <c r="R3455">
        <v>1.08</v>
      </c>
    </row>
    <row r="3456" spans="1:18" x14ac:dyDescent="0.2">
      <c r="A3456" t="s">
        <v>6023</v>
      </c>
      <c r="B3456" t="s">
        <v>6024</v>
      </c>
      <c r="C3456">
        <v>2016</v>
      </c>
      <c r="D3456">
        <v>1</v>
      </c>
      <c r="E3456" t="s">
        <v>55</v>
      </c>
      <c r="F3456" t="s">
        <v>128</v>
      </c>
      <c r="G3456" t="s">
        <v>63</v>
      </c>
      <c r="H3456">
        <v>1</v>
      </c>
      <c r="I3456">
        <v>20.553384399999999</v>
      </c>
      <c r="J3456">
        <v>1397</v>
      </c>
      <c r="K3456">
        <v>2.95</v>
      </c>
      <c r="M3456">
        <v>3.75</v>
      </c>
      <c r="O3456">
        <v>0.33500000000000002</v>
      </c>
      <c r="Q3456">
        <v>1.18</v>
      </c>
      <c r="R3456">
        <v>1.27</v>
      </c>
    </row>
    <row r="3457" spans="1:18" x14ac:dyDescent="0.2">
      <c r="A3457" t="s">
        <v>6025</v>
      </c>
      <c r="B3457" t="s">
        <v>6026</v>
      </c>
      <c r="C3457">
        <v>2016</v>
      </c>
      <c r="D3457">
        <v>1</v>
      </c>
      <c r="E3457" t="s">
        <v>55</v>
      </c>
      <c r="F3457" t="s">
        <v>128</v>
      </c>
      <c r="G3457" t="s">
        <v>63</v>
      </c>
      <c r="H3457">
        <v>1</v>
      </c>
      <c r="I3457">
        <v>40.0686727</v>
      </c>
      <c r="J3457">
        <v>1072</v>
      </c>
      <c r="K3457">
        <v>3.31</v>
      </c>
      <c r="M3457">
        <v>3.94</v>
      </c>
      <c r="O3457">
        <v>0.35199999999999998</v>
      </c>
      <c r="Q3457">
        <v>1.0900000000000001</v>
      </c>
      <c r="R3457">
        <v>1.1299999999999999</v>
      </c>
    </row>
    <row r="3458" spans="1:18" x14ac:dyDescent="0.2">
      <c r="A3458" t="s">
        <v>6027</v>
      </c>
      <c r="B3458" t="s">
        <v>6028</v>
      </c>
      <c r="C3458">
        <v>2016</v>
      </c>
      <c r="D3458">
        <v>1</v>
      </c>
      <c r="E3458" t="s">
        <v>55</v>
      </c>
      <c r="F3458" t="s">
        <v>128</v>
      </c>
      <c r="G3458" t="s">
        <v>63</v>
      </c>
      <c r="H3458">
        <v>1</v>
      </c>
      <c r="I3458">
        <v>27.5073799</v>
      </c>
      <c r="J3458">
        <v>1244</v>
      </c>
      <c r="K3458">
        <v>3.39</v>
      </c>
      <c r="M3458">
        <v>2.9</v>
      </c>
      <c r="O3458">
        <v>0.25900000000000001</v>
      </c>
      <c r="Q3458">
        <v>1.06</v>
      </c>
      <c r="R3458">
        <v>1.1100000000000001</v>
      </c>
    </row>
    <row r="3459" spans="1:18" x14ac:dyDescent="0.2">
      <c r="A3459" t="s">
        <v>6029</v>
      </c>
      <c r="B3459" t="s">
        <v>6030</v>
      </c>
      <c r="C3459">
        <v>2016</v>
      </c>
      <c r="D3459">
        <v>1</v>
      </c>
      <c r="E3459" t="s">
        <v>55</v>
      </c>
      <c r="F3459" t="s">
        <v>128</v>
      </c>
      <c r="G3459" t="s">
        <v>63</v>
      </c>
      <c r="H3459">
        <v>1</v>
      </c>
      <c r="I3459">
        <v>5.1443801100000002</v>
      </c>
      <c r="J3459">
        <v>735</v>
      </c>
      <c r="K3459">
        <v>5.25</v>
      </c>
      <c r="M3459">
        <v>1.43</v>
      </c>
      <c r="O3459">
        <v>0.128</v>
      </c>
      <c r="Q3459">
        <v>0.81</v>
      </c>
      <c r="R3459">
        <v>0.77</v>
      </c>
    </row>
    <row r="3460" spans="1:18" x14ac:dyDescent="0.2">
      <c r="A3460" t="s">
        <v>6031</v>
      </c>
      <c r="B3460" t="s">
        <v>6032</v>
      </c>
      <c r="C3460">
        <v>2016</v>
      </c>
      <c r="D3460">
        <v>1</v>
      </c>
      <c r="E3460" t="s">
        <v>55</v>
      </c>
      <c r="F3460" t="s">
        <v>128</v>
      </c>
      <c r="G3460" t="s">
        <v>63</v>
      </c>
      <c r="H3460">
        <v>1</v>
      </c>
      <c r="I3460">
        <v>18.45847097</v>
      </c>
      <c r="J3460">
        <v>572</v>
      </c>
      <c r="K3460">
        <v>4.57</v>
      </c>
      <c r="M3460">
        <v>2.12</v>
      </c>
      <c r="O3460">
        <v>0.189</v>
      </c>
      <c r="Q3460">
        <v>0.85</v>
      </c>
      <c r="R3460">
        <v>0.81</v>
      </c>
    </row>
    <row r="3461" spans="1:18" x14ac:dyDescent="0.2">
      <c r="A3461" t="s">
        <v>6033</v>
      </c>
      <c r="B3461" t="s">
        <v>6034</v>
      </c>
      <c r="C3461">
        <v>2016</v>
      </c>
      <c r="D3461">
        <v>1</v>
      </c>
      <c r="E3461" t="s">
        <v>55</v>
      </c>
      <c r="F3461" t="s">
        <v>128</v>
      </c>
      <c r="G3461" t="s">
        <v>63</v>
      </c>
      <c r="H3461">
        <v>1</v>
      </c>
      <c r="I3461">
        <v>25.942203299999999</v>
      </c>
      <c r="J3461">
        <v>567</v>
      </c>
      <c r="K3461">
        <v>4.57</v>
      </c>
      <c r="M3461">
        <v>1.93</v>
      </c>
      <c r="O3461">
        <v>0.17199999999999999</v>
      </c>
      <c r="Q3461">
        <v>0.81</v>
      </c>
      <c r="R3461">
        <v>0.77</v>
      </c>
    </row>
    <row r="3462" spans="1:18" x14ac:dyDescent="0.2">
      <c r="A3462" t="s">
        <v>6035</v>
      </c>
      <c r="B3462" t="s">
        <v>6036</v>
      </c>
      <c r="C3462">
        <v>2016</v>
      </c>
      <c r="D3462">
        <v>1</v>
      </c>
      <c r="E3462" t="s">
        <v>55</v>
      </c>
      <c r="F3462" t="s">
        <v>128</v>
      </c>
      <c r="G3462" t="s">
        <v>63</v>
      </c>
      <c r="H3462">
        <v>1</v>
      </c>
      <c r="I3462">
        <v>33.385593800000002</v>
      </c>
      <c r="J3462">
        <v>772</v>
      </c>
      <c r="K3462">
        <v>4.2699999999999996</v>
      </c>
      <c r="M3462">
        <v>2.57</v>
      </c>
      <c r="O3462">
        <v>0.22900000000000001</v>
      </c>
      <c r="Q3462">
        <v>1.02</v>
      </c>
      <c r="R3462">
        <v>1.02</v>
      </c>
    </row>
    <row r="3463" spans="1:18" x14ac:dyDescent="0.2">
      <c r="A3463" t="s">
        <v>6037</v>
      </c>
      <c r="B3463" t="s">
        <v>6038</v>
      </c>
      <c r="C3463">
        <v>2016</v>
      </c>
      <c r="D3463">
        <v>1</v>
      </c>
      <c r="E3463" t="s">
        <v>55</v>
      </c>
      <c r="F3463" t="s">
        <v>128</v>
      </c>
      <c r="G3463" t="s">
        <v>63</v>
      </c>
      <c r="H3463">
        <v>1</v>
      </c>
      <c r="I3463">
        <v>7.7146897499999998</v>
      </c>
      <c r="J3463">
        <v>673</v>
      </c>
      <c r="K3463">
        <v>1.66</v>
      </c>
      <c r="M3463">
        <v>2.66</v>
      </c>
      <c r="O3463">
        <v>0.23699999999999999</v>
      </c>
      <c r="Q3463">
        <v>1.46</v>
      </c>
      <c r="R3463">
        <v>1.74</v>
      </c>
    </row>
    <row r="3464" spans="1:18" x14ac:dyDescent="0.2">
      <c r="A3464" t="s">
        <v>6039</v>
      </c>
      <c r="B3464" t="s">
        <v>6040</v>
      </c>
      <c r="C3464">
        <v>2016</v>
      </c>
      <c r="D3464">
        <v>1</v>
      </c>
      <c r="E3464" t="s">
        <v>55</v>
      </c>
      <c r="F3464" t="s">
        <v>128</v>
      </c>
      <c r="G3464" t="s">
        <v>63</v>
      </c>
      <c r="H3464">
        <v>1</v>
      </c>
      <c r="I3464">
        <v>4.4444801700000003</v>
      </c>
      <c r="J3464">
        <v>1364</v>
      </c>
      <c r="K3464">
        <v>3.8</v>
      </c>
      <c r="M3464">
        <v>1.78</v>
      </c>
      <c r="O3464">
        <v>0.159</v>
      </c>
      <c r="Q3464">
        <v>1.06</v>
      </c>
      <c r="R3464">
        <v>1.0900000000000001</v>
      </c>
    </row>
    <row r="3465" spans="1:18" x14ac:dyDescent="0.2">
      <c r="A3465" t="s">
        <v>6041</v>
      </c>
      <c r="B3465" t="s">
        <v>6042</v>
      </c>
      <c r="C3465">
        <v>2016</v>
      </c>
      <c r="D3465">
        <v>1</v>
      </c>
      <c r="E3465" t="s">
        <v>55</v>
      </c>
      <c r="F3465" t="s">
        <v>128</v>
      </c>
      <c r="G3465" t="s">
        <v>63</v>
      </c>
      <c r="H3465">
        <v>1</v>
      </c>
      <c r="I3465">
        <v>3.9895396700000001</v>
      </c>
      <c r="J3465">
        <v>525</v>
      </c>
      <c r="K3465">
        <v>4.57</v>
      </c>
      <c r="M3465">
        <v>1.23</v>
      </c>
      <c r="O3465">
        <v>0.11</v>
      </c>
      <c r="Q3465">
        <v>0.9</v>
      </c>
      <c r="R3465">
        <v>0.87</v>
      </c>
    </row>
    <row r="3466" spans="1:18" x14ac:dyDescent="0.2">
      <c r="A3466" t="s">
        <v>6043</v>
      </c>
      <c r="B3466" t="s">
        <v>6044</v>
      </c>
      <c r="C3466">
        <v>2016</v>
      </c>
      <c r="D3466">
        <v>1</v>
      </c>
      <c r="E3466" t="s">
        <v>55</v>
      </c>
      <c r="F3466" t="s">
        <v>128</v>
      </c>
      <c r="G3466" t="s">
        <v>63</v>
      </c>
      <c r="H3466">
        <v>1</v>
      </c>
      <c r="I3466">
        <v>12.984955729999999</v>
      </c>
      <c r="J3466">
        <v>549</v>
      </c>
      <c r="K3466">
        <v>3.02</v>
      </c>
      <c r="M3466">
        <v>1.78</v>
      </c>
      <c r="O3466">
        <v>0.159</v>
      </c>
      <c r="Q3466">
        <v>1.06</v>
      </c>
      <c r="R3466">
        <v>1.0900000000000001</v>
      </c>
    </row>
    <row r="3467" spans="1:18" x14ac:dyDescent="0.2">
      <c r="A3467" t="s">
        <v>6045</v>
      </c>
      <c r="B3467" t="s">
        <v>6046</v>
      </c>
      <c r="C3467">
        <v>2016</v>
      </c>
      <c r="D3467">
        <v>1</v>
      </c>
      <c r="E3467" t="s">
        <v>55</v>
      </c>
      <c r="F3467" t="s">
        <v>128</v>
      </c>
      <c r="G3467" t="s">
        <v>63</v>
      </c>
      <c r="H3467">
        <v>1</v>
      </c>
      <c r="I3467">
        <v>5.6991951399999996</v>
      </c>
      <c r="J3467">
        <v>420</v>
      </c>
      <c r="K3467">
        <v>2.4500000000000002</v>
      </c>
      <c r="M3467">
        <v>1.23</v>
      </c>
      <c r="O3467">
        <v>0.11</v>
      </c>
      <c r="Q3467">
        <v>1</v>
      </c>
      <c r="R3467">
        <v>0.94</v>
      </c>
    </row>
    <row r="3468" spans="1:18" x14ac:dyDescent="0.2">
      <c r="A3468" t="s">
        <v>6047</v>
      </c>
      <c r="B3468" t="s">
        <v>6048</v>
      </c>
      <c r="C3468">
        <v>2016</v>
      </c>
      <c r="D3468">
        <v>1</v>
      </c>
      <c r="E3468" t="s">
        <v>55</v>
      </c>
      <c r="F3468" t="s">
        <v>128</v>
      </c>
      <c r="G3468" t="s">
        <v>63</v>
      </c>
      <c r="H3468">
        <v>1</v>
      </c>
      <c r="I3468">
        <v>18.114729489999998</v>
      </c>
      <c r="J3468">
        <v>632</v>
      </c>
      <c r="K3468">
        <v>3.16</v>
      </c>
      <c r="M3468">
        <v>2.5</v>
      </c>
      <c r="O3468">
        <v>0.223</v>
      </c>
      <c r="Q3468">
        <v>1.21</v>
      </c>
      <c r="R3468">
        <v>1.35</v>
      </c>
    </row>
    <row r="3469" spans="1:18" x14ac:dyDescent="0.2">
      <c r="A3469" t="s">
        <v>6049</v>
      </c>
      <c r="B3469" t="s">
        <v>6050</v>
      </c>
      <c r="C3469">
        <v>2016</v>
      </c>
      <c r="D3469">
        <v>1</v>
      </c>
      <c r="E3469" t="s">
        <v>55</v>
      </c>
      <c r="F3469" t="s">
        <v>128</v>
      </c>
      <c r="G3469" t="s">
        <v>63</v>
      </c>
      <c r="H3469">
        <v>1</v>
      </c>
      <c r="I3469">
        <v>6.2414636699999999</v>
      </c>
      <c r="J3469">
        <v>857</v>
      </c>
      <c r="K3469">
        <v>3.39</v>
      </c>
      <c r="M3469">
        <v>1.52</v>
      </c>
      <c r="O3469">
        <v>0.13600000000000001</v>
      </c>
      <c r="Q3469">
        <v>1.1000000000000001</v>
      </c>
      <c r="R3469">
        <v>1.1599999999999999</v>
      </c>
    </row>
    <row r="3470" spans="1:18" x14ac:dyDescent="0.2">
      <c r="A3470" t="s">
        <v>6051</v>
      </c>
      <c r="B3470" t="s">
        <v>6052</v>
      </c>
      <c r="C3470">
        <v>2016</v>
      </c>
      <c r="D3470">
        <v>1</v>
      </c>
      <c r="E3470" t="s">
        <v>55</v>
      </c>
      <c r="F3470" t="s">
        <v>128</v>
      </c>
      <c r="G3470" t="s">
        <v>63</v>
      </c>
      <c r="H3470">
        <v>2</v>
      </c>
      <c r="I3470">
        <v>20.42228798</v>
      </c>
      <c r="J3470">
        <v>831</v>
      </c>
      <c r="K3470">
        <v>3.09</v>
      </c>
      <c r="M3470">
        <v>1.84</v>
      </c>
      <c r="O3470">
        <v>0.16400000000000001</v>
      </c>
      <c r="Q3470">
        <v>1.19</v>
      </c>
      <c r="R3470">
        <v>1.29</v>
      </c>
    </row>
    <row r="3471" spans="1:18" x14ac:dyDescent="0.2">
      <c r="A3471" t="s">
        <v>6051</v>
      </c>
      <c r="B3471" t="s">
        <v>6053</v>
      </c>
      <c r="C3471">
        <v>2016</v>
      </c>
      <c r="D3471">
        <v>1</v>
      </c>
      <c r="E3471" t="s">
        <v>55</v>
      </c>
      <c r="F3471" t="s">
        <v>128</v>
      </c>
      <c r="G3471" t="s">
        <v>63</v>
      </c>
      <c r="H3471">
        <v>2</v>
      </c>
      <c r="I3471">
        <v>7.6384602299999997</v>
      </c>
      <c r="J3471">
        <v>831</v>
      </c>
      <c r="K3471">
        <v>3.09</v>
      </c>
      <c r="M3471">
        <v>1.1299999999999999</v>
      </c>
      <c r="O3471">
        <v>0.10100000000000001</v>
      </c>
      <c r="Q3471">
        <v>1.19</v>
      </c>
      <c r="R3471">
        <v>1.29</v>
      </c>
    </row>
    <row r="3472" spans="1:18" x14ac:dyDescent="0.2">
      <c r="A3472" t="s">
        <v>6054</v>
      </c>
      <c r="B3472" t="s">
        <v>6055</v>
      </c>
      <c r="C3472">
        <v>2016</v>
      </c>
      <c r="D3472">
        <v>1</v>
      </c>
      <c r="E3472" t="s">
        <v>55</v>
      </c>
      <c r="F3472" t="s">
        <v>128</v>
      </c>
      <c r="G3472" t="s">
        <v>63</v>
      </c>
      <c r="H3472">
        <v>1</v>
      </c>
      <c r="I3472">
        <v>70.697906099999997</v>
      </c>
      <c r="J3472">
        <v>413</v>
      </c>
      <c r="K3472">
        <v>1.48</v>
      </c>
      <c r="M3472">
        <v>1.76</v>
      </c>
      <c r="O3472">
        <v>0.157</v>
      </c>
      <c r="Q3472">
        <v>0.97</v>
      </c>
      <c r="R3472">
        <v>0.9</v>
      </c>
    </row>
    <row r="3473" spans="1:18" x14ac:dyDescent="0.2">
      <c r="A3473" t="s">
        <v>6056</v>
      </c>
      <c r="B3473" t="s">
        <v>6057</v>
      </c>
      <c r="C3473">
        <v>2016</v>
      </c>
      <c r="D3473">
        <v>1</v>
      </c>
      <c r="E3473" t="s">
        <v>55</v>
      </c>
      <c r="F3473" t="s">
        <v>128</v>
      </c>
      <c r="G3473" t="s">
        <v>63</v>
      </c>
      <c r="H3473">
        <v>1</v>
      </c>
      <c r="I3473">
        <v>3.7444389999999999</v>
      </c>
      <c r="J3473">
        <v>513</v>
      </c>
      <c r="K3473">
        <v>3.98</v>
      </c>
      <c r="M3473">
        <v>1.0900000000000001</v>
      </c>
      <c r="O3473">
        <v>9.7000000000000003E-2</v>
      </c>
      <c r="Q3473">
        <v>1.1399999999999999</v>
      </c>
      <c r="R3473">
        <v>1.25</v>
      </c>
    </row>
    <row r="3474" spans="1:18" x14ac:dyDescent="0.2">
      <c r="A3474" t="s">
        <v>6058</v>
      </c>
      <c r="B3474" t="s">
        <v>6059</v>
      </c>
      <c r="C3474">
        <v>2016</v>
      </c>
      <c r="D3474">
        <v>1</v>
      </c>
      <c r="E3474" t="s">
        <v>55</v>
      </c>
      <c r="F3474" t="s">
        <v>128</v>
      </c>
      <c r="G3474" t="s">
        <v>63</v>
      </c>
      <c r="H3474">
        <v>1</v>
      </c>
      <c r="I3474">
        <v>52.75875577</v>
      </c>
      <c r="J3474">
        <v>1387</v>
      </c>
      <c r="K3474">
        <v>3.63</v>
      </c>
      <c r="M3474">
        <v>8.89</v>
      </c>
      <c r="O3474">
        <v>0.79300000000000004</v>
      </c>
      <c r="Q3474">
        <v>1.0900000000000001</v>
      </c>
      <c r="R3474">
        <v>1.1299999999999999</v>
      </c>
    </row>
    <row r="3475" spans="1:18" x14ac:dyDescent="0.2">
      <c r="A3475" t="s">
        <v>6060</v>
      </c>
      <c r="B3475" t="s">
        <v>6061</v>
      </c>
      <c r="C3475">
        <v>2016</v>
      </c>
      <c r="D3475">
        <v>1</v>
      </c>
      <c r="E3475" t="s">
        <v>55</v>
      </c>
      <c r="F3475" t="s">
        <v>128</v>
      </c>
      <c r="G3475" t="s">
        <v>63</v>
      </c>
      <c r="H3475">
        <v>1</v>
      </c>
      <c r="I3475">
        <v>53.449455929999999</v>
      </c>
      <c r="J3475">
        <v>1372</v>
      </c>
      <c r="K3475">
        <v>3.55</v>
      </c>
      <c r="M3475">
        <v>6.41</v>
      </c>
      <c r="O3475">
        <v>0.57199999999999995</v>
      </c>
      <c r="Q3475">
        <v>1.06</v>
      </c>
      <c r="R3475">
        <v>1.07</v>
      </c>
    </row>
    <row r="3476" spans="1:18" x14ac:dyDescent="0.2">
      <c r="A3476" t="s">
        <v>6062</v>
      </c>
      <c r="B3476" t="s">
        <v>6063</v>
      </c>
      <c r="C3476">
        <v>2016</v>
      </c>
      <c r="D3476">
        <v>1</v>
      </c>
      <c r="E3476" t="s">
        <v>55</v>
      </c>
      <c r="F3476" t="s">
        <v>128</v>
      </c>
      <c r="G3476" t="s">
        <v>63</v>
      </c>
      <c r="H3476">
        <v>1</v>
      </c>
      <c r="I3476">
        <v>13.752107199999999</v>
      </c>
      <c r="J3476">
        <v>640</v>
      </c>
      <c r="K3476">
        <v>5.01</v>
      </c>
      <c r="M3476">
        <v>2.81</v>
      </c>
      <c r="O3476">
        <v>0.251</v>
      </c>
      <c r="Q3476">
        <v>0.75</v>
      </c>
      <c r="R3476">
        <v>0.72</v>
      </c>
    </row>
    <row r="3477" spans="1:18" x14ac:dyDescent="0.2">
      <c r="A3477" t="s">
        <v>6064</v>
      </c>
      <c r="B3477" t="s">
        <v>6065</v>
      </c>
      <c r="C3477">
        <v>2016</v>
      </c>
      <c r="D3477">
        <v>1</v>
      </c>
      <c r="E3477" t="s">
        <v>55</v>
      </c>
      <c r="F3477" t="s">
        <v>128</v>
      </c>
      <c r="G3477" t="s">
        <v>63</v>
      </c>
      <c r="H3477">
        <v>1</v>
      </c>
      <c r="I3477">
        <v>6.3385576099999996</v>
      </c>
      <c r="J3477">
        <v>1216</v>
      </c>
      <c r="K3477">
        <v>3.8</v>
      </c>
      <c r="M3477">
        <v>3.03</v>
      </c>
      <c r="O3477">
        <v>0.27</v>
      </c>
      <c r="Q3477">
        <v>1</v>
      </c>
      <c r="R3477">
        <v>0.99</v>
      </c>
    </row>
    <row r="3478" spans="1:18" x14ac:dyDescent="0.2">
      <c r="A3478" t="s">
        <v>6066</v>
      </c>
      <c r="B3478" t="s">
        <v>6067</v>
      </c>
      <c r="C3478">
        <v>2016</v>
      </c>
      <c r="D3478">
        <v>1</v>
      </c>
      <c r="E3478" t="s">
        <v>55</v>
      </c>
      <c r="F3478" t="s">
        <v>128</v>
      </c>
      <c r="G3478" t="s">
        <v>63</v>
      </c>
      <c r="H3478">
        <v>1</v>
      </c>
      <c r="I3478">
        <v>9.8032240000000002</v>
      </c>
      <c r="J3478">
        <v>1090</v>
      </c>
      <c r="K3478">
        <v>4.2699999999999996</v>
      </c>
      <c r="M3478">
        <v>2.78</v>
      </c>
      <c r="O3478">
        <v>0.248</v>
      </c>
      <c r="Q3478">
        <v>0.87</v>
      </c>
      <c r="R3478">
        <v>0.85</v>
      </c>
    </row>
    <row r="3479" spans="1:18" x14ac:dyDescent="0.2">
      <c r="A3479" t="s">
        <v>6068</v>
      </c>
      <c r="B3479" t="s">
        <v>6069</v>
      </c>
      <c r="C3479">
        <v>2016</v>
      </c>
      <c r="D3479">
        <v>1</v>
      </c>
      <c r="E3479" t="s">
        <v>55</v>
      </c>
      <c r="F3479" t="s">
        <v>128</v>
      </c>
      <c r="G3479" t="s">
        <v>63</v>
      </c>
      <c r="H3479">
        <v>1</v>
      </c>
      <c r="I3479">
        <v>2.8062423299999999</v>
      </c>
      <c r="J3479">
        <v>516</v>
      </c>
      <c r="K3479">
        <v>2.63</v>
      </c>
      <c r="M3479">
        <v>1.54</v>
      </c>
      <c r="O3479">
        <v>0.13700000000000001</v>
      </c>
      <c r="Q3479">
        <v>0.65</v>
      </c>
      <c r="R3479">
        <v>0.61</v>
      </c>
    </row>
    <row r="3480" spans="1:18" x14ac:dyDescent="0.2">
      <c r="A3480" t="s">
        <v>6070</v>
      </c>
      <c r="B3480" t="s">
        <v>6071</v>
      </c>
      <c r="C3480">
        <v>2016</v>
      </c>
      <c r="D3480">
        <v>1</v>
      </c>
      <c r="E3480" t="s">
        <v>55</v>
      </c>
      <c r="F3480" t="s">
        <v>128</v>
      </c>
      <c r="G3480" t="s">
        <v>63</v>
      </c>
      <c r="H3480">
        <v>1</v>
      </c>
      <c r="I3480">
        <v>144.54739599999999</v>
      </c>
      <c r="J3480">
        <v>896</v>
      </c>
      <c r="K3480">
        <v>5.01</v>
      </c>
      <c r="M3480">
        <v>2.5299999999999998</v>
      </c>
      <c r="O3480">
        <v>0.22600000000000001</v>
      </c>
      <c r="Q3480">
        <v>0.84</v>
      </c>
      <c r="R3480">
        <v>0.81</v>
      </c>
    </row>
    <row r="3481" spans="1:18" x14ac:dyDescent="0.2">
      <c r="A3481" t="s">
        <v>6072</v>
      </c>
      <c r="B3481" t="s">
        <v>6073</v>
      </c>
      <c r="C3481">
        <v>2016</v>
      </c>
      <c r="D3481">
        <v>1</v>
      </c>
      <c r="E3481" t="s">
        <v>55</v>
      </c>
      <c r="F3481" t="s">
        <v>128</v>
      </c>
      <c r="G3481" t="s">
        <v>63</v>
      </c>
      <c r="H3481">
        <v>1</v>
      </c>
      <c r="I3481">
        <v>8.0472642000000008</v>
      </c>
      <c r="J3481">
        <v>1147</v>
      </c>
      <c r="K3481">
        <v>4.37</v>
      </c>
      <c r="M3481">
        <v>2.39</v>
      </c>
      <c r="O3481">
        <v>0.21299999999999999</v>
      </c>
      <c r="Q3481">
        <v>1.03</v>
      </c>
      <c r="R3481">
        <v>1.04</v>
      </c>
    </row>
    <row r="3482" spans="1:18" x14ac:dyDescent="0.2">
      <c r="A3482" t="s">
        <v>6074</v>
      </c>
      <c r="B3482" t="s">
        <v>6075</v>
      </c>
      <c r="C3482">
        <v>2016</v>
      </c>
      <c r="D3482">
        <v>1</v>
      </c>
      <c r="E3482" t="s">
        <v>55</v>
      </c>
      <c r="F3482" t="s">
        <v>128</v>
      </c>
      <c r="G3482" t="s">
        <v>63</v>
      </c>
      <c r="H3482">
        <v>1</v>
      </c>
      <c r="I3482">
        <v>5.8706190999999999</v>
      </c>
      <c r="J3482">
        <v>479</v>
      </c>
      <c r="K3482">
        <v>3.98</v>
      </c>
      <c r="M3482">
        <v>1.49</v>
      </c>
      <c r="O3482">
        <v>0.13300000000000001</v>
      </c>
      <c r="Q3482">
        <v>0.65</v>
      </c>
      <c r="R3482">
        <v>0.62</v>
      </c>
    </row>
    <row r="3483" spans="1:18" x14ac:dyDescent="0.2">
      <c r="A3483" t="s">
        <v>6076</v>
      </c>
      <c r="B3483" t="s">
        <v>6077</v>
      </c>
      <c r="C3483">
        <v>2016</v>
      </c>
      <c r="D3483">
        <v>1</v>
      </c>
      <c r="E3483" t="s">
        <v>55</v>
      </c>
      <c r="F3483" t="s">
        <v>128</v>
      </c>
      <c r="G3483" t="s">
        <v>63</v>
      </c>
      <c r="H3483">
        <v>1</v>
      </c>
      <c r="I3483">
        <v>19.178912929999999</v>
      </c>
      <c r="J3483">
        <v>1038</v>
      </c>
      <c r="K3483">
        <v>4.07</v>
      </c>
      <c r="M3483">
        <v>2.68</v>
      </c>
      <c r="O3483">
        <v>0.23899999999999999</v>
      </c>
      <c r="Q3483">
        <v>0.93</v>
      </c>
      <c r="R3483">
        <v>0.91</v>
      </c>
    </row>
    <row r="3484" spans="1:18" x14ac:dyDescent="0.2">
      <c r="A3484" t="s">
        <v>6078</v>
      </c>
      <c r="B3484" t="s">
        <v>6079</v>
      </c>
      <c r="C3484">
        <v>2010</v>
      </c>
      <c r="D3484">
        <v>1</v>
      </c>
      <c r="E3484" t="s">
        <v>55</v>
      </c>
      <c r="F3484" t="s">
        <v>128</v>
      </c>
      <c r="G3484" t="s">
        <v>63</v>
      </c>
      <c r="H3484">
        <v>3</v>
      </c>
      <c r="I3484">
        <v>19.239999999999998</v>
      </c>
      <c r="J3484">
        <v>650</v>
      </c>
      <c r="K3484">
        <v>1</v>
      </c>
      <c r="L3484">
        <v>80.09</v>
      </c>
      <c r="M3484">
        <v>9.4380000000000006</v>
      </c>
      <c r="N3484">
        <v>0.252</v>
      </c>
      <c r="O3484">
        <v>0.84199999999999997</v>
      </c>
      <c r="P3484">
        <v>0.52400000000000002</v>
      </c>
      <c r="Q3484">
        <v>1.07</v>
      </c>
      <c r="R3484">
        <v>1.02</v>
      </c>
    </row>
    <row r="3485" spans="1:18" x14ac:dyDescent="0.2">
      <c r="A3485" t="s">
        <v>6078</v>
      </c>
      <c r="B3485" t="s">
        <v>6080</v>
      </c>
      <c r="C3485">
        <v>2010</v>
      </c>
      <c r="D3485">
        <v>1</v>
      </c>
      <c r="E3485" t="s">
        <v>55</v>
      </c>
      <c r="F3485" t="s">
        <v>128</v>
      </c>
      <c r="G3485" t="s">
        <v>63</v>
      </c>
      <c r="H3485">
        <v>3</v>
      </c>
      <c r="I3485">
        <v>38.909999999999997</v>
      </c>
      <c r="J3485">
        <v>650</v>
      </c>
      <c r="K3485">
        <v>1</v>
      </c>
      <c r="L3485">
        <v>54.347000000000001</v>
      </c>
      <c r="M3485">
        <v>9.2249999999999996</v>
      </c>
      <c r="N3485">
        <v>0.17100000000000001</v>
      </c>
      <c r="O3485">
        <v>0.82299999999999995</v>
      </c>
      <c r="P3485">
        <v>0.38300000000000001</v>
      </c>
      <c r="Q3485">
        <v>1.07</v>
      </c>
      <c r="R3485">
        <v>1.02</v>
      </c>
    </row>
    <row r="3486" spans="1:18" x14ac:dyDescent="0.2">
      <c r="A3486" t="s">
        <v>6078</v>
      </c>
      <c r="B3486" t="s">
        <v>6081</v>
      </c>
      <c r="C3486">
        <v>2010</v>
      </c>
      <c r="D3486">
        <v>1</v>
      </c>
      <c r="E3486" t="s">
        <v>55</v>
      </c>
      <c r="F3486" t="s">
        <v>128</v>
      </c>
      <c r="G3486" t="s">
        <v>63</v>
      </c>
      <c r="H3486">
        <v>3</v>
      </c>
      <c r="I3486">
        <v>1.592851</v>
      </c>
      <c r="J3486">
        <v>650</v>
      </c>
      <c r="K3486">
        <v>1</v>
      </c>
      <c r="M3486">
        <v>1.64</v>
      </c>
      <c r="O3486">
        <v>0.14599999999999999</v>
      </c>
      <c r="Q3486">
        <v>1.07</v>
      </c>
      <c r="R3486">
        <v>1.02</v>
      </c>
    </row>
    <row r="3487" spans="1:18" x14ac:dyDescent="0.2">
      <c r="A3487" t="s">
        <v>6082</v>
      </c>
      <c r="B3487" t="s">
        <v>6083</v>
      </c>
      <c r="C3487">
        <v>2016</v>
      </c>
      <c r="D3487">
        <v>1</v>
      </c>
      <c r="E3487" t="s">
        <v>55</v>
      </c>
      <c r="F3487" t="s">
        <v>128</v>
      </c>
      <c r="G3487" t="s">
        <v>63</v>
      </c>
      <c r="H3487">
        <v>1</v>
      </c>
      <c r="I3487">
        <v>6.9913086</v>
      </c>
      <c r="J3487">
        <v>505</v>
      </c>
      <c r="K3487">
        <v>4.57</v>
      </c>
      <c r="M3487">
        <v>2.08</v>
      </c>
      <c r="O3487">
        <v>0.186</v>
      </c>
      <c r="Q3487">
        <v>0.78</v>
      </c>
      <c r="R3487">
        <v>0.73</v>
      </c>
    </row>
    <row r="3488" spans="1:18" x14ac:dyDescent="0.2">
      <c r="A3488" t="s">
        <v>6084</v>
      </c>
      <c r="B3488" t="s">
        <v>6085</v>
      </c>
      <c r="C3488">
        <v>2016</v>
      </c>
      <c r="D3488">
        <v>1</v>
      </c>
      <c r="E3488" t="s">
        <v>55</v>
      </c>
      <c r="F3488" t="s">
        <v>128</v>
      </c>
      <c r="G3488" t="s">
        <v>63</v>
      </c>
      <c r="H3488">
        <v>1</v>
      </c>
      <c r="I3488">
        <v>3.51749439</v>
      </c>
      <c r="J3488">
        <v>241</v>
      </c>
      <c r="K3488">
        <v>3.8</v>
      </c>
      <c r="M3488">
        <v>1.37</v>
      </c>
      <c r="O3488">
        <v>0.122</v>
      </c>
      <c r="Q3488">
        <v>0.59</v>
      </c>
      <c r="R3488">
        <v>0.56999999999999995</v>
      </c>
    </row>
    <row r="3489" spans="1:18" x14ac:dyDescent="0.2">
      <c r="A3489" t="s">
        <v>6086</v>
      </c>
      <c r="B3489" t="s">
        <v>6087</v>
      </c>
      <c r="C3489">
        <v>2016</v>
      </c>
      <c r="D3489">
        <v>1</v>
      </c>
      <c r="E3489" t="s">
        <v>55</v>
      </c>
      <c r="F3489" t="s">
        <v>128</v>
      </c>
      <c r="G3489" t="s">
        <v>63</v>
      </c>
      <c r="H3489">
        <v>1</v>
      </c>
      <c r="I3489">
        <v>40.109954700000003</v>
      </c>
      <c r="J3489">
        <v>904</v>
      </c>
      <c r="K3489">
        <v>4.37</v>
      </c>
      <c r="M3489">
        <v>2.54</v>
      </c>
      <c r="O3489">
        <v>0.22700000000000001</v>
      </c>
      <c r="Q3489">
        <v>0.95</v>
      </c>
      <c r="R3489">
        <v>0.93</v>
      </c>
    </row>
    <row r="3490" spans="1:18" x14ac:dyDescent="0.2">
      <c r="A3490" t="s">
        <v>6088</v>
      </c>
      <c r="B3490" t="s">
        <v>6089</v>
      </c>
      <c r="C3490">
        <v>2016</v>
      </c>
      <c r="D3490">
        <v>1</v>
      </c>
      <c r="E3490" t="s">
        <v>55</v>
      </c>
      <c r="F3490" t="s">
        <v>128</v>
      </c>
      <c r="G3490" t="s">
        <v>63</v>
      </c>
      <c r="H3490">
        <v>2</v>
      </c>
      <c r="I3490">
        <v>10.3507721</v>
      </c>
      <c r="J3490">
        <v>829</v>
      </c>
      <c r="K3490">
        <v>4.79</v>
      </c>
      <c r="M3490">
        <v>2.0099999999999998</v>
      </c>
      <c r="O3490">
        <v>0.17899999999999999</v>
      </c>
      <c r="Q3490">
        <v>0.98</v>
      </c>
      <c r="R3490">
        <v>0.97</v>
      </c>
    </row>
    <row r="3491" spans="1:18" x14ac:dyDescent="0.2">
      <c r="A3491" t="s">
        <v>6088</v>
      </c>
      <c r="B3491" t="s">
        <v>6090</v>
      </c>
      <c r="C3491">
        <v>2016</v>
      </c>
      <c r="D3491">
        <v>1</v>
      </c>
      <c r="E3491" t="s">
        <v>55</v>
      </c>
      <c r="F3491" t="s">
        <v>128</v>
      </c>
      <c r="G3491" t="s">
        <v>63</v>
      </c>
      <c r="H3491">
        <v>2</v>
      </c>
      <c r="I3491">
        <v>62.9228557</v>
      </c>
      <c r="J3491">
        <v>829</v>
      </c>
      <c r="K3491">
        <v>4.79</v>
      </c>
      <c r="M3491">
        <v>2.5299999999999998</v>
      </c>
      <c r="O3491">
        <v>0.22600000000000001</v>
      </c>
      <c r="Q3491">
        <v>0.98</v>
      </c>
      <c r="R3491">
        <v>0.97</v>
      </c>
    </row>
    <row r="3492" spans="1:18" x14ac:dyDescent="0.2">
      <c r="A3492" t="s">
        <v>6091</v>
      </c>
      <c r="B3492" t="s">
        <v>6092</v>
      </c>
      <c r="C3492">
        <v>2016</v>
      </c>
      <c r="D3492">
        <v>1</v>
      </c>
      <c r="E3492" t="s">
        <v>55</v>
      </c>
      <c r="F3492" t="s">
        <v>128</v>
      </c>
      <c r="G3492" t="s">
        <v>63</v>
      </c>
      <c r="H3492">
        <v>1</v>
      </c>
      <c r="I3492">
        <v>3.0216686300000002</v>
      </c>
      <c r="J3492">
        <v>1151</v>
      </c>
      <c r="K3492">
        <v>3.02</v>
      </c>
      <c r="M3492">
        <v>1.77</v>
      </c>
      <c r="O3492">
        <v>0.158</v>
      </c>
      <c r="Q3492">
        <v>1.1599999999999999</v>
      </c>
      <c r="R3492">
        <v>1.25</v>
      </c>
    </row>
    <row r="3493" spans="1:18" x14ac:dyDescent="0.2">
      <c r="A3493" t="s">
        <v>6093</v>
      </c>
      <c r="B3493" t="s">
        <v>6094</v>
      </c>
      <c r="C3493">
        <v>2016</v>
      </c>
      <c r="D3493">
        <v>1</v>
      </c>
      <c r="E3493" t="s">
        <v>55</v>
      </c>
      <c r="F3493" t="s">
        <v>128</v>
      </c>
      <c r="G3493" t="s">
        <v>63</v>
      </c>
      <c r="H3493">
        <v>1</v>
      </c>
      <c r="I3493">
        <v>5.0827465199999997</v>
      </c>
      <c r="J3493">
        <v>521</v>
      </c>
      <c r="K3493">
        <v>1.66</v>
      </c>
      <c r="M3493">
        <v>1.41</v>
      </c>
      <c r="O3493">
        <v>0.126</v>
      </c>
      <c r="Q3493">
        <v>0.95</v>
      </c>
      <c r="R3493">
        <v>0.86</v>
      </c>
    </row>
    <row r="3494" spans="1:18" x14ac:dyDescent="0.2">
      <c r="A3494" t="s">
        <v>6095</v>
      </c>
      <c r="B3494" t="s">
        <v>6096</v>
      </c>
      <c r="C3494">
        <v>2016</v>
      </c>
      <c r="D3494">
        <v>1</v>
      </c>
      <c r="E3494" t="s">
        <v>55</v>
      </c>
      <c r="F3494" t="s">
        <v>128</v>
      </c>
      <c r="G3494" t="s">
        <v>63</v>
      </c>
      <c r="H3494">
        <v>1</v>
      </c>
      <c r="I3494">
        <v>41.697997600000001</v>
      </c>
      <c r="J3494">
        <v>758</v>
      </c>
      <c r="K3494">
        <v>1.86</v>
      </c>
      <c r="M3494">
        <v>2.11</v>
      </c>
      <c r="O3494">
        <v>0.188</v>
      </c>
      <c r="Q3494">
        <v>1.06</v>
      </c>
      <c r="R3494">
        <v>1.02</v>
      </c>
    </row>
    <row r="3495" spans="1:18" x14ac:dyDescent="0.2">
      <c r="A3495" t="s">
        <v>6097</v>
      </c>
      <c r="B3495" t="s">
        <v>6098</v>
      </c>
      <c r="C3495">
        <v>2016</v>
      </c>
      <c r="D3495">
        <v>1</v>
      </c>
      <c r="E3495" t="s">
        <v>55</v>
      </c>
      <c r="F3495" t="s">
        <v>128</v>
      </c>
      <c r="G3495" t="s">
        <v>63</v>
      </c>
      <c r="H3495">
        <v>1</v>
      </c>
      <c r="I3495">
        <v>15.86621821</v>
      </c>
      <c r="J3495">
        <v>352</v>
      </c>
      <c r="K3495">
        <v>5.37</v>
      </c>
      <c r="M3495">
        <v>1.2</v>
      </c>
      <c r="O3495">
        <v>0.107</v>
      </c>
      <c r="Q3495">
        <v>1.08</v>
      </c>
      <c r="R3495">
        <v>1.38</v>
      </c>
    </row>
    <row r="3496" spans="1:18" x14ac:dyDescent="0.2">
      <c r="A3496" t="s">
        <v>6099</v>
      </c>
      <c r="B3496" t="s">
        <v>6100</v>
      </c>
      <c r="C3496">
        <v>2016</v>
      </c>
      <c r="D3496">
        <v>1</v>
      </c>
      <c r="E3496" t="s">
        <v>55</v>
      </c>
      <c r="F3496" t="s">
        <v>128</v>
      </c>
      <c r="G3496" t="s">
        <v>63</v>
      </c>
      <c r="H3496">
        <v>1</v>
      </c>
      <c r="I3496">
        <v>1.3405974700000001</v>
      </c>
      <c r="J3496">
        <v>250</v>
      </c>
      <c r="K3496">
        <v>3.02</v>
      </c>
      <c r="M3496">
        <v>1.22</v>
      </c>
      <c r="O3496">
        <v>0.109</v>
      </c>
      <c r="Q3496">
        <v>1.1100000000000001</v>
      </c>
      <c r="R3496">
        <v>1.1200000000000001</v>
      </c>
    </row>
    <row r="3497" spans="1:18" x14ac:dyDescent="0.2">
      <c r="A3497" t="s">
        <v>6101</v>
      </c>
      <c r="B3497" t="s">
        <v>6102</v>
      </c>
      <c r="C3497">
        <v>2016</v>
      </c>
      <c r="D3497">
        <v>1</v>
      </c>
      <c r="E3497" t="s">
        <v>55</v>
      </c>
      <c r="F3497" t="s">
        <v>128</v>
      </c>
      <c r="G3497" t="s">
        <v>63</v>
      </c>
      <c r="H3497">
        <v>1</v>
      </c>
      <c r="I3497">
        <v>13.93290318</v>
      </c>
      <c r="J3497">
        <v>318</v>
      </c>
      <c r="K3497">
        <v>2.88</v>
      </c>
      <c r="M3497">
        <v>1.47</v>
      </c>
      <c r="O3497">
        <v>0.13100000000000001</v>
      </c>
      <c r="Q3497">
        <v>1.17</v>
      </c>
      <c r="R3497">
        <v>1.23</v>
      </c>
    </row>
    <row r="3498" spans="1:18" x14ac:dyDescent="0.2">
      <c r="A3498" t="s">
        <v>6103</v>
      </c>
      <c r="B3498" t="s">
        <v>6104</v>
      </c>
      <c r="C3498">
        <v>2013</v>
      </c>
      <c r="D3498">
        <v>1</v>
      </c>
      <c r="E3498" t="s">
        <v>55</v>
      </c>
      <c r="F3498" t="s">
        <v>128</v>
      </c>
      <c r="G3498" t="s">
        <v>63</v>
      </c>
      <c r="H3498">
        <v>1</v>
      </c>
      <c r="I3498">
        <v>6.2465799999999998</v>
      </c>
      <c r="J3498">
        <v>1030</v>
      </c>
      <c r="L3498">
        <v>257.44229999999999</v>
      </c>
      <c r="M3498">
        <v>15.323</v>
      </c>
      <c r="N3498">
        <v>0.81</v>
      </c>
      <c r="O3498">
        <v>1.367</v>
      </c>
      <c r="P3498">
        <v>0.4</v>
      </c>
      <c r="Q3498">
        <v>1.31</v>
      </c>
      <c r="R3498">
        <v>6.3</v>
      </c>
    </row>
    <row r="3499" spans="1:18" x14ac:dyDescent="0.2">
      <c r="A3499" t="s">
        <v>6105</v>
      </c>
      <c r="B3499" t="s">
        <v>6106</v>
      </c>
      <c r="C3499">
        <v>2016</v>
      </c>
      <c r="D3499">
        <v>1</v>
      </c>
      <c r="E3499" t="s">
        <v>55</v>
      </c>
      <c r="F3499" t="s">
        <v>128</v>
      </c>
      <c r="G3499" t="s">
        <v>63</v>
      </c>
      <c r="H3499">
        <v>1</v>
      </c>
      <c r="I3499">
        <v>2.3643690099999999</v>
      </c>
      <c r="J3499">
        <v>402</v>
      </c>
      <c r="K3499">
        <v>3.39</v>
      </c>
      <c r="M3499">
        <v>0.82</v>
      </c>
      <c r="O3499">
        <v>7.2999999999999995E-2</v>
      </c>
      <c r="Q3499">
        <v>1.26</v>
      </c>
      <c r="R3499">
        <v>1.5</v>
      </c>
    </row>
    <row r="3500" spans="1:18" x14ac:dyDescent="0.2">
      <c r="A3500" t="s">
        <v>6107</v>
      </c>
      <c r="B3500" t="s">
        <v>6108</v>
      </c>
      <c r="C3500">
        <v>2016</v>
      </c>
      <c r="D3500">
        <v>1</v>
      </c>
      <c r="E3500" t="s">
        <v>55</v>
      </c>
      <c r="F3500" t="s">
        <v>128</v>
      </c>
      <c r="G3500" t="s">
        <v>63</v>
      </c>
      <c r="H3500">
        <v>1</v>
      </c>
      <c r="I3500">
        <v>20.310500999999999</v>
      </c>
      <c r="J3500">
        <v>567</v>
      </c>
      <c r="K3500">
        <v>3.55</v>
      </c>
      <c r="M3500">
        <v>2.6</v>
      </c>
      <c r="O3500">
        <v>0.23200000000000001</v>
      </c>
      <c r="Q3500">
        <v>1.34</v>
      </c>
      <c r="R3500">
        <v>1.99</v>
      </c>
    </row>
    <row r="3501" spans="1:18" x14ac:dyDescent="0.2">
      <c r="A3501" t="s">
        <v>6109</v>
      </c>
      <c r="B3501" t="s">
        <v>6110</v>
      </c>
      <c r="C3501">
        <v>2016</v>
      </c>
      <c r="D3501">
        <v>1</v>
      </c>
      <c r="E3501" t="s">
        <v>55</v>
      </c>
      <c r="F3501" t="s">
        <v>128</v>
      </c>
      <c r="G3501" t="s">
        <v>63</v>
      </c>
      <c r="H3501">
        <v>1</v>
      </c>
      <c r="I3501">
        <v>2.5347562699999999</v>
      </c>
      <c r="J3501">
        <v>1265</v>
      </c>
      <c r="K3501">
        <v>3.16</v>
      </c>
      <c r="M3501">
        <v>2.8</v>
      </c>
      <c r="O3501">
        <v>0.25</v>
      </c>
      <c r="Q3501">
        <v>1.07</v>
      </c>
      <c r="R3501">
        <v>1.1100000000000001</v>
      </c>
    </row>
    <row r="3502" spans="1:18" x14ac:dyDescent="0.2">
      <c r="A3502" t="s">
        <v>6111</v>
      </c>
      <c r="B3502" t="s">
        <v>6112</v>
      </c>
      <c r="C3502">
        <v>2016</v>
      </c>
      <c r="D3502">
        <v>1</v>
      </c>
      <c r="E3502" t="s">
        <v>55</v>
      </c>
      <c r="F3502" t="s">
        <v>128</v>
      </c>
      <c r="G3502" t="s">
        <v>63</v>
      </c>
      <c r="H3502">
        <v>1</v>
      </c>
      <c r="I3502">
        <v>10.29672521</v>
      </c>
      <c r="J3502">
        <v>597</v>
      </c>
      <c r="K3502">
        <v>5.62</v>
      </c>
      <c r="M3502">
        <v>2.06</v>
      </c>
      <c r="O3502">
        <v>0.184</v>
      </c>
      <c r="Q3502">
        <v>0.63</v>
      </c>
      <c r="R3502">
        <v>0.61</v>
      </c>
    </row>
    <row r="3503" spans="1:18" x14ac:dyDescent="0.2">
      <c r="A3503" t="s">
        <v>6113</v>
      </c>
      <c r="B3503" t="s">
        <v>6114</v>
      </c>
      <c r="C3503">
        <v>2016</v>
      </c>
      <c r="D3503">
        <v>1</v>
      </c>
      <c r="E3503" t="s">
        <v>55</v>
      </c>
      <c r="F3503" t="s">
        <v>128</v>
      </c>
      <c r="G3503" t="s">
        <v>63</v>
      </c>
      <c r="H3503">
        <v>1</v>
      </c>
      <c r="I3503">
        <v>4.4096654800000001</v>
      </c>
      <c r="J3503">
        <v>678</v>
      </c>
      <c r="K3503">
        <v>3.98</v>
      </c>
      <c r="M3503">
        <v>1.38</v>
      </c>
      <c r="O3503">
        <v>0.123</v>
      </c>
      <c r="Q3503">
        <v>1.1000000000000001</v>
      </c>
      <c r="R3503">
        <v>1.1499999999999999</v>
      </c>
    </row>
    <row r="3504" spans="1:18" x14ac:dyDescent="0.2">
      <c r="A3504" t="s">
        <v>6115</v>
      </c>
      <c r="B3504" t="s">
        <v>6116</v>
      </c>
      <c r="C3504">
        <v>2016</v>
      </c>
      <c r="D3504">
        <v>1</v>
      </c>
      <c r="E3504" t="s">
        <v>55</v>
      </c>
      <c r="F3504" t="s">
        <v>128</v>
      </c>
      <c r="G3504" t="s">
        <v>63</v>
      </c>
      <c r="H3504">
        <v>1</v>
      </c>
      <c r="I3504">
        <v>4.5948960400000001</v>
      </c>
      <c r="J3504">
        <v>806</v>
      </c>
      <c r="K3504">
        <v>3.39</v>
      </c>
      <c r="M3504">
        <v>1.5</v>
      </c>
      <c r="O3504">
        <v>0.13400000000000001</v>
      </c>
      <c r="Q3504">
        <v>1.21</v>
      </c>
      <c r="R3504">
        <v>1.38</v>
      </c>
    </row>
    <row r="3505" spans="1:18" x14ac:dyDescent="0.2">
      <c r="A3505" t="s">
        <v>6117</v>
      </c>
      <c r="B3505" t="s">
        <v>6118</v>
      </c>
      <c r="C3505">
        <v>2016</v>
      </c>
      <c r="D3505">
        <v>1</v>
      </c>
      <c r="E3505" t="s">
        <v>55</v>
      </c>
      <c r="F3505" t="s">
        <v>128</v>
      </c>
      <c r="G3505" t="s">
        <v>63</v>
      </c>
      <c r="H3505">
        <v>1</v>
      </c>
      <c r="I3505">
        <v>32.296879799999999</v>
      </c>
      <c r="J3505">
        <v>769</v>
      </c>
      <c r="K3505">
        <v>4.79</v>
      </c>
      <c r="M3505">
        <v>1.76</v>
      </c>
      <c r="O3505">
        <v>0.157</v>
      </c>
      <c r="Q3505">
        <v>0.85</v>
      </c>
      <c r="R3505">
        <v>0.81</v>
      </c>
    </row>
    <row r="3506" spans="1:18" x14ac:dyDescent="0.2">
      <c r="A3506" t="s">
        <v>6119</v>
      </c>
      <c r="B3506" t="s">
        <v>6120</v>
      </c>
      <c r="C3506">
        <v>2016</v>
      </c>
      <c r="D3506">
        <v>1</v>
      </c>
      <c r="E3506" t="s">
        <v>55</v>
      </c>
      <c r="F3506" t="s">
        <v>128</v>
      </c>
      <c r="G3506" t="s">
        <v>63</v>
      </c>
      <c r="H3506">
        <v>1</v>
      </c>
      <c r="I3506">
        <v>2.9704143699999999</v>
      </c>
      <c r="J3506">
        <v>1027</v>
      </c>
      <c r="K3506">
        <v>4.17</v>
      </c>
      <c r="M3506">
        <v>1.91</v>
      </c>
      <c r="O3506">
        <v>0.17</v>
      </c>
      <c r="Q3506">
        <v>0.8</v>
      </c>
      <c r="R3506">
        <v>0.76</v>
      </c>
    </row>
    <row r="3507" spans="1:18" x14ac:dyDescent="0.2">
      <c r="A3507" t="s">
        <v>6121</v>
      </c>
      <c r="B3507" t="s">
        <v>6122</v>
      </c>
      <c r="C3507">
        <v>2016</v>
      </c>
      <c r="D3507">
        <v>1</v>
      </c>
      <c r="E3507" t="s">
        <v>55</v>
      </c>
      <c r="F3507" t="s">
        <v>128</v>
      </c>
      <c r="G3507" t="s">
        <v>63</v>
      </c>
      <c r="H3507">
        <v>1</v>
      </c>
      <c r="I3507">
        <v>4.8538693300000002</v>
      </c>
      <c r="J3507">
        <v>1245</v>
      </c>
      <c r="K3507">
        <v>3.24</v>
      </c>
      <c r="M3507">
        <v>1.74</v>
      </c>
      <c r="O3507">
        <v>0.155</v>
      </c>
      <c r="Q3507">
        <v>1.1100000000000001</v>
      </c>
      <c r="R3507">
        <v>1.1399999999999999</v>
      </c>
    </row>
    <row r="3508" spans="1:18" x14ac:dyDescent="0.2">
      <c r="A3508" t="s">
        <v>6123</v>
      </c>
      <c r="B3508" t="s">
        <v>6124</v>
      </c>
      <c r="C3508">
        <v>2016</v>
      </c>
      <c r="D3508">
        <v>1</v>
      </c>
      <c r="E3508" t="s">
        <v>55</v>
      </c>
      <c r="F3508" t="s">
        <v>128</v>
      </c>
      <c r="G3508" t="s">
        <v>63</v>
      </c>
      <c r="H3508">
        <v>1</v>
      </c>
      <c r="I3508">
        <v>11.04603384</v>
      </c>
      <c r="J3508">
        <v>1219</v>
      </c>
      <c r="K3508">
        <v>3.02</v>
      </c>
      <c r="M3508">
        <v>2.25</v>
      </c>
      <c r="O3508">
        <v>0.20100000000000001</v>
      </c>
      <c r="Q3508">
        <v>1.1499999999999999</v>
      </c>
      <c r="R3508">
        <v>1.21</v>
      </c>
    </row>
    <row r="3509" spans="1:18" x14ac:dyDescent="0.2">
      <c r="A3509" t="s">
        <v>6125</v>
      </c>
      <c r="B3509" t="s">
        <v>6126</v>
      </c>
      <c r="C3509">
        <v>2013</v>
      </c>
      <c r="D3509">
        <v>1</v>
      </c>
      <c r="E3509" t="s">
        <v>55</v>
      </c>
      <c r="F3509" t="s">
        <v>128</v>
      </c>
      <c r="G3509" t="s">
        <v>63</v>
      </c>
      <c r="H3509">
        <v>3</v>
      </c>
      <c r="I3509">
        <v>13.749000000000001</v>
      </c>
      <c r="J3509">
        <v>444</v>
      </c>
      <c r="L3509">
        <v>64.3</v>
      </c>
      <c r="M3509">
        <v>3.51</v>
      </c>
      <c r="N3509">
        <v>0.20200000000000001</v>
      </c>
      <c r="O3509">
        <v>0.313</v>
      </c>
      <c r="R3509">
        <v>1.53</v>
      </c>
    </row>
    <row r="3510" spans="1:18" x14ac:dyDescent="0.2">
      <c r="A3510" t="s">
        <v>6125</v>
      </c>
      <c r="B3510" t="s">
        <v>6127</v>
      </c>
      <c r="C3510">
        <v>2013</v>
      </c>
      <c r="D3510">
        <v>1</v>
      </c>
      <c r="E3510" t="s">
        <v>55</v>
      </c>
      <c r="F3510" t="s">
        <v>128</v>
      </c>
      <c r="G3510" t="s">
        <v>63</v>
      </c>
      <c r="H3510">
        <v>3</v>
      </c>
      <c r="I3510">
        <v>26.722999999999999</v>
      </c>
      <c r="J3510">
        <v>444</v>
      </c>
      <c r="L3510">
        <v>6.1</v>
      </c>
      <c r="M3510">
        <v>2.6</v>
      </c>
      <c r="N3510">
        <v>1.9E-2</v>
      </c>
      <c r="O3510">
        <v>0.23200000000000001</v>
      </c>
      <c r="R3510">
        <v>1.53</v>
      </c>
    </row>
    <row r="3511" spans="1:18" x14ac:dyDescent="0.2">
      <c r="A3511" t="s">
        <v>6125</v>
      </c>
      <c r="B3511" t="s">
        <v>6128</v>
      </c>
      <c r="C3511">
        <v>2015</v>
      </c>
      <c r="D3511">
        <v>1</v>
      </c>
      <c r="E3511" t="s">
        <v>55</v>
      </c>
      <c r="F3511" t="s">
        <v>128</v>
      </c>
      <c r="G3511" t="s">
        <v>63</v>
      </c>
      <c r="H3511">
        <v>3</v>
      </c>
      <c r="I3511">
        <v>49.3568</v>
      </c>
      <c r="J3511">
        <v>444</v>
      </c>
      <c r="M3511">
        <v>2.0670000000000002</v>
      </c>
      <c r="O3511">
        <v>0.184</v>
      </c>
      <c r="R3511">
        <v>1.53</v>
      </c>
    </row>
    <row r="3512" spans="1:18" x14ac:dyDescent="0.2">
      <c r="A3512" t="s">
        <v>6129</v>
      </c>
      <c r="B3512" t="s">
        <v>6130</v>
      </c>
      <c r="C3512">
        <v>2016</v>
      </c>
      <c r="D3512">
        <v>1</v>
      </c>
      <c r="E3512" t="s">
        <v>55</v>
      </c>
      <c r="F3512" t="s">
        <v>128</v>
      </c>
      <c r="G3512" t="s">
        <v>63</v>
      </c>
      <c r="H3512">
        <v>2</v>
      </c>
      <c r="I3512">
        <v>6.5319270400000002</v>
      </c>
      <c r="J3512">
        <v>926</v>
      </c>
      <c r="K3512">
        <v>4.37</v>
      </c>
      <c r="M3512">
        <v>2.42</v>
      </c>
      <c r="O3512">
        <v>0.216</v>
      </c>
      <c r="Q3512">
        <v>0.89</v>
      </c>
      <c r="R3512">
        <v>0.85</v>
      </c>
    </row>
    <row r="3513" spans="1:18" x14ac:dyDescent="0.2">
      <c r="A3513" t="s">
        <v>6129</v>
      </c>
      <c r="B3513" t="s">
        <v>6131</v>
      </c>
      <c r="C3513">
        <v>2016</v>
      </c>
      <c r="D3513">
        <v>1</v>
      </c>
      <c r="E3513" t="s">
        <v>55</v>
      </c>
      <c r="F3513" t="s">
        <v>128</v>
      </c>
      <c r="G3513" t="s">
        <v>63</v>
      </c>
      <c r="H3513">
        <v>2</v>
      </c>
      <c r="I3513">
        <v>100.82741129999999</v>
      </c>
      <c r="J3513">
        <v>926</v>
      </c>
      <c r="K3513">
        <v>4.37</v>
      </c>
      <c r="M3513">
        <v>3.8</v>
      </c>
      <c r="O3513">
        <v>0.33900000000000002</v>
      </c>
      <c r="Q3513">
        <v>0.89</v>
      </c>
      <c r="R3513">
        <v>0.85</v>
      </c>
    </row>
    <row r="3514" spans="1:18" x14ac:dyDescent="0.2">
      <c r="A3514" t="s">
        <v>6132</v>
      </c>
      <c r="B3514" t="s">
        <v>6133</v>
      </c>
      <c r="C3514">
        <v>2016</v>
      </c>
      <c r="D3514">
        <v>1</v>
      </c>
      <c r="E3514" t="s">
        <v>55</v>
      </c>
      <c r="F3514" t="s">
        <v>128</v>
      </c>
      <c r="G3514" t="s">
        <v>63</v>
      </c>
      <c r="H3514">
        <v>1</v>
      </c>
      <c r="I3514">
        <v>51.300634000000002</v>
      </c>
      <c r="J3514">
        <v>847</v>
      </c>
      <c r="K3514">
        <v>4.2699999999999996</v>
      </c>
      <c r="M3514">
        <v>2.87</v>
      </c>
      <c r="O3514">
        <v>0.25600000000000001</v>
      </c>
      <c r="Q3514">
        <v>0.93</v>
      </c>
      <c r="R3514">
        <v>0.91</v>
      </c>
    </row>
    <row r="3515" spans="1:18" x14ac:dyDescent="0.2">
      <c r="A3515" t="s">
        <v>6134</v>
      </c>
      <c r="B3515" t="s">
        <v>6135</v>
      </c>
      <c r="C3515">
        <v>2016</v>
      </c>
      <c r="D3515">
        <v>1</v>
      </c>
      <c r="E3515" t="s">
        <v>55</v>
      </c>
      <c r="F3515" t="s">
        <v>128</v>
      </c>
      <c r="G3515" t="s">
        <v>63</v>
      </c>
      <c r="H3515">
        <v>1</v>
      </c>
      <c r="I3515">
        <v>0.93846682999999997</v>
      </c>
      <c r="J3515">
        <v>558</v>
      </c>
      <c r="K3515">
        <v>4.37</v>
      </c>
      <c r="M3515">
        <v>1.42</v>
      </c>
      <c r="O3515">
        <v>0.127</v>
      </c>
      <c r="Q3515">
        <v>0.95</v>
      </c>
      <c r="R3515">
        <v>0.93</v>
      </c>
    </row>
    <row r="3516" spans="1:18" x14ac:dyDescent="0.2">
      <c r="A3516" t="s">
        <v>6136</v>
      </c>
      <c r="B3516" t="s">
        <v>6137</v>
      </c>
      <c r="C3516">
        <v>2016</v>
      </c>
      <c r="D3516">
        <v>1</v>
      </c>
      <c r="E3516" t="s">
        <v>55</v>
      </c>
      <c r="F3516" t="s">
        <v>128</v>
      </c>
      <c r="G3516" t="s">
        <v>63</v>
      </c>
      <c r="H3516">
        <v>1</v>
      </c>
      <c r="I3516">
        <v>6.9336647600000001</v>
      </c>
      <c r="J3516">
        <v>966</v>
      </c>
      <c r="K3516">
        <v>4.68</v>
      </c>
      <c r="M3516">
        <v>1.38</v>
      </c>
      <c r="O3516">
        <v>0.123</v>
      </c>
      <c r="Q3516">
        <v>1.1100000000000001</v>
      </c>
      <c r="R3516">
        <v>1.26</v>
      </c>
    </row>
    <row r="3517" spans="1:18" x14ac:dyDescent="0.2">
      <c r="A3517" t="s">
        <v>6138</v>
      </c>
      <c r="B3517" t="s">
        <v>6139</v>
      </c>
      <c r="C3517">
        <v>2016</v>
      </c>
      <c r="D3517">
        <v>1</v>
      </c>
      <c r="E3517" t="s">
        <v>55</v>
      </c>
      <c r="F3517" t="s">
        <v>128</v>
      </c>
      <c r="G3517" t="s">
        <v>63</v>
      </c>
      <c r="H3517">
        <v>1</v>
      </c>
      <c r="I3517">
        <v>61.037011700000001</v>
      </c>
      <c r="J3517">
        <v>995</v>
      </c>
      <c r="K3517">
        <v>3.09</v>
      </c>
      <c r="M3517">
        <v>3.07</v>
      </c>
      <c r="O3517">
        <v>0.27400000000000002</v>
      </c>
      <c r="Q3517">
        <v>1.1399999999999999</v>
      </c>
      <c r="R3517">
        <v>1.23</v>
      </c>
    </row>
    <row r="3518" spans="1:18" x14ac:dyDescent="0.2">
      <c r="A3518" t="s">
        <v>6140</v>
      </c>
      <c r="B3518" t="s">
        <v>6141</v>
      </c>
      <c r="C3518">
        <v>2016</v>
      </c>
      <c r="D3518">
        <v>1</v>
      </c>
      <c r="E3518" t="s">
        <v>55</v>
      </c>
      <c r="F3518" t="s">
        <v>128</v>
      </c>
      <c r="G3518" t="s">
        <v>63</v>
      </c>
      <c r="H3518">
        <v>1</v>
      </c>
      <c r="I3518">
        <v>33.867853099999998</v>
      </c>
      <c r="J3518">
        <v>623</v>
      </c>
      <c r="K3518">
        <v>2.57</v>
      </c>
      <c r="M3518">
        <v>2.34</v>
      </c>
      <c r="O3518">
        <v>0.20899999999999999</v>
      </c>
      <c r="Q3518">
        <v>0.77</v>
      </c>
      <c r="R3518">
        <v>0.72</v>
      </c>
    </row>
    <row r="3519" spans="1:18" x14ac:dyDescent="0.2">
      <c r="A3519" t="s">
        <v>6142</v>
      </c>
      <c r="B3519" t="s">
        <v>6143</v>
      </c>
      <c r="C3519">
        <v>2016</v>
      </c>
      <c r="D3519">
        <v>1</v>
      </c>
      <c r="E3519" t="s">
        <v>55</v>
      </c>
      <c r="F3519" t="s">
        <v>128</v>
      </c>
      <c r="G3519" t="s">
        <v>63</v>
      </c>
      <c r="H3519">
        <v>1</v>
      </c>
      <c r="I3519">
        <v>52.068860100000002</v>
      </c>
      <c r="J3519">
        <v>771</v>
      </c>
      <c r="K3519">
        <v>4.37</v>
      </c>
      <c r="M3519">
        <v>2.31</v>
      </c>
      <c r="O3519">
        <v>0.20599999999999999</v>
      </c>
      <c r="Q3519">
        <v>1.01</v>
      </c>
      <c r="R3519">
        <v>1.01</v>
      </c>
    </row>
    <row r="3520" spans="1:18" x14ac:dyDescent="0.2">
      <c r="A3520" t="s">
        <v>6144</v>
      </c>
      <c r="B3520" t="s">
        <v>6145</v>
      </c>
      <c r="C3520">
        <v>2016</v>
      </c>
      <c r="D3520">
        <v>1</v>
      </c>
      <c r="E3520" t="s">
        <v>55</v>
      </c>
      <c r="F3520" t="s">
        <v>128</v>
      </c>
      <c r="G3520" t="s">
        <v>63</v>
      </c>
      <c r="H3520">
        <v>1</v>
      </c>
      <c r="I3520">
        <v>9.1149903000000005</v>
      </c>
      <c r="J3520">
        <v>879</v>
      </c>
      <c r="K3520">
        <v>4.37</v>
      </c>
      <c r="M3520">
        <v>1.72</v>
      </c>
      <c r="O3520">
        <v>0.153</v>
      </c>
      <c r="Q3520">
        <v>0.99</v>
      </c>
      <c r="R3520">
        <v>0.99</v>
      </c>
    </row>
    <row r="3521" spans="1:19" x14ac:dyDescent="0.2">
      <c r="A3521" t="s">
        <v>6146</v>
      </c>
      <c r="B3521" t="s">
        <v>6147</v>
      </c>
      <c r="C3521">
        <v>2016</v>
      </c>
      <c r="D3521">
        <v>1</v>
      </c>
      <c r="E3521" t="s">
        <v>55</v>
      </c>
      <c r="F3521" t="s">
        <v>128</v>
      </c>
      <c r="G3521" t="s">
        <v>63</v>
      </c>
      <c r="H3521">
        <v>1</v>
      </c>
      <c r="I3521">
        <v>3.9324612999999999</v>
      </c>
      <c r="J3521">
        <v>532</v>
      </c>
      <c r="K3521">
        <v>4.37</v>
      </c>
      <c r="M3521">
        <v>1.59</v>
      </c>
      <c r="O3521">
        <v>0.14199999999999999</v>
      </c>
      <c r="Q3521">
        <v>0.73</v>
      </c>
      <c r="R3521">
        <v>0.7</v>
      </c>
    </row>
    <row r="3522" spans="1:19" x14ac:dyDescent="0.2">
      <c r="A3522" t="s">
        <v>6148</v>
      </c>
      <c r="B3522" t="s">
        <v>6149</v>
      </c>
      <c r="C3522">
        <v>2016</v>
      </c>
      <c r="D3522">
        <v>1</v>
      </c>
      <c r="E3522" t="s">
        <v>55</v>
      </c>
      <c r="F3522" t="s">
        <v>128</v>
      </c>
      <c r="G3522" t="s">
        <v>63</v>
      </c>
      <c r="H3522">
        <v>1</v>
      </c>
      <c r="I3522">
        <v>0.92103214</v>
      </c>
      <c r="J3522">
        <v>820</v>
      </c>
      <c r="K3522">
        <v>3.47</v>
      </c>
      <c r="M3522">
        <v>1.1100000000000001</v>
      </c>
      <c r="O3522">
        <v>9.9000000000000005E-2</v>
      </c>
      <c r="Q3522">
        <v>1.01</v>
      </c>
      <c r="R3522">
        <v>1.02</v>
      </c>
    </row>
    <row r="3523" spans="1:19" x14ac:dyDescent="0.2">
      <c r="A3523" t="s">
        <v>6150</v>
      </c>
      <c r="B3523" t="s">
        <v>6151</v>
      </c>
      <c r="C3523">
        <v>2014</v>
      </c>
      <c r="D3523">
        <v>1</v>
      </c>
      <c r="E3523" t="s">
        <v>55</v>
      </c>
      <c r="F3523" t="s">
        <v>128</v>
      </c>
      <c r="G3523" t="s">
        <v>63</v>
      </c>
      <c r="H3523">
        <v>2</v>
      </c>
      <c r="I3523">
        <v>4.7267400000000004</v>
      </c>
      <c r="J3523">
        <v>95.9</v>
      </c>
      <c r="L3523">
        <v>3.1783000000000001</v>
      </c>
      <c r="M3523">
        <v>1.569</v>
      </c>
      <c r="N3523">
        <v>0.01</v>
      </c>
      <c r="O3523">
        <v>0.14000000000000001</v>
      </c>
      <c r="Q3523">
        <v>1.0900000000000001</v>
      </c>
      <c r="R3523">
        <v>0.98</v>
      </c>
      <c r="S3523">
        <v>1.65</v>
      </c>
    </row>
    <row r="3524" spans="1:19" x14ac:dyDescent="0.2">
      <c r="A3524" t="s">
        <v>6150</v>
      </c>
      <c r="B3524" t="s">
        <v>6152</v>
      </c>
      <c r="C3524">
        <v>2014</v>
      </c>
      <c r="D3524">
        <v>1</v>
      </c>
      <c r="E3524" t="s">
        <v>21</v>
      </c>
      <c r="F3524" t="s">
        <v>22</v>
      </c>
      <c r="G3524" t="s">
        <v>32</v>
      </c>
      <c r="H3524">
        <v>2</v>
      </c>
      <c r="I3524">
        <v>1460</v>
      </c>
      <c r="J3524">
        <v>95.9</v>
      </c>
      <c r="L3524">
        <v>954</v>
      </c>
      <c r="N3524">
        <v>3</v>
      </c>
      <c r="Q3524">
        <v>1.0900000000000001</v>
      </c>
      <c r="R3524">
        <v>0.98</v>
      </c>
      <c r="S3524">
        <v>1.65</v>
      </c>
    </row>
    <row r="3525" spans="1:19" x14ac:dyDescent="0.2">
      <c r="A3525" t="s">
        <v>6153</v>
      </c>
      <c r="B3525" t="s">
        <v>6154</v>
      </c>
      <c r="C3525">
        <v>2016</v>
      </c>
      <c r="D3525">
        <v>1</v>
      </c>
      <c r="E3525" t="s">
        <v>55</v>
      </c>
      <c r="F3525" t="s">
        <v>128</v>
      </c>
      <c r="G3525" t="s">
        <v>63</v>
      </c>
      <c r="H3525">
        <v>1</v>
      </c>
      <c r="I3525">
        <v>71.451777500000006</v>
      </c>
      <c r="J3525">
        <v>905</v>
      </c>
      <c r="K3525">
        <v>2.34</v>
      </c>
      <c r="M3525">
        <v>2.13</v>
      </c>
      <c r="O3525">
        <v>0.19</v>
      </c>
      <c r="Q3525">
        <v>1.25</v>
      </c>
      <c r="R3525">
        <v>1.4</v>
      </c>
    </row>
    <row r="3526" spans="1:19" x14ac:dyDescent="0.2">
      <c r="A3526" t="s">
        <v>6155</v>
      </c>
      <c r="B3526" t="s">
        <v>6156</v>
      </c>
      <c r="C3526">
        <v>2016</v>
      </c>
      <c r="D3526">
        <v>1</v>
      </c>
      <c r="E3526" t="s">
        <v>55</v>
      </c>
      <c r="F3526" t="s">
        <v>128</v>
      </c>
      <c r="G3526" t="s">
        <v>63</v>
      </c>
      <c r="H3526">
        <v>1</v>
      </c>
      <c r="I3526">
        <v>8.0375587700000004</v>
      </c>
      <c r="J3526">
        <v>490</v>
      </c>
      <c r="K3526">
        <v>4.68</v>
      </c>
      <c r="M3526">
        <v>1.33</v>
      </c>
      <c r="O3526">
        <v>0.11899999999999999</v>
      </c>
      <c r="Q3526">
        <v>0.86</v>
      </c>
      <c r="R3526">
        <v>0.81</v>
      </c>
    </row>
    <row r="3527" spans="1:19" x14ac:dyDescent="0.2">
      <c r="A3527" t="s">
        <v>6157</v>
      </c>
      <c r="B3527" t="s">
        <v>6158</v>
      </c>
      <c r="C3527">
        <v>2016</v>
      </c>
      <c r="D3527">
        <v>1</v>
      </c>
      <c r="E3527" t="s">
        <v>55</v>
      </c>
      <c r="F3527" t="s">
        <v>128</v>
      </c>
      <c r="G3527" t="s">
        <v>63</v>
      </c>
      <c r="H3527">
        <v>1</v>
      </c>
      <c r="I3527">
        <v>1.9214374000000001</v>
      </c>
      <c r="J3527">
        <v>478</v>
      </c>
      <c r="K3527">
        <v>4.68</v>
      </c>
      <c r="M3527">
        <v>1.37</v>
      </c>
      <c r="O3527">
        <v>0.122</v>
      </c>
      <c r="Q3527">
        <v>0.87</v>
      </c>
      <c r="R3527">
        <v>0.84</v>
      </c>
    </row>
    <row r="3528" spans="1:19" x14ac:dyDescent="0.2">
      <c r="A3528" t="s">
        <v>6159</v>
      </c>
      <c r="B3528" t="s">
        <v>6160</v>
      </c>
      <c r="C3528">
        <v>2016</v>
      </c>
      <c r="D3528">
        <v>1</v>
      </c>
      <c r="E3528" t="s">
        <v>55</v>
      </c>
      <c r="F3528" t="s">
        <v>128</v>
      </c>
      <c r="G3528" t="s">
        <v>63</v>
      </c>
      <c r="H3528">
        <v>1</v>
      </c>
      <c r="I3528">
        <v>14.204430090000001</v>
      </c>
      <c r="J3528">
        <v>922</v>
      </c>
      <c r="K3528">
        <v>4.68</v>
      </c>
      <c r="M3528">
        <v>2.46</v>
      </c>
      <c r="O3528">
        <v>0.219</v>
      </c>
      <c r="Q3528">
        <v>0.87</v>
      </c>
      <c r="R3528">
        <v>0.84</v>
      </c>
    </row>
    <row r="3529" spans="1:19" x14ac:dyDescent="0.2">
      <c r="A3529" t="s">
        <v>6161</v>
      </c>
      <c r="B3529" t="s">
        <v>6162</v>
      </c>
      <c r="C3529">
        <v>2016</v>
      </c>
      <c r="D3529">
        <v>1</v>
      </c>
      <c r="E3529" t="s">
        <v>55</v>
      </c>
      <c r="F3529" t="s">
        <v>128</v>
      </c>
      <c r="G3529" t="s">
        <v>63</v>
      </c>
      <c r="H3529">
        <v>1</v>
      </c>
      <c r="I3529">
        <v>55.673830899999999</v>
      </c>
      <c r="J3529">
        <v>603</v>
      </c>
      <c r="K3529">
        <v>4.47</v>
      </c>
      <c r="M3529">
        <v>2.09</v>
      </c>
      <c r="O3529">
        <v>0.186</v>
      </c>
      <c r="Q3529">
        <v>0.81</v>
      </c>
      <c r="R3529">
        <v>0.77</v>
      </c>
    </row>
    <row r="3530" spans="1:19" x14ac:dyDescent="0.2">
      <c r="A3530" t="s">
        <v>6163</v>
      </c>
      <c r="B3530" t="s">
        <v>6164</v>
      </c>
      <c r="C3530">
        <v>2016</v>
      </c>
      <c r="D3530">
        <v>1</v>
      </c>
      <c r="E3530" t="s">
        <v>55</v>
      </c>
      <c r="F3530" t="s">
        <v>128</v>
      </c>
      <c r="G3530" t="s">
        <v>63</v>
      </c>
      <c r="H3530">
        <v>1</v>
      </c>
      <c r="I3530">
        <v>4.8808385200000002</v>
      </c>
      <c r="J3530">
        <v>482</v>
      </c>
      <c r="K3530">
        <v>3.8</v>
      </c>
      <c r="M3530">
        <v>1.35</v>
      </c>
      <c r="O3530">
        <v>0.12</v>
      </c>
      <c r="Q3530">
        <v>0.78</v>
      </c>
      <c r="R3530">
        <v>0.73</v>
      </c>
    </row>
    <row r="3531" spans="1:19" x14ac:dyDescent="0.2">
      <c r="A3531" t="s">
        <v>6165</v>
      </c>
      <c r="B3531" t="s">
        <v>6166</v>
      </c>
      <c r="C3531">
        <v>2016</v>
      </c>
      <c r="D3531">
        <v>1</v>
      </c>
      <c r="E3531" t="s">
        <v>55</v>
      </c>
      <c r="F3531" t="s">
        <v>128</v>
      </c>
      <c r="G3531" t="s">
        <v>63</v>
      </c>
      <c r="H3531">
        <v>1</v>
      </c>
      <c r="I3531">
        <v>10.561342209999999</v>
      </c>
      <c r="J3531">
        <v>687</v>
      </c>
      <c r="K3531">
        <v>4.57</v>
      </c>
      <c r="M3531">
        <v>1.45</v>
      </c>
      <c r="O3531">
        <v>0.129</v>
      </c>
      <c r="Q3531">
        <v>0.92</v>
      </c>
      <c r="R3531">
        <v>0.89</v>
      </c>
    </row>
    <row r="3532" spans="1:19" x14ac:dyDescent="0.2">
      <c r="A3532" t="s">
        <v>6167</v>
      </c>
      <c r="B3532" t="s">
        <v>6168</v>
      </c>
      <c r="C3532">
        <v>2016</v>
      </c>
      <c r="D3532">
        <v>1</v>
      </c>
      <c r="E3532" t="s">
        <v>55</v>
      </c>
      <c r="F3532" t="s">
        <v>128</v>
      </c>
      <c r="G3532" t="s">
        <v>63</v>
      </c>
      <c r="H3532">
        <v>2</v>
      </c>
      <c r="I3532">
        <v>67.668826999999993</v>
      </c>
      <c r="J3532">
        <v>1482</v>
      </c>
      <c r="K3532">
        <v>3.24</v>
      </c>
      <c r="M3532">
        <v>3.72</v>
      </c>
      <c r="O3532">
        <v>0.33200000000000002</v>
      </c>
      <c r="Q3532">
        <v>1.1499999999999999</v>
      </c>
      <c r="R3532">
        <v>1.22</v>
      </c>
    </row>
    <row r="3533" spans="1:19" x14ac:dyDescent="0.2">
      <c r="A3533" t="s">
        <v>6167</v>
      </c>
      <c r="B3533" t="s">
        <v>6169</v>
      </c>
      <c r="C3533">
        <v>2016</v>
      </c>
      <c r="D3533">
        <v>1</v>
      </c>
      <c r="E3533" t="s">
        <v>55</v>
      </c>
      <c r="F3533" t="s">
        <v>128</v>
      </c>
      <c r="G3533" t="s">
        <v>63</v>
      </c>
      <c r="H3533">
        <v>2</v>
      </c>
      <c r="I3533">
        <v>153.34336400000001</v>
      </c>
      <c r="J3533">
        <v>1482</v>
      </c>
      <c r="K3533">
        <v>3.24</v>
      </c>
      <c r="M3533">
        <v>2.67</v>
      </c>
      <c r="O3533">
        <v>0.23799999999999999</v>
      </c>
      <c r="Q3533">
        <v>1.1499999999999999</v>
      </c>
      <c r="R3533">
        <v>1.22</v>
      </c>
    </row>
    <row r="3534" spans="1:19" x14ac:dyDescent="0.2">
      <c r="A3534" t="s">
        <v>6170</v>
      </c>
      <c r="B3534" t="s">
        <v>6171</v>
      </c>
      <c r="C3534">
        <v>2016</v>
      </c>
      <c r="D3534">
        <v>1</v>
      </c>
      <c r="E3534" t="s">
        <v>55</v>
      </c>
      <c r="F3534" t="s">
        <v>128</v>
      </c>
      <c r="G3534" t="s">
        <v>63</v>
      </c>
      <c r="H3534">
        <v>1</v>
      </c>
      <c r="I3534">
        <v>52.6298417</v>
      </c>
      <c r="J3534">
        <v>861</v>
      </c>
      <c r="K3534">
        <v>4.2699999999999996</v>
      </c>
      <c r="M3534">
        <v>2.2200000000000002</v>
      </c>
      <c r="O3534">
        <v>0.19800000000000001</v>
      </c>
      <c r="Q3534">
        <v>0.92</v>
      </c>
      <c r="R3534">
        <v>0.89</v>
      </c>
    </row>
    <row r="3535" spans="1:19" x14ac:dyDescent="0.2">
      <c r="A3535" t="s">
        <v>6172</v>
      </c>
      <c r="B3535" t="s">
        <v>6173</v>
      </c>
      <c r="C3535">
        <v>2016</v>
      </c>
      <c r="D3535">
        <v>1</v>
      </c>
      <c r="E3535" t="s">
        <v>55</v>
      </c>
      <c r="F3535" t="s">
        <v>128</v>
      </c>
      <c r="G3535" t="s">
        <v>63</v>
      </c>
      <c r="H3535">
        <v>1</v>
      </c>
      <c r="I3535">
        <v>14.878296000000001</v>
      </c>
      <c r="J3535">
        <v>1029</v>
      </c>
      <c r="K3535">
        <v>4.47</v>
      </c>
      <c r="M3535">
        <v>1.75</v>
      </c>
      <c r="O3535">
        <v>0.156</v>
      </c>
      <c r="Q3535">
        <v>0.88</v>
      </c>
      <c r="R3535">
        <v>0.85</v>
      </c>
    </row>
    <row r="3536" spans="1:19" x14ac:dyDescent="0.2">
      <c r="A3536" t="s">
        <v>6174</v>
      </c>
      <c r="B3536" t="s">
        <v>6175</v>
      </c>
      <c r="C3536">
        <v>2014</v>
      </c>
      <c r="D3536">
        <v>1</v>
      </c>
      <c r="E3536" t="s">
        <v>55</v>
      </c>
      <c r="F3536" t="s">
        <v>128</v>
      </c>
      <c r="G3536" t="s">
        <v>63</v>
      </c>
      <c r="H3536">
        <v>2</v>
      </c>
      <c r="I3536">
        <v>2.50806</v>
      </c>
      <c r="J3536">
        <v>191</v>
      </c>
      <c r="K3536">
        <v>1.41</v>
      </c>
      <c r="L3536">
        <v>10.84</v>
      </c>
      <c r="M3536">
        <v>3.51</v>
      </c>
      <c r="N3536">
        <v>3.4000000000000002E-2</v>
      </c>
      <c r="O3536">
        <v>0.313</v>
      </c>
      <c r="P3536">
        <v>1.45</v>
      </c>
      <c r="Q3536">
        <v>0.81</v>
      </c>
      <c r="R3536">
        <v>0.76</v>
      </c>
      <c r="S3536">
        <v>2.9</v>
      </c>
    </row>
    <row r="3537" spans="1:19" x14ac:dyDescent="0.2">
      <c r="A3537" t="s">
        <v>6174</v>
      </c>
      <c r="B3537" t="s">
        <v>6176</v>
      </c>
      <c r="C3537">
        <v>2014</v>
      </c>
      <c r="D3537">
        <v>1</v>
      </c>
      <c r="E3537" t="s">
        <v>21</v>
      </c>
      <c r="F3537" t="s">
        <v>22</v>
      </c>
      <c r="G3537" t="s">
        <v>32</v>
      </c>
      <c r="H3537">
        <v>2</v>
      </c>
      <c r="I3537">
        <v>820.3</v>
      </c>
      <c r="J3537">
        <v>191</v>
      </c>
      <c r="K3537">
        <v>1.41</v>
      </c>
      <c r="L3537">
        <v>3126</v>
      </c>
      <c r="N3537">
        <v>9.8360000000000003</v>
      </c>
      <c r="Q3537">
        <v>0.81</v>
      </c>
      <c r="R3537">
        <v>0.76</v>
      </c>
      <c r="S3537">
        <v>2.9</v>
      </c>
    </row>
    <row r="3538" spans="1:19" x14ac:dyDescent="0.2">
      <c r="A3538" t="s">
        <v>6177</v>
      </c>
      <c r="B3538" t="s">
        <v>6178</v>
      </c>
      <c r="C3538">
        <v>2016</v>
      </c>
      <c r="D3538">
        <v>1</v>
      </c>
      <c r="E3538" t="s">
        <v>55</v>
      </c>
      <c r="F3538" t="s">
        <v>128</v>
      </c>
      <c r="G3538" t="s">
        <v>63</v>
      </c>
      <c r="H3538">
        <v>1</v>
      </c>
      <c r="I3538">
        <v>59.622525699999997</v>
      </c>
      <c r="J3538">
        <v>1317</v>
      </c>
      <c r="K3538">
        <v>3.63</v>
      </c>
      <c r="M3538">
        <v>3.34</v>
      </c>
      <c r="O3538">
        <v>0.29799999999999999</v>
      </c>
      <c r="Q3538">
        <v>0.97</v>
      </c>
      <c r="R3538">
        <v>0.96</v>
      </c>
    </row>
    <row r="3539" spans="1:19" x14ac:dyDescent="0.2">
      <c r="A3539" t="s">
        <v>6179</v>
      </c>
      <c r="B3539" t="s">
        <v>6180</v>
      </c>
      <c r="C3539">
        <v>2016</v>
      </c>
      <c r="D3539">
        <v>1</v>
      </c>
      <c r="E3539" t="s">
        <v>55</v>
      </c>
      <c r="F3539" t="s">
        <v>128</v>
      </c>
      <c r="G3539" t="s">
        <v>63</v>
      </c>
      <c r="H3539">
        <v>1</v>
      </c>
      <c r="I3539">
        <v>17.423951979999998</v>
      </c>
      <c r="J3539">
        <v>1105</v>
      </c>
      <c r="K3539">
        <v>4.07</v>
      </c>
      <c r="M3539">
        <v>3.08</v>
      </c>
      <c r="O3539">
        <v>0.27500000000000002</v>
      </c>
      <c r="Q3539">
        <v>0.89</v>
      </c>
      <c r="R3539">
        <v>0.86</v>
      </c>
    </row>
    <row r="3540" spans="1:19" x14ac:dyDescent="0.2">
      <c r="A3540" t="s">
        <v>6181</v>
      </c>
      <c r="B3540" t="s">
        <v>6182</v>
      </c>
      <c r="C3540">
        <v>2016</v>
      </c>
      <c r="D3540">
        <v>1</v>
      </c>
      <c r="E3540" t="s">
        <v>55</v>
      </c>
      <c r="F3540" t="s">
        <v>128</v>
      </c>
      <c r="G3540" t="s">
        <v>63</v>
      </c>
      <c r="H3540">
        <v>1</v>
      </c>
      <c r="I3540">
        <v>44.964174880000002</v>
      </c>
      <c r="J3540">
        <v>218</v>
      </c>
      <c r="K3540">
        <v>4.17</v>
      </c>
      <c r="M3540">
        <v>2.13</v>
      </c>
      <c r="O3540">
        <v>0.19</v>
      </c>
      <c r="Q3540">
        <v>0.81</v>
      </c>
      <c r="R3540">
        <v>0.75</v>
      </c>
    </row>
    <row r="3541" spans="1:19" x14ac:dyDescent="0.2">
      <c r="A3541" t="s">
        <v>6183</v>
      </c>
      <c r="B3541" t="s">
        <v>6184</v>
      </c>
      <c r="C3541">
        <v>2016</v>
      </c>
      <c r="D3541">
        <v>1</v>
      </c>
      <c r="E3541" t="s">
        <v>55</v>
      </c>
      <c r="F3541" t="s">
        <v>128</v>
      </c>
      <c r="G3541" t="s">
        <v>63</v>
      </c>
      <c r="H3541">
        <v>1</v>
      </c>
      <c r="I3541">
        <v>49.7701438</v>
      </c>
      <c r="J3541">
        <v>1239</v>
      </c>
      <c r="K3541">
        <v>4.2699999999999996</v>
      </c>
      <c r="M3541">
        <v>5.93</v>
      </c>
      <c r="O3541">
        <v>0.52900000000000003</v>
      </c>
      <c r="Q3541">
        <v>0.93</v>
      </c>
      <c r="R3541">
        <v>0.91</v>
      </c>
    </row>
    <row r="3542" spans="1:19" x14ac:dyDescent="0.2">
      <c r="A3542" t="s">
        <v>6185</v>
      </c>
      <c r="B3542" t="s">
        <v>6186</v>
      </c>
      <c r="C3542">
        <v>2016</v>
      </c>
      <c r="D3542">
        <v>1</v>
      </c>
      <c r="E3542" t="s">
        <v>55</v>
      </c>
      <c r="F3542" t="s">
        <v>128</v>
      </c>
      <c r="G3542" t="s">
        <v>63</v>
      </c>
      <c r="H3542">
        <v>1</v>
      </c>
      <c r="I3542">
        <v>43.316773699999999</v>
      </c>
      <c r="J3542">
        <v>1035</v>
      </c>
      <c r="K3542">
        <v>4.47</v>
      </c>
      <c r="M3542">
        <v>2.63</v>
      </c>
      <c r="O3542">
        <v>0.23499999999999999</v>
      </c>
      <c r="Q3542">
        <v>0.86</v>
      </c>
      <c r="R3542">
        <v>0.83</v>
      </c>
    </row>
    <row r="3543" spans="1:19" x14ac:dyDescent="0.2">
      <c r="A3543" t="s">
        <v>6187</v>
      </c>
      <c r="B3543" t="s">
        <v>6188</v>
      </c>
      <c r="C3543">
        <v>2016</v>
      </c>
      <c r="D3543">
        <v>1</v>
      </c>
      <c r="E3543" t="s">
        <v>55</v>
      </c>
      <c r="F3543" t="s">
        <v>128</v>
      </c>
      <c r="G3543" t="s">
        <v>63</v>
      </c>
      <c r="H3543">
        <v>1</v>
      </c>
      <c r="I3543">
        <v>31.003381399999999</v>
      </c>
      <c r="J3543">
        <v>1543</v>
      </c>
      <c r="K3543">
        <v>4.47</v>
      </c>
      <c r="M3543">
        <v>2.63</v>
      </c>
      <c r="O3543">
        <v>0.23499999999999999</v>
      </c>
      <c r="Q3543">
        <v>0.97</v>
      </c>
      <c r="R3543">
        <v>0.97</v>
      </c>
    </row>
    <row r="3544" spans="1:19" x14ac:dyDescent="0.2">
      <c r="A3544" t="s">
        <v>6189</v>
      </c>
      <c r="B3544" t="s">
        <v>6190</v>
      </c>
      <c r="C3544">
        <v>2016</v>
      </c>
      <c r="D3544">
        <v>1</v>
      </c>
      <c r="E3544" t="s">
        <v>55</v>
      </c>
      <c r="F3544" t="s">
        <v>128</v>
      </c>
      <c r="G3544" t="s">
        <v>63</v>
      </c>
      <c r="H3544">
        <v>1</v>
      </c>
      <c r="I3544">
        <v>11.791625720000001</v>
      </c>
      <c r="J3544">
        <v>918</v>
      </c>
      <c r="K3544">
        <v>4.17</v>
      </c>
      <c r="M3544">
        <v>1.93</v>
      </c>
      <c r="O3544">
        <v>0.17199999999999999</v>
      </c>
      <c r="Q3544">
        <v>0.94</v>
      </c>
      <c r="R3544">
        <v>0.93</v>
      </c>
    </row>
    <row r="3545" spans="1:19" x14ac:dyDescent="0.2">
      <c r="A3545" t="s">
        <v>6191</v>
      </c>
      <c r="B3545" t="s">
        <v>6192</v>
      </c>
      <c r="C3545">
        <v>2016</v>
      </c>
      <c r="D3545">
        <v>1</v>
      </c>
      <c r="E3545" t="s">
        <v>55</v>
      </c>
      <c r="F3545" t="s">
        <v>128</v>
      </c>
      <c r="G3545" t="s">
        <v>63</v>
      </c>
      <c r="H3545">
        <v>1</v>
      </c>
      <c r="I3545">
        <v>26.964431699999999</v>
      </c>
      <c r="J3545">
        <v>1188</v>
      </c>
      <c r="K3545">
        <v>4.2699999999999996</v>
      </c>
      <c r="M3545">
        <v>2.2799999999999998</v>
      </c>
      <c r="O3545">
        <v>0.20300000000000001</v>
      </c>
      <c r="Q3545">
        <v>0.9</v>
      </c>
      <c r="R3545">
        <v>0.87</v>
      </c>
    </row>
    <row r="3546" spans="1:19" x14ac:dyDescent="0.2">
      <c r="A3546" t="s">
        <v>6193</v>
      </c>
      <c r="B3546" t="s">
        <v>6194</v>
      </c>
      <c r="C3546">
        <v>2016</v>
      </c>
      <c r="D3546">
        <v>1</v>
      </c>
      <c r="E3546" t="s">
        <v>55</v>
      </c>
      <c r="F3546" t="s">
        <v>128</v>
      </c>
      <c r="G3546" t="s">
        <v>63</v>
      </c>
      <c r="H3546">
        <v>1</v>
      </c>
      <c r="I3546">
        <v>7.7684662199999996</v>
      </c>
      <c r="J3546">
        <v>884</v>
      </c>
      <c r="K3546">
        <v>4.17</v>
      </c>
      <c r="M3546">
        <v>1.85</v>
      </c>
      <c r="O3546">
        <v>0.16500000000000001</v>
      </c>
      <c r="Q3546">
        <v>0.96</v>
      </c>
      <c r="R3546">
        <v>0.94</v>
      </c>
    </row>
    <row r="3547" spans="1:19" x14ac:dyDescent="0.2">
      <c r="A3547" t="s">
        <v>6195</v>
      </c>
      <c r="B3547" t="s">
        <v>6196</v>
      </c>
      <c r="C3547">
        <v>2016</v>
      </c>
      <c r="D3547">
        <v>1</v>
      </c>
      <c r="E3547" t="s">
        <v>55</v>
      </c>
      <c r="F3547" t="s">
        <v>128</v>
      </c>
      <c r="G3547" t="s">
        <v>63</v>
      </c>
      <c r="H3547">
        <v>1</v>
      </c>
      <c r="I3547">
        <v>8.6893072999999994</v>
      </c>
      <c r="J3547">
        <v>572</v>
      </c>
      <c r="K3547">
        <v>4.57</v>
      </c>
      <c r="M3547">
        <v>2.91</v>
      </c>
      <c r="O3547">
        <v>0.26</v>
      </c>
      <c r="Q3547">
        <v>0.89</v>
      </c>
      <c r="R3547">
        <v>0.86</v>
      </c>
    </row>
    <row r="3548" spans="1:19" x14ac:dyDescent="0.2">
      <c r="A3548" t="s">
        <v>6197</v>
      </c>
      <c r="B3548" t="s">
        <v>6198</v>
      </c>
      <c r="C3548">
        <v>2014</v>
      </c>
      <c r="D3548">
        <v>1</v>
      </c>
      <c r="E3548" t="s">
        <v>55</v>
      </c>
      <c r="F3548" t="s">
        <v>128</v>
      </c>
      <c r="G3548" t="s">
        <v>63</v>
      </c>
      <c r="H3548">
        <v>1</v>
      </c>
      <c r="I3548">
        <v>11.523099999999999</v>
      </c>
      <c r="J3548">
        <v>443</v>
      </c>
      <c r="K3548">
        <v>5.63</v>
      </c>
      <c r="L3548">
        <v>13</v>
      </c>
      <c r="M3548">
        <v>3.42</v>
      </c>
      <c r="N3548">
        <v>4.1000000000000002E-2</v>
      </c>
      <c r="O3548">
        <v>0.30499999999999999</v>
      </c>
      <c r="P3548">
        <v>1.71</v>
      </c>
      <c r="Q3548">
        <v>1.08</v>
      </c>
      <c r="R3548">
        <v>1.41</v>
      </c>
      <c r="S3548">
        <v>0.54</v>
      </c>
    </row>
    <row r="3549" spans="1:19" x14ac:dyDescent="0.2">
      <c r="A3549" t="s">
        <v>6199</v>
      </c>
      <c r="B3549" t="s">
        <v>6200</v>
      </c>
      <c r="C3549">
        <v>2016</v>
      </c>
      <c r="D3549">
        <v>1</v>
      </c>
      <c r="E3549" t="s">
        <v>55</v>
      </c>
      <c r="F3549" t="s">
        <v>128</v>
      </c>
      <c r="G3549" t="s">
        <v>63</v>
      </c>
      <c r="H3549">
        <v>1</v>
      </c>
      <c r="I3549">
        <v>98.718040599999995</v>
      </c>
      <c r="J3549">
        <v>1489</v>
      </c>
      <c r="K3549">
        <v>3.8</v>
      </c>
      <c r="M3549">
        <v>8.98</v>
      </c>
      <c r="O3549">
        <v>0.80100000000000005</v>
      </c>
      <c r="Q3549">
        <v>1.02</v>
      </c>
      <c r="R3549">
        <v>1.02</v>
      </c>
    </row>
    <row r="3550" spans="1:19" x14ac:dyDescent="0.2">
      <c r="A3550" t="s">
        <v>6201</v>
      </c>
      <c r="B3550" t="s">
        <v>6202</v>
      </c>
      <c r="C3550">
        <v>2016</v>
      </c>
      <c r="D3550">
        <v>1</v>
      </c>
      <c r="E3550" t="s">
        <v>55</v>
      </c>
      <c r="F3550" t="s">
        <v>128</v>
      </c>
      <c r="G3550" t="s">
        <v>63</v>
      </c>
      <c r="H3550">
        <v>1</v>
      </c>
      <c r="I3550">
        <v>71.525308449999997</v>
      </c>
      <c r="J3550">
        <v>408</v>
      </c>
      <c r="K3550">
        <v>4.2699999999999996</v>
      </c>
      <c r="M3550">
        <v>5.59</v>
      </c>
      <c r="O3550">
        <v>0.499</v>
      </c>
      <c r="Q3550">
        <v>0.77</v>
      </c>
      <c r="R3550">
        <v>0.73</v>
      </c>
    </row>
    <row r="3551" spans="1:19" x14ac:dyDescent="0.2">
      <c r="A3551" t="s">
        <v>6203</v>
      </c>
      <c r="B3551" t="s">
        <v>6204</v>
      </c>
      <c r="C3551">
        <v>2016</v>
      </c>
      <c r="D3551">
        <v>1</v>
      </c>
      <c r="E3551" t="s">
        <v>55</v>
      </c>
      <c r="F3551" t="s">
        <v>128</v>
      </c>
      <c r="G3551" t="s">
        <v>63</v>
      </c>
      <c r="H3551">
        <v>1</v>
      </c>
      <c r="I3551">
        <v>130.35469190000001</v>
      </c>
      <c r="J3551">
        <v>1167</v>
      </c>
      <c r="K3551">
        <v>4.2699999999999996</v>
      </c>
      <c r="M3551">
        <v>7.65</v>
      </c>
      <c r="O3551">
        <v>0.68200000000000005</v>
      </c>
      <c r="Q3551">
        <v>1</v>
      </c>
      <c r="R3551">
        <v>0.99</v>
      </c>
    </row>
    <row r="3552" spans="1:19" x14ac:dyDescent="0.2">
      <c r="A3552" t="s">
        <v>6205</v>
      </c>
      <c r="B3552" t="s">
        <v>6206</v>
      </c>
      <c r="C3552">
        <v>2016</v>
      </c>
      <c r="D3552">
        <v>1</v>
      </c>
      <c r="E3552" t="s">
        <v>55</v>
      </c>
      <c r="F3552" t="s">
        <v>128</v>
      </c>
      <c r="G3552" t="s">
        <v>63</v>
      </c>
      <c r="H3552">
        <v>2</v>
      </c>
      <c r="I3552">
        <v>88.406552579999996</v>
      </c>
      <c r="J3552">
        <v>240</v>
      </c>
      <c r="K3552">
        <v>8.7100000000000009</v>
      </c>
      <c r="M3552">
        <v>4.21</v>
      </c>
      <c r="O3552">
        <v>0.376</v>
      </c>
      <c r="Q3552">
        <v>0.95</v>
      </c>
      <c r="R3552">
        <v>0.99</v>
      </c>
    </row>
    <row r="3553" spans="1:19" x14ac:dyDescent="0.2">
      <c r="A3553" t="s">
        <v>6205</v>
      </c>
      <c r="B3553" t="s">
        <v>6207</v>
      </c>
      <c r="C3553">
        <v>2016</v>
      </c>
      <c r="D3553">
        <v>1</v>
      </c>
      <c r="E3553" t="s">
        <v>55</v>
      </c>
      <c r="F3553" t="s">
        <v>128</v>
      </c>
      <c r="G3553" t="s">
        <v>63</v>
      </c>
      <c r="H3553">
        <v>2</v>
      </c>
      <c r="I3553">
        <v>9.1096711199999998</v>
      </c>
      <c r="J3553">
        <v>240</v>
      </c>
      <c r="K3553">
        <v>8.7100000000000009</v>
      </c>
      <c r="M3553">
        <v>1.19</v>
      </c>
      <c r="O3553">
        <v>0.106</v>
      </c>
      <c r="Q3553">
        <v>0.95</v>
      </c>
      <c r="R3553">
        <v>0.99</v>
      </c>
    </row>
    <row r="3554" spans="1:19" x14ac:dyDescent="0.2">
      <c r="A3554" t="s">
        <v>6208</v>
      </c>
      <c r="B3554" t="s">
        <v>6209</v>
      </c>
      <c r="C3554">
        <v>2016</v>
      </c>
      <c r="D3554">
        <v>1</v>
      </c>
      <c r="E3554" t="s">
        <v>55</v>
      </c>
      <c r="F3554" t="s">
        <v>128</v>
      </c>
      <c r="G3554" t="s">
        <v>63</v>
      </c>
      <c r="H3554">
        <v>1</v>
      </c>
      <c r="I3554">
        <v>16.781766019999999</v>
      </c>
      <c r="J3554">
        <v>224</v>
      </c>
      <c r="K3554">
        <v>3.39</v>
      </c>
      <c r="M3554">
        <v>2.3199999999999998</v>
      </c>
      <c r="O3554">
        <v>0.20699999999999999</v>
      </c>
      <c r="Q3554">
        <v>0.82</v>
      </c>
      <c r="R3554">
        <v>0.76</v>
      </c>
    </row>
    <row r="3555" spans="1:19" x14ac:dyDescent="0.2">
      <c r="A3555" t="s">
        <v>6210</v>
      </c>
      <c r="B3555" t="s">
        <v>6211</v>
      </c>
      <c r="C3555">
        <v>2016</v>
      </c>
      <c r="D3555">
        <v>1</v>
      </c>
      <c r="E3555" t="s">
        <v>55</v>
      </c>
      <c r="F3555" t="s">
        <v>128</v>
      </c>
      <c r="G3555" t="s">
        <v>63</v>
      </c>
      <c r="H3555">
        <v>1</v>
      </c>
      <c r="I3555">
        <v>14.53244172</v>
      </c>
      <c r="J3555">
        <v>637</v>
      </c>
      <c r="K3555">
        <v>4.37</v>
      </c>
      <c r="M3555">
        <v>3.13</v>
      </c>
      <c r="O3555">
        <v>0.27900000000000003</v>
      </c>
      <c r="Q3555">
        <v>0.89</v>
      </c>
      <c r="R3555">
        <v>0.84</v>
      </c>
    </row>
    <row r="3556" spans="1:19" x14ac:dyDescent="0.2">
      <c r="A3556" t="s">
        <v>6212</v>
      </c>
      <c r="B3556" t="s">
        <v>6213</v>
      </c>
      <c r="C3556">
        <v>2016</v>
      </c>
      <c r="D3556">
        <v>1</v>
      </c>
      <c r="E3556" t="s">
        <v>55</v>
      </c>
      <c r="F3556" t="s">
        <v>128</v>
      </c>
      <c r="G3556" t="s">
        <v>63</v>
      </c>
      <c r="H3556">
        <v>1</v>
      </c>
      <c r="I3556">
        <v>5.2486726299999997</v>
      </c>
      <c r="J3556">
        <v>631</v>
      </c>
      <c r="K3556">
        <v>3.47</v>
      </c>
      <c r="M3556">
        <v>3</v>
      </c>
      <c r="O3556">
        <v>0.26800000000000002</v>
      </c>
      <c r="Q3556">
        <v>1.1000000000000001</v>
      </c>
      <c r="R3556">
        <v>1.1499999999999999</v>
      </c>
    </row>
    <row r="3557" spans="1:19" x14ac:dyDescent="0.2">
      <c r="A3557" t="s">
        <v>6214</v>
      </c>
      <c r="B3557" t="s">
        <v>6215</v>
      </c>
      <c r="C3557">
        <v>2016</v>
      </c>
      <c r="D3557">
        <v>1</v>
      </c>
      <c r="E3557" t="s">
        <v>55</v>
      </c>
      <c r="F3557" t="s">
        <v>128</v>
      </c>
      <c r="G3557" t="s">
        <v>63</v>
      </c>
      <c r="H3557">
        <v>1</v>
      </c>
      <c r="I3557">
        <v>5.9074135400000003</v>
      </c>
      <c r="J3557">
        <v>749</v>
      </c>
      <c r="K3557">
        <v>2.75</v>
      </c>
      <c r="M3557">
        <v>5.5</v>
      </c>
      <c r="O3557">
        <v>0.49099999999999999</v>
      </c>
      <c r="Q3557">
        <v>0.81</v>
      </c>
      <c r="R3557">
        <v>0.75</v>
      </c>
    </row>
    <row r="3558" spans="1:19" x14ac:dyDescent="0.2">
      <c r="A3558" t="s">
        <v>6216</v>
      </c>
      <c r="B3558" t="s">
        <v>6217</v>
      </c>
      <c r="C3558">
        <v>2016</v>
      </c>
      <c r="D3558">
        <v>1</v>
      </c>
      <c r="E3558" t="s">
        <v>55</v>
      </c>
      <c r="F3558" t="s">
        <v>128</v>
      </c>
      <c r="G3558" t="s">
        <v>63</v>
      </c>
      <c r="H3558">
        <v>1</v>
      </c>
      <c r="I3558">
        <v>9.7678805000000004</v>
      </c>
      <c r="J3558">
        <v>467</v>
      </c>
      <c r="K3558">
        <v>4.37</v>
      </c>
      <c r="M3558">
        <v>2.06</v>
      </c>
      <c r="O3558">
        <v>0.184</v>
      </c>
      <c r="Q3558">
        <v>0.91</v>
      </c>
      <c r="R3558">
        <v>0.86</v>
      </c>
    </row>
    <row r="3559" spans="1:19" x14ac:dyDescent="0.2">
      <c r="A3559" t="s">
        <v>6218</v>
      </c>
      <c r="B3559" t="s">
        <v>6219</v>
      </c>
      <c r="C3559">
        <v>2016</v>
      </c>
      <c r="D3559">
        <v>1</v>
      </c>
      <c r="E3559" t="s">
        <v>55</v>
      </c>
      <c r="F3559" t="s">
        <v>128</v>
      </c>
      <c r="G3559" t="s">
        <v>63</v>
      </c>
      <c r="H3559">
        <v>1</v>
      </c>
      <c r="I3559">
        <v>14.80074836</v>
      </c>
      <c r="J3559">
        <v>1003</v>
      </c>
      <c r="K3559">
        <v>1.35</v>
      </c>
      <c r="M3559">
        <v>4.38</v>
      </c>
      <c r="O3559">
        <v>0.39100000000000001</v>
      </c>
      <c r="Q3559">
        <v>1.6</v>
      </c>
      <c r="R3559">
        <v>2.0099999999999998</v>
      </c>
    </row>
    <row r="3560" spans="1:19" x14ac:dyDescent="0.2">
      <c r="A3560" t="s">
        <v>6220</v>
      </c>
      <c r="B3560" t="s">
        <v>6221</v>
      </c>
      <c r="C3560">
        <v>2014</v>
      </c>
      <c r="D3560">
        <v>1</v>
      </c>
      <c r="E3560" t="s">
        <v>55</v>
      </c>
      <c r="F3560" t="s">
        <v>128</v>
      </c>
      <c r="G3560" t="s">
        <v>63</v>
      </c>
      <c r="H3560">
        <v>1</v>
      </c>
      <c r="I3560">
        <v>16.238499999999998</v>
      </c>
      <c r="J3560">
        <v>134</v>
      </c>
      <c r="K3560">
        <v>2.34</v>
      </c>
      <c r="L3560">
        <v>8.4600000000000009</v>
      </c>
      <c r="M3560">
        <v>2.67</v>
      </c>
      <c r="N3560">
        <v>2.7E-2</v>
      </c>
      <c r="O3560">
        <v>0.23799999999999999</v>
      </c>
      <c r="P3560">
        <v>2.2599999999999998</v>
      </c>
      <c r="Q3560">
        <v>1</v>
      </c>
      <c r="R3560">
        <v>1.02</v>
      </c>
      <c r="S3560">
        <v>1.54</v>
      </c>
    </row>
    <row r="3561" spans="1:19" x14ac:dyDescent="0.2">
      <c r="A3561" t="s">
        <v>6222</v>
      </c>
      <c r="B3561" t="s">
        <v>6223</v>
      </c>
      <c r="C3561">
        <v>2016</v>
      </c>
      <c r="D3561">
        <v>1</v>
      </c>
      <c r="E3561" t="s">
        <v>55</v>
      </c>
      <c r="F3561" t="s">
        <v>128</v>
      </c>
      <c r="G3561" t="s">
        <v>63</v>
      </c>
      <c r="H3561">
        <v>1</v>
      </c>
      <c r="I3561">
        <v>3.12686223</v>
      </c>
      <c r="J3561">
        <v>298</v>
      </c>
      <c r="K3561">
        <v>3.63</v>
      </c>
      <c r="M3561">
        <v>2.29</v>
      </c>
      <c r="O3561">
        <v>0.20399999999999999</v>
      </c>
      <c r="Q3561">
        <v>0.77</v>
      </c>
      <c r="R3561">
        <v>0.72</v>
      </c>
    </row>
    <row r="3562" spans="1:19" x14ac:dyDescent="0.2">
      <c r="A3562" t="s">
        <v>6224</v>
      </c>
      <c r="B3562" t="s">
        <v>6225</v>
      </c>
      <c r="C3562">
        <v>2016</v>
      </c>
      <c r="D3562">
        <v>1</v>
      </c>
      <c r="E3562" t="s">
        <v>55</v>
      </c>
      <c r="F3562" t="s">
        <v>128</v>
      </c>
      <c r="G3562" t="s">
        <v>63</v>
      </c>
      <c r="H3562">
        <v>1</v>
      </c>
      <c r="I3562">
        <v>16.877274140000001</v>
      </c>
      <c r="J3562">
        <v>607</v>
      </c>
      <c r="K3562">
        <v>2.82</v>
      </c>
      <c r="M3562">
        <v>2.5499999999999998</v>
      </c>
      <c r="O3562">
        <v>0.22700000000000001</v>
      </c>
      <c r="Q3562">
        <v>0.96</v>
      </c>
      <c r="R3562">
        <v>0.9</v>
      </c>
    </row>
    <row r="3563" spans="1:19" x14ac:dyDescent="0.2">
      <c r="A3563" t="s">
        <v>6226</v>
      </c>
      <c r="B3563" t="s">
        <v>6227</v>
      </c>
      <c r="C3563">
        <v>2016</v>
      </c>
      <c r="D3563">
        <v>1</v>
      </c>
      <c r="E3563" t="s">
        <v>55</v>
      </c>
      <c r="F3563" t="s">
        <v>128</v>
      </c>
      <c r="G3563" t="s">
        <v>63</v>
      </c>
      <c r="H3563">
        <v>1</v>
      </c>
      <c r="I3563">
        <v>12.05707239</v>
      </c>
      <c r="J3563">
        <v>439</v>
      </c>
      <c r="K3563">
        <v>2.4</v>
      </c>
      <c r="M3563">
        <v>1.97</v>
      </c>
      <c r="O3563">
        <v>0.17599999999999999</v>
      </c>
      <c r="Q3563">
        <v>0.93</v>
      </c>
      <c r="R3563">
        <v>0.86</v>
      </c>
    </row>
    <row r="3564" spans="1:19" x14ac:dyDescent="0.2">
      <c r="A3564" t="s">
        <v>6228</v>
      </c>
      <c r="B3564" t="s">
        <v>6229</v>
      </c>
      <c r="C3564">
        <v>2016</v>
      </c>
      <c r="D3564">
        <v>1</v>
      </c>
      <c r="E3564" t="s">
        <v>55</v>
      </c>
      <c r="F3564" t="s">
        <v>128</v>
      </c>
      <c r="G3564" t="s">
        <v>63</v>
      </c>
      <c r="H3564">
        <v>1</v>
      </c>
      <c r="I3564">
        <v>9.9768370500000003</v>
      </c>
      <c r="J3564">
        <v>786</v>
      </c>
      <c r="K3564">
        <v>4.07</v>
      </c>
      <c r="M3564">
        <v>2.66</v>
      </c>
      <c r="O3564">
        <v>0.23699999999999999</v>
      </c>
      <c r="Q3564">
        <v>0.91</v>
      </c>
      <c r="R3564">
        <v>0.87</v>
      </c>
    </row>
    <row r="3565" spans="1:19" x14ac:dyDescent="0.2">
      <c r="A3565" t="s">
        <v>6230</v>
      </c>
      <c r="B3565" t="s">
        <v>6231</v>
      </c>
      <c r="C3565">
        <v>2016</v>
      </c>
      <c r="D3565">
        <v>1</v>
      </c>
      <c r="E3565" t="s">
        <v>55</v>
      </c>
      <c r="F3565" t="s">
        <v>128</v>
      </c>
      <c r="G3565" t="s">
        <v>63</v>
      </c>
      <c r="H3565">
        <v>1</v>
      </c>
      <c r="I3565">
        <v>13.5225106</v>
      </c>
      <c r="J3565">
        <v>478</v>
      </c>
      <c r="K3565">
        <v>1.91</v>
      </c>
      <c r="M3565">
        <v>2.12</v>
      </c>
      <c r="O3565">
        <v>0.189</v>
      </c>
      <c r="Q3565">
        <v>0.93</v>
      </c>
      <c r="R3565">
        <v>0.84</v>
      </c>
    </row>
    <row r="3566" spans="1:19" x14ac:dyDescent="0.2">
      <c r="A3566" t="s">
        <v>6232</v>
      </c>
      <c r="B3566" t="s">
        <v>6233</v>
      </c>
      <c r="C3566">
        <v>2016</v>
      </c>
      <c r="D3566">
        <v>1</v>
      </c>
      <c r="E3566" t="s">
        <v>55</v>
      </c>
      <c r="F3566" t="s">
        <v>128</v>
      </c>
      <c r="G3566" t="s">
        <v>63</v>
      </c>
      <c r="H3566">
        <v>1</v>
      </c>
      <c r="I3566">
        <v>134.2527298</v>
      </c>
      <c r="J3566">
        <v>618</v>
      </c>
      <c r="K3566">
        <v>5.5</v>
      </c>
      <c r="M3566">
        <v>3.38</v>
      </c>
      <c r="O3566">
        <v>0.30199999999999999</v>
      </c>
      <c r="Q3566">
        <v>1.05</v>
      </c>
      <c r="R3566">
        <v>1.1499999999999999</v>
      </c>
    </row>
    <row r="3567" spans="1:19" x14ac:dyDescent="0.2">
      <c r="A3567" t="s">
        <v>6234</v>
      </c>
      <c r="B3567" t="s">
        <v>6235</v>
      </c>
      <c r="C3567">
        <v>2016</v>
      </c>
      <c r="D3567">
        <v>1</v>
      </c>
      <c r="E3567" t="s">
        <v>55</v>
      </c>
      <c r="F3567" t="s">
        <v>128</v>
      </c>
      <c r="G3567" t="s">
        <v>63</v>
      </c>
      <c r="H3567">
        <v>1</v>
      </c>
      <c r="I3567">
        <v>99.747622000000007</v>
      </c>
      <c r="J3567">
        <v>773</v>
      </c>
      <c r="K3567">
        <v>4.07</v>
      </c>
      <c r="M3567">
        <v>4.13</v>
      </c>
      <c r="O3567">
        <v>0.36799999999999999</v>
      </c>
      <c r="Q3567">
        <v>1.02</v>
      </c>
      <c r="R3567">
        <v>1.02</v>
      </c>
    </row>
    <row r="3568" spans="1:19" x14ac:dyDescent="0.2">
      <c r="A3568" t="s">
        <v>6236</v>
      </c>
      <c r="B3568" t="s">
        <v>6237</v>
      </c>
      <c r="C3568">
        <v>2016</v>
      </c>
      <c r="D3568">
        <v>1</v>
      </c>
      <c r="E3568" t="s">
        <v>55</v>
      </c>
      <c r="F3568" t="s">
        <v>128</v>
      </c>
      <c r="G3568" t="s">
        <v>63</v>
      </c>
      <c r="H3568">
        <v>2</v>
      </c>
      <c r="I3568">
        <v>13.22713379</v>
      </c>
      <c r="J3568">
        <v>499</v>
      </c>
      <c r="K3568">
        <v>5.89</v>
      </c>
      <c r="M3568">
        <v>2.35</v>
      </c>
      <c r="O3568">
        <v>0.21</v>
      </c>
      <c r="Q3568">
        <v>0.84</v>
      </c>
      <c r="R3568">
        <v>0.8</v>
      </c>
    </row>
    <row r="3569" spans="1:19" x14ac:dyDescent="0.2">
      <c r="A3569" t="s">
        <v>6236</v>
      </c>
      <c r="B3569" t="s">
        <v>6238</v>
      </c>
      <c r="C3569">
        <v>2016</v>
      </c>
      <c r="D3569">
        <v>1</v>
      </c>
      <c r="E3569" t="s">
        <v>55</v>
      </c>
      <c r="F3569" t="s">
        <v>128</v>
      </c>
      <c r="G3569" t="s">
        <v>63</v>
      </c>
      <c r="H3569">
        <v>2</v>
      </c>
      <c r="I3569">
        <v>198.71125019999999</v>
      </c>
      <c r="J3569">
        <v>499</v>
      </c>
      <c r="K3569">
        <v>5.89</v>
      </c>
      <c r="M3569">
        <v>3.65</v>
      </c>
      <c r="O3569">
        <v>0.32600000000000001</v>
      </c>
      <c r="Q3569">
        <v>0.84</v>
      </c>
      <c r="R3569">
        <v>0.8</v>
      </c>
    </row>
    <row r="3570" spans="1:19" x14ac:dyDescent="0.2">
      <c r="A3570" t="s">
        <v>6239</v>
      </c>
      <c r="B3570" t="s">
        <v>6240</v>
      </c>
      <c r="C3570">
        <v>2016</v>
      </c>
      <c r="D3570">
        <v>1</v>
      </c>
      <c r="E3570" t="s">
        <v>55</v>
      </c>
      <c r="F3570" t="s">
        <v>128</v>
      </c>
      <c r="G3570" t="s">
        <v>63</v>
      </c>
      <c r="H3570">
        <v>2</v>
      </c>
      <c r="I3570">
        <v>3.6929837299999999</v>
      </c>
      <c r="J3570">
        <v>312</v>
      </c>
      <c r="K3570">
        <v>2.14</v>
      </c>
      <c r="M3570">
        <v>2</v>
      </c>
      <c r="O3570">
        <v>0.17799999999999999</v>
      </c>
      <c r="Q3570">
        <v>0.76</v>
      </c>
      <c r="R3570">
        <v>0.7</v>
      </c>
    </row>
    <row r="3571" spans="1:19" x14ac:dyDescent="0.2">
      <c r="A3571" t="s">
        <v>6239</v>
      </c>
      <c r="B3571" t="s">
        <v>6241</v>
      </c>
      <c r="C3571">
        <v>2016</v>
      </c>
      <c r="D3571">
        <v>1</v>
      </c>
      <c r="E3571" t="s">
        <v>55</v>
      </c>
      <c r="F3571" t="s">
        <v>128</v>
      </c>
      <c r="G3571" t="s">
        <v>63</v>
      </c>
      <c r="H3571">
        <v>2</v>
      </c>
      <c r="I3571">
        <v>5.7094049199999999</v>
      </c>
      <c r="J3571">
        <v>312</v>
      </c>
      <c r="K3571">
        <v>2.14</v>
      </c>
      <c r="M3571">
        <v>1.69</v>
      </c>
      <c r="O3571">
        <v>0.151</v>
      </c>
      <c r="Q3571">
        <v>0.76</v>
      </c>
      <c r="R3571">
        <v>0.7</v>
      </c>
    </row>
    <row r="3572" spans="1:19" x14ac:dyDescent="0.2">
      <c r="A3572" t="s">
        <v>6242</v>
      </c>
      <c r="B3572" t="s">
        <v>6243</v>
      </c>
      <c r="C3572">
        <v>2016</v>
      </c>
      <c r="D3572">
        <v>1</v>
      </c>
      <c r="E3572" t="s">
        <v>55</v>
      </c>
      <c r="F3572" t="s">
        <v>128</v>
      </c>
      <c r="G3572" t="s">
        <v>63</v>
      </c>
      <c r="H3572">
        <v>2</v>
      </c>
      <c r="I3572">
        <v>34.173171400000001</v>
      </c>
      <c r="J3572">
        <v>411</v>
      </c>
      <c r="K3572">
        <v>1.51</v>
      </c>
      <c r="M3572">
        <v>2.0699999999999998</v>
      </c>
      <c r="O3572">
        <v>0.185</v>
      </c>
      <c r="Q3572">
        <v>0.92</v>
      </c>
      <c r="R3572">
        <v>0.82</v>
      </c>
    </row>
    <row r="3573" spans="1:19" x14ac:dyDescent="0.2">
      <c r="A3573" t="s">
        <v>6242</v>
      </c>
      <c r="B3573" t="s">
        <v>6244</v>
      </c>
      <c r="C3573">
        <v>2016</v>
      </c>
      <c r="D3573">
        <v>1</v>
      </c>
      <c r="E3573" t="s">
        <v>55</v>
      </c>
      <c r="F3573" t="s">
        <v>128</v>
      </c>
      <c r="G3573" t="s">
        <v>63</v>
      </c>
      <c r="H3573">
        <v>2</v>
      </c>
      <c r="I3573">
        <v>1.6829346000000001</v>
      </c>
      <c r="J3573">
        <v>411</v>
      </c>
      <c r="K3573">
        <v>1.51</v>
      </c>
      <c r="M3573">
        <v>0.99</v>
      </c>
      <c r="O3573">
        <v>8.7999999999999995E-2</v>
      </c>
      <c r="Q3573">
        <v>0.92</v>
      </c>
      <c r="R3573">
        <v>0.82</v>
      </c>
    </row>
    <row r="3574" spans="1:19" x14ac:dyDescent="0.2">
      <c r="A3574" t="s">
        <v>6245</v>
      </c>
      <c r="B3574" t="s">
        <v>6246</v>
      </c>
      <c r="C3574">
        <v>2014</v>
      </c>
      <c r="D3574">
        <v>1</v>
      </c>
      <c r="E3574" t="s">
        <v>55</v>
      </c>
      <c r="F3574" t="s">
        <v>128</v>
      </c>
      <c r="G3574" t="s">
        <v>63</v>
      </c>
      <c r="H3574">
        <v>2</v>
      </c>
      <c r="I3574">
        <v>2.5866400000000001</v>
      </c>
      <c r="J3574">
        <v>393</v>
      </c>
      <c r="K3574">
        <v>8.42</v>
      </c>
      <c r="L3574">
        <v>3.51</v>
      </c>
      <c r="M3574">
        <v>1.48</v>
      </c>
      <c r="N3574">
        <v>1.0999999999999999E-2</v>
      </c>
      <c r="O3574">
        <v>0.13200000000000001</v>
      </c>
      <c r="P3574">
        <v>5.44</v>
      </c>
      <c r="Q3574">
        <v>0.94</v>
      </c>
      <c r="R3574">
        <v>0.98</v>
      </c>
      <c r="S3574">
        <v>1.53</v>
      </c>
    </row>
    <row r="3575" spans="1:19" x14ac:dyDescent="0.2">
      <c r="A3575" t="s">
        <v>6245</v>
      </c>
      <c r="B3575" t="s">
        <v>6247</v>
      </c>
      <c r="C3575">
        <v>2014</v>
      </c>
      <c r="D3575">
        <v>1</v>
      </c>
      <c r="E3575" t="s">
        <v>21</v>
      </c>
      <c r="F3575" t="s">
        <v>22</v>
      </c>
      <c r="G3575" t="s">
        <v>32</v>
      </c>
      <c r="H3575">
        <v>2</v>
      </c>
      <c r="I3575">
        <v>789</v>
      </c>
      <c r="J3575">
        <v>393</v>
      </c>
      <c r="K3575">
        <v>8.42</v>
      </c>
      <c r="L3575">
        <v>344</v>
      </c>
      <c r="N3575">
        <v>1.08</v>
      </c>
      <c r="Q3575">
        <v>0.94</v>
      </c>
      <c r="R3575">
        <v>0.98</v>
      </c>
      <c r="S3575">
        <v>1.53</v>
      </c>
    </row>
    <row r="3576" spans="1:19" x14ac:dyDescent="0.2">
      <c r="A3576" t="s">
        <v>6248</v>
      </c>
      <c r="B3576" t="s">
        <v>6249</v>
      </c>
      <c r="C3576">
        <v>2016</v>
      </c>
      <c r="D3576">
        <v>1</v>
      </c>
      <c r="E3576" t="s">
        <v>55</v>
      </c>
      <c r="F3576" t="s">
        <v>128</v>
      </c>
      <c r="G3576" t="s">
        <v>63</v>
      </c>
      <c r="H3576">
        <v>1</v>
      </c>
      <c r="I3576">
        <v>16.736522310000002</v>
      </c>
      <c r="J3576">
        <v>350</v>
      </c>
      <c r="K3576">
        <v>4.68</v>
      </c>
      <c r="M3576">
        <v>2.77</v>
      </c>
      <c r="O3576">
        <v>0.247</v>
      </c>
      <c r="Q3576">
        <v>0.7</v>
      </c>
      <c r="R3576">
        <v>0.67</v>
      </c>
    </row>
    <row r="3577" spans="1:19" x14ac:dyDescent="0.2">
      <c r="A3577" t="s">
        <v>6250</v>
      </c>
      <c r="B3577" t="s">
        <v>6251</v>
      </c>
      <c r="C3577">
        <v>2016</v>
      </c>
      <c r="D3577">
        <v>1</v>
      </c>
      <c r="E3577" t="s">
        <v>55</v>
      </c>
      <c r="F3577" t="s">
        <v>128</v>
      </c>
      <c r="G3577" t="s">
        <v>63</v>
      </c>
      <c r="H3577">
        <v>1</v>
      </c>
      <c r="I3577">
        <v>9.5907071599999991</v>
      </c>
      <c r="J3577">
        <v>345</v>
      </c>
      <c r="K3577">
        <v>4.47</v>
      </c>
      <c r="M3577">
        <v>2.13</v>
      </c>
      <c r="O3577">
        <v>0.19</v>
      </c>
      <c r="Q3577">
        <v>0.88</v>
      </c>
      <c r="R3577">
        <v>0.85</v>
      </c>
    </row>
    <row r="3578" spans="1:19" x14ac:dyDescent="0.2">
      <c r="A3578" t="s">
        <v>6252</v>
      </c>
      <c r="B3578" t="s">
        <v>6253</v>
      </c>
      <c r="C3578">
        <v>2016</v>
      </c>
      <c r="D3578">
        <v>1</v>
      </c>
      <c r="E3578" t="s">
        <v>55</v>
      </c>
      <c r="F3578" t="s">
        <v>128</v>
      </c>
      <c r="G3578" t="s">
        <v>63</v>
      </c>
      <c r="H3578">
        <v>1</v>
      </c>
      <c r="I3578">
        <v>7.0393255300000002</v>
      </c>
      <c r="J3578">
        <v>1304</v>
      </c>
      <c r="K3578">
        <v>2.82</v>
      </c>
      <c r="M3578">
        <v>4.6500000000000004</v>
      </c>
      <c r="O3578">
        <v>0.41499999999999998</v>
      </c>
      <c r="Q3578">
        <v>1.1499999999999999</v>
      </c>
      <c r="R3578">
        <v>1.22</v>
      </c>
    </row>
    <row r="3579" spans="1:19" x14ac:dyDescent="0.2">
      <c r="A3579" t="s">
        <v>6254</v>
      </c>
      <c r="B3579" t="s">
        <v>6255</v>
      </c>
      <c r="C3579">
        <v>2016</v>
      </c>
      <c r="D3579">
        <v>1</v>
      </c>
      <c r="E3579" t="s">
        <v>55</v>
      </c>
      <c r="F3579" t="s">
        <v>128</v>
      </c>
      <c r="G3579" t="s">
        <v>63</v>
      </c>
      <c r="H3579">
        <v>1</v>
      </c>
      <c r="I3579">
        <v>49.607733099999997</v>
      </c>
      <c r="J3579">
        <v>297</v>
      </c>
      <c r="K3579">
        <v>2.29</v>
      </c>
      <c r="M3579">
        <v>1.96</v>
      </c>
      <c r="O3579">
        <v>0.17499999999999999</v>
      </c>
      <c r="Q3579">
        <v>0.86</v>
      </c>
      <c r="R3579">
        <v>0.78</v>
      </c>
    </row>
    <row r="3580" spans="1:19" x14ac:dyDescent="0.2">
      <c r="A3580" t="s">
        <v>6256</v>
      </c>
      <c r="B3580" t="s">
        <v>6257</v>
      </c>
      <c r="C3580">
        <v>2016</v>
      </c>
      <c r="D3580">
        <v>1</v>
      </c>
      <c r="E3580" t="s">
        <v>55</v>
      </c>
      <c r="F3580" t="s">
        <v>128</v>
      </c>
      <c r="G3580" t="s">
        <v>63</v>
      </c>
      <c r="H3580">
        <v>1</v>
      </c>
      <c r="I3580">
        <v>4.1944965099999996</v>
      </c>
      <c r="J3580">
        <v>121</v>
      </c>
      <c r="K3580">
        <v>4.37</v>
      </c>
      <c r="M3580">
        <v>1.57</v>
      </c>
      <c r="O3580">
        <v>0.14000000000000001</v>
      </c>
      <c r="Q3580">
        <v>0.52</v>
      </c>
      <c r="R3580">
        <v>0.5</v>
      </c>
    </row>
    <row r="3581" spans="1:19" x14ac:dyDescent="0.2">
      <c r="A3581" t="s">
        <v>6258</v>
      </c>
      <c r="B3581" t="s">
        <v>6259</v>
      </c>
      <c r="C3581">
        <v>2016</v>
      </c>
      <c r="D3581">
        <v>1</v>
      </c>
      <c r="E3581" t="s">
        <v>55</v>
      </c>
      <c r="F3581" t="s">
        <v>128</v>
      </c>
      <c r="G3581" t="s">
        <v>63</v>
      </c>
      <c r="H3581">
        <v>1</v>
      </c>
      <c r="I3581">
        <v>1.9703424599999999</v>
      </c>
      <c r="J3581">
        <v>404</v>
      </c>
      <c r="K3581">
        <v>3.89</v>
      </c>
      <c r="M3581">
        <v>1.48</v>
      </c>
      <c r="O3581">
        <v>0.13200000000000001</v>
      </c>
      <c r="Q3581">
        <v>0.8</v>
      </c>
      <c r="R3581">
        <v>0.75</v>
      </c>
    </row>
    <row r="3582" spans="1:19" x14ac:dyDescent="0.2">
      <c r="A3582" t="s">
        <v>6260</v>
      </c>
      <c r="B3582" t="s">
        <v>6261</v>
      </c>
      <c r="C3582">
        <v>2016</v>
      </c>
      <c r="D3582">
        <v>1</v>
      </c>
      <c r="E3582" t="s">
        <v>55</v>
      </c>
      <c r="F3582" t="s">
        <v>128</v>
      </c>
      <c r="G3582" t="s">
        <v>63</v>
      </c>
      <c r="H3582">
        <v>1</v>
      </c>
      <c r="I3582">
        <v>105.9564148</v>
      </c>
      <c r="J3582">
        <v>1020</v>
      </c>
      <c r="K3582">
        <v>4.68</v>
      </c>
      <c r="M3582">
        <v>3.96</v>
      </c>
      <c r="O3582">
        <v>0.35299999999999998</v>
      </c>
      <c r="Q3582">
        <v>0.87</v>
      </c>
      <c r="R3582">
        <v>0.83</v>
      </c>
    </row>
    <row r="3583" spans="1:19" x14ac:dyDescent="0.2">
      <c r="A3583" t="s">
        <v>6262</v>
      </c>
      <c r="B3583" t="s">
        <v>6263</v>
      </c>
      <c r="C3583">
        <v>2016</v>
      </c>
      <c r="D3583">
        <v>1</v>
      </c>
      <c r="E3583" t="s">
        <v>55</v>
      </c>
      <c r="F3583" t="s">
        <v>128</v>
      </c>
      <c r="G3583" t="s">
        <v>63</v>
      </c>
      <c r="H3583">
        <v>1</v>
      </c>
      <c r="I3583">
        <v>26.853283220000002</v>
      </c>
      <c r="J3583">
        <v>664</v>
      </c>
      <c r="K3583">
        <v>4.57</v>
      </c>
      <c r="M3583">
        <v>2.62</v>
      </c>
      <c r="O3583">
        <v>0.23400000000000001</v>
      </c>
      <c r="Q3583">
        <v>0.87</v>
      </c>
      <c r="R3583">
        <v>0.83</v>
      </c>
    </row>
    <row r="3584" spans="1:19" x14ac:dyDescent="0.2">
      <c r="A3584" t="s">
        <v>6264</v>
      </c>
      <c r="B3584" t="s">
        <v>6265</v>
      </c>
      <c r="C3584">
        <v>2016</v>
      </c>
      <c r="D3584">
        <v>1</v>
      </c>
      <c r="E3584" t="s">
        <v>55</v>
      </c>
      <c r="F3584" t="s">
        <v>128</v>
      </c>
      <c r="G3584" t="s">
        <v>63</v>
      </c>
      <c r="H3584">
        <v>1</v>
      </c>
      <c r="I3584">
        <v>49.622150900000001</v>
      </c>
      <c r="J3584">
        <v>624</v>
      </c>
      <c r="K3584">
        <v>3.63</v>
      </c>
      <c r="M3584">
        <v>2.99</v>
      </c>
      <c r="O3584">
        <v>0.26700000000000002</v>
      </c>
      <c r="Q3584">
        <v>1.07</v>
      </c>
      <c r="R3584">
        <v>1.0900000000000001</v>
      </c>
    </row>
    <row r="3585" spans="1:19" x14ac:dyDescent="0.2">
      <c r="A3585" t="s">
        <v>6266</v>
      </c>
      <c r="B3585" t="s">
        <v>6267</v>
      </c>
      <c r="C3585">
        <v>2016</v>
      </c>
      <c r="D3585">
        <v>1</v>
      </c>
      <c r="E3585" t="s">
        <v>55</v>
      </c>
      <c r="F3585" t="s">
        <v>128</v>
      </c>
      <c r="G3585" t="s">
        <v>63</v>
      </c>
      <c r="H3585">
        <v>1</v>
      </c>
      <c r="I3585">
        <v>8.0880135000000006</v>
      </c>
      <c r="J3585">
        <v>606</v>
      </c>
      <c r="K3585">
        <v>4.57</v>
      </c>
      <c r="M3585">
        <v>2.72</v>
      </c>
      <c r="O3585">
        <v>0.24299999999999999</v>
      </c>
      <c r="Q3585">
        <v>0.87</v>
      </c>
      <c r="R3585">
        <v>0.83</v>
      </c>
    </row>
    <row r="3586" spans="1:19" x14ac:dyDescent="0.2">
      <c r="A3586" t="s">
        <v>6268</v>
      </c>
      <c r="B3586" t="s">
        <v>6269</v>
      </c>
      <c r="C3586">
        <v>2014</v>
      </c>
      <c r="D3586">
        <v>1</v>
      </c>
      <c r="E3586" t="s">
        <v>55</v>
      </c>
      <c r="F3586" t="s">
        <v>128</v>
      </c>
      <c r="G3586" t="s">
        <v>63</v>
      </c>
      <c r="H3586">
        <v>1</v>
      </c>
      <c r="I3586">
        <v>1.5416799999999999</v>
      </c>
      <c r="J3586">
        <v>390</v>
      </c>
      <c r="K3586">
        <v>2.79</v>
      </c>
      <c r="L3586">
        <v>3.55</v>
      </c>
      <c r="M3586">
        <v>1.99</v>
      </c>
      <c r="N3586">
        <v>1.0999999999999999E-2</v>
      </c>
      <c r="O3586">
        <v>0.17799999999999999</v>
      </c>
      <c r="P3586">
        <v>2.1800000000000002</v>
      </c>
      <c r="Q3586">
        <v>0.99</v>
      </c>
      <c r="R3586">
        <v>1.1100000000000001</v>
      </c>
      <c r="S3586">
        <v>1.1200000000000001</v>
      </c>
    </row>
    <row r="3587" spans="1:19" x14ac:dyDescent="0.2">
      <c r="A3587" t="s">
        <v>6270</v>
      </c>
      <c r="B3587" t="s">
        <v>6271</v>
      </c>
      <c r="C3587">
        <v>2016</v>
      </c>
      <c r="D3587">
        <v>1</v>
      </c>
      <c r="E3587" t="s">
        <v>55</v>
      </c>
      <c r="F3587" t="s">
        <v>128</v>
      </c>
      <c r="G3587" t="s">
        <v>63</v>
      </c>
      <c r="H3587">
        <v>1</v>
      </c>
      <c r="I3587">
        <v>11.551025040000001</v>
      </c>
      <c r="J3587">
        <v>804</v>
      </c>
      <c r="K3587">
        <v>3.55</v>
      </c>
      <c r="M3587">
        <v>2.67</v>
      </c>
      <c r="O3587">
        <v>0.23799999999999999</v>
      </c>
      <c r="Q3587">
        <v>1.05</v>
      </c>
      <c r="R3587">
        <v>1.06</v>
      </c>
    </row>
    <row r="3588" spans="1:19" x14ac:dyDescent="0.2">
      <c r="A3588" t="s">
        <v>6272</v>
      </c>
      <c r="B3588" t="s">
        <v>6273</v>
      </c>
      <c r="C3588">
        <v>2016</v>
      </c>
      <c r="D3588">
        <v>1</v>
      </c>
      <c r="E3588" t="s">
        <v>55</v>
      </c>
      <c r="F3588" t="s">
        <v>128</v>
      </c>
      <c r="G3588" t="s">
        <v>63</v>
      </c>
      <c r="H3588">
        <v>1</v>
      </c>
      <c r="I3588">
        <v>4.4697577400000004</v>
      </c>
      <c r="J3588">
        <v>913</v>
      </c>
      <c r="K3588">
        <v>4.07</v>
      </c>
      <c r="M3588">
        <v>2.31</v>
      </c>
      <c r="O3588">
        <v>0.20599999999999999</v>
      </c>
      <c r="Q3588">
        <v>0.98</v>
      </c>
      <c r="R3588">
        <v>0.96</v>
      </c>
    </row>
    <row r="3589" spans="1:19" x14ac:dyDescent="0.2">
      <c r="A3589" t="s">
        <v>6274</v>
      </c>
      <c r="B3589" t="s">
        <v>6275</v>
      </c>
      <c r="C3589">
        <v>2016</v>
      </c>
      <c r="D3589">
        <v>1</v>
      </c>
      <c r="E3589" t="s">
        <v>55</v>
      </c>
      <c r="F3589" t="s">
        <v>128</v>
      </c>
      <c r="G3589" t="s">
        <v>63</v>
      </c>
      <c r="H3589">
        <v>1</v>
      </c>
      <c r="I3589">
        <v>15.7738221</v>
      </c>
      <c r="J3589">
        <v>702</v>
      </c>
      <c r="K3589">
        <v>3.55</v>
      </c>
      <c r="M3589">
        <v>2.25</v>
      </c>
      <c r="O3589">
        <v>0.20100000000000001</v>
      </c>
      <c r="Q3589">
        <v>1.1599999999999999</v>
      </c>
      <c r="R3589">
        <v>1.29</v>
      </c>
    </row>
    <row r="3590" spans="1:19" x14ac:dyDescent="0.2">
      <c r="A3590" t="s">
        <v>6276</v>
      </c>
      <c r="B3590" t="s">
        <v>6277</v>
      </c>
      <c r="C3590">
        <v>2016</v>
      </c>
      <c r="D3590">
        <v>1</v>
      </c>
      <c r="E3590" t="s">
        <v>55</v>
      </c>
      <c r="F3590" t="s">
        <v>128</v>
      </c>
      <c r="G3590" t="s">
        <v>63</v>
      </c>
      <c r="H3590">
        <v>1</v>
      </c>
      <c r="I3590">
        <v>60.0855082</v>
      </c>
      <c r="J3590">
        <v>655</v>
      </c>
      <c r="K3590">
        <v>1.41</v>
      </c>
      <c r="M3590">
        <v>2.36</v>
      </c>
      <c r="O3590">
        <v>0.21099999999999999</v>
      </c>
      <c r="Q3590">
        <v>1.1299999999999999</v>
      </c>
      <c r="R3590">
        <v>1.08</v>
      </c>
    </row>
    <row r="3591" spans="1:19" x14ac:dyDescent="0.2">
      <c r="A3591" t="s">
        <v>6278</v>
      </c>
      <c r="B3591" t="s">
        <v>6279</v>
      </c>
      <c r="C3591">
        <v>2016</v>
      </c>
      <c r="D3591">
        <v>1</v>
      </c>
      <c r="E3591" t="s">
        <v>55</v>
      </c>
      <c r="F3591" t="s">
        <v>128</v>
      </c>
      <c r="G3591" t="s">
        <v>63</v>
      </c>
      <c r="H3591">
        <v>1</v>
      </c>
      <c r="I3591">
        <v>43.034227199999997</v>
      </c>
      <c r="J3591">
        <v>461</v>
      </c>
      <c r="K3591">
        <v>3.98</v>
      </c>
      <c r="M3591">
        <v>2.12</v>
      </c>
      <c r="O3591">
        <v>0.189</v>
      </c>
      <c r="Q3591">
        <v>0.96</v>
      </c>
      <c r="R3591">
        <v>0.93</v>
      </c>
    </row>
    <row r="3592" spans="1:19" x14ac:dyDescent="0.2">
      <c r="A3592" t="s">
        <v>6280</v>
      </c>
      <c r="B3592" t="s">
        <v>6281</v>
      </c>
      <c r="C3592">
        <v>2016</v>
      </c>
      <c r="D3592">
        <v>1</v>
      </c>
      <c r="E3592" t="s">
        <v>55</v>
      </c>
      <c r="F3592" t="s">
        <v>128</v>
      </c>
      <c r="G3592" t="s">
        <v>63</v>
      </c>
      <c r="H3592">
        <v>1</v>
      </c>
      <c r="I3592">
        <v>116.331901</v>
      </c>
      <c r="J3592">
        <v>741</v>
      </c>
      <c r="K3592">
        <v>3.39</v>
      </c>
      <c r="M3592">
        <v>2.98</v>
      </c>
      <c r="O3592">
        <v>0.26600000000000001</v>
      </c>
      <c r="Q3592">
        <v>0.91</v>
      </c>
      <c r="R3592">
        <v>0.85</v>
      </c>
    </row>
    <row r="3593" spans="1:19" x14ac:dyDescent="0.2">
      <c r="A3593" t="s">
        <v>6282</v>
      </c>
      <c r="B3593" t="s">
        <v>6283</v>
      </c>
      <c r="C3593">
        <v>2016</v>
      </c>
      <c r="D3593">
        <v>1</v>
      </c>
      <c r="E3593" t="s">
        <v>55</v>
      </c>
      <c r="F3593" t="s">
        <v>128</v>
      </c>
      <c r="G3593" t="s">
        <v>63</v>
      </c>
      <c r="H3593">
        <v>1</v>
      </c>
      <c r="I3593">
        <v>56.434993800000001</v>
      </c>
      <c r="J3593">
        <v>563</v>
      </c>
      <c r="K3593">
        <v>6.17</v>
      </c>
      <c r="M3593">
        <v>2.36</v>
      </c>
      <c r="O3593">
        <v>0.21099999999999999</v>
      </c>
      <c r="Q3593">
        <v>0.96</v>
      </c>
      <c r="R3593">
        <v>0.98</v>
      </c>
    </row>
    <row r="3594" spans="1:19" x14ac:dyDescent="0.2">
      <c r="A3594" t="s">
        <v>6284</v>
      </c>
      <c r="B3594" t="s">
        <v>6285</v>
      </c>
      <c r="C3594">
        <v>2016</v>
      </c>
      <c r="D3594">
        <v>1</v>
      </c>
      <c r="E3594" t="s">
        <v>55</v>
      </c>
      <c r="F3594" t="s">
        <v>128</v>
      </c>
      <c r="G3594" t="s">
        <v>63</v>
      </c>
      <c r="H3594">
        <v>1</v>
      </c>
      <c r="I3594">
        <v>105.3033148</v>
      </c>
      <c r="J3594">
        <v>936</v>
      </c>
      <c r="K3594">
        <v>2.4500000000000002</v>
      </c>
      <c r="M3594">
        <v>3.26</v>
      </c>
      <c r="O3594">
        <v>0.29099999999999998</v>
      </c>
      <c r="Q3594">
        <v>0.97</v>
      </c>
      <c r="R3594">
        <v>0.91</v>
      </c>
    </row>
    <row r="3595" spans="1:19" x14ac:dyDescent="0.2">
      <c r="A3595" t="s">
        <v>6286</v>
      </c>
      <c r="B3595" t="s">
        <v>6287</v>
      </c>
      <c r="C3595">
        <v>2016</v>
      </c>
      <c r="D3595">
        <v>1</v>
      </c>
      <c r="E3595" t="s">
        <v>55</v>
      </c>
      <c r="F3595" t="s">
        <v>128</v>
      </c>
      <c r="G3595" t="s">
        <v>63</v>
      </c>
      <c r="H3595">
        <v>1</v>
      </c>
      <c r="I3595">
        <v>17.760800530000001</v>
      </c>
      <c r="J3595">
        <v>248</v>
      </c>
      <c r="K3595">
        <v>3.16</v>
      </c>
      <c r="M3595">
        <v>2.0699999999999998</v>
      </c>
      <c r="O3595">
        <v>0.185</v>
      </c>
      <c r="Q3595">
        <v>0.55000000000000004</v>
      </c>
      <c r="R3595">
        <v>0.53</v>
      </c>
    </row>
    <row r="3596" spans="1:19" x14ac:dyDescent="0.2">
      <c r="A3596" t="s">
        <v>6288</v>
      </c>
      <c r="B3596" t="s">
        <v>6289</v>
      </c>
      <c r="C3596">
        <v>2016</v>
      </c>
      <c r="D3596">
        <v>1</v>
      </c>
      <c r="E3596" t="s">
        <v>55</v>
      </c>
      <c r="F3596" t="s">
        <v>128</v>
      </c>
      <c r="G3596" t="s">
        <v>63</v>
      </c>
      <c r="H3596">
        <v>1</v>
      </c>
      <c r="I3596">
        <v>7.9643153499999997</v>
      </c>
      <c r="J3596">
        <v>484</v>
      </c>
      <c r="K3596">
        <v>4.68</v>
      </c>
      <c r="M3596">
        <v>2.21</v>
      </c>
      <c r="O3596">
        <v>0.19700000000000001</v>
      </c>
      <c r="Q3596">
        <v>0.82</v>
      </c>
      <c r="R3596">
        <v>0.78</v>
      </c>
    </row>
    <row r="3597" spans="1:19" x14ac:dyDescent="0.2">
      <c r="A3597" t="s">
        <v>6290</v>
      </c>
      <c r="B3597" t="s">
        <v>6291</v>
      </c>
      <c r="C3597">
        <v>2014</v>
      </c>
      <c r="D3597">
        <v>1</v>
      </c>
      <c r="E3597" t="s">
        <v>55</v>
      </c>
      <c r="F3597" t="s">
        <v>128</v>
      </c>
      <c r="G3597" t="s">
        <v>63</v>
      </c>
      <c r="H3597">
        <v>1</v>
      </c>
      <c r="I3597">
        <v>4.60358</v>
      </c>
      <c r="J3597">
        <v>210</v>
      </c>
      <c r="K3597">
        <v>1.47</v>
      </c>
      <c r="L3597">
        <v>6.15</v>
      </c>
      <c r="M3597">
        <v>1.48</v>
      </c>
      <c r="N3597">
        <v>1.9E-2</v>
      </c>
      <c r="O3597">
        <v>0.13200000000000001</v>
      </c>
      <c r="P3597">
        <v>10.9</v>
      </c>
      <c r="Q3597">
        <v>0.79</v>
      </c>
      <c r="R3597">
        <v>0.73</v>
      </c>
      <c r="S3597">
        <v>2.86</v>
      </c>
    </row>
    <row r="3598" spans="1:19" x14ac:dyDescent="0.2">
      <c r="A3598" t="s">
        <v>6292</v>
      </c>
      <c r="B3598" t="s">
        <v>6293</v>
      </c>
      <c r="C3598">
        <v>2016</v>
      </c>
      <c r="D3598">
        <v>1</v>
      </c>
      <c r="E3598" t="s">
        <v>55</v>
      </c>
      <c r="F3598" t="s">
        <v>128</v>
      </c>
      <c r="G3598" t="s">
        <v>63</v>
      </c>
      <c r="H3598">
        <v>2</v>
      </c>
      <c r="I3598">
        <v>9.9172342800000006</v>
      </c>
      <c r="J3598">
        <v>933</v>
      </c>
      <c r="K3598">
        <v>3.55</v>
      </c>
      <c r="M3598">
        <v>2.6</v>
      </c>
      <c r="O3598">
        <v>0.23200000000000001</v>
      </c>
      <c r="Q3598">
        <v>1.05</v>
      </c>
      <c r="R3598">
        <v>1.08</v>
      </c>
    </row>
    <row r="3599" spans="1:19" x14ac:dyDescent="0.2">
      <c r="A3599" t="s">
        <v>6292</v>
      </c>
      <c r="B3599" t="s">
        <v>6294</v>
      </c>
      <c r="C3599">
        <v>2016</v>
      </c>
      <c r="D3599">
        <v>1</v>
      </c>
      <c r="E3599" t="s">
        <v>55</v>
      </c>
      <c r="F3599" t="s">
        <v>128</v>
      </c>
      <c r="G3599" t="s">
        <v>63</v>
      </c>
      <c r="H3599">
        <v>2</v>
      </c>
      <c r="I3599">
        <v>0.53835431</v>
      </c>
      <c r="J3599">
        <v>933</v>
      </c>
      <c r="K3599">
        <v>3.55</v>
      </c>
      <c r="M3599">
        <v>1.53</v>
      </c>
      <c r="O3599">
        <v>0.13600000000000001</v>
      </c>
      <c r="Q3599">
        <v>1.05</v>
      </c>
      <c r="R3599">
        <v>1.08</v>
      </c>
    </row>
    <row r="3600" spans="1:19" x14ac:dyDescent="0.2">
      <c r="A3600" t="s">
        <v>6295</v>
      </c>
      <c r="B3600" t="s">
        <v>6296</v>
      </c>
      <c r="C3600">
        <v>2016</v>
      </c>
      <c r="D3600">
        <v>1</v>
      </c>
      <c r="E3600" t="s">
        <v>55</v>
      </c>
      <c r="F3600" t="s">
        <v>128</v>
      </c>
      <c r="G3600" t="s">
        <v>63</v>
      </c>
      <c r="H3600">
        <v>1</v>
      </c>
      <c r="I3600">
        <v>82.534251900000001</v>
      </c>
      <c r="J3600">
        <v>370</v>
      </c>
      <c r="K3600">
        <v>3.47</v>
      </c>
      <c r="M3600">
        <v>2.54</v>
      </c>
      <c r="O3600">
        <v>0.22700000000000001</v>
      </c>
      <c r="Q3600">
        <v>0.64</v>
      </c>
      <c r="R3600">
        <v>0.61</v>
      </c>
    </row>
    <row r="3601" spans="1:19" x14ac:dyDescent="0.2">
      <c r="A3601" t="s">
        <v>6297</v>
      </c>
      <c r="B3601" t="s">
        <v>6298</v>
      </c>
      <c r="C3601">
        <v>2016</v>
      </c>
      <c r="D3601">
        <v>1</v>
      </c>
      <c r="E3601" t="s">
        <v>55</v>
      </c>
      <c r="F3601" t="s">
        <v>128</v>
      </c>
      <c r="G3601" t="s">
        <v>63</v>
      </c>
      <c r="H3601">
        <v>1</v>
      </c>
      <c r="I3601">
        <v>20.16034462</v>
      </c>
      <c r="J3601">
        <v>268</v>
      </c>
      <c r="K3601">
        <v>3.02</v>
      </c>
      <c r="M3601">
        <v>1.62</v>
      </c>
      <c r="O3601">
        <v>0.14499999999999999</v>
      </c>
      <c r="Q3601">
        <v>0.8</v>
      </c>
      <c r="R3601">
        <v>0.74</v>
      </c>
    </row>
    <row r="3602" spans="1:19" x14ac:dyDescent="0.2">
      <c r="A3602" t="s">
        <v>6299</v>
      </c>
      <c r="B3602" t="s">
        <v>6300</v>
      </c>
      <c r="C3602">
        <v>2016</v>
      </c>
      <c r="D3602">
        <v>1</v>
      </c>
      <c r="E3602" t="s">
        <v>55</v>
      </c>
      <c r="F3602" t="s">
        <v>128</v>
      </c>
      <c r="G3602" t="s">
        <v>63</v>
      </c>
      <c r="H3602">
        <v>1</v>
      </c>
      <c r="I3602">
        <v>22.085575630000001</v>
      </c>
      <c r="J3602">
        <v>298</v>
      </c>
      <c r="K3602">
        <v>3.89</v>
      </c>
      <c r="M3602">
        <v>2.97</v>
      </c>
      <c r="O3602">
        <v>0.26500000000000001</v>
      </c>
      <c r="Q3602">
        <v>0.56999999999999995</v>
      </c>
      <c r="R3602">
        <v>0.54</v>
      </c>
    </row>
    <row r="3603" spans="1:19" x14ac:dyDescent="0.2">
      <c r="A3603" t="s">
        <v>6301</v>
      </c>
      <c r="B3603" t="s">
        <v>6302</v>
      </c>
      <c r="C3603">
        <v>2016</v>
      </c>
      <c r="D3603">
        <v>1</v>
      </c>
      <c r="E3603" t="s">
        <v>55</v>
      </c>
      <c r="F3603" t="s">
        <v>128</v>
      </c>
      <c r="G3603" t="s">
        <v>63</v>
      </c>
      <c r="H3603">
        <v>1</v>
      </c>
      <c r="I3603">
        <v>1.1511665099999999</v>
      </c>
      <c r="J3603">
        <v>170</v>
      </c>
      <c r="K3603">
        <v>3.24</v>
      </c>
      <c r="M3603">
        <v>1.6</v>
      </c>
      <c r="O3603">
        <v>0.14299999999999999</v>
      </c>
      <c r="Q3603">
        <v>0.56000000000000005</v>
      </c>
      <c r="R3603">
        <v>0.54</v>
      </c>
    </row>
    <row r="3604" spans="1:19" x14ac:dyDescent="0.2">
      <c r="A3604" t="s">
        <v>6303</v>
      </c>
      <c r="B3604" t="s">
        <v>6304</v>
      </c>
      <c r="C3604">
        <v>2016</v>
      </c>
      <c r="D3604">
        <v>1</v>
      </c>
      <c r="E3604" t="s">
        <v>55</v>
      </c>
      <c r="F3604" t="s">
        <v>128</v>
      </c>
      <c r="G3604" t="s">
        <v>63</v>
      </c>
      <c r="H3604">
        <v>1</v>
      </c>
      <c r="I3604">
        <v>28.26731672</v>
      </c>
      <c r="J3604">
        <v>659</v>
      </c>
      <c r="K3604">
        <v>5.01</v>
      </c>
      <c r="M3604">
        <v>2.7</v>
      </c>
      <c r="O3604">
        <v>0.24099999999999999</v>
      </c>
      <c r="Q3604">
        <v>0.83</v>
      </c>
      <c r="R3604">
        <v>0.8</v>
      </c>
    </row>
    <row r="3605" spans="1:19" x14ac:dyDescent="0.2">
      <c r="A3605" t="s">
        <v>6305</v>
      </c>
      <c r="B3605" t="s">
        <v>6306</v>
      </c>
      <c r="C3605">
        <v>2016</v>
      </c>
      <c r="D3605">
        <v>1</v>
      </c>
      <c r="E3605" t="s">
        <v>55</v>
      </c>
      <c r="F3605" t="s">
        <v>128</v>
      </c>
      <c r="G3605" t="s">
        <v>63</v>
      </c>
      <c r="H3605">
        <v>1</v>
      </c>
      <c r="I3605">
        <v>3.7705905799999999</v>
      </c>
      <c r="J3605">
        <v>1098</v>
      </c>
      <c r="K3605">
        <v>3.63</v>
      </c>
      <c r="M3605">
        <v>1.98</v>
      </c>
      <c r="O3605">
        <v>0.17699999999999999</v>
      </c>
      <c r="Q3605">
        <v>1.0900000000000001</v>
      </c>
      <c r="R3605">
        <v>1.1399999999999999</v>
      </c>
    </row>
    <row r="3606" spans="1:19" x14ac:dyDescent="0.2">
      <c r="A3606" t="s">
        <v>6307</v>
      </c>
      <c r="B3606" t="s">
        <v>6308</v>
      </c>
      <c r="C3606">
        <v>2016</v>
      </c>
      <c r="D3606">
        <v>1</v>
      </c>
      <c r="E3606" t="s">
        <v>55</v>
      </c>
      <c r="F3606" t="s">
        <v>128</v>
      </c>
      <c r="G3606" t="s">
        <v>63</v>
      </c>
      <c r="H3606">
        <v>1</v>
      </c>
      <c r="I3606">
        <v>2.7073067200000001</v>
      </c>
      <c r="J3606">
        <v>470</v>
      </c>
      <c r="K3606">
        <v>3.63</v>
      </c>
      <c r="M3606">
        <v>1.36</v>
      </c>
      <c r="O3606">
        <v>0.121</v>
      </c>
      <c r="Q3606">
        <v>1.22</v>
      </c>
      <c r="R3606">
        <v>1.56</v>
      </c>
    </row>
    <row r="3607" spans="1:19" x14ac:dyDescent="0.2">
      <c r="A3607" t="s">
        <v>6309</v>
      </c>
      <c r="B3607" t="s">
        <v>6310</v>
      </c>
      <c r="C3607">
        <v>2016</v>
      </c>
      <c r="D3607">
        <v>1</v>
      </c>
      <c r="E3607" t="s">
        <v>55</v>
      </c>
      <c r="F3607" t="s">
        <v>128</v>
      </c>
      <c r="G3607" t="s">
        <v>63</v>
      </c>
      <c r="H3607">
        <v>1</v>
      </c>
      <c r="I3607">
        <v>5.6537773299999996</v>
      </c>
      <c r="J3607">
        <v>996</v>
      </c>
      <c r="K3607">
        <v>3.31</v>
      </c>
      <c r="M3607">
        <v>2.3199999999999998</v>
      </c>
      <c r="O3607">
        <v>0.20699999999999999</v>
      </c>
      <c r="Q3607">
        <v>1.1200000000000001</v>
      </c>
      <c r="R3607">
        <v>1.18</v>
      </c>
    </row>
    <row r="3608" spans="1:19" x14ac:dyDescent="0.2">
      <c r="A3608" t="s">
        <v>6311</v>
      </c>
      <c r="B3608" t="s">
        <v>6312</v>
      </c>
      <c r="C3608">
        <v>2016</v>
      </c>
      <c r="D3608">
        <v>1</v>
      </c>
      <c r="E3608" t="s">
        <v>55</v>
      </c>
      <c r="F3608" t="s">
        <v>128</v>
      </c>
      <c r="G3608" t="s">
        <v>63</v>
      </c>
      <c r="H3608">
        <v>1</v>
      </c>
      <c r="I3608">
        <v>5.9918570200000003</v>
      </c>
      <c r="J3608">
        <v>568</v>
      </c>
      <c r="K3608">
        <v>3.09</v>
      </c>
      <c r="M3608">
        <v>2.34</v>
      </c>
      <c r="O3608">
        <v>0.20899999999999999</v>
      </c>
      <c r="Q3608">
        <v>1.29</v>
      </c>
      <c r="R3608">
        <v>1.65</v>
      </c>
    </row>
    <row r="3609" spans="1:19" x14ac:dyDescent="0.2">
      <c r="A3609" t="s">
        <v>6313</v>
      </c>
      <c r="B3609" t="s">
        <v>6314</v>
      </c>
      <c r="C3609">
        <v>2017</v>
      </c>
      <c r="D3609">
        <v>0</v>
      </c>
      <c r="E3609" t="s">
        <v>21</v>
      </c>
      <c r="F3609" t="s">
        <v>128</v>
      </c>
      <c r="G3609" t="s">
        <v>251</v>
      </c>
      <c r="H3609">
        <v>2</v>
      </c>
      <c r="I3609">
        <v>24.736958999999999</v>
      </c>
      <c r="J3609">
        <v>12.47</v>
      </c>
      <c r="K3609">
        <v>5</v>
      </c>
      <c r="L3609">
        <v>6.98</v>
      </c>
      <c r="M3609">
        <v>1.7270000000000001</v>
      </c>
      <c r="N3609">
        <v>2.196E-2</v>
      </c>
      <c r="O3609">
        <v>0.154</v>
      </c>
      <c r="P3609">
        <v>7.5</v>
      </c>
      <c r="Q3609">
        <v>0.18</v>
      </c>
      <c r="R3609">
        <v>0.21</v>
      </c>
    </row>
    <row r="3610" spans="1:19" x14ac:dyDescent="0.2">
      <c r="A3610" t="s">
        <v>6313</v>
      </c>
      <c r="B3610" t="s">
        <v>6315</v>
      </c>
      <c r="C3610">
        <v>2018</v>
      </c>
      <c r="D3610">
        <v>0</v>
      </c>
      <c r="E3610" t="s">
        <v>6316</v>
      </c>
      <c r="F3610" t="s">
        <v>128</v>
      </c>
      <c r="G3610" t="s">
        <v>35</v>
      </c>
      <c r="H3610">
        <v>2</v>
      </c>
      <c r="I3610">
        <v>3.7779310000000002</v>
      </c>
      <c r="J3610">
        <v>12.47</v>
      </c>
      <c r="K3610">
        <v>5</v>
      </c>
      <c r="L3610">
        <v>1.81</v>
      </c>
      <c r="M3610">
        <v>1.282</v>
      </c>
      <c r="N3610">
        <v>5.6899999999999997E-3</v>
      </c>
      <c r="O3610">
        <v>0.114</v>
      </c>
      <c r="P3610">
        <v>4.7</v>
      </c>
      <c r="Q3610">
        <v>0.18</v>
      </c>
      <c r="R3610">
        <v>0.21</v>
      </c>
    </row>
    <row r="3611" spans="1:19" x14ac:dyDescent="0.2">
      <c r="A3611" t="s">
        <v>6317</v>
      </c>
      <c r="B3611" t="s">
        <v>6318</v>
      </c>
      <c r="C3611">
        <v>2019</v>
      </c>
      <c r="D3611">
        <v>0</v>
      </c>
      <c r="E3611" t="s">
        <v>55</v>
      </c>
      <c r="F3611" t="s">
        <v>128</v>
      </c>
      <c r="G3611" t="s">
        <v>256</v>
      </c>
      <c r="H3611">
        <v>1</v>
      </c>
      <c r="I3611">
        <v>0.46292913000000002</v>
      </c>
      <c r="J3611">
        <v>14.9</v>
      </c>
      <c r="M3611">
        <v>1.3029999999999999</v>
      </c>
      <c r="O3611">
        <v>0.11600000000000001</v>
      </c>
      <c r="Q3611">
        <v>0.15</v>
      </c>
      <c r="R3611">
        <v>0.19</v>
      </c>
      <c r="S3611">
        <v>31.73</v>
      </c>
    </row>
    <row r="3612" spans="1:19" x14ac:dyDescent="0.2">
      <c r="A3612" t="s">
        <v>6319</v>
      </c>
      <c r="B3612" t="s">
        <v>6320</v>
      </c>
      <c r="C3612">
        <v>2015</v>
      </c>
      <c r="D3612">
        <v>0</v>
      </c>
      <c r="E3612" t="s">
        <v>21</v>
      </c>
      <c r="F3612" t="s">
        <v>40</v>
      </c>
      <c r="G3612" t="s">
        <v>6321</v>
      </c>
      <c r="H3612">
        <v>2</v>
      </c>
      <c r="J3612">
        <v>158.87</v>
      </c>
    </row>
    <row r="3613" spans="1:19" x14ac:dyDescent="0.2">
      <c r="A3613" t="s">
        <v>6319</v>
      </c>
      <c r="B3613" t="s">
        <v>6322</v>
      </c>
      <c r="C3613">
        <v>2015</v>
      </c>
      <c r="D3613">
        <v>0</v>
      </c>
      <c r="E3613" t="s">
        <v>21</v>
      </c>
      <c r="F3613" t="s">
        <v>40</v>
      </c>
      <c r="G3613" t="s">
        <v>6321</v>
      </c>
      <c r="H3613">
        <v>2</v>
      </c>
      <c r="J3613">
        <v>158.87</v>
      </c>
    </row>
    <row r="3614" spans="1:19" x14ac:dyDescent="0.2">
      <c r="A3614" t="s">
        <v>6323</v>
      </c>
      <c r="B3614" t="s">
        <v>6324</v>
      </c>
      <c r="C3614">
        <v>2007</v>
      </c>
      <c r="D3614">
        <v>0</v>
      </c>
      <c r="E3614" t="s">
        <v>21</v>
      </c>
      <c r="F3614" t="s">
        <v>128</v>
      </c>
      <c r="G3614" t="s">
        <v>35</v>
      </c>
      <c r="H3614">
        <v>1</v>
      </c>
      <c r="I3614">
        <v>3.91405</v>
      </c>
      <c r="J3614">
        <v>2000</v>
      </c>
      <c r="L3614">
        <v>257.43099999999998</v>
      </c>
      <c r="M3614">
        <v>9.9760000000000009</v>
      </c>
      <c r="N3614">
        <v>0.81</v>
      </c>
      <c r="O3614">
        <v>0.89</v>
      </c>
      <c r="P3614">
        <v>1.4</v>
      </c>
      <c r="Q3614">
        <v>0.87</v>
      </c>
      <c r="R3614">
        <v>0.82</v>
      </c>
    </row>
    <row r="3615" spans="1:19" x14ac:dyDescent="0.2">
      <c r="A3615" t="s">
        <v>6325</v>
      </c>
      <c r="B3615" t="s">
        <v>6326</v>
      </c>
      <c r="C3615">
        <v>2017</v>
      </c>
      <c r="D3615">
        <v>0</v>
      </c>
      <c r="E3615" t="s">
        <v>21</v>
      </c>
      <c r="F3615" t="s">
        <v>128</v>
      </c>
      <c r="G3615" t="s">
        <v>35</v>
      </c>
      <c r="H3615">
        <v>1</v>
      </c>
      <c r="I3615">
        <v>2.1487799999999999</v>
      </c>
      <c r="J3615">
        <v>188.7</v>
      </c>
      <c r="K3615">
        <v>1</v>
      </c>
      <c r="L3615">
        <v>1175.971</v>
      </c>
      <c r="M3615">
        <v>16.814</v>
      </c>
      <c r="N3615">
        <v>3.7</v>
      </c>
      <c r="O3615">
        <v>1.5</v>
      </c>
      <c r="P3615">
        <v>1.5</v>
      </c>
      <c r="Q3615">
        <v>1.72</v>
      </c>
      <c r="R3615">
        <v>2.1</v>
      </c>
      <c r="S3615">
        <v>0.33</v>
      </c>
    </row>
    <row r="3616" spans="1:19" x14ac:dyDescent="0.2">
      <c r="A3616" t="s">
        <v>6327</v>
      </c>
      <c r="B3616" t="s">
        <v>6328</v>
      </c>
      <c r="C3616">
        <v>2008</v>
      </c>
      <c r="D3616">
        <v>0</v>
      </c>
      <c r="E3616" t="s">
        <v>21</v>
      </c>
      <c r="F3616" t="s">
        <v>2322</v>
      </c>
      <c r="G3616" t="s">
        <v>6329</v>
      </c>
      <c r="H3616">
        <v>1</v>
      </c>
      <c r="J3616">
        <v>1000</v>
      </c>
      <c r="L3616">
        <v>3.3</v>
      </c>
      <c r="N3616">
        <v>0.01</v>
      </c>
      <c r="Q3616">
        <v>0.06</v>
      </c>
    </row>
    <row r="3617" spans="1:17" x14ac:dyDescent="0.2">
      <c r="A3617" t="s">
        <v>6330</v>
      </c>
      <c r="B3617" t="s">
        <v>6331</v>
      </c>
      <c r="C3617">
        <v>2008</v>
      </c>
      <c r="D3617">
        <v>0</v>
      </c>
      <c r="E3617" t="s">
        <v>21</v>
      </c>
      <c r="F3617" t="s">
        <v>2322</v>
      </c>
      <c r="G3617" t="s">
        <v>6329</v>
      </c>
      <c r="H3617">
        <v>1</v>
      </c>
      <c r="J3617">
        <v>5800</v>
      </c>
      <c r="L3617">
        <v>263.79000000000002</v>
      </c>
      <c r="N3617">
        <v>0.83</v>
      </c>
      <c r="Q3617">
        <v>0.3</v>
      </c>
    </row>
    <row r="3618" spans="1:17" x14ac:dyDescent="0.2">
      <c r="A3618" t="s">
        <v>6332</v>
      </c>
      <c r="B3618" t="s">
        <v>6333</v>
      </c>
      <c r="C3618">
        <v>2009</v>
      </c>
      <c r="D3618">
        <v>0</v>
      </c>
      <c r="E3618" t="s">
        <v>21</v>
      </c>
      <c r="F3618" t="s">
        <v>2322</v>
      </c>
      <c r="G3618" t="s">
        <v>6329</v>
      </c>
      <c r="H3618">
        <v>1</v>
      </c>
      <c r="J3618">
        <v>7700</v>
      </c>
      <c r="L3618">
        <v>23.4</v>
      </c>
      <c r="N3618">
        <v>7.3620000000000005E-2</v>
      </c>
      <c r="Q3618">
        <v>0.21</v>
      </c>
    </row>
    <row r="3619" spans="1:17" x14ac:dyDescent="0.2">
      <c r="A3619" t="s">
        <v>6334</v>
      </c>
      <c r="B3619" t="s">
        <v>6335</v>
      </c>
      <c r="C3619">
        <v>2013</v>
      </c>
      <c r="D3619">
        <v>0</v>
      </c>
      <c r="E3619" t="s">
        <v>21</v>
      </c>
      <c r="F3619" t="s">
        <v>2322</v>
      </c>
      <c r="G3619" t="s">
        <v>6329</v>
      </c>
      <c r="H3619">
        <v>1</v>
      </c>
      <c r="J3619">
        <v>3300</v>
      </c>
      <c r="L3619">
        <v>1303</v>
      </c>
      <c r="N3619">
        <v>4.0999999999999996</v>
      </c>
      <c r="Q3619">
        <v>0.56000000000000005</v>
      </c>
    </row>
    <row r="3620" spans="1:17" x14ac:dyDescent="0.2">
      <c r="A3620" t="s">
        <v>6336</v>
      </c>
      <c r="B3620" t="s">
        <v>6337</v>
      </c>
      <c r="C3620">
        <v>2011</v>
      </c>
      <c r="D3620">
        <v>0</v>
      </c>
      <c r="E3620" t="s">
        <v>21</v>
      </c>
      <c r="F3620" t="s">
        <v>2322</v>
      </c>
      <c r="G3620" t="s">
        <v>6329</v>
      </c>
      <c r="H3620">
        <v>1</v>
      </c>
      <c r="I3620">
        <v>2774</v>
      </c>
      <c r="J3620">
        <v>3040</v>
      </c>
      <c r="L3620">
        <v>10.4</v>
      </c>
      <c r="N3620">
        <v>3.3000000000000002E-2</v>
      </c>
      <c r="Q3620">
        <v>0.56000000000000005</v>
      </c>
    </row>
    <row r="3621" spans="1:17" x14ac:dyDescent="0.2">
      <c r="A3621" t="s">
        <v>6338</v>
      </c>
      <c r="B3621" t="s">
        <v>6339</v>
      </c>
      <c r="C3621">
        <v>2010</v>
      </c>
      <c r="D3621">
        <v>0</v>
      </c>
      <c r="E3621" t="s">
        <v>21</v>
      </c>
      <c r="F3621" t="s">
        <v>2322</v>
      </c>
      <c r="G3621" t="s">
        <v>6329</v>
      </c>
      <c r="H3621">
        <v>1</v>
      </c>
      <c r="J3621">
        <v>6100</v>
      </c>
      <c r="L3621">
        <v>50</v>
      </c>
      <c r="N3621">
        <v>0.16</v>
      </c>
      <c r="Q3621">
        <v>0.38</v>
      </c>
    </row>
    <row r="3622" spans="1:17" x14ac:dyDescent="0.2">
      <c r="A3622" t="s">
        <v>6340</v>
      </c>
      <c r="B3622" t="s">
        <v>6341</v>
      </c>
      <c r="C3622">
        <v>2010</v>
      </c>
      <c r="D3622">
        <v>0</v>
      </c>
      <c r="E3622" t="s">
        <v>21</v>
      </c>
      <c r="F3622" t="s">
        <v>2322</v>
      </c>
      <c r="G3622" t="s">
        <v>6329</v>
      </c>
      <c r="H3622">
        <v>1</v>
      </c>
      <c r="I3622">
        <v>1982</v>
      </c>
      <c r="J3622">
        <v>5690</v>
      </c>
      <c r="L3622">
        <v>813.64480000000003</v>
      </c>
      <c r="N3622">
        <v>2.56</v>
      </c>
      <c r="Q3622">
        <v>0.19</v>
      </c>
    </row>
    <row r="3623" spans="1:17" x14ac:dyDescent="0.2">
      <c r="A3623" t="s">
        <v>6342</v>
      </c>
      <c r="B3623" t="s">
        <v>6343</v>
      </c>
      <c r="C3623">
        <v>2012</v>
      </c>
      <c r="D3623">
        <v>0</v>
      </c>
      <c r="E3623" t="s">
        <v>21</v>
      </c>
      <c r="F3623" t="s">
        <v>2322</v>
      </c>
      <c r="G3623" t="s">
        <v>6329</v>
      </c>
      <c r="H3623">
        <v>1</v>
      </c>
      <c r="J3623">
        <v>2800</v>
      </c>
      <c r="L3623">
        <v>3496</v>
      </c>
      <c r="N3623">
        <v>11</v>
      </c>
      <c r="Q3623">
        <v>0.16</v>
      </c>
    </row>
    <row r="3624" spans="1:17" x14ac:dyDescent="0.2">
      <c r="A3624" t="s">
        <v>6344</v>
      </c>
      <c r="B3624" t="s">
        <v>6345</v>
      </c>
      <c r="C3624">
        <v>2018</v>
      </c>
      <c r="D3624">
        <v>0</v>
      </c>
      <c r="E3624" t="s">
        <v>21</v>
      </c>
      <c r="F3624" t="s">
        <v>2322</v>
      </c>
      <c r="G3624" t="s">
        <v>6329</v>
      </c>
      <c r="H3624">
        <v>1</v>
      </c>
      <c r="J3624">
        <v>3500</v>
      </c>
      <c r="L3624">
        <v>171.62819999999999</v>
      </c>
      <c r="N3624">
        <v>0.54</v>
      </c>
      <c r="Q3624">
        <v>0.57999999999999996</v>
      </c>
    </row>
    <row r="3625" spans="1:17" x14ac:dyDescent="0.2">
      <c r="A3625" t="s">
        <v>6346</v>
      </c>
      <c r="B3625" t="s">
        <v>6347</v>
      </c>
      <c r="C3625">
        <v>2013</v>
      </c>
      <c r="D3625">
        <v>0</v>
      </c>
      <c r="E3625" t="s">
        <v>21</v>
      </c>
      <c r="F3625" t="s">
        <v>2322</v>
      </c>
      <c r="G3625" t="s">
        <v>6329</v>
      </c>
      <c r="H3625">
        <v>1</v>
      </c>
      <c r="J3625">
        <v>810</v>
      </c>
      <c r="L3625">
        <v>9.1999999999999993</v>
      </c>
      <c r="N3625">
        <v>2.895E-2</v>
      </c>
      <c r="Q3625">
        <v>0.11</v>
      </c>
    </row>
    <row r="3626" spans="1:17" x14ac:dyDescent="0.2">
      <c r="A3626" t="s">
        <v>6348</v>
      </c>
      <c r="B3626" t="s">
        <v>6349</v>
      </c>
      <c r="C3626">
        <v>2015</v>
      </c>
      <c r="D3626">
        <v>0</v>
      </c>
      <c r="E3626" t="s">
        <v>21</v>
      </c>
      <c r="F3626" t="s">
        <v>2322</v>
      </c>
      <c r="G3626" t="s">
        <v>6329</v>
      </c>
      <c r="H3626">
        <v>1</v>
      </c>
      <c r="J3626">
        <v>6430</v>
      </c>
      <c r="L3626">
        <v>85.814099999999996</v>
      </c>
      <c r="N3626">
        <v>0.27</v>
      </c>
      <c r="Q3626">
        <v>0.18</v>
      </c>
    </row>
    <row r="3627" spans="1:17" x14ac:dyDescent="0.2">
      <c r="A3627" t="s">
        <v>6350</v>
      </c>
      <c r="B3627" t="s">
        <v>6351</v>
      </c>
      <c r="C3627">
        <v>2012</v>
      </c>
      <c r="D3627">
        <v>0</v>
      </c>
      <c r="E3627" t="s">
        <v>21</v>
      </c>
      <c r="F3627" t="s">
        <v>2322</v>
      </c>
      <c r="G3627" t="s">
        <v>6329</v>
      </c>
      <c r="H3627">
        <v>1</v>
      </c>
      <c r="J3627">
        <v>2300</v>
      </c>
      <c r="L3627">
        <v>476.7</v>
      </c>
      <c r="N3627">
        <v>1.5</v>
      </c>
      <c r="Q3627">
        <v>0.67</v>
      </c>
    </row>
    <row r="3628" spans="1:17" x14ac:dyDescent="0.2">
      <c r="A3628" t="s">
        <v>6352</v>
      </c>
      <c r="B3628" t="s">
        <v>6353</v>
      </c>
      <c r="C3628">
        <v>2016</v>
      </c>
      <c r="D3628">
        <v>0</v>
      </c>
      <c r="E3628" t="s">
        <v>21</v>
      </c>
      <c r="F3628" t="s">
        <v>2322</v>
      </c>
      <c r="G3628" t="s">
        <v>6329</v>
      </c>
      <c r="H3628">
        <v>1</v>
      </c>
      <c r="J3628">
        <v>7380</v>
      </c>
      <c r="L3628">
        <v>30</v>
      </c>
      <c r="N3628">
        <v>9.4390000000000002E-2</v>
      </c>
      <c r="Q3628">
        <v>0.75</v>
      </c>
    </row>
    <row r="3629" spans="1:17" x14ac:dyDescent="0.2">
      <c r="A3629" t="s">
        <v>6354</v>
      </c>
      <c r="B3629" t="s">
        <v>6355</v>
      </c>
      <c r="C3629">
        <v>2014</v>
      </c>
      <c r="D3629">
        <v>0</v>
      </c>
      <c r="E3629" t="s">
        <v>21</v>
      </c>
      <c r="F3629" t="s">
        <v>2322</v>
      </c>
      <c r="G3629" t="s">
        <v>6329</v>
      </c>
      <c r="H3629">
        <v>1</v>
      </c>
      <c r="J3629">
        <v>7000</v>
      </c>
      <c r="L3629">
        <v>18</v>
      </c>
      <c r="N3629">
        <v>5.663E-2</v>
      </c>
      <c r="Q3629">
        <v>0.12</v>
      </c>
    </row>
    <row r="3630" spans="1:17" x14ac:dyDescent="0.2">
      <c r="A3630" t="s">
        <v>6356</v>
      </c>
      <c r="B3630" t="s">
        <v>6357</v>
      </c>
      <c r="C3630">
        <v>2018</v>
      </c>
      <c r="D3630">
        <v>0</v>
      </c>
      <c r="E3630" t="s">
        <v>21</v>
      </c>
      <c r="F3630" t="s">
        <v>2322</v>
      </c>
      <c r="G3630" t="s">
        <v>6329</v>
      </c>
      <c r="H3630">
        <v>1</v>
      </c>
      <c r="J3630">
        <v>4400</v>
      </c>
      <c r="L3630">
        <v>18</v>
      </c>
      <c r="N3630">
        <v>5.663E-2</v>
      </c>
      <c r="Q3630">
        <v>0.15</v>
      </c>
    </row>
    <row r="3631" spans="1:17" x14ac:dyDescent="0.2">
      <c r="A3631" t="s">
        <v>6358</v>
      </c>
      <c r="B3631" t="s">
        <v>6359</v>
      </c>
      <c r="C3631">
        <v>2012</v>
      </c>
      <c r="D3631">
        <v>0</v>
      </c>
      <c r="E3631" t="s">
        <v>21</v>
      </c>
      <c r="F3631" t="s">
        <v>2322</v>
      </c>
      <c r="G3631" t="s">
        <v>6329</v>
      </c>
      <c r="H3631">
        <v>1</v>
      </c>
      <c r="J3631">
        <v>7720</v>
      </c>
      <c r="L3631">
        <v>1525.5</v>
      </c>
      <c r="N3631">
        <v>4.8</v>
      </c>
      <c r="Q3631">
        <v>0.86</v>
      </c>
    </row>
    <row r="3632" spans="1:17" x14ac:dyDescent="0.2">
      <c r="A3632" t="s">
        <v>6360</v>
      </c>
      <c r="B3632" t="s">
        <v>6361</v>
      </c>
      <c r="C3632">
        <v>2013</v>
      </c>
      <c r="D3632">
        <v>0</v>
      </c>
      <c r="E3632" t="s">
        <v>21</v>
      </c>
      <c r="F3632" t="s">
        <v>2322</v>
      </c>
      <c r="G3632" t="s">
        <v>6329</v>
      </c>
      <c r="H3632">
        <v>1</v>
      </c>
      <c r="J3632">
        <v>7560</v>
      </c>
      <c r="L3632">
        <v>3686.7</v>
      </c>
      <c r="N3632">
        <v>11.6</v>
      </c>
      <c r="Q3632">
        <v>0.39</v>
      </c>
    </row>
    <row r="3633" spans="1:19" x14ac:dyDescent="0.2">
      <c r="A3633" t="s">
        <v>6362</v>
      </c>
      <c r="B3633" t="s">
        <v>6363</v>
      </c>
      <c r="C3633">
        <v>2017</v>
      </c>
      <c r="D3633">
        <v>0</v>
      </c>
      <c r="E3633" t="s">
        <v>21</v>
      </c>
      <c r="F3633" t="s">
        <v>2322</v>
      </c>
      <c r="G3633" t="s">
        <v>35</v>
      </c>
      <c r="H3633">
        <v>1</v>
      </c>
      <c r="J3633">
        <v>5300</v>
      </c>
      <c r="L3633">
        <v>2669.7719999999999</v>
      </c>
      <c r="N3633">
        <v>8.4</v>
      </c>
      <c r="Q3633">
        <v>0.49</v>
      </c>
    </row>
    <row r="3634" spans="1:19" x14ac:dyDescent="0.2">
      <c r="A3634" t="s">
        <v>6364</v>
      </c>
      <c r="B3634" t="s">
        <v>6365</v>
      </c>
      <c r="C3634">
        <v>2017</v>
      </c>
      <c r="D3634">
        <v>0</v>
      </c>
      <c r="E3634" t="s">
        <v>21</v>
      </c>
      <c r="F3634" t="s">
        <v>2322</v>
      </c>
      <c r="G3634" t="s">
        <v>6329</v>
      </c>
      <c r="H3634">
        <v>1</v>
      </c>
      <c r="J3634">
        <v>7210</v>
      </c>
      <c r="L3634">
        <v>6.7</v>
      </c>
      <c r="N3634">
        <v>2.1080000000000002E-2</v>
      </c>
      <c r="Q3634">
        <v>0.1</v>
      </c>
    </row>
    <row r="3635" spans="1:19" x14ac:dyDescent="0.2">
      <c r="A3635" t="s">
        <v>6366</v>
      </c>
      <c r="B3635" t="s">
        <v>6367</v>
      </c>
      <c r="C3635">
        <v>2016</v>
      </c>
      <c r="D3635">
        <v>0</v>
      </c>
      <c r="E3635" t="s">
        <v>21</v>
      </c>
      <c r="F3635" t="s">
        <v>2322</v>
      </c>
      <c r="G3635" t="s">
        <v>6329</v>
      </c>
      <c r="H3635">
        <v>1</v>
      </c>
      <c r="L3635">
        <v>3.2</v>
      </c>
      <c r="N3635">
        <v>1.0070000000000001E-2</v>
      </c>
      <c r="Q3635">
        <v>0.03</v>
      </c>
    </row>
    <row r="3636" spans="1:19" x14ac:dyDescent="0.2">
      <c r="A3636" t="s">
        <v>6368</v>
      </c>
      <c r="B3636" t="s">
        <v>6369</v>
      </c>
      <c r="C3636">
        <v>2018</v>
      </c>
      <c r="D3636">
        <v>0</v>
      </c>
      <c r="E3636" t="s">
        <v>21</v>
      </c>
      <c r="F3636" t="s">
        <v>2322</v>
      </c>
      <c r="G3636" t="s">
        <v>6329</v>
      </c>
      <c r="H3636">
        <v>1</v>
      </c>
      <c r="J3636">
        <v>7100</v>
      </c>
      <c r="L3636">
        <v>33.700000000000003</v>
      </c>
      <c r="N3636">
        <v>0.10603</v>
      </c>
      <c r="Q3636">
        <v>0.01</v>
      </c>
    </row>
    <row r="3637" spans="1:19" x14ac:dyDescent="0.2">
      <c r="A3637" t="s">
        <v>6370</v>
      </c>
      <c r="B3637" t="s">
        <v>6371</v>
      </c>
      <c r="C3637">
        <v>2017</v>
      </c>
      <c r="D3637">
        <v>0</v>
      </c>
      <c r="E3637" t="s">
        <v>21</v>
      </c>
      <c r="F3637" t="s">
        <v>2322</v>
      </c>
      <c r="G3637" t="s">
        <v>6329</v>
      </c>
      <c r="H3637">
        <v>1</v>
      </c>
      <c r="J3637">
        <v>6500</v>
      </c>
      <c r="L3637">
        <v>889.92399999999998</v>
      </c>
      <c r="N3637">
        <v>2.8</v>
      </c>
      <c r="Q3637">
        <v>0.28999999999999998</v>
      </c>
    </row>
    <row r="3638" spans="1:19" x14ac:dyDescent="0.2">
      <c r="A3638" t="s">
        <v>6372</v>
      </c>
      <c r="B3638" t="s">
        <v>6373</v>
      </c>
      <c r="C3638">
        <v>2018</v>
      </c>
      <c r="D3638">
        <v>0</v>
      </c>
      <c r="E3638" t="s">
        <v>21</v>
      </c>
      <c r="F3638" t="s">
        <v>2322</v>
      </c>
      <c r="G3638" t="s">
        <v>6329</v>
      </c>
      <c r="H3638">
        <v>1</v>
      </c>
      <c r="J3638">
        <v>6800</v>
      </c>
      <c r="L3638">
        <v>197.05459999999999</v>
      </c>
      <c r="N3638">
        <v>0.62</v>
      </c>
      <c r="Q3638">
        <v>0.15</v>
      </c>
    </row>
    <row r="3639" spans="1:19" x14ac:dyDescent="0.2">
      <c r="A3639" t="s">
        <v>6374</v>
      </c>
      <c r="B3639" t="s">
        <v>6375</v>
      </c>
      <c r="C3639">
        <v>2012</v>
      </c>
      <c r="D3639">
        <v>0</v>
      </c>
      <c r="E3639" t="s">
        <v>21</v>
      </c>
      <c r="F3639" t="s">
        <v>2322</v>
      </c>
      <c r="G3639" t="s">
        <v>6329</v>
      </c>
      <c r="H3639">
        <v>1</v>
      </c>
      <c r="J3639">
        <v>5100</v>
      </c>
      <c r="L3639">
        <v>1175.9000000000001</v>
      </c>
      <c r="N3639">
        <v>3.7</v>
      </c>
      <c r="Q3639">
        <v>0.75</v>
      </c>
    </row>
    <row r="3640" spans="1:19" x14ac:dyDescent="0.2">
      <c r="A3640" t="s">
        <v>6376</v>
      </c>
      <c r="B3640" t="s">
        <v>6377</v>
      </c>
      <c r="C3640">
        <v>2017</v>
      </c>
      <c r="D3640">
        <v>0</v>
      </c>
      <c r="E3640" t="s">
        <v>55</v>
      </c>
      <c r="F3640" t="s">
        <v>62</v>
      </c>
      <c r="G3640" t="s">
        <v>35</v>
      </c>
      <c r="H3640">
        <v>1</v>
      </c>
      <c r="I3640">
        <v>760</v>
      </c>
      <c r="L3640">
        <v>7532.5709999999999</v>
      </c>
      <c r="N3640">
        <v>23.7</v>
      </c>
      <c r="Q3640">
        <v>1.98</v>
      </c>
    </row>
    <row r="3641" spans="1:19" x14ac:dyDescent="0.2">
      <c r="A3641" t="s">
        <v>6378</v>
      </c>
      <c r="B3641" t="s">
        <v>6379</v>
      </c>
      <c r="C3641">
        <v>2014</v>
      </c>
      <c r="D3641">
        <v>0</v>
      </c>
      <c r="E3641" t="s">
        <v>21</v>
      </c>
      <c r="F3641" t="s">
        <v>22</v>
      </c>
      <c r="G3641" t="s">
        <v>35</v>
      </c>
      <c r="H3641">
        <v>1</v>
      </c>
      <c r="I3641">
        <v>121.71</v>
      </c>
      <c r="J3641">
        <v>837.03</v>
      </c>
      <c r="N3641">
        <v>6.69</v>
      </c>
      <c r="Q3641">
        <v>9.06</v>
      </c>
      <c r="R3641">
        <v>39.590000000000003</v>
      </c>
    </row>
    <row r="3642" spans="1:19" x14ac:dyDescent="0.2">
      <c r="A3642" t="s">
        <v>6380</v>
      </c>
      <c r="B3642" t="s">
        <v>6381</v>
      </c>
      <c r="C3642">
        <v>2017</v>
      </c>
      <c r="D3642">
        <v>0</v>
      </c>
      <c r="E3642" t="s">
        <v>21</v>
      </c>
      <c r="F3642" t="s">
        <v>22</v>
      </c>
      <c r="G3642" t="s">
        <v>35</v>
      </c>
      <c r="H3642">
        <v>1</v>
      </c>
      <c r="I3642">
        <v>511.21</v>
      </c>
      <c r="J3642">
        <v>842.01</v>
      </c>
      <c r="N3642">
        <v>2.1800000000000002</v>
      </c>
      <c r="Q3642">
        <v>1.37</v>
      </c>
    </row>
    <row r="3643" spans="1:19" x14ac:dyDescent="0.2">
      <c r="A3643" t="s">
        <v>6382</v>
      </c>
      <c r="B3643" t="s">
        <v>6383</v>
      </c>
      <c r="C3643">
        <v>2014</v>
      </c>
      <c r="D3643">
        <v>0</v>
      </c>
      <c r="E3643" t="s">
        <v>21</v>
      </c>
      <c r="F3643" t="s">
        <v>22</v>
      </c>
      <c r="G3643" t="s">
        <v>35</v>
      </c>
      <c r="H3643">
        <v>1</v>
      </c>
      <c r="I3643">
        <v>6.9589999999999996</v>
      </c>
      <c r="J3643">
        <v>895.73</v>
      </c>
      <c r="N3643">
        <v>0.32</v>
      </c>
      <c r="Q3643">
        <v>1.01</v>
      </c>
    </row>
    <row r="3644" spans="1:19" x14ac:dyDescent="0.2">
      <c r="A3644" t="s">
        <v>6384</v>
      </c>
      <c r="B3644" t="s">
        <v>6385</v>
      </c>
      <c r="C3644">
        <v>2014</v>
      </c>
      <c r="D3644">
        <v>0</v>
      </c>
      <c r="E3644" t="s">
        <v>21</v>
      </c>
      <c r="F3644" t="s">
        <v>22</v>
      </c>
      <c r="G3644" t="s">
        <v>35</v>
      </c>
      <c r="H3644">
        <v>1</v>
      </c>
      <c r="I3644">
        <v>5.1180000000000003</v>
      </c>
      <c r="J3644">
        <v>939.38</v>
      </c>
      <c r="N3644">
        <v>0.4</v>
      </c>
      <c r="Q3644">
        <v>0.96</v>
      </c>
    </row>
    <row r="3645" spans="1:19" x14ac:dyDescent="0.2">
      <c r="A3645" t="s">
        <v>6386</v>
      </c>
      <c r="B3645" t="s">
        <v>6387</v>
      </c>
      <c r="C3645">
        <v>2016</v>
      </c>
      <c r="D3645">
        <v>0</v>
      </c>
      <c r="E3645" t="s">
        <v>21</v>
      </c>
      <c r="F3645" t="s">
        <v>22</v>
      </c>
      <c r="G3645" t="s">
        <v>138</v>
      </c>
      <c r="H3645">
        <v>1</v>
      </c>
      <c r="I3645">
        <v>4.0869999999999997</v>
      </c>
      <c r="J3645">
        <v>851.36</v>
      </c>
      <c r="N3645">
        <v>0.46</v>
      </c>
      <c r="Q3645">
        <v>1.1399999999999999</v>
      </c>
    </row>
    <row r="3646" spans="1:19" x14ac:dyDescent="0.2">
      <c r="A3646" t="s">
        <v>6388</v>
      </c>
      <c r="B3646" t="s">
        <v>6389</v>
      </c>
      <c r="C3646">
        <v>2017</v>
      </c>
      <c r="D3646">
        <v>0</v>
      </c>
      <c r="E3646" t="s">
        <v>21</v>
      </c>
      <c r="F3646" t="s">
        <v>128</v>
      </c>
      <c r="G3646" t="s">
        <v>59</v>
      </c>
      <c r="H3646">
        <v>1</v>
      </c>
      <c r="I3646">
        <v>2.6472980000000002</v>
      </c>
      <c r="J3646">
        <v>224</v>
      </c>
      <c r="L3646">
        <v>258.07796000000002</v>
      </c>
      <c r="M3646">
        <v>14.907999999999999</v>
      </c>
      <c r="N3646">
        <v>0.81200000000000006</v>
      </c>
      <c r="O3646">
        <v>1.33</v>
      </c>
      <c r="P3646">
        <v>0.42</v>
      </c>
      <c r="Q3646">
        <v>0.62</v>
      </c>
      <c r="R3646">
        <v>0.56999999999999995</v>
      </c>
      <c r="S3646">
        <v>4.4000000000000004</v>
      </c>
    </row>
    <row r="3647" spans="1:19" x14ac:dyDescent="0.2">
      <c r="A3647" t="s">
        <v>6390</v>
      </c>
      <c r="B3647" t="s">
        <v>6391</v>
      </c>
      <c r="C3647">
        <v>2018</v>
      </c>
      <c r="D3647">
        <v>0</v>
      </c>
      <c r="E3647" t="s">
        <v>21</v>
      </c>
      <c r="F3647" t="s">
        <v>128</v>
      </c>
      <c r="G3647" t="s">
        <v>59</v>
      </c>
      <c r="H3647">
        <v>1</v>
      </c>
      <c r="I3647">
        <v>4.511164</v>
      </c>
      <c r="J3647">
        <v>360.3</v>
      </c>
      <c r="K3647">
        <v>2.17</v>
      </c>
      <c r="L3647">
        <v>235.1942</v>
      </c>
      <c r="M3647">
        <v>17.878</v>
      </c>
      <c r="N3647">
        <v>0.74</v>
      </c>
      <c r="O3647">
        <v>1.595</v>
      </c>
      <c r="P3647">
        <v>0.22600000000000001</v>
      </c>
      <c r="Q3647">
        <v>1.64</v>
      </c>
      <c r="R3647">
        <v>1.7</v>
      </c>
      <c r="S3647">
        <v>0.47699999999999998</v>
      </c>
    </row>
    <row r="3648" spans="1:19" x14ac:dyDescent="0.2">
      <c r="A3648" t="s">
        <v>6392</v>
      </c>
      <c r="B3648" t="s">
        <v>6393</v>
      </c>
      <c r="C3648">
        <v>2018</v>
      </c>
      <c r="D3648">
        <v>0</v>
      </c>
      <c r="E3648" t="s">
        <v>21</v>
      </c>
      <c r="F3648" t="s">
        <v>128</v>
      </c>
      <c r="G3648" t="s">
        <v>59</v>
      </c>
      <c r="H3648">
        <v>1</v>
      </c>
      <c r="I3648">
        <v>1.6753728000000001</v>
      </c>
      <c r="J3648">
        <v>1010</v>
      </c>
      <c r="L3648">
        <v>756.43539999999996</v>
      </c>
      <c r="M3648">
        <v>16.588999999999999</v>
      </c>
      <c r="N3648">
        <v>2.38</v>
      </c>
      <c r="O3648">
        <v>1.48</v>
      </c>
      <c r="P3648">
        <v>0.31</v>
      </c>
      <c r="Q3648">
        <v>1.02</v>
      </c>
      <c r="R3648">
        <v>0.93</v>
      </c>
      <c r="S3648">
        <v>1.0900000000000001</v>
      </c>
    </row>
    <row r="3649" spans="1:19" x14ac:dyDescent="0.2">
      <c r="A3649" t="s">
        <v>6394</v>
      </c>
      <c r="B3649" t="s">
        <v>6395</v>
      </c>
      <c r="C3649">
        <v>2019</v>
      </c>
      <c r="D3649">
        <v>0</v>
      </c>
      <c r="E3649" t="s">
        <v>21</v>
      </c>
      <c r="F3649" t="s">
        <v>128</v>
      </c>
      <c r="G3649" t="s">
        <v>59</v>
      </c>
      <c r="H3649">
        <v>1</v>
      </c>
      <c r="I3649">
        <v>1.3373508000000001</v>
      </c>
      <c r="J3649">
        <v>282.60000000000002</v>
      </c>
      <c r="L3649">
        <v>20.6</v>
      </c>
      <c r="M3649">
        <v>3.18</v>
      </c>
      <c r="N3649">
        <v>6.4810000000000006E-2</v>
      </c>
      <c r="O3649">
        <v>0.28399999999999997</v>
      </c>
      <c r="P3649">
        <v>3.45</v>
      </c>
      <c r="Q3649">
        <v>0.75</v>
      </c>
      <c r="R3649">
        <v>0.84</v>
      </c>
      <c r="S3649">
        <v>1.91</v>
      </c>
    </row>
    <row r="3650" spans="1:19" x14ac:dyDescent="0.2">
      <c r="A3650" t="s">
        <v>6396</v>
      </c>
      <c r="B3650" t="s">
        <v>6397</v>
      </c>
      <c r="C3650">
        <v>2019</v>
      </c>
      <c r="D3650">
        <v>0</v>
      </c>
      <c r="E3650" t="s">
        <v>21</v>
      </c>
      <c r="F3650" t="s">
        <v>128</v>
      </c>
      <c r="G3650" t="s">
        <v>59</v>
      </c>
      <c r="H3650">
        <v>1</v>
      </c>
      <c r="I3650">
        <v>3.3569865999999999</v>
      </c>
      <c r="J3650">
        <v>309.5</v>
      </c>
      <c r="L3650">
        <v>72.783069999999995</v>
      </c>
      <c r="M3650">
        <v>12.733000000000001</v>
      </c>
      <c r="N3650">
        <v>0.22900000000000001</v>
      </c>
      <c r="O3650">
        <v>1.1359999999999999</v>
      </c>
      <c r="Q3650">
        <v>0.66</v>
      </c>
      <c r="R3650">
        <v>0.74</v>
      </c>
    </row>
    <row r="3651" spans="1:19" x14ac:dyDescent="0.2">
      <c r="A3651" t="s">
        <v>6398</v>
      </c>
      <c r="B3651" t="s">
        <v>6399</v>
      </c>
      <c r="C3651">
        <v>2010</v>
      </c>
      <c r="D3651">
        <v>0</v>
      </c>
      <c r="E3651" t="s">
        <v>21</v>
      </c>
      <c r="F3651" t="s">
        <v>62</v>
      </c>
      <c r="G3651" t="s">
        <v>35</v>
      </c>
      <c r="H3651">
        <v>2</v>
      </c>
      <c r="I3651">
        <v>5573.55</v>
      </c>
      <c r="J3651">
        <v>500</v>
      </c>
      <c r="L3651">
        <v>2329.6</v>
      </c>
      <c r="N3651">
        <v>7.33</v>
      </c>
      <c r="Q3651">
        <v>0.54</v>
      </c>
    </row>
    <row r="3652" spans="1:19" x14ac:dyDescent="0.2">
      <c r="A3652" t="s">
        <v>6398</v>
      </c>
      <c r="B3652" t="s">
        <v>6400</v>
      </c>
      <c r="C3652">
        <v>2010</v>
      </c>
      <c r="D3652">
        <v>0</v>
      </c>
      <c r="E3652" t="s">
        <v>21</v>
      </c>
      <c r="F3652" t="s">
        <v>62</v>
      </c>
      <c r="G3652" t="s">
        <v>35</v>
      </c>
      <c r="H3652">
        <v>2</v>
      </c>
      <c r="I3652">
        <v>2883.5</v>
      </c>
      <c r="J3652">
        <v>500</v>
      </c>
      <c r="L3652">
        <v>731</v>
      </c>
      <c r="N3652">
        <v>2.2999999999999998</v>
      </c>
      <c r="Q3652">
        <v>0.54</v>
      </c>
    </row>
    <row r="3653" spans="1:19" x14ac:dyDescent="0.2">
      <c r="A3653" t="s">
        <v>6401</v>
      </c>
      <c r="B3653" t="s">
        <v>6402</v>
      </c>
      <c r="C3653">
        <v>2011</v>
      </c>
      <c r="D3653">
        <v>0</v>
      </c>
      <c r="E3653" t="s">
        <v>21</v>
      </c>
      <c r="F3653" t="s">
        <v>62</v>
      </c>
      <c r="G3653" t="s">
        <v>35</v>
      </c>
      <c r="H3653">
        <v>1</v>
      </c>
      <c r="I3653">
        <v>2985.7</v>
      </c>
      <c r="J3653">
        <v>551.99</v>
      </c>
      <c r="N3653">
        <v>2.78</v>
      </c>
    </row>
    <row r="3654" spans="1:19" x14ac:dyDescent="0.2">
      <c r="A3654" t="s">
        <v>6403</v>
      </c>
      <c r="B3654" t="s">
        <v>6404</v>
      </c>
      <c r="C3654">
        <v>2004</v>
      </c>
      <c r="D3654">
        <v>0</v>
      </c>
      <c r="E3654" t="s">
        <v>21</v>
      </c>
      <c r="F3654" t="s">
        <v>2322</v>
      </c>
      <c r="G3654" t="s">
        <v>6405</v>
      </c>
      <c r="H3654">
        <v>1</v>
      </c>
      <c r="J3654">
        <v>5800</v>
      </c>
      <c r="L3654">
        <v>826.35799999999995</v>
      </c>
      <c r="N3654">
        <v>2.6</v>
      </c>
      <c r="Q3654">
        <v>0.63</v>
      </c>
    </row>
    <row r="3655" spans="1:19" x14ac:dyDescent="0.2">
      <c r="A3655" t="s">
        <v>6406</v>
      </c>
      <c r="B3655" t="s">
        <v>6407</v>
      </c>
      <c r="C3655">
        <v>2005</v>
      </c>
      <c r="D3655">
        <v>0</v>
      </c>
      <c r="E3655" t="s">
        <v>21</v>
      </c>
      <c r="F3655" t="s">
        <v>2322</v>
      </c>
      <c r="G3655" t="s">
        <v>6405</v>
      </c>
      <c r="H3655">
        <v>1</v>
      </c>
      <c r="J3655">
        <v>3200</v>
      </c>
      <c r="L3655">
        <v>1207.7</v>
      </c>
      <c r="N3655">
        <v>3.8</v>
      </c>
      <c r="Q3655">
        <v>0.46</v>
      </c>
    </row>
    <row r="3656" spans="1:19" x14ac:dyDescent="0.2">
      <c r="A3656" t="s">
        <v>6408</v>
      </c>
      <c r="B3656" t="s">
        <v>6409</v>
      </c>
      <c r="C3656">
        <v>2006</v>
      </c>
      <c r="D3656">
        <v>0</v>
      </c>
      <c r="E3656" t="s">
        <v>21</v>
      </c>
      <c r="F3656" t="s">
        <v>2322</v>
      </c>
      <c r="G3656" t="s">
        <v>6405</v>
      </c>
      <c r="H3656">
        <v>1</v>
      </c>
      <c r="J3656">
        <v>4100</v>
      </c>
      <c r="L3656">
        <v>14.1</v>
      </c>
      <c r="N3656">
        <v>4.4359999999999997E-2</v>
      </c>
      <c r="Q3656">
        <v>0.69</v>
      </c>
    </row>
    <row r="3657" spans="1:19" x14ac:dyDescent="0.2">
      <c r="A3657" t="s">
        <v>6410</v>
      </c>
      <c r="B3657" t="s">
        <v>6411</v>
      </c>
      <c r="C3657">
        <v>2005</v>
      </c>
      <c r="D3657">
        <v>0</v>
      </c>
      <c r="E3657" t="s">
        <v>21</v>
      </c>
      <c r="F3657" t="s">
        <v>2322</v>
      </c>
      <c r="G3657" t="s">
        <v>6405</v>
      </c>
      <c r="H3657">
        <v>1</v>
      </c>
      <c r="I3657">
        <v>3285</v>
      </c>
      <c r="J3657">
        <v>6600</v>
      </c>
      <c r="L3657">
        <v>5.5</v>
      </c>
      <c r="N3657">
        <v>1.7000000000000001E-2</v>
      </c>
      <c r="Q3657">
        <v>0.22</v>
      </c>
    </row>
    <row r="3658" spans="1:19" x14ac:dyDescent="0.2">
      <c r="A3658" t="s">
        <v>6412</v>
      </c>
      <c r="B3658" t="s">
        <v>6413</v>
      </c>
      <c r="C3658">
        <v>2008</v>
      </c>
      <c r="D3658">
        <v>0</v>
      </c>
      <c r="E3658" t="s">
        <v>21</v>
      </c>
      <c r="F3658" t="s">
        <v>2322</v>
      </c>
      <c r="G3658" t="s">
        <v>6405</v>
      </c>
      <c r="H3658">
        <v>2</v>
      </c>
      <c r="I3658">
        <v>1788.5</v>
      </c>
      <c r="J3658">
        <v>1510</v>
      </c>
      <c r="L3658">
        <v>231</v>
      </c>
      <c r="N3658">
        <v>0.73</v>
      </c>
      <c r="Q3658">
        <v>0.51</v>
      </c>
    </row>
    <row r="3659" spans="1:19" x14ac:dyDescent="0.2">
      <c r="A3659" t="s">
        <v>6412</v>
      </c>
      <c r="B3659" t="s">
        <v>6414</v>
      </c>
      <c r="C3659">
        <v>2008</v>
      </c>
      <c r="D3659">
        <v>0</v>
      </c>
      <c r="E3659" t="s">
        <v>21</v>
      </c>
      <c r="F3659" t="s">
        <v>2322</v>
      </c>
      <c r="G3659" t="s">
        <v>6405</v>
      </c>
      <c r="H3659">
        <v>2</v>
      </c>
      <c r="I3659">
        <v>4927.5</v>
      </c>
      <c r="J3659">
        <v>1510</v>
      </c>
      <c r="L3659">
        <v>86</v>
      </c>
      <c r="N3659">
        <v>0.27</v>
      </c>
      <c r="Q3659">
        <v>0.51</v>
      </c>
    </row>
    <row r="3660" spans="1:19" x14ac:dyDescent="0.2">
      <c r="A3660" t="s">
        <v>6415</v>
      </c>
      <c r="B3660" t="s">
        <v>6416</v>
      </c>
      <c r="C3660">
        <v>2016</v>
      </c>
      <c r="D3660">
        <v>0</v>
      </c>
      <c r="E3660" t="s">
        <v>21</v>
      </c>
      <c r="F3660" t="s">
        <v>2322</v>
      </c>
      <c r="G3660" t="s">
        <v>6405</v>
      </c>
      <c r="H3660">
        <v>1</v>
      </c>
      <c r="I3660">
        <v>2557</v>
      </c>
      <c r="J3660">
        <v>2760</v>
      </c>
      <c r="L3660">
        <v>80</v>
      </c>
      <c r="N3660">
        <v>0.25170999999999999</v>
      </c>
      <c r="Q3660">
        <v>0.41</v>
      </c>
    </row>
    <row r="3661" spans="1:19" x14ac:dyDescent="0.2">
      <c r="A3661" t="s">
        <v>6417</v>
      </c>
      <c r="B3661" t="s">
        <v>6418</v>
      </c>
      <c r="C3661">
        <v>2009</v>
      </c>
      <c r="D3661">
        <v>0</v>
      </c>
      <c r="E3661" t="s">
        <v>21</v>
      </c>
      <c r="F3661" t="s">
        <v>2322</v>
      </c>
      <c r="G3661" t="s">
        <v>6405</v>
      </c>
      <c r="H3661">
        <v>1</v>
      </c>
      <c r="J3661">
        <v>5900</v>
      </c>
      <c r="L3661">
        <v>20</v>
      </c>
      <c r="N3661">
        <v>0.06</v>
      </c>
      <c r="Q3661">
        <v>0.64</v>
      </c>
    </row>
    <row r="3662" spans="1:19" x14ac:dyDescent="0.2">
      <c r="A3662" t="s">
        <v>6419</v>
      </c>
      <c r="B3662" t="s">
        <v>6420</v>
      </c>
      <c r="C3662">
        <v>2014</v>
      </c>
      <c r="D3662">
        <v>0</v>
      </c>
      <c r="E3662" t="s">
        <v>21</v>
      </c>
      <c r="F3662" t="s">
        <v>2322</v>
      </c>
      <c r="G3662" t="s">
        <v>6405</v>
      </c>
      <c r="H3662">
        <v>1</v>
      </c>
      <c r="J3662">
        <v>8100</v>
      </c>
      <c r="L3662">
        <v>56.6</v>
      </c>
      <c r="N3662">
        <v>0.18</v>
      </c>
      <c r="Q3662">
        <v>0.71</v>
      </c>
    </row>
    <row r="3663" spans="1:19" x14ac:dyDescent="0.2">
      <c r="A3663" t="s">
        <v>6421</v>
      </c>
      <c r="B3663" t="s">
        <v>6422</v>
      </c>
      <c r="C3663">
        <v>2014</v>
      </c>
      <c r="D3663">
        <v>0</v>
      </c>
      <c r="E3663" t="s">
        <v>21</v>
      </c>
      <c r="F3663" t="s">
        <v>2322</v>
      </c>
      <c r="G3663" t="s">
        <v>6405</v>
      </c>
      <c r="H3663">
        <v>1</v>
      </c>
      <c r="J3663">
        <v>6800</v>
      </c>
      <c r="L3663">
        <v>1462</v>
      </c>
      <c r="N3663">
        <v>4.5999999999999996</v>
      </c>
      <c r="Q3663">
        <v>0.37</v>
      </c>
    </row>
    <row r="3664" spans="1:19" x14ac:dyDescent="0.2">
      <c r="A3664" t="s">
        <v>6423</v>
      </c>
      <c r="B3664" t="s">
        <v>6424</v>
      </c>
      <c r="C3664">
        <v>2018</v>
      </c>
      <c r="D3664">
        <v>0</v>
      </c>
      <c r="E3664" t="s">
        <v>21</v>
      </c>
      <c r="F3664" t="s">
        <v>2322</v>
      </c>
      <c r="G3664" t="s">
        <v>6405</v>
      </c>
      <c r="H3664">
        <v>1</v>
      </c>
      <c r="J3664">
        <v>6100</v>
      </c>
      <c r="L3664">
        <v>60.387700000000002</v>
      </c>
      <c r="N3664">
        <v>0.19</v>
      </c>
      <c r="Q3664">
        <v>0.41</v>
      </c>
    </row>
    <row r="3665" spans="1:17" x14ac:dyDescent="0.2">
      <c r="A3665" t="s">
        <v>6425</v>
      </c>
      <c r="B3665" t="s">
        <v>6426</v>
      </c>
      <c r="C3665">
        <v>2012</v>
      </c>
      <c r="D3665">
        <v>0</v>
      </c>
      <c r="E3665" t="s">
        <v>21</v>
      </c>
      <c r="F3665" t="s">
        <v>2322</v>
      </c>
      <c r="G3665" t="s">
        <v>6405</v>
      </c>
      <c r="H3665">
        <v>1</v>
      </c>
      <c r="J3665">
        <v>2570</v>
      </c>
      <c r="L3665">
        <v>168.44</v>
      </c>
      <c r="N3665">
        <v>0.53</v>
      </c>
      <c r="Q3665">
        <v>0.26</v>
      </c>
    </row>
    <row r="3666" spans="1:17" x14ac:dyDescent="0.2">
      <c r="A3666" t="s">
        <v>6427</v>
      </c>
      <c r="B3666" t="s">
        <v>6428</v>
      </c>
      <c r="C3666">
        <v>2015</v>
      </c>
      <c r="D3666">
        <v>0</v>
      </c>
      <c r="E3666" t="s">
        <v>21</v>
      </c>
      <c r="F3666" t="s">
        <v>2322</v>
      </c>
      <c r="G3666" t="s">
        <v>6405</v>
      </c>
      <c r="H3666">
        <v>1</v>
      </c>
      <c r="J3666">
        <v>4380</v>
      </c>
      <c r="L3666">
        <v>279.68</v>
      </c>
      <c r="N3666">
        <v>0.88</v>
      </c>
      <c r="Q3666">
        <v>0.21</v>
      </c>
    </row>
    <row r="3667" spans="1:17" x14ac:dyDescent="0.2">
      <c r="A3667" t="s">
        <v>6429</v>
      </c>
      <c r="B3667" t="s">
        <v>6430</v>
      </c>
      <c r="C3667">
        <v>2012</v>
      </c>
      <c r="D3667">
        <v>0</v>
      </c>
      <c r="E3667" t="s">
        <v>21</v>
      </c>
      <c r="F3667" t="s">
        <v>2322</v>
      </c>
      <c r="G3667" t="s">
        <v>6405</v>
      </c>
      <c r="H3667">
        <v>2</v>
      </c>
      <c r="J3667">
        <v>4019</v>
      </c>
      <c r="K3667">
        <v>5</v>
      </c>
      <c r="L3667">
        <v>46.085349999999998</v>
      </c>
      <c r="N3667">
        <v>0.14499999999999999</v>
      </c>
      <c r="Q3667">
        <v>1.06</v>
      </c>
    </row>
    <row r="3668" spans="1:17" x14ac:dyDescent="0.2">
      <c r="A3668" t="s">
        <v>6429</v>
      </c>
      <c r="B3668" t="s">
        <v>6431</v>
      </c>
      <c r="C3668">
        <v>2012</v>
      </c>
      <c r="D3668">
        <v>0</v>
      </c>
      <c r="E3668" t="s">
        <v>21</v>
      </c>
      <c r="F3668" t="s">
        <v>2322</v>
      </c>
      <c r="G3668" t="s">
        <v>6405</v>
      </c>
      <c r="H3668">
        <v>2</v>
      </c>
      <c r="J3668">
        <v>4019</v>
      </c>
      <c r="K3668">
        <v>5</v>
      </c>
      <c r="L3668">
        <v>273.3338</v>
      </c>
      <c r="N3668">
        <v>0.86</v>
      </c>
      <c r="Q3668">
        <v>1.06</v>
      </c>
    </row>
    <row r="3669" spans="1:17" x14ac:dyDescent="0.2">
      <c r="A3669" t="s">
        <v>6432</v>
      </c>
      <c r="B3669" t="s">
        <v>6433</v>
      </c>
      <c r="C3669">
        <v>2013</v>
      </c>
      <c r="D3669">
        <v>0</v>
      </c>
      <c r="E3669" t="s">
        <v>21</v>
      </c>
      <c r="F3669" t="s">
        <v>2322</v>
      </c>
      <c r="G3669" t="s">
        <v>6405</v>
      </c>
      <c r="H3669">
        <v>1</v>
      </c>
      <c r="J3669">
        <v>1760</v>
      </c>
      <c r="L3669">
        <v>587.96</v>
      </c>
      <c r="N3669">
        <v>1.85</v>
      </c>
      <c r="Q3669">
        <v>0.02</v>
      </c>
    </row>
    <row r="3670" spans="1:17" x14ac:dyDescent="0.2">
      <c r="A3670" t="s">
        <v>6434</v>
      </c>
      <c r="B3670" t="s">
        <v>6435</v>
      </c>
      <c r="C3670">
        <v>2013</v>
      </c>
      <c r="D3670">
        <v>0</v>
      </c>
      <c r="E3670" t="s">
        <v>21</v>
      </c>
      <c r="F3670" t="s">
        <v>2322</v>
      </c>
      <c r="G3670" t="s">
        <v>6405</v>
      </c>
      <c r="H3670">
        <v>1</v>
      </c>
      <c r="J3670">
        <v>4970</v>
      </c>
      <c r="L3670">
        <v>867.64</v>
      </c>
      <c r="N3670">
        <v>2.73</v>
      </c>
      <c r="Q3670">
        <v>0.44</v>
      </c>
    </row>
    <row r="3671" spans="1:17" x14ac:dyDescent="0.2">
      <c r="A3671" t="s">
        <v>6436</v>
      </c>
      <c r="B3671" t="s">
        <v>6437</v>
      </c>
      <c r="C3671">
        <v>2015</v>
      </c>
      <c r="D3671">
        <v>0</v>
      </c>
      <c r="E3671" t="s">
        <v>21</v>
      </c>
      <c r="F3671" t="s">
        <v>2322</v>
      </c>
      <c r="G3671" t="s">
        <v>6405</v>
      </c>
      <c r="H3671">
        <v>1</v>
      </c>
      <c r="J3671">
        <v>1300</v>
      </c>
      <c r="L3671">
        <v>123</v>
      </c>
      <c r="N3671">
        <v>0.39</v>
      </c>
      <c r="Q3671">
        <v>0.34</v>
      </c>
    </row>
    <row r="3672" spans="1:17" x14ac:dyDescent="0.2">
      <c r="A3672" t="s">
        <v>6438</v>
      </c>
      <c r="B3672" t="s">
        <v>6439</v>
      </c>
      <c r="C3672">
        <v>2016</v>
      </c>
      <c r="D3672">
        <v>0</v>
      </c>
      <c r="E3672" t="s">
        <v>21</v>
      </c>
      <c r="F3672" t="s">
        <v>2322</v>
      </c>
      <c r="G3672" t="s">
        <v>6405</v>
      </c>
      <c r="H3672">
        <v>1</v>
      </c>
      <c r="J3672">
        <v>6700</v>
      </c>
      <c r="L3672">
        <v>149.3801</v>
      </c>
      <c r="N3672">
        <v>0.47</v>
      </c>
      <c r="Q3672">
        <v>0.28999999999999998</v>
      </c>
    </row>
    <row r="3673" spans="1:17" x14ac:dyDescent="0.2">
      <c r="A3673" t="s">
        <v>6440</v>
      </c>
      <c r="B3673" t="s">
        <v>6441</v>
      </c>
      <c r="C3673">
        <v>2016</v>
      </c>
      <c r="D3673">
        <v>0</v>
      </c>
      <c r="E3673" t="s">
        <v>21</v>
      </c>
      <c r="F3673" t="s">
        <v>2322</v>
      </c>
      <c r="G3673" t="s">
        <v>6405</v>
      </c>
      <c r="H3673">
        <v>1</v>
      </c>
      <c r="J3673">
        <v>3000</v>
      </c>
      <c r="L3673">
        <v>35</v>
      </c>
      <c r="N3673">
        <v>0.11012</v>
      </c>
      <c r="Q3673">
        <v>0.56000000000000005</v>
      </c>
    </row>
    <row r="3674" spans="1:17" x14ac:dyDescent="0.2">
      <c r="A3674" t="s">
        <v>6442</v>
      </c>
      <c r="B3674" t="s">
        <v>6443</v>
      </c>
      <c r="C3674">
        <v>2014</v>
      </c>
      <c r="D3674">
        <v>0</v>
      </c>
      <c r="E3674" t="s">
        <v>21</v>
      </c>
      <c r="F3674" t="s">
        <v>2322</v>
      </c>
      <c r="G3674" t="s">
        <v>6405</v>
      </c>
      <c r="H3674">
        <v>1</v>
      </c>
      <c r="J3674">
        <v>3040</v>
      </c>
      <c r="L3674">
        <v>3994.4859999999999</v>
      </c>
      <c r="N3674">
        <v>12.569000000000001</v>
      </c>
      <c r="Q3674">
        <v>0.1</v>
      </c>
    </row>
    <row r="3675" spans="1:17" x14ac:dyDescent="0.2">
      <c r="A3675" t="s">
        <v>6444</v>
      </c>
      <c r="B3675" t="s">
        <v>6445</v>
      </c>
      <c r="C3675">
        <v>2017</v>
      </c>
      <c r="D3675">
        <v>0</v>
      </c>
      <c r="E3675" t="s">
        <v>21</v>
      </c>
      <c r="F3675" t="s">
        <v>2322</v>
      </c>
      <c r="G3675" t="s">
        <v>6405</v>
      </c>
      <c r="H3675">
        <v>1</v>
      </c>
      <c r="J3675">
        <v>3900</v>
      </c>
      <c r="L3675">
        <v>92.170699999999997</v>
      </c>
      <c r="N3675">
        <v>0.28999999999999998</v>
      </c>
      <c r="Q3675">
        <v>0.54</v>
      </c>
    </row>
    <row r="3676" spans="1:17" x14ac:dyDescent="0.2">
      <c r="A3676" t="s">
        <v>6446</v>
      </c>
      <c r="B3676" t="s">
        <v>6447</v>
      </c>
      <c r="C3676">
        <v>2014</v>
      </c>
      <c r="D3676">
        <v>0</v>
      </c>
      <c r="E3676" t="s">
        <v>21</v>
      </c>
      <c r="F3676" t="s">
        <v>2322</v>
      </c>
      <c r="G3676" t="s">
        <v>6405</v>
      </c>
      <c r="H3676">
        <v>1</v>
      </c>
      <c r="J3676">
        <v>1161</v>
      </c>
      <c r="L3676">
        <v>2.3199999999999998</v>
      </c>
      <c r="N3676">
        <v>7.3000000000000001E-3</v>
      </c>
      <c r="Q3676">
        <v>0.15</v>
      </c>
    </row>
    <row r="3677" spans="1:17" x14ac:dyDescent="0.2">
      <c r="A3677" t="s">
        <v>6448</v>
      </c>
      <c r="B3677" t="s">
        <v>6449</v>
      </c>
      <c r="C3677">
        <v>2017</v>
      </c>
      <c r="D3677">
        <v>0</v>
      </c>
      <c r="E3677" t="s">
        <v>21</v>
      </c>
      <c r="F3677" t="s">
        <v>2322</v>
      </c>
      <c r="G3677" t="s">
        <v>6405</v>
      </c>
      <c r="H3677">
        <v>1</v>
      </c>
      <c r="J3677">
        <v>6300</v>
      </c>
      <c r="L3677">
        <v>203.41120000000001</v>
      </c>
      <c r="N3677">
        <v>0.64</v>
      </c>
      <c r="Q3677">
        <v>0.46</v>
      </c>
    </row>
    <row r="3678" spans="1:17" x14ac:dyDescent="0.2">
      <c r="A3678" t="s">
        <v>6450</v>
      </c>
      <c r="B3678" t="s">
        <v>6451</v>
      </c>
      <c r="C3678">
        <v>2018</v>
      </c>
      <c r="D3678">
        <v>0</v>
      </c>
      <c r="E3678" t="s">
        <v>21</v>
      </c>
      <c r="F3678" t="s">
        <v>2322</v>
      </c>
      <c r="G3678" t="s">
        <v>6405</v>
      </c>
      <c r="H3678">
        <v>1</v>
      </c>
      <c r="J3678">
        <v>6900</v>
      </c>
      <c r="L3678">
        <v>858.14099999999996</v>
      </c>
      <c r="N3678">
        <v>2.7</v>
      </c>
      <c r="Q3678">
        <v>0.33</v>
      </c>
    </row>
    <row r="3679" spans="1:17" x14ac:dyDescent="0.2">
      <c r="A3679" t="s">
        <v>6452</v>
      </c>
      <c r="B3679" t="s">
        <v>6453</v>
      </c>
      <c r="C3679">
        <v>2015</v>
      </c>
      <c r="D3679">
        <v>0</v>
      </c>
      <c r="E3679" t="s">
        <v>21</v>
      </c>
      <c r="F3679" t="s">
        <v>2322</v>
      </c>
      <c r="G3679" t="s">
        <v>6405</v>
      </c>
      <c r="H3679">
        <v>1</v>
      </c>
      <c r="J3679">
        <v>4100</v>
      </c>
      <c r="L3679">
        <v>162.09</v>
      </c>
      <c r="N3679">
        <v>0.51</v>
      </c>
      <c r="Q3679">
        <v>0.71</v>
      </c>
    </row>
    <row r="3680" spans="1:17" x14ac:dyDescent="0.2">
      <c r="A3680" t="s">
        <v>6454</v>
      </c>
      <c r="B3680" t="s">
        <v>6455</v>
      </c>
      <c r="C3680">
        <v>2016</v>
      </c>
      <c r="D3680">
        <v>0</v>
      </c>
      <c r="E3680" t="s">
        <v>21</v>
      </c>
      <c r="F3680" t="s">
        <v>2322</v>
      </c>
      <c r="G3680" t="s">
        <v>6405</v>
      </c>
      <c r="H3680">
        <v>1</v>
      </c>
      <c r="J3680">
        <v>2220</v>
      </c>
      <c r="L3680">
        <v>982.09469999999999</v>
      </c>
      <c r="N3680">
        <v>3.09</v>
      </c>
      <c r="Q3680">
        <v>0.62</v>
      </c>
    </row>
    <row r="3681" spans="1:17" x14ac:dyDescent="0.2">
      <c r="A3681" t="s">
        <v>6456</v>
      </c>
      <c r="B3681" t="s">
        <v>6457</v>
      </c>
      <c r="C3681">
        <v>2018</v>
      </c>
      <c r="D3681">
        <v>0</v>
      </c>
      <c r="E3681" t="s">
        <v>21</v>
      </c>
      <c r="F3681" t="s">
        <v>2322</v>
      </c>
      <c r="G3681" t="s">
        <v>6405</v>
      </c>
      <c r="H3681">
        <v>2</v>
      </c>
      <c r="J3681">
        <v>6400</v>
      </c>
      <c r="L3681">
        <v>55.3</v>
      </c>
      <c r="N3681">
        <v>0.17399000000000001</v>
      </c>
      <c r="Q3681">
        <v>0.4</v>
      </c>
    </row>
    <row r="3682" spans="1:17" x14ac:dyDescent="0.2">
      <c r="A3682" t="s">
        <v>6456</v>
      </c>
      <c r="B3682" t="s">
        <v>6458</v>
      </c>
      <c r="C3682">
        <v>2018</v>
      </c>
      <c r="D3682">
        <v>0</v>
      </c>
      <c r="E3682" t="s">
        <v>21</v>
      </c>
      <c r="F3682" t="s">
        <v>2322</v>
      </c>
      <c r="G3682" t="s">
        <v>6405</v>
      </c>
      <c r="H3682">
        <v>2</v>
      </c>
      <c r="J3682">
        <v>6400</v>
      </c>
      <c r="L3682">
        <v>83.7</v>
      </c>
      <c r="N3682">
        <v>0.26334999999999997</v>
      </c>
      <c r="Q3682">
        <v>0.4</v>
      </c>
    </row>
    <row r="3683" spans="1:17" x14ac:dyDescent="0.2">
      <c r="A3683" t="s">
        <v>6459</v>
      </c>
      <c r="B3683" t="s">
        <v>6460</v>
      </c>
      <c r="C3683">
        <v>2016</v>
      </c>
      <c r="D3683">
        <v>0</v>
      </c>
      <c r="E3683" t="s">
        <v>21</v>
      </c>
      <c r="F3683" t="s">
        <v>2322</v>
      </c>
      <c r="G3683" t="s">
        <v>6405</v>
      </c>
      <c r="H3683">
        <v>1</v>
      </c>
      <c r="J3683">
        <v>6860</v>
      </c>
      <c r="L3683">
        <v>177.98480000000001</v>
      </c>
      <c r="N3683">
        <v>0.56000000000000005</v>
      </c>
      <c r="Q3683">
        <v>0.51</v>
      </c>
    </row>
    <row r="3684" spans="1:17" x14ac:dyDescent="0.2">
      <c r="A3684" t="s">
        <v>6461</v>
      </c>
      <c r="B3684" t="s">
        <v>6462</v>
      </c>
      <c r="C3684">
        <v>2016</v>
      </c>
      <c r="D3684">
        <v>0</v>
      </c>
      <c r="E3684" t="s">
        <v>21</v>
      </c>
      <c r="F3684" t="s">
        <v>2322</v>
      </c>
      <c r="G3684" t="s">
        <v>6405</v>
      </c>
      <c r="H3684">
        <v>1</v>
      </c>
      <c r="J3684">
        <v>8200</v>
      </c>
      <c r="L3684">
        <v>228.83760000000001</v>
      </c>
      <c r="N3684">
        <v>0.72</v>
      </c>
      <c r="Q3684">
        <v>0.1</v>
      </c>
    </row>
    <row r="3685" spans="1:17" x14ac:dyDescent="0.2">
      <c r="A3685" t="s">
        <v>6463</v>
      </c>
      <c r="B3685" t="s">
        <v>6464</v>
      </c>
      <c r="C3685">
        <v>2016</v>
      </c>
      <c r="D3685">
        <v>0</v>
      </c>
      <c r="E3685" t="s">
        <v>21</v>
      </c>
      <c r="F3685" t="s">
        <v>2322</v>
      </c>
      <c r="G3685" t="s">
        <v>2323</v>
      </c>
      <c r="H3685">
        <v>1</v>
      </c>
      <c r="J3685">
        <v>600</v>
      </c>
      <c r="L3685">
        <v>1080.6220000000001</v>
      </c>
      <c r="N3685">
        <v>3.4</v>
      </c>
      <c r="Q3685">
        <v>0.3</v>
      </c>
    </row>
    <row r="3686" spans="1:17" x14ac:dyDescent="0.2">
      <c r="A3686" t="s">
        <v>6465</v>
      </c>
      <c r="B3686" t="s">
        <v>6466</v>
      </c>
      <c r="C3686">
        <v>2016</v>
      </c>
      <c r="D3686">
        <v>0</v>
      </c>
      <c r="E3686" t="s">
        <v>21</v>
      </c>
      <c r="F3686" t="s">
        <v>2322</v>
      </c>
      <c r="G3686" t="s">
        <v>6405</v>
      </c>
      <c r="H3686">
        <v>1</v>
      </c>
      <c r="J3686">
        <v>2500</v>
      </c>
      <c r="L3686">
        <v>21</v>
      </c>
      <c r="N3686">
        <v>6.6070000000000004E-2</v>
      </c>
      <c r="Q3686">
        <v>0.38</v>
      </c>
    </row>
    <row r="3687" spans="1:17" x14ac:dyDescent="0.2">
      <c r="A3687" t="s">
        <v>6467</v>
      </c>
      <c r="B3687" t="s">
        <v>6468</v>
      </c>
      <c r="C3687">
        <v>2017</v>
      </c>
      <c r="D3687">
        <v>0</v>
      </c>
      <c r="E3687" t="s">
        <v>21</v>
      </c>
      <c r="F3687" t="s">
        <v>2322</v>
      </c>
      <c r="G3687" t="s">
        <v>6405</v>
      </c>
      <c r="H3687">
        <v>1</v>
      </c>
      <c r="J3687">
        <v>6500</v>
      </c>
      <c r="L3687">
        <v>1303.1030000000001</v>
      </c>
      <c r="N3687">
        <v>4.0999999999999996</v>
      </c>
      <c r="Q3687">
        <v>0.13</v>
      </c>
    </row>
    <row r="3688" spans="1:17" x14ac:dyDescent="0.2">
      <c r="A3688" t="s">
        <v>6469</v>
      </c>
      <c r="B3688" t="s">
        <v>6470</v>
      </c>
      <c r="C3688">
        <v>2017</v>
      </c>
      <c r="D3688">
        <v>0</v>
      </c>
      <c r="E3688" t="s">
        <v>21</v>
      </c>
      <c r="F3688" t="s">
        <v>2322</v>
      </c>
      <c r="G3688" t="s">
        <v>6405</v>
      </c>
      <c r="H3688">
        <v>1</v>
      </c>
      <c r="J3688">
        <v>3410</v>
      </c>
      <c r="L3688">
        <v>1328.5293999999999</v>
      </c>
      <c r="N3688">
        <v>4.18</v>
      </c>
      <c r="Q3688">
        <v>0.72</v>
      </c>
    </row>
    <row r="3689" spans="1:17" x14ac:dyDescent="0.2">
      <c r="A3689" t="s">
        <v>6471</v>
      </c>
      <c r="B3689" t="s">
        <v>6472</v>
      </c>
      <c r="C3689">
        <v>2017</v>
      </c>
      <c r="D3689">
        <v>0</v>
      </c>
      <c r="E3689" t="s">
        <v>21</v>
      </c>
      <c r="F3689" t="s">
        <v>2322</v>
      </c>
      <c r="G3689" t="s">
        <v>6405</v>
      </c>
      <c r="H3689">
        <v>1</v>
      </c>
      <c r="I3689">
        <v>1224</v>
      </c>
      <c r="J3689">
        <v>6770</v>
      </c>
      <c r="L3689">
        <v>4252.5654000000004</v>
      </c>
      <c r="N3689">
        <v>13.38</v>
      </c>
      <c r="Q3689">
        <v>0.88</v>
      </c>
    </row>
    <row r="3690" spans="1:17" x14ac:dyDescent="0.2">
      <c r="A3690" t="s">
        <v>6473</v>
      </c>
      <c r="B3690" t="s">
        <v>6474</v>
      </c>
      <c r="C3690">
        <v>2017</v>
      </c>
      <c r="D3690">
        <v>0</v>
      </c>
      <c r="E3690" t="s">
        <v>21</v>
      </c>
      <c r="F3690" t="s">
        <v>2322</v>
      </c>
      <c r="G3690" t="s">
        <v>6405</v>
      </c>
      <c r="H3690">
        <v>1</v>
      </c>
      <c r="J3690">
        <v>3910</v>
      </c>
      <c r="L3690">
        <v>1.43</v>
      </c>
      <c r="N3690">
        <v>4.4999999999999997E-3</v>
      </c>
      <c r="Q3690">
        <v>0.08</v>
      </c>
    </row>
    <row r="3691" spans="1:17" x14ac:dyDescent="0.2">
      <c r="A3691" t="s">
        <v>6475</v>
      </c>
      <c r="B3691" t="s">
        <v>6476</v>
      </c>
      <c r="C3691">
        <v>2018</v>
      </c>
      <c r="D3691">
        <v>0</v>
      </c>
      <c r="E3691" t="s">
        <v>21</v>
      </c>
      <c r="F3691" t="s">
        <v>2322</v>
      </c>
      <c r="G3691" t="s">
        <v>6405</v>
      </c>
      <c r="H3691">
        <v>1</v>
      </c>
      <c r="J3691">
        <v>4705</v>
      </c>
      <c r="L3691">
        <v>3.2690000000000001</v>
      </c>
      <c r="N3691">
        <v>1.0290000000000001E-2</v>
      </c>
      <c r="Q3691">
        <v>0.4</v>
      </c>
    </row>
    <row r="3692" spans="1:17" x14ac:dyDescent="0.2">
      <c r="A3692" t="s">
        <v>6477</v>
      </c>
      <c r="B3692" t="s">
        <v>6478</v>
      </c>
      <c r="C3692">
        <v>2018</v>
      </c>
      <c r="D3692">
        <v>0</v>
      </c>
      <c r="E3692" t="s">
        <v>21</v>
      </c>
      <c r="F3692" t="s">
        <v>2322</v>
      </c>
      <c r="G3692" t="s">
        <v>6405</v>
      </c>
      <c r="H3692">
        <v>1</v>
      </c>
      <c r="J3692">
        <v>5915</v>
      </c>
      <c r="L3692">
        <v>127.44983000000001</v>
      </c>
      <c r="N3692">
        <v>0.40100000000000002</v>
      </c>
      <c r="Q3692">
        <v>0.25</v>
      </c>
    </row>
    <row r="3693" spans="1:17" x14ac:dyDescent="0.2">
      <c r="A3693" t="s">
        <v>6479</v>
      </c>
      <c r="B3693" t="s">
        <v>6480</v>
      </c>
      <c r="C3693">
        <v>2018</v>
      </c>
      <c r="D3693">
        <v>0</v>
      </c>
      <c r="E3693" t="s">
        <v>21</v>
      </c>
      <c r="F3693" t="s">
        <v>2322</v>
      </c>
      <c r="G3693" t="s">
        <v>6405</v>
      </c>
      <c r="H3693">
        <v>1</v>
      </c>
      <c r="J3693">
        <v>5800</v>
      </c>
      <c r="L3693">
        <v>9</v>
      </c>
      <c r="N3693">
        <v>2.8320000000000001E-2</v>
      </c>
      <c r="Q3693">
        <v>0.2</v>
      </c>
    </row>
    <row r="3694" spans="1:17" x14ac:dyDescent="0.2">
      <c r="A3694" t="s">
        <v>6481</v>
      </c>
      <c r="B3694" t="s">
        <v>6482</v>
      </c>
      <c r="C3694">
        <v>2018</v>
      </c>
      <c r="D3694">
        <v>0</v>
      </c>
      <c r="E3694" t="s">
        <v>21</v>
      </c>
      <c r="F3694" t="s">
        <v>2322</v>
      </c>
      <c r="G3694" t="s">
        <v>6405</v>
      </c>
      <c r="H3694">
        <v>1</v>
      </c>
      <c r="L3694">
        <v>505.34969999999998</v>
      </c>
      <c r="N3694">
        <v>1.59</v>
      </c>
      <c r="Q3694">
        <v>0.21</v>
      </c>
    </row>
    <row r="3695" spans="1:17" x14ac:dyDescent="0.2">
      <c r="A3695" t="s">
        <v>6483</v>
      </c>
      <c r="B3695" t="s">
        <v>6484</v>
      </c>
      <c r="C3695">
        <v>2018</v>
      </c>
      <c r="D3695">
        <v>0</v>
      </c>
      <c r="E3695" t="s">
        <v>21</v>
      </c>
      <c r="F3695" t="s">
        <v>2322</v>
      </c>
      <c r="G3695" t="s">
        <v>6405</v>
      </c>
      <c r="H3695">
        <v>1</v>
      </c>
      <c r="J3695">
        <v>860</v>
      </c>
      <c r="L3695">
        <v>4.4496200000000004</v>
      </c>
      <c r="N3695">
        <v>1.4E-2</v>
      </c>
      <c r="Q3695">
        <v>0.23</v>
      </c>
    </row>
    <row r="3696" spans="1:17" x14ac:dyDescent="0.2">
      <c r="A3696" t="s">
        <v>6485</v>
      </c>
      <c r="B3696" t="s">
        <v>6486</v>
      </c>
      <c r="C3696">
        <v>2018</v>
      </c>
      <c r="D3696">
        <v>0</v>
      </c>
      <c r="E3696" t="s">
        <v>21</v>
      </c>
      <c r="F3696" t="s">
        <v>2322</v>
      </c>
      <c r="G3696" t="s">
        <v>6405</v>
      </c>
      <c r="H3696">
        <v>1</v>
      </c>
      <c r="L3696">
        <v>238.3725</v>
      </c>
      <c r="N3696">
        <v>0.75</v>
      </c>
      <c r="Q3696">
        <v>0.04</v>
      </c>
    </row>
    <row r="3697" spans="1:19" x14ac:dyDescent="0.2">
      <c r="A3697" t="s">
        <v>6487</v>
      </c>
      <c r="B3697" t="s">
        <v>6488</v>
      </c>
      <c r="C3697">
        <v>2002</v>
      </c>
      <c r="D3697">
        <v>0</v>
      </c>
      <c r="E3697" t="s">
        <v>21</v>
      </c>
      <c r="F3697" t="s">
        <v>128</v>
      </c>
      <c r="G3697" t="s">
        <v>6405</v>
      </c>
      <c r="H3697">
        <v>1</v>
      </c>
      <c r="I3697">
        <v>1.2119188999999999</v>
      </c>
      <c r="J3697">
        <v>282.83999999999997</v>
      </c>
      <c r="L3697">
        <v>441.77</v>
      </c>
      <c r="M3697">
        <v>15.278</v>
      </c>
      <c r="N3697">
        <v>1.39</v>
      </c>
      <c r="O3697">
        <v>1.363</v>
      </c>
      <c r="P3697">
        <v>0.68</v>
      </c>
    </row>
    <row r="3698" spans="1:19" x14ac:dyDescent="0.2">
      <c r="A3698" t="s">
        <v>6489</v>
      </c>
      <c r="B3698" t="s">
        <v>6490</v>
      </c>
      <c r="C3698">
        <v>2004</v>
      </c>
      <c r="D3698">
        <v>0</v>
      </c>
      <c r="E3698" t="s">
        <v>21</v>
      </c>
      <c r="F3698" t="s">
        <v>128</v>
      </c>
      <c r="G3698" t="s">
        <v>6405</v>
      </c>
      <c r="H3698">
        <v>1</v>
      </c>
      <c r="I3698">
        <v>3.1012780000000002</v>
      </c>
      <c r="J3698">
        <v>1386.23</v>
      </c>
      <c r="L3698">
        <v>197.04599999999999</v>
      </c>
      <c r="M3698">
        <v>14.010999999999999</v>
      </c>
      <c r="N3698">
        <v>0.62</v>
      </c>
      <c r="O3698">
        <v>1.25</v>
      </c>
      <c r="P3698">
        <v>0.4</v>
      </c>
      <c r="Q3698">
        <v>1.1399999999999999</v>
      </c>
      <c r="R3698">
        <v>1.17</v>
      </c>
    </row>
    <row r="3699" spans="1:19" x14ac:dyDescent="0.2">
      <c r="A3699" t="s">
        <v>6491</v>
      </c>
      <c r="B3699" t="s">
        <v>6492</v>
      </c>
      <c r="C3699">
        <v>2004</v>
      </c>
      <c r="D3699">
        <v>0</v>
      </c>
      <c r="E3699" t="s">
        <v>21</v>
      </c>
      <c r="F3699" t="s">
        <v>128</v>
      </c>
      <c r="G3699" t="s">
        <v>6405</v>
      </c>
      <c r="H3699">
        <v>1</v>
      </c>
      <c r="I3699">
        <v>4.0144463000000004</v>
      </c>
      <c r="J3699">
        <v>1096.98</v>
      </c>
      <c r="M3699">
        <v>11.422000000000001</v>
      </c>
      <c r="O3699">
        <v>1.0189999999999999</v>
      </c>
      <c r="Q3699">
        <v>0.85</v>
      </c>
      <c r="R3699">
        <v>0.83</v>
      </c>
    </row>
    <row r="3700" spans="1:19" x14ac:dyDescent="0.2">
      <c r="A3700" t="s">
        <v>6493</v>
      </c>
      <c r="B3700" t="s">
        <v>6494</v>
      </c>
      <c r="C3700">
        <v>2004</v>
      </c>
      <c r="D3700">
        <v>0</v>
      </c>
      <c r="E3700" t="s">
        <v>21</v>
      </c>
      <c r="F3700" t="s">
        <v>128</v>
      </c>
      <c r="G3700" t="s">
        <v>6405</v>
      </c>
      <c r="H3700">
        <v>1</v>
      </c>
      <c r="I3700">
        <v>1.4324752000000001</v>
      </c>
      <c r="J3700">
        <v>600</v>
      </c>
      <c r="L3700">
        <v>400.44900000000001</v>
      </c>
      <c r="M3700">
        <v>12.250999999999999</v>
      </c>
      <c r="N3700">
        <v>1.26</v>
      </c>
      <c r="O3700">
        <v>1.093</v>
      </c>
      <c r="P3700">
        <v>1.2</v>
      </c>
      <c r="Q3700">
        <v>0.78</v>
      </c>
      <c r="R3700">
        <v>0.77</v>
      </c>
    </row>
    <row r="3701" spans="1:19" x14ac:dyDescent="0.2">
      <c r="A3701" t="s">
        <v>6495</v>
      </c>
      <c r="B3701" t="s">
        <v>6496</v>
      </c>
      <c r="C3701">
        <v>2004</v>
      </c>
      <c r="D3701">
        <v>0</v>
      </c>
      <c r="E3701" t="s">
        <v>21</v>
      </c>
      <c r="F3701" t="s">
        <v>128</v>
      </c>
      <c r="G3701" t="s">
        <v>6405</v>
      </c>
      <c r="H3701">
        <v>1</v>
      </c>
      <c r="I3701">
        <v>1.6898679999999999</v>
      </c>
      <c r="J3701">
        <v>2500</v>
      </c>
      <c r="K3701">
        <v>1.2</v>
      </c>
      <c r="L3701">
        <v>375.02</v>
      </c>
      <c r="M3701">
        <v>13.45</v>
      </c>
      <c r="N3701">
        <v>1.18</v>
      </c>
      <c r="O3701">
        <v>1.2</v>
      </c>
      <c r="P3701">
        <v>0.85</v>
      </c>
      <c r="Q3701">
        <v>1.3</v>
      </c>
      <c r="R3701">
        <v>1.32</v>
      </c>
      <c r="S3701">
        <v>0.72</v>
      </c>
    </row>
    <row r="3702" spans="1:19" x14ac:dyDescent="0.2">
      <c r="A3702" t="s">
        <v>6497</v>
      </c>
      <c r="B3702" t="s">
        <v>6498</v>
      </c>
      <c r="C3702">
        <v>2007</v>
      </c>
      <c r="D3702">
        <v>0</v>
      </c>
      <c r="E3702" t="s">
        <v>21</v>
      </c>
      <c r="F3702" t="s">
        <v>128</v>
      </c>
      <c r="G3702" t="s">
        <v>6405</v>
      </c>
      <c r="H3702">
        <v>1</v>
      </c>
      <c r="I3702">
        <v>3.9790999999999999</v>
      </c>
      <c r="J3702">
        <v>2669.56</v>
      </c>
      <c r="L3702">
        <v>320.995</v>
      </c>
      <c r="M3702">
        <v>12.666</v>
      </c>
      <c r="N3702">
        <v>1.01</v>
      </c>
      <c r="O3702">
        <v>1.1299999999999999</v>
      </c>
      <c r="Q3702">
        <v>1.1399999999999999</v>
      </c>
      <c r="R3702">
        <v>1.1399999999999999</v>
      </c>
    </row>
    <row r="3703" spans="1:19" x14ac:dyDescent="0.2">
      <c r="A3703" t="s">
        <v>6499</v>
      </c>
      <c r="B3703" t="s">
        <v>6500</v>
      </c>
      <c r="C3703">
        <v>2007</v>
      </c>
      <c r="D3703">
        <v>0</v>
      </c>
      <c r="E3703" t="s">
        <v>21</v>
      </c>
      <c r="F3703" t="s">
        <v>128</v>
      </c>
      <c r="G3703" t="s">
        <v>6405</v>
      </c>
      <c r="H3703">
        <v>1</v>
      </c>
      <c r="I3703">
        <v>3.6772399999999998</v>
      </c>
      <c r="J3703">
        <v>1574.54</v>
      </c>
      <c r="L3703">
        <v>327.351</v>
      </c>
      <c r="M3703">
        <v>15.244</v>
      </c>
      <c r="N3703">
        <v>1.03</v>
      </c>
      <c r="O3703">
        <v>1.36</v>
      </c>
      <c r="Q3703">
        <v>1.33</v>
      </c>
      <c r="R3703">
        <v>1.64</v>
      </c>
    </row>
    <row r="3704" spans="1:19" x14ac:dyDescent="0.2">
      <c r="A3704" t="s">
        <v>6501</v>
      </c>
      <c r="B3704" t="s">
        <v>6502</v>
      </c>
      <c r="C3704">
        <v>2008</v>
      </c>
      <c r="D3704">
        <v>0</v>
      </c>
      <c r="E3704" t="s">
        <v>21</v>
      </c>
      <c r="F3704" t="s">
        <v>128</v>
      </c>
      <c r="G3704" t="s">
        <v>6405</v>
      </c>
      <c r="H3704">
        <v>1</v>
      </c>
      <c r="I3704">
        <v>2.4855334999999998</v>
      </c>
      <c r="J3704">
        <v>1704.36</v>
      </c>
      <c r="L3704">
        <v>1430.175</v>
      </c>
      <c r="M3704">
        <v>18.045999999999999</v>
      </c>
      <c r="N3704">
        <v>4.5</v>
      </c>
      <c r="O3704">
        <v>1.61</v>
      </c>
      <c r="Q3704">
        <v>1.52</v>
      </c>
      <c r="R3704">
        <v>1.53</v>
      </c>
    </row>
    <row r="3705" spans="1:19" x14ac:dyDescent="0.2">
      <c r="A3705" t="s">
        <v>6503</v>
      </c>
      <c r="B3705" t="s">
        <v>6504</v>
      </c>
      <c r="C3705">
        <v>2006</v>
      </c>
      <c r="D3705">
        <v>0</v>
      </c>
      <c r="E3705" t="s">
        <v>21</v>
      </c>
      <c r="F3705" t="s">
        <v>40</v>
      </c>
      <c r="G3705" t="s">
        <v>41</v>
      </c>
      <c r="H3705">
        <v>1</v>
      </c>
      <c r="I3705">
        <v>7300000</v>
      </c>
      <c r="J3705">
        <v>125</v>
      </c>
      <c r="K3705">
        <v>5</v>
      </c>
      <c r="L3705">
        <v>4449.62</v>
      </c>
      <c r="N3705">
        <v>14</v>
      </c>
      <c r="Q3705">
        <v>0.02</v>
      </c>
    </row>
    <row r="3706" spans="1:19" x14ac:dyDescent="0.2">
      <c r="A3706" t="s">
        <v>6505</v>
      </c>
      <c r="B3706" t="s">
        <v>6506</v>
      </c>
      <c r="C3706">
        <v>2018</v>
      </c>
      <c r="D3706">
        <v>0</v>
      </c>
      <c r="E3706" t="s">
        <v>21</v>
      </c>
      <c r="F3706" t="s">
        <v>40</v>
      </c>
      <c r="G3706" t="s">
        <v>59</v>
      </c>
      <c r="H3706">
        <v>1</v>
      </c>
      <c r="I3706">
        <v>43500</v>
      </c>
      <c r="J3706">
        <v>113.43</v>
      </c>
      <c r="K3706">
        <v>5.0000000000000001E-3</v>
      </c>
      <c r="L3706">
        <v>2542.64</v>
      </c>
      <c r="M3706">
        <v>14.571999999999999</v>
      </c>
      <c r="N3706">
        <v>8</v>
      </c>
      <c r="O3706">
        <v>1.3</v>
      </c>
      <c r="Q3706">
        <v>0.76</v>
      </c>
      <c r="R3706">
        <v>1.26</v>
      </c>
    </row>
    <row r="3707" spans="1:19" x14ac:dyDescent="0.2">
      <c r="A3707" t="s">
        <v>6507</v>
      </c>
      <c r="B3707" t="s">
        <v>6508</v>
      </c>
      <c r="C3707">
        <v>2012</v>
      </c>
      <c r="D3707">
        <v>1</v>
      </c>
      <c r="E3707" t="s">
        <v>55</v>
      </c>
      <c r="F3707" t="s">
        <v>128</v>
      </c>
      <c r="G3707" t="s">
        <v>63</v>
      </c>
      <c r="H3707">
        <v>1</v>
      </c>
      <c r="I3707">
        <v>138.31700000000001</v>
      </c>
      <c r="J3707">
        <v>1000</v>
      </c>
      <c r="K3707">
        <v>2</v>
      </c>
      <c r="L3707">
        <v>169</v>
      </c>
      <c r="M3707">
        <v>6.18</v>
      </c>
      <c r="N3707">
        <v>0.53100000000000003</v>
      </c>
      <c r="O3707">
        <v>0.55100000000000005</v>
      </c>
      <c r="Q3707">
        <v>1.53</v>
      </c>
      <c r="R3707">
        <v>1.73</v>
      </c>
      <c r="S3707">
        <v>0.29299999999999998</v>
      </c>
    </row>
    <row r="3708" spans="1:19" x14ac:dyDescent="0.2">
      <c r="A3708" t="s">
        <v>6509</v>
      </c>
      <c r="B3708" t="s">
        <v>6510</v>
      </c>
      <c r="C3708">
        <v>2013</v>
      </c>
      <c r="D3708">
        <v>1</v>
      </c>
      <c r="E3708" t="s">
        <v>55</v>
      </c>
      <c r="F3708" t="s">
        <v>128</v>
      </c>
      <c r="G3708" t="s">
        <v>63</v>
      </c>
      <c r="H3708">
        <v>1</v>
      </c>
      <c r="I3708">
        <v>282.52550000000002</v>
      </c>
      <c r="J3708">
        <v>346</v>
      </c>
      <c r="M3708">
        <v>10.119999999999999</v>
      </c>
      <c r="O3708">
        <v>0.90300000000000002</v>
      </c>
      <c r="Q3708">
        <v>0.94</v>
      </c>
      <c r="R3708">
        <v>1</v>
      </c>
      <c r="S3708">
        <v>1.3</v>
      </c>
    </row>
    <row r="3709" spans="1:19" x14ac:dyDescent="0.2">
      <c r="A3709" t="s">
        <v>6511</v>
      </c>
      <c r="B3709" t="s">
        <v>6512</v>
      </c>
      <c r="C3709">
        <v>2013</v>
      </c>
      <c r="D3709">
        <v>0</v>
      </c>
      <c r="E3709" t="s">
        <v>21</v>
      </c>
      <c r="F3709" t="s">
        <v>128</v>
      </c>
      <c r="G3709" t="s">
        <v>138</v>
      </c>
      <c r="H3709">
        <v>1</v>
      </c>
      <c r="I3709">
        <v>3.1606296</v>
      </c>
      <c r="J3709">
        <v>1200</v>
      </c>
      <c r="L3709">
        <v>734.16</v>
      </c>
      <c r="M3709">
        <v>10.548</v>
      </c>
      <c r="N3709">
        <v>2.31</v>
      </c>
      <c r="O3709">
        <v>0.94099999999999995</v>
      </c>
      <c r="Q3709">
        <v>0.69</v>
      </c>
      <c r="R3709">
        <v>0.59</v>
      </c>
      <c r="S3709">
        <v>4.8140000000000001</v>
      </c>
    </row>
    <row r="3710" spans="1:19" x14ac:dyDescent="0.2">
      <c r="A3710" t="s">
        <v>6513</v>
      </c>
      <c r="B3710" t="s">
        <v>6514</v>
      </c>
      <c r="C3710">
        <v>1994</v>
      </c>
      <c r="D3710">
        <v>0</v>
      </c>
      <c r="E3710" t="s">
        <v>21</v>
      </c>
      <c r="F3710" t="s">
        <v>6515</v>
      </c>
      <c r="G3710" t="s">
        <v>6516</v>
      </c>
      <c r="H3710">
        <v>3</v>
      </c>
      <c r="I3710">
        <v>25.262</v>
      </c>
      <c r="J3710">
        <v>600</v>
      </c>
      <c r="K3710">
        <v>3</v>
      </c>
      <c r="L3710">
        <v>0.02</v>
      </c>
      <c r="N3710">
        <v>6.0000000000000002E-5</v>
      </c>
      <c r="Q3710">
        <v>1.4</v>
      </c>
    </row>
    <row r="3711" spans="1:19" x14ac:dyDescent="0.2">
      <c r="A3711" t="s">
        <v>6513</v>
      </c>
      <c r="B3711" t="s">
        <v>6517</v>
      </c>
      <c r="C3711">
        <v>1992</v>
      </c>
      <c r="D3711">
        <v>0</v>
      </c>
      <c r="E3711" t="s">
        <v>21</v>
      </c>
      <c r="F3711" t="s">
        <v>6515</v>
      </c>
      <c r="G3711" t="s">
        <v>6516</v>
      </c>
      <c r="H3711">
        <v>3</v>
      </c>
      <c r="I3711">
        <v>66.541899999999998</v>
      </c>
      <c r="J3711">
        <v>600</v>
      </c>
      <c r="K3711">
        <v>3</v>
      </c>
      <c r="L3711">
        <v>4.3</v>
      </c>
      <c r="N3711">
        <v>1.353E-2</v>
      </c>
      <c r="Q3711">
        <v>1.4</v>
      </c>
    </row>
    <row r="3712" spans="1:19" x14ac:dyDescent="0.2">
      <c r="A3712" t="s">
        <v>6513</v>
      </c>
      <c r="B3712" t="s">
        <v>6518</v>
      </c>
      <c r="C3712">
        <v>1992</v>
      </c>
      <c r="D3712">
        <v>0</v>
      </c>
      <c r="E3712" t="s">
        <v>21</v>
      </c>
      <c r="F3712" t="s">
        <v>6515</v>
      </c>
      <c r="G3712" t="s">
        <v>6516</v>
      </c>
      <c r="H3712">
        <v>3</v>
      </c>
      <c r="I3712">
        <v>98.211399999999998</v>
      </c>
      <c r="J3712">
        <v>600</v>
      </c>
      <c r="K3712">
        <v>3</v>
      </c>
      <c r="L3712">
        <v>3.9</v>
      </c>
      <c r="N3712">
        <v>1.227E-2</v>
      </c>
      <c r="Q3712">
        <v>1.4</v>
      </c>
    </row>
    <row r="3713" spans="1:19" x14ac:dyDescent="0.2">
      <c r="A3713" t="s">
        <v>6519</v>
      </c>
      <c r="B3713" t="s">
        <v>6520</v>
      </c>
      <c r="C3713">
        <v>2003</v>
      </c>
      <c r="D3713">
        <v>0</v>
      </c>
      <c r="E3713" t="s">
        <v>55</v>
      </c>
      <c r="F3713" t="s">
        <v>6515</v>
      </c>
      <c r="G3713" t="s">
        <v>56</v>
      </c>
      <c r="H3713">
        <v>1</v>
      </c>
      <c r="L3713">
        <v>794.57500000000005</v>
      </c>
      <c r="N3713">
        <v>2.5</v>
      </c>
      <c r="Q3713">
        <v>1.35</v>
      </c>
    </row>
    <row r="3714" spans="1:19" x14ac:dyDescent="0.2">
      <c r="A3714" t="s">
        <v>6521</v>
      </c>
      <c r="B3714" t="s">
        <v>6522</v>
      </c>
      <c r="C3714">
        <v>2011</v>
      </c>
      <c r="D3714">
        <v>0</v>
      </c>
      <c r="E3714" t="s">
        <v>21</v>
      </c>
      <c r="F3714" t="s">
        <v>6515</v>
      </c>
      <c r="G3714" t="s">
        <v>6523</v>
      </c>
      <c r="H3714">
        <v>1</v>
      </c>
      <c r="I3714">
        <v>9.0706289999999995E-2</v>
      </c>
      <c r="J3714">
        <v>1200</v>
      </c>
      <c r="K3714">
        <v>12.5</v>
      </c>
      <c r="L3714">
        <v>382.8</v>
      </c>
      <c r="N3714">
        <v>1.2</v>
      </c>
      <c r="P3714">
        <v>23</v>
      </c>
      <c r="Q3714">
        <v>1.4</v>
      </c>
      <c r="R3714">
        <v>0.04</v>
      </c>
    </row>
    <row r="3715" spans="1:19" x14ac:dyDescent="0.2">
      <c r="A3715" t="s">
        <v>6524</v>
      </c>
      <c r="B3715" t="s">
        <v>6525</v>
      </c>
      <c r="C3715">
        <v>2017</v>
      </c>
      <c r="D3715">
        <v>0</v>
      </c>
      <c r="E3715" t="s">
        <v>21</v>
      </c>
      <c r="F3715" t="s">
        <v>6515</v>
      </c>
      <c r="G3715" t="s">
        <v>6523</v>
      </c>
      <c r="H3715">
        <v>1</v>
      </c>
      <c r="I3715">
        <v>0.32296399999999997</v>
      </c>
      <c r="J3715">
        <v>230</v>
      </c>
      <c r="N3715">
        <v>0.79490000000000005</v>
      </c>
      <c r="P3715">
        <v>1.84</v>
      </c>
      <c r="Q3715">
        <v>1.4</v>
      </c>
    </row>
    <row r="3716" spans="1:19" x14ac:dyDescent="0.2">
      <c r="A3716" t="s">
        <v>6526</v>
      </c>
      <c r="B3716" t="s">
        <v>6527</v>
      </c>
      <c r="C3716">
        <v>2012</v>
      </c>
      <c r="D3716">
        <v>0</v>
      </c>
      <c r="E3716" t="s">
        <v>21</v>
      </c>
      <c r="F3716" t="s">
        <v>22</v>
      </c>
      <c r="G3716" t="s">
        <v>1235</v>
      </c>
      <c r="H3716">
        <v>1</v>
      </c>
      <c r="I3716">
        <v>4.4264000000000001</v>
      </c>
      <c r="J3716">
        <v>181.54</v>
      </c>
      <c r="N3716">
        <v>0.54</v>
      </c>
      <c r="Q3716">
        <v>1.24</v>
      </c>
      <c r="R3716">
        <v>1.1499999999999999</v>
      </c>
    </row>
    <row r="3717" spans="1:19" x14ac:dyDescent="0.2">
      <c r="A3717" t="s">
        <v>6528</v>
      </c>
      <c r="B3717" t="s">
        <v>6529</v>
      </c>
      <c r="C3717">
        <v>2012</v>
      </c>
      <c r="D3717">
        <v>0</v>
      </c>
      <c r="E3717" t="s">
        <v>21</v>
      </c>
      <c r="F3717" t="s">
        <v>22</v>
      </c>
      <c r="G3717" t="s">
        <v>1235</v>
      </c>
      <c r="H3717">
        <v>2</v>
      </c>
      <c r="I3717">
        <v>2.1461000000000001</v>
      </c>
      <c r="J3717">
        <v>183.68</v>
      </c>
      <c r="K3717">
        <v>0.57799999999999996</v>
      </c>
      <c r="N3717">
        <v>1.88</v>
      </c>
      <c r="Q3717">
        <v>0.94</v>
      </c>
      <c r="R3717">
        <v>0.83</v>
      </c>
    </row>
    <row r="3718" spans="1:19" x14ac:dyDescent="0.2">
      <c r="A3718" t="s">
        <v>6528</v>
      </c>
      <c r="B3718" t="s">
        <v>6530</v>
      </c>
      <c r="C3718">
        <v>2016</v>
      </c>
      <c r="D3718">
        <v>0</v>
      </c>
      <c r="E3718" t="s">
        <v>21</v>
      </c>
      <c r="F3718" t="s">
        <v>22</v>
      </c>
      <c r="G3718" t="s">
        <v>118</v>
      </c>
      <c r="H3718">
        <v>2</v>
      </c>
      <c r="I3718">
        <v>4850</v>
      </c>
      <c r="J3718">
        <v>183.68</v>
      </c>
      <c r="K3718">
        <v>0.57799999999999996</v>
      </c>
      <c r="N3718">
        <v>7.79</v>
      </c>
      <c r="Q3718">
        <v>0.94</v>
      </c>
      <c r="R3718">
        <v>0.83</v>
      </c>
    </row>
    <row r="3719" spans="1:19" x14ac:dyDescent="0.2">
      <c r="A3719" t="s">
        <v>6531</v>
      </c>
      <c r="B3719" t="s">
        <v>6532</v>
      </c>
      <c r="C3719">
        <v>2016</v>
      </c>
      <c r="D3719">
        <v>0</v>
      </c>
      <c r="E3719" t="s">
        <v>21</v>
      </c>
      <c r="F3719" t="s">
        <v>22</v>
      </c>
      <c r="G3719" t="s">
        <v>6533</v>
      </c>
      <c r="H3719">
        <v>1</v>
      </c>
      <c r="I3719">
        <v>11.186</v>
      </c>
      <c r="J3719">
        <v>1.29</v>
      </c>
      <c r="N3719">
        <v>4.0000000000000001E-3</v>
      </c>
      <c r="Q3719">
        <v>0.12</v>
      </c>
      <c r="R3719">
        <v>0.14000000000000001</v>
      </c>
    </row>
    <row r="3720" spans="1:19" x14ac:dyDescent="0.2">
      <c r="A3720" t="s">
        <v>6534</v>
      </c>
      <c r="B3720" t="s">
        <v>6535</v>
      </c>
      <c r="C3720">
        <v>2010</v>
      </c>
      <c r="D3720">
        <v>0</v>
      </c>
      <c r="E3720" t="s">
        <v>21</v>
      </c>
      <c r="F3720" t="s">
        <v>128</v>
      </c>
      <c r="G3720" t="s">
        <v>333</v>
      </c>
      <c r="H3720">
        <v>1</v>
      </c>
      <c r="I3720">
        <v>1.4200242000000001</v>
      </c>
      <c r="J3720">
        <v>186.61</v>
      </c>
      <c r="L3720">
        <v>411.27202</v>
      </c>
      <c r="M3720">
        <v>12.811999999999999</v>
      </c>
      <c r="N3720">
        <v>1.294</v>
      </c>
      <c r="O3720">
        <v>1.143</v>
      </c>
      <c r="P3720">
        <v>1.0760000000000001</v>
      </c>
      <c r="Q3720">
        <v>0.84</v>
      </c>
      <c r="R3720">
        <v>0.8</v>
      </c>
      <c r="S3720">
        <v>2.286</v>
      </c>
    </row>
    <row r="3721" spans="1:19" x14ac:dyDescent="0.2">
      <c r="A3721" t="s">
        <v>6536</v>
      </c>
      <c r="B3721" t="s">
        <v>6537</v>
      </c>
      <c r="C3721">
        <v>2019</v>
      </c>
      <c r="D3721">
        <v>0</v>
      </c>
      <c r="E3721" t="s">
        <v>21</v>
      </c>
      <c r="F3721" t="s">
        <v>128</v>
      </c>
      <c r="G3721" t="s">
        <v>333</v>
      </c>
      <c r="H3721">
        <v>1</v>
      </c>
      <c r="I3721">
        <v>1.645321</v>
      </c>
      <c r="J3721">
        <v>539</v>
      </c>
      <c r="K3721">
        <v>3.2</v>
      </c>
      <c r="L3721">
        <v>233.92287999999999</v>
      </c>
      <c r="M3721">
        <v>17.295000000000002</v>
      </c>
      <c r="N3721">
        <v>0.73599999999999999</v>
      </c>
      <c r="O3721">
        <v>1.5429999999999999</v>
      </c>
      <c r="P3721">
        <v>0.248</v>
      </c>
      <c r="Q3721">
        <v>1.1599999999999999</v>
      </c>
      <c r="R3721">
        <v>1.25</v>
      </c>
      <c r="S3721">
        <v>0.82299999999999995</v>
      </c>
    </row>
    <row r="3722" spans="1:19" x14ac:dyDescent="0.2">
      <c r="A3722" t="s">
        <v>6538</v>
      </c>
      <c r="B3722" t="s">
        <v>6539</v>
      </c>
      <c r="C3722">
        <v>2011</v>
      </c>
      <c r="D3722">
        <v>0</v>
      </c>
      <c r="E3722" t="s">
        <v>21</v>
      </c>
      <c r="F3722" t="s">
        <v>128</v>
      </c>
      <c r="G3722" t="s">
        <v>333</v>
      </c>
      <c r="H3722">
        <v>1</v>
      </c>
      <c r="I3722">
        <v>1.33711647</v>
      </c>
      <c r="J3722">
        <v>182.32</v>
      </c>
      <c r="K3722">
        <v>5</v>
      </c>
      <c r="L3722">
        <v>792.63499999999999</v>
      </c>
      <c r="M3722">
        <v>14.055999999999999</v>
      </c>
      <c r="N3722">
        <v>2.4940000000000002</v>
      </c>
      <c r="O3722">
        <v>1.254</v>
      </c>
      <c r="P3722">
        <v>1.573</v>
      </c>
      <c r="Q3722">
        <v>0.74</v>
      </c>
      <c r="R3722">
        <v>0.78</v>
      </c>
      <c r="S3722">
        <v>2.2410000000000001</v>
      </c>
    </row>
    <row r="3723" spans="1:19" x14ac:dyDescent="0.2">
      <c r="A3723" t="s">
        <v>6540</v>
      </c>
      <c r="B3723" t="s">
        <v>6541</v>
      </c>
      <c r="C3723">
        <v>2017</v>
      </c>
      <c r="D3723">
        <v>0</v>
      </c>
      <c r="E3723" t="s">
        <v>21</v>
      </c>
      <c r="F3723" t="s">
        <v>128</v>
      </c>
      <c r="G3723" t="s">
        <v>333</v>
      </c>
      <c r="H3723">
        <v>1</v>
      </c>
      <c r="I3723">
        <v>2.5079204000000002</v>
      </c>
      <c r="J3723">
        <v>750.99</v>
      </c>
      <c r="K3723">
        <v>0.31</v>
      </c>
      <c r="L3723">
        <v>1369.8472999999999</v>
      </c>
      <c r="M3723">
        <v>12.285</v>
      </c>
      <c r="N3723">
        <v>4.3099999999999996</v>
      </c>
      <c r="O3723">
        <v>1.0960000000000001</v>
      </c>
      <c r="P3723">
        <v>4</v>
      </c>
      <c r="Q3723">
        <v>1.1499999999999999</v>
      </c>
      <c r="R3723">
        <v>1.27</v>
      </c>
      <c r="S3723">
        <v>0.78</v>
      </c>
    </row>
    <row r="3724" spans="1:19" x14ac:dyDescent="0.2">
      <c r="A3724" t="s">
        <v>6542</v>
      </c>
      <c r="B3724" t="s">
        <v>6543</v>
      </c>
      <c r="C3724">
        <v>2017</v>
      </c>
      <c r="D3724">
        <v>0</v>
      </c>
      <c r="E3724" t="s">
        <v>21</v>
      </c>
      <c r="F3724" t="s">
        <v>128</v>
      </c>
      <c r="G3724" t="s">
        <v>333</v>
      </c>
      <c r="H3724">
        <v>1</v>
      </c>
      <c r="I3724">
        <v>1.8053564</v>
      </c>
      <c r="J3724">
        <v>332.17</v>
      </c>
      <c r="K3724">
        <v>0.17</v>
      </c>
      <c r="L3724">
        <v>1938.7629999999999</v>
      </c>
      <c r="M3724">
        <v>12.722</v>
      </c>
      <c r="N3724">
        <v>6.1</v>
      </c>
      <c r="O3724">
        <v>1.135</v>
      </c>
      <c r="P3724">
        <v>5.0999999999999996</v>
      </c>
      <c r="Q3724">
        <v>0.9</v>
      </c>
      <c r="R3724">
        <v>0.85</v>
      </c>
      <c r="S3724">
        <v>2.0699999999999998</v>
      </c>
    </row>
    <row r="3725" spans="1:19" x14ac:dyDescent="0.2">
      <c r="A3725" t="s">
        <v>6544</v>
      </c>
      <c r="B3725" t="s">
        <v>6545</v>
      </c>
      <c r="C3725">
        <v>2017</v>
      </c>
      <c r="D3725">
        <v>0</v>
      </c>
      <c r="E3725" t="s">
        <v>21</v>
      </c>
      <c r="F3725" t="s">
        <v>128</v>
      </c>
      <c r="G3725" t="s">
        <v>333</v>
      </c>
      <c r="H3725">
        <v>1</v>
      </c>
      <c r="I3725">
        <v>2.8792319000000002</v>
      </c>
      <c r="J3725">
        <v>371.39</v>
      </c>
      <c r="K3725">
        <v>0.53</v>
      </c>
      <c r="L3725">
        <v>1373.0255999999999</v>
      </c>
      <c r="M3725">
        <v>12.407999999999999</v>
      </c>
      <c r="N3725">
        <v>4.32</v>
      </c>
      <c r="O3725">
        <v>1.107</v>
      </c>
      <c r="P3725">
        <v>3.95</v>
      </c>
      <c r="Q3725">
        <v>1.1299999999999999</v>
      </c>
      <c r="R3725">
        <v>1.08</v>
      </c>
      <c r="S3725">
        <v>1.286</v>
      </c>
    </row>
    <row r="3726" spans="1:19" x14ac:dyDescent="0.2">
      <c r="A3726" t="s">
        <v>6546</v>
      </c>
      <c r="B3726" t="s">
        <v>6547</v>
      </c>
      <c r="C3726">
        <v>2019</v>
      </c>
      <c r="D3726">
        <v>0</v>
      </c>
      <c r="E3726" t="s">
        <v>21</v>
      </c>
      <c r="F3726" t="s">
        <v>128</v>
      </c>
      <c r="G3726" t="s">
        <v>333</v>
      </c>
      <c r="H3726">
        <v>1</v>
      </c>
      <c r="I3726">
        <v>2.0320459999999998</v>
      </c>
      <c r="J3726">
        <v>725</v>
      </c>
      <c r="K3726">
        <v>1.69</v>
      </c>
      <c r="L3726">
        <v>597.5204</v>
      </c>
      <c r="M3726">
        <v>19.055</v>
      </c>
      <c r="N3726">
        <v>1.88</v>
      </c>
      <c r="O3726">
        <v>1.7</v>
      </c>
      <c r="P3726">
        <v>0.502</v>
      </c>
      <c r="Q3726">
        <v>1.41</v>
      </c>
      <c r="R3726">
        <v>1.56</v>
      </c>
      <c r="S3726">
        <v>0.52100000000000002</v>
      </c>
    </row>
    <row r="3727" spans="1:19" x14ac:dyDescent="0.2">
      <c r="A3727" t="s">
        <v>6548</v>
      </c>
      <c r="B3727" t="s">
        <v>6549</v>
      </c>
      <c r="C3727">
        <v>2019</v>
      </c>
      <c r="D3727">
        <v>0</v>
      </c>
      <c r="E3727" t="s">
        <v>21</v>
      </c>
      <c r="F3727" t="s">
        <v>128</v>
      </c>
      <c r="G3727" t="s">
        <v>333</v>
      </c>
      <c r="H3727">
        <v>1</v>
      </c>
      <c r="I3727">
        <v>3.71495</v>
      </c>
      <c r="J3727">
        <v>276.7</v>
      </c>
      <c r="K3727">
        <v>8.3000000000000007</v>
      </c>
      <c r="L3727">
        <v>117.91493</v>
      </c>
      <c r="M3727">
        <v>14.404</v>
      </c>
      <c r="N3727">
        <v>0.371</v>
      </c>
      <c r="O3727">
        <v>1.2849999999999999</v>
      </c>
      <c r="P3727">
        <v>0.216</v>
      </c>
      <c r="Q3727">
        <v>1.03</v>
      </c>
      <c r="R3727">
        <v>1.31</v>
      </c>
      <c r="S3727">
        <v>0.64100000000000001</v>
      </c>
    </row>
    <row r="3728" spans="1:19" x14ac:dyDescent="0.2">
      <c r="A3728" t="s">
        <v>6550</v>
      </c>
      <c r="B3728" t="s">
        <v>6551</v>
      </c>
      <c r="C3728">
        <v>2019</v>
      </c>
      <c r="D3728">
        <v>0</v>
      </c>
      <c r="E3728" t="s">
        <v>21</v>
      </c>
      <c r="F3728" t="s">
        <v>128</v>
      </c>
      <c r="G3728" t="s">
        <v>333</v>
      </c>
      <c r="H3728">
        <v>1</v>
      </c>
      <c r="I3728">
        <v>1.5407310000000001</v>
      </c>
      <c r="J3728">
        <v>211.4</v>
      </c>
      <c r="K3728">
        <v>7.5</v>
      </c>
      <c r="L3728">
        <v>378.21769999999998</v>
      </c>
      <c r="M3728">
        <v>11.31</v>
      </c>
      <c r="N3728">
        <v>1.19</v>
      </c>
      <c r="O3728">
        <v>1.0089999999999999</v>
      </c>
      <c r="P3728">
        <v>1.43</v>
      </c>
      <c r="Q3728">
        <v>0.72</v>
      </c>
      <c r="R3728">
        <v>0.7</v>
      </c>
      <c r="S3728">
        <v>3.0150000000000001</v>
      </c>
    </row>
    <row r="3729" spans="1:19" x14ac:dyDescent="0.2">
      <c r="A3729" t="s">
        <v>6552</v>
      </c>
      <c r="B3729" t="s">
        <v>6553</v>
      </c>
      <c r="C3729">
        <v>2013</v>
      </c>
      <c r="D3729">
        <v>0</v>
      </c>
      <c r="E3729" t="s">
        <v>21</v>
      </c>
      <c r="F3729" t="s">
        <v>40</v>
      </c>
      <c r="G3729" t="s">
        <v>32</v>
      </c>
      <c r="H3729">
        <v>1</v>
      </c>
      <c r="J3729">
        <v>120</v>
      </c>
      <c r="K3729">
        <v>8.0000000000000002E-3</v>
      </c>
      <c r="L3729">
        <v>5085</v>
      </c>
      <c r="N3729">
        <v>16</v>
      </c>
      <c r="Q3729">
        <v>0.87</v>
      </c>
    </row>
    <row r="3730" spans="1:19" x14ac:dyDescent="0.2">
      <c r="A3730" t="s">
        <v>6554</v>
      </c>
      <c r="B3730" t="s">
        <v>6555</v>
      </c>
      <c r="C3730">
        <v>2013</v>
      </c>
      <c r="D3730">
        <v>0</v>
      </c>
      <c r="E3730" t="s">
        <v>21</v>
      </c>
      <c r="F3730" t="s">
        <v>40</v>
      </c>
      <c r="G3730" t="s">
        <v>35</v>
      </c>
      <c r="H3730">
        <v>1</v>
      </c>
      <c r="J3730">
        <v>135</v>
      </c>
      <c r="K3730">
        <v>3.0000000000000001E-3</v>
      </c>
      <c r="L3730">
        <v>2860</v>
      </c>
      <c r="N3730">
        <v>9</v>
      </c>
      <c r="Q3730">
        <v>1</v>
      </c>
    </row>
    <row r="3731" spans="1:19" x14ac:dyDescent="0.2">
      <c r="A3731" t="s">
        <v>6556</v>
      </c>
      <c r="B3731" t="s">
        <v>6557</v>
      </c>
      <c r="C3731">
        <v>2012</v>
      </c>
      <c r="D3731">
        <v>0</v>
      </c>
      <c r="E3731" t="s">
        <v>21</v>
      </c>
      <c r="F3731" t="s">
        <v>62</v>
      </c>
      <c r="G3731" t="s">
        <v>6558</v>
      </c>
      <c r="H3731">
        <v>1</v>
      </c>
      <c r="I3731">
        <v>4343.5</v>
      </c>
      <c r="J3731">
        <v>21.2</v>
      </c>
      <c r="N3731">
        <v>4.2</v>
      </c>
      <c r="Q3731">
        <v>0.44</v>
      </c>
    </row>
    <row r="3732" spans="1:19" x14ac:dyDescent="0.2">
      <c r="A3732" t="s">
        <v>6559</v>
      </c>
      <c r="B3732" t="s">
        <v>6560</v>
      </c>
      <c r="C3732">
        <v>2017</v>
      </c>
      <c r="D3732">
        <v>0</v>
      </c>
      <c r="E3732" t="s">
        <v>21</v>
      </c>
      <c r="F3732" t="s">
        <v>22</v>
      </c>
      <c r="G3732" t="s">
        <v>138</v>
      </c>
      <c r="H3732">
        <v>1</v>
      </c>
      <c r="I3732">
        <v>9.8658000000000001</v>
      </c>
      <c r="J3732">
        <v>3.38</v>
      </c>
      <c r="K3732">
        <v>5</v>
      </c>
      <c r="N3732">
        <v>4.4000000000000003E-3</v>
      </c>
      <c r="Q3732">
        <v>0.17</v>
      </c>
      <c r="R3732">
        <v>0.2</v>
      </c>
    </row>
    <row r="3733" spans="1:19" x14ac:dyDescent="0.2">
      <c r="A3733" t="s">
        <v>6561</v>
      </c>
      <c r="B3733" t="s">
        <v>6562</v>
      </c>
      <c r="C3733">
        <v>2010</v>
      </c>
      <c r="D3733">
        <v>0</v>
      </c>
      <c r="E3733" t="s">
        <v>21</v>
      </c>
      <c r="F3733" t="s">
        <v>40</v>
      </c>
      <c r="G3733" t="s">
        <v>629</v>
      </c>
      <c r="H3733">
        <v>1</v>
      </c>
      <c r="J3733">
        <v>11.51</v>
      </c>
      <c r="L3733">
        <v>1997.59</v>
      </c>
      <c r="M3733">
        <v>13.675000000000001</v>
      </c>
      <c r="N3733">
        <v>6.2853599999999998</v>
      </c>
      <c r="O3733">
        <v>1.22</v>
      </c>
      <c r="Q3733">
        <v>0.49</v>
      </c>
      <c r="R3733">
        <v>0.63</v>
      </c>
    </row>
    <row r="3734" spans="1:19" x14ac:dyDescent="0.2">
      <c r="A3734" t="s">
        <v>6563</v>
      </c>
      <c r="B3734" t="s">
        <v>6564</v>
      </c>
      <c r="C3734">
        <v>2010</v>
      </c>
      <c r="D3734">
        <v>0</v>
      </c>
      <c r="E3734" t="s">
        <v>21</v>
      </c>
      <c r="F3734" t="s">
        <v>40</v>
      </c>
      <c r="G3734" t="s">
        <v>6565</v>
      </c>
      <c r="H3734">
        <v>1</v>
      </c>
      <c r="J3734">
        <v>112.32</v>
      </c>
      <c r="L3734">
        <v>4131.62</v>
      </c>
      <c r="N3734">
        <v>13</v>
      </c>
    </row>
    <row r="3735" spans="1:19" x14ac:dyDescent="0.2">
      <c r="A3735" t="s">
        <v>6566</v>
      </c>
      <c r="B3735" t="s">
        <v>6567</v>
      </c>
      <c r="C3735">
        <v>2006</v>
      </c>
      <c r="D3735">
        <v>0</v>
      </c>
      <c r="E3735" t="s">
        <v>55</v>
      </c>
      <c r="F3735" t="s">
        <v>128</v>
      </c>
      <c r="G3735" t="s">
        <v>56</v>
      </c>
      <c r="H3735">
        <v>1</v>
      </c>
      <c r="I3735">
        <v>1.796</v>
      </c>
      <c r="J3735">
        <v>8500</v>
      </c>
      <c r="L3735">
        <v>3082.82</v>
      </c>
      <c r="M3735">
        <v>12.666</v>
      </c>
      <c r="N3735">
        <v>9.6999999999999993</v>
      </c>
      <c r="O3735">
        <v>1.1299999999999999</v>
      </c>
      <c r="Q3735">
        <v>1.1000000000000001</v>
      </c>
      <c r="R3735">
        <v>1.45</v>
      </c>
    </row>
    <row r="3736" spans="1:19" x14ac:dyDescent="0.2">
      <c r="A3736" t="s">
        <v>6568</v>
      </c>
      <c r="B3736" t="s">
        <v>6569</v>
      </c>
      <c r="C3736">
        <v>2006</v>
      </c>
      <c r="D3736">
        <v>0</v>
      </c>
      <c r="E3736" t="s">
        <v>55</v>
      </c>
      <c r="F3736" t="s">
        <v>128</v>
      </c>
      <c r="G3736" t="s">
        <v>56</v>
      </c>
      <c r="H3736">
        <v>1</v>
      </c>
      <c r="I3736">
        <v>4.2</v>
      </c>
      <c r="J3736">
        <v>8500</v>
      </c>
      <c r="L3736">
        <v>1207.7</v>
      </c>
      <c r="M3736">
        <v>9.0790000000000006</v>
      </c>
      <c r="N3736">
        <v>3.8</v>
      </c>
      <c r="O3736">
        <v>0.81</v>
      </c>
      <c r="Q3736">
        <v>1.24</v>
      </c>
      <c r="R3736">
        <v>1.18</v>
      </c>
    </row>
    <row r="3737" spans="1:19" x14ac:dyDescent="0.2">
      <c r="A3737" t="s">
        <v>6570</v>
      </c>
      <c r="B3737" t="s">
        <v>6571</v>
      </c>
      <c r="C3737">
        <v>2017</v>
      </c>
      <c r="D3737">
        <v>0</v>
      </c>
      <c r="E3737" t="s">
        <v>21</v>
      </c>
      <c r="F3737" t="s">
        <v>22</v>
      </c>
      <c r="G3737" t="s">
        <v>1159</v>
      </c>
      <c r="H3737">
        <v>1</v>
      </c>
      <c r="I3737">
        <v>10.79</v>
      </c>
      <c r="J3737">
        <v>147</v>
      </c>
      <c r="K3737">
        <v>1.7000000000000001E-2</v>
      </c>
      <c r="N3737">
        <v>1.66</v>
      </c>
      <c r="Q3737">
        <v>1.04</v>
      </c>
      <c r="R3737">
        <v>1.17</v>
      </c>
    </row>
    <row r="3738" spans="1:19" x14ac:dyDescent="0.2">
      <c r="A3738" t="s">
        <v>6572</v>
      </c>
      <c r="B3738" t="s">
        <v>6573</v>
      </c>
      <c r="C3738">
        <v>2018</v>
      </c>
      <c r="D3738">
        <v>0</v>
      </c>
      <c r="E3738" t="s">
        <v>21</v>
      </c>
      <c r="F3738" t="s">
        <v>2322</v>
      </c>
      <c r="G3738" t="s">
        <v>35</v>
      </c>
      <c r="H3738">
        <v>1</v>
      </c>
      <c r="J3738">
        <v>380</v>
      </c>
      <c r="L3738">
        <v>9.1999999999999993</v>
      </c>
      <c r="N3738">
        <v>2.895E-2</v>
      </c>
      <c r="Q3738">
        <v>0.25</v>
      </c>
    </row>
    <row r="3739" spans="1:19" x14ac:dyDescent="0.2">
      <c r="A3739" t="s">
        <v>6574</v>
      </c>
      <c r="B3739" t="s">
        <v>6575</v>
      </c>
      <c r="C3739">
        <v>2019</v>
      </c>
      <c r="D3739">
        <v>0</v>
      </c>
      <c r="E3739" t="s">
        <v>55</v>
      </c>
      <c r="F3739" t="s">
        <v>128</v>
      </c>
      <c r="G3739" t="s">
        <v>256</v>
      </c>
      <c r="H3739">
        <v>1</v>
      </c>
      <c r="I3739">
        <v>9.4772499999999997</v>
      </c>
      <c r="J3739">
        <v>336.47</v>
      </c>
      <c r="K3739">
        <v>7.4</v>
      </c>
      <c r="L3739">
        <v>1722.6386</v>
      </c>
      <c r="M3739">
        <v>10.817</v>
      </c>
      <c r="N3739">
        <v>5.42</v>
      </c>
      <c r="O3739">
        <v>0.96499999999999997</v>
      </c>
      <c r="P3739">
        <v>7.53</v>
      </c>
      <c r="Q3739">
        <v>1.1299999999999999</v>
      </c>
      <c r="R3739">
        <v>1.78</v>
      </c>
      <c r="S3739">
        <v>0.28599999999999998</v>
      </c>
    </row>
    <row r="3740" spans="1:19" x14ac:dyDescent="0.2">
      <c r="A3740" t="s">
        <v>6576</v>
      </c>
      <c r="B3740" t="s">
        <v>6577</v>
      </c>
      <c r="C3740">
        <v>2019</v>
      </c>
      <c r="D3740">
        <v>0</v>
      </c>
      <c r="E3740" t="s">
        <v>55</v>
      </c>
      <c r="F3740" t="s">
        <v>128</v>
      </c>
      <c r="G3740" t="s">
        <v>256</v>
      </c>
      <c r="H3740">
        <v>2</v>
      </c>
      <c r="I3740">
        <v>17.088999999999999</v>
      </c>
      <c r="J3740">
        <v>178.84</v>
      </c>
      <c r="L3740">
        <v>30</v>
      </c>
      <c r="M3740">
        <v>7.69</v>
      </c>
      <c r="N3740">
        <v>9.4390000000000002E-2</v>
      </c>
      <c r="O3740">
        <v>0.68600000000000005</v>
      </c>
      <c r="P3740">
        <v>0.34</v>
      </c>
      <c r="Q3740">
        <v>0.87</v>
      </c>
      <c r="R3740">
        <v>0.84</v>
      </c>
      <c r="S3740">
        <v>2.38</v>
      </c>
    </row>
    <row r="3741" spans="1:19" x14ac:dyDescent="0.2">
      <c r="A3741" t="s">
        <v>6576</v>
      </c>
      <c r="B3741" t="s">
        <v>6578</v>
      </c>
      <c r="C3741">
        <v>2019</v>
      </c>
      <c r="D3741">
        <v>0</v>
      </c>
      <c r="E3741" t="s">
        <v>55</v>
      </c>
      <c r="F3741" t="s">
        <v>128</v>
      </c>
      <c r="G3741" t="s">
        <v>256</v>
      </c>
      <c r="H3741">
        <v>2</v>
      </c>
      <c r="I3741">
        <v>34.555999999999997</v>
      </c>
      <c r="J3741">
        <v>178.84</v>
      </c>
      <c r="L3741">
        <v>200</v>
      </c>
      <c r="M3741">
        <v>11.29</v>
      </c>
      <c r="N3741">
        <v>0.62927</v>
      </c>
      <c r="O3741">
        <v>1.0069999999999999</v>
      </c>
      <c r="P3741">
        <v>0.76</v>
      </c>
      <c r="Q3741">
        <v>0.87</v>
      </c>
      <c r="R3741">
        <v>0.84</v>
      </c>
      <c r="S3741">
        <v>2.38</v>
      </c>
    </row>
    <row r="3742" spans="1:19" x14ac:dyDescent="0.2">
      <c r="A3742" t="s">
        <v>6579</v>
      </c>
      <c r="B3742" t="s">
        <v>6580</v>
      </c>
      <c r="C3742">
        <v>2016</v>
      </c>
      <c r="D3742">
        <v>0</v>
      </c>
      <c r="E3742" t="s">
        <v>21</v>
      </c>
      <c r="F3742" t="s">
        <v>128</v>
      </c>
      <c r="G3742" t="s">
        <v>138</v>
      </c>
      <c r="H3742">
        <v>7</v>
      </c>
      <c r="I3742">
        <v>1.5108708099999999</v>
      </c>
      <c r="J3742">
        <v>12.1</v>
      </c>
      <c r="L3742">
        <v>0.85</v>
      </c>
      <c r="M3742">
        <v>1.0860000000000001</v>
      </c>
      <c r="N3742">
        <v>2.6700000000000001E-3</v>
      </c>
      <c r="O3742">
        <v>9.7000000000000003E-2</v>
      </c>
      <c r="P3742">
        <v>3.6</v>
      </c>
      <c r="Q3742">
        <v>0.08</v>
      </c>
      <c r="R3742">
        <v>0.12</v>
      </c>
      <c r="S3742">
        <v>71.5</v>
      </c>
    </row>
    <row r="3743" spans="1:19" x14ac:dyDescent="0.2">
      <c r="A3743" t="s">
        <v>6579</v>
      </c>
      <c r="B3743" t="s">
        <v>6581</v>
      </c>
      <c r="C3743">
        <v>2016</v>
      </c>
      <c r="D3743">
        <v>0</v>
      </c>
      <c r="E3743" t="s">
        <v>21</v>
      </c>
      <c r="F3743" t="s">
        <v>128</v>
      </c>
      <c r="G3743" t="s">
        <v>138</v>
      </c>
      <c r="H3743">
        <v>7</v>
      </c>
      <c r="I3743">
        <v>2.4218232999999998</v>
      </c>
      <c r="J3743">
        <v>12.1</v>
      </c>
      <c r="L3743">
        <v>1.38</v>
      </c>
      <c r="M3743">
        <v>1.056</v>
      </c>
      <c r="N3743">
        <v>4.3400000000000001E-3</v>
      </c>
      <c r="O3743">
        <v>9.4E-2</v>
      </c>
      <c r="P3743">
        <v>6.45</v>
      </c>
      <c r="Q3743">
        <v>0.08</v>
      </c>
      <c r="R3743">
        <v>0.12</v>
      </c>
      <c r="S3743">
        <v>71.5</v>
      </c>
    </row>
    <row r="3744" spans="1:19" x14ac:dyDescent="0.2">
      <c r="A3744" t="s">
        <v>6579</v>
      </c>
      <c r="B3744" t="s">
        <v>6582</v>
      </c>
      <c r="C3744">
        <v>2016</v>
      </c>
      <c r="D3744">
        <v>0</v>
      </c>
      <c r="E3744" t="s">
        <v>21</v>
      </c>
      <c r="F3744" t="s">
        <v>128</v>
      </c>
      <c r="G3744" t="s">
        <v>138</v>
      </c>
      <c r="H3744">
        <v>7</v>
      </c>
      <c r="I3744">
        <v>4.0496100000000004</v>
      </c>
      <c r="J3744">
        <v>12.1</v>
      </c>
      <c r="L3744">
        <v>0.41</v>
      </c>
      <c r="M3744">
        <v>0.77200000000000002</v>
      </c>
      <c r="N3744">
        <v>1.2899999999999999E-3</v>
      </c>
      <c r="O3744">
        <v>6.9000000000000006E-2</v>
      </c>
      <c r="P3744">
        <v>4.9000000000000004</v>
      </c>
      <c r="Q3744">
        <v>0.08</v>
      </c>
      <c r="R3744">
        <v>0.12</v>
      </c>
      <c r="S3744">
        <v>71.5</v>
      </c>
    </row>
    <row r="3745" spans="1:19" x14ac:dyDescent="0.2">
      <c r="A3745" t="s">
        <v>6579</v>
      </c>
      <c r="B3745" t="s">
        <v>6583</v>
      </c>
      <c r="C3745">
        <v>2017</v>
      </c>
      <c r="D3745">
        <v>0</v>
      </c>
      <c r="E3745" t="s">
        <v>6316</v>
      </c>
      <c r="F3745" t="s">
        <v>128</v>
      </c>
      <c r="G3745" t="s">
        <v>35</v>
      </c>
      <c r="H3745">
        <v>7</v>
      </c>
      <c r="I3745">
        <v>6.099615</v>
      </c>
      <c r="J3745">
        <v>12.1</v>
      </c>
      <c r="L3745">
        <v>0.62</v>
      </c>
      <c r="M3745">
        <v>0.91800000000000004</v>
      </c>
      <c r="N3745">
        <v>1.9499999999999999E-3</v>
      </c>
      <c r="O3745">
        <v>8.2000000000000003E-2</v>
      </c>
      <c r="P3745">
        <v>4.4000000000000004</v>
      </c>
      <c r="Q3745">
        <v>0.08</v>
      </c>
      <c r="R3745">
        <v>0.12</v>
      </c>
      <c r="S3745">
        <v>71.5</v>
      </c>
    </row>
    <row r="3746" spans="1:19" x14ac:dyDescent="0.2">
      <c r="A3746" t="s">
        <v>6579</v>
      </c>
      <c r="B3746" t="s">
        <v>6584</v>
      </c>
      <c r="C3746">
        <v>2017</v>
      </c>
      <c r="D3746">
        <v>0</v>
      </c>
      <c r="E3746" t="s">
        <v>6316</v>
      </c>
      <c r="F3746" t="s">
        <v>128</v>
      </c>
      <c r="G3746" t="s">
        <v>35</v>
      </c>
      <c r="H3746">
        <v>7</v>
      </c>
      <c r="I3746">
        <v>9.20669</v>
      </c>
      <c r="J3746">
        <v>12.1</v>
      </c>
      <c r="L3746">
        <v>0.68</v>
      </c>
      <c r="M3746">
        <v>1.0449999999999999</v>
      </c>
      <c r="N3746">
        <v>2.14E-3</v>
      </c>
      <c r="O3746">
        <v>9.2999999999999999E-2</v>
      </c>
      <c r="P3746">
        <v>3.3</v>
      </c>
      <c r="Q3746">
        <v>0.08</v>
      </c>
      <c r="R3746">
        <v>0.12</v>
      </c>
      <c r="S3746">
        <v>71.5</v>
      </c>
    </row>
    <row r="3747" spans="1:19" x14ac:dyDescent="0.2">
      <c r="A3747" t="s">
        <v>6579</v>
      </c>
      <c r="B3747" t="s">
        <v>6585</v>
      </c>
      <c r="C3747">
        <v>2017</v>
      </c>
      <c r="D3747">
        <v>0</v>
      </c>
      <c r="E3747" t="s">
        <v>6316</v>
      </c>
      <c r="F3747" t="s">
        <v>128</v>
      </c>
      <c r="G3747" t="s">
        <v>35</v>
      </c>
      <c r="H3747">
        <v>7</v>
      </c>
      <c r="I3747">
        <v>12.35294</v>
      </c>
      <c r="J3747">
        <v>12.1</v>
      </c>
      <c r="L3747">
        <v>1.34</v>
      </c>
      <c r="M3747">
        <v>1.127</v>
      </c>
      <c r="N3747">
        <v>4.2199999999999998E-3</v>
      </c>
      <c r="O3747">
        <v>0.10100000000000001</v>
      </c>
      <c r="P3747">
        <v>5.2</v>
      </c>
      <c r="Q3747">
        <v>0.08</v>
      </c>
      <c r="R3747">
        <v>0.12</v>
      </c>
      <c r="S3747">
        <v>71.5</v>
      </c>
    </row>
    <row r="3748" spans="1:19" x14ac:dyDescent="0.2">
      <c r="A3748" t="s">
        <v>6579</v>
      </c>
      <c r="B3748" t="s">
        <v>6586</v>
      </c>
      <c r="C3748">
        <v>2017</v>
      </c>
      <c r="D3748">
        <v>0</v>
      </c>
      <c r="E3748" t="s">
        <v>6316</v>
      </c>
      <c r="F3748" t="s">
        <v>128</v>
      </c>
      <c r="G3748" t="s">
        <v>35</v>
      </c>
      <c r="H3748">
        <v>7</v>
      </c>
      <c r="I3748">
        <v>18.766999999999999</v>
      </c>
      <c r="J3748">
        <v>12.1</v>
      </c>
      <c r="M3748">
        <v>0.752</v>
      </c>
      <c r="O3748">
        <v>6.7000000000000004E-2</v>
      </c>
      <c r="Q3748">
        <v>0.08</v>
      </c>
      <c r="R3748">
        <v>0.12</v>
      </c>
      <c r="S3748">
        <v>71.5</v>
      </c>
    </row>
    <row r="3749" spans="1:19" x14ac:dyDescent="0.2">
      <c r="A3749" t="s">
        <v>6587</v>
      </c>
      <c r="B3749" t="s">
        <v>6588</v>
      </c>
      <c r="C3749">
        <v>2014</v>
      </c>
      <c r="D3749">
        <v>0</v>
      </c>
      <c r="E3749" t="s">
        <v>21</v>
      </c>
      <c r="F3749" t="s">
        <v>22</v>
      </c>
      <c r="G3749" t="s">
        <v>35</v>
      </c>
      <c r="H3749">
        <v>2</v>
      </c>
      <c r="I3749">
        <v>198.4</v>
      </c>
      <c r="J3749">
        <v>759</v>
      </c>
      <c r="K3749">
        <v>5.89</v>
      </c>
      <c r="N3749">
        <v>2.5</v>
      </c>
      <c r="Q3749">
        <v>1.1499999999999999</v>
      </c>
      <c r="R3749">
        <v>6.85</v>
      </c>
    </row>
    <row r="3750" spans="1:19" x14ac:dyDescent="0.2">
      <c r="A3750" t="s">
        <v>6587</v>
      </c>
      <c r="B3750" t="s">
        <v>6589</v>
      </c>
      <c r="C3750">
        <v>2014</v>
      </c>
      <c r="D3750">
        <v>0</v>
      </c>
      <c r="E3750" t="s">
        <v>21</v>
      </c>
      <c r="F3750" t="s">
        <v>22</v>
      </c>
      <c r="G3750" t="s">
        <v>35</v>
      </c>
      <c r="H3750">
        <v>2</v>
      </c>
      <c r="I3750">
        <v>559.29999999999995</v>
      </c>
      <c r="J3750">
        <v>759</v>
      </c>
      <c r="K3750">
        <v>5.89</v>
      </c>
      <c r="N3750">
        <v>10</v>
      </c>
      <c r="Q3750">
        <v>1.1499999999999999</v>
      </c>
      <c r="R3750">
        <v>6.85</v>
      </c>
    </row>
    <row r="3751" spans="1:19" x14ac:dyDescent="0.2">
      <c r="A3751" t="s">
        <v>6590</v>
      </c>
      <c r="B3751" t="s">
        <v>6591</v>
      </c>
      <c r="C3751">
        <v>2018</v>
      </c>
      <c r="D3751">
        <v>0</v>
      </c>
      <c r="E3751" t="s">
        <v>21</v>
      </c>
      <c r="F3751" t="s">
        <v>22</v>
      </c>
      <c r="G3751" t="s">
        <v>35</v>
      </c>
      <c r="H3751">
        <v>1</v>
      </c>
      <c r="I3751">
        <v>562</v>
      </c>
      <c r="J3751">
        <v>497.41</v>
      </c>
      <c r="N3751">
        <v>3.42</v>
      </c>
      <c r="Q3751">
        <v>1.19</v>
      </c>
      <c r="R3751">
        <v>5.9</v>
      </c>
    </row>
    <row r="3752" spans="1:19" x14ac:dyDescent="0.2">
      <c r="A3752" t="s">
        <v>6592</v>
      </c>
      <c r="B3752" t="s">
        <v>6593</v>
      </c>
      <c r="C3752">
        <v>2016</v>
      </c>
      <c r="D3752">
        <v>0</v>
      </c>
      <c r="E3752" t="s">
        <v>21</v>
      </c>
      <c r="F3752" t="s">
        <v>22</v>
      </c>
      <c r="G3752" t="s">
        <v>86</v>
      </c>
      <c r="H3752">
        <v>1</v>
      </c>
      <c r="I3752">
        <v>26.468</v>
      </c>
      <c r="J3752">
        <v>481</v>
      </c>
      <c r="K3752">
        <v>1.35</v>
      </c>
      <c r="N3752">
        <v>5.4</v>
      </c>
      <c r="Q3752">
        <v>1.87</v>
      </c>
      <c r="R3752">
        <v>6.26</v>
      </c>
    </row>
    <row r="3753" spans="1:19" x14ac:dyDescent="0.2">
      <c r="A3753" t="s">
        <v>6594</v>
      </c>
      <c r="B3753" t="s">
        <v>6595</v>
      </c>
      <c r="C3753">
        <v>2017</v>
      </c>
      <c r="D3753">
        <v>0</v>
      </c>
      <c r="E3753" t="s">
        <v>21</v>
      </c>
      <c r="F3753" t="s">
        <v>22</v>
      </c>
      <c r="G3753" t="s">
        <v>118</v>
      </c>
      <c r="H3753">
        <v>1</v>
      </c>
      <c r="I3753">
        <v>101.54</v>
      </c>
      <c r="J3753">
        <v>700</v>
      </c>
      <c r="K3753">
        <v>10.1</v>
      </c>
      <c r="N3753">
        <v>10.78</v>
      </c>
      <c r="Q3753">
        <v>0.97</v>
      </c>
      <c r="R3753">
        <v>16.21</v>
      </c>
    </row>
    <row r="3754" spans="1:19" x14ac:dyDescent="0.2">
      <c r="A3754" t="s">
        <v>6596</v>
      </c>
      <c r="B3754" t="s">
        <v>6597</v>
      </c>
      <c r="C3754">
        <v>2004</v>
      </c>
      <c r="D3754">
        <v>0</v>
      </c>
      <c r="E3754" t="s">
        <v>21</v>
      </c>
      <c r="F3754" t="s">
        <v>128</v>
      </c>
      <c r="G3754" t="s">
        <v>6598</v>
      </c>
      <c r="H3754">
        <v>1</v>
      </c>
      <c r="I3754">
        <v>3.0300699999999998</v>
      </c>
      <c r="J3754">
        <v>150</v>
      </c>
      <c r="L3754">
        <v>266.97719999999998</v>
      </c>
      <c r="M3754">
        <v>12.666</v>
      </c>
      <c r="N3754">
        <v>0.84</v>
      </c>
      <c r="O3754">
        <v>1.1299999999999999</v>
      </c>
      <c r="Q3754">
        <v>1.04</v>
      </c>
      <c r="R3754">
        <v>0.85</v>
      </c>
      <c r="S3754">
        <v>2.37</v>
      </c>
    </row>
    <row r="3755" spans="1:19" x14ac:dyDescent="0.2">
      <c r="A3755" t="s">
        <v>6599</v>
      </c>
      <c r="B3755" t="s">
        <v>6600</v>
      </c>
      <c r="C3755">
        <v>2006</v>
      </c>
      <c r="D3755">
        <v>1</v>
      </c>
      <c r="E3755" t="s">
        <v>21</v>
      </c>
      <c r="F3755" t="s">
        <v>128</v>
      </c>
      <c r="G3755" t="s">
        <v>6598</v>
      </c>
      <c r="H3755">
        <v>1</v>
      </c>
      <c r="I3755">
        <v>2.4706299999999999</v>
      </c>
      <c r="J3755">
        <v>213</v>
      </c>
      <c r="L3755">
        <v>473.56670000000003</v>
      </c>
      <c r="M3755">
        <v>15.244</v>
      </c>
      <c r="N3755">
        <v>1.49</v>
      </c>
      <c r="O3755">
        <v>1.36</v>
      </c>
      <c r="Q3755">
        <v>1.36</v>
      </c>
      <c r="R3755">
        <v>1.1200000000000001</v>
      </c>
      <c r="S3755">
        <v>1.38</v>
      </c>
    </row>
    <row r="3756" spans="1:19" x14ac:dyDescent="0.2">
      <c r="A3756" t="s">
        <v>6601</v>
      </c>
      <c r="B3756" t="s">
        <v>6602</v>
      </c>
      <c r="C3756">
        <v>2007</v>
      </c>
      <c r="D3756">
        <v>0</v>
      </c>
      <c r="E3756" t="s">
        <v>21</v>
      </c>
      <c r="F3756" t="s">
        <v>128</v>
      </c>
      <c r="G3756" t="s">
        <v>6598</v>
      </c>
      <c r="H3756">
        <v>1</v>
      </c>
      <c r="I3756">
        <v>1.3061858099999999</v>
      </c>
      <c r="J3756">
        <v>228</v>
      </c>
      <c r="L3756">
        <v>607.03</v>
      </c>
      <c r="M3756">
        <v>14.975</v>
      </c>
      <c r="N3756">
        <v>1.91</v>
      </c>
      <c r="O3756">
        <v>1.3360000000000001</v>
      </c>
      <c r="P3756">
        <v>0.99399999999999999</v>
      </c>
      <c r="Q3756">
        <v>0.93</v>
      </c>
      <c r="R3756">
        <v>0.83</v>
      </c>
    </row>
    <row r="3757" spans="1:19" x14ac:dyDescent="0.2">
      <c r="A3757" t="s">
        <v>6603</v>
      </c>
      <c r="B3757" t="s">
        <v>6604</v>
      </c>
      <c r="C3757">
        <v>2007</v>
      </c>
      <c r="D3757">
        <v>0</v>
      </c>
      <c r="E3757" t="s">
        <v>21</v>
      </c>
      <c r="F3757" t="s">
        <v>128</v>
      </c>
      <c r="G3757" t="s">
        <v>6598</v>
      </c>
      <c r="H3757">
        <v>1</v>
      </c>
      <c r="I3757">
        <v>3.5539499999999999</v>
      </c>
      <c r="J3757">
        <v>492</v>
      </c>
      <c r="L3757">
        <v>247.9074</v>
      </c>
      <c r="M3757">
        <v>18.045999999999999</v>
      </c>
      <c r="N3757">
        <v>0.78</v>
      </c>
      <c r="O3757">
        <v>1.61</v>
      </c>
      <c r="Q3757">
        <v>1.08</v>
      </c>
      <c r="R3757">
        <v>1.66</v>
      </c>
      <c r="S3757">
        <v>0.33</v>
      </c>
    </row>
    <row r="3758" spans="1:19" x14ac:dyDescent="0.2">
      <c r="A3758" t="s">
        <v>6605</v>
      </c>
      <c r="B3758" t="s">
        <v>6606</v>
      </c>
      <c r="C3758">
        <v>2011</v>
      </c>
      <c r="D3758">
        <v>0</v>
      </c>
      <c r="E3758" t="s">
        <v>21</v>
      </c>
      <c r="F3758" t="s">
        <v>128</v>
      </c>
      <c r="G3758" t="s">
        <v>6598</v>
      </c>
      <c r="H3758">
        <v>1</v>
      </c>
      <c r="I3758">
        <v>1.4822468600000001</v>
      </c>
      <c r="J3758">
        <v>360</v>
      </c>
      <c r="L3758">
        <v>568.91570000000002</v>
      </c>
      <c r="M3758">
        <v>13.384</v>
      </c>
      <c r="N3758">
        <v>1.79</v>
      </c>
      <c r="O3758">
        <v>1.194</v>
      </c>
      <c r="P3758">
        <v>1.31</v>
      </c>
      <c r="Q3758">
        <v>0.9</v>
      </c>
      <c r="R3758">
        <v>0.87</v>
      </c>
      <c r="S3758">
        <v>1.9450000000000001</v>
      </c>
    </row>
    <row r="3759" spans="1:19" x14ac:dyDescent="0.2">
      <c r="A3759" t="s">
        <v>6607</v>
      </c>
      <c r="B3759" t="s">
        <v>6608</v>
      </c>
      <c r="C3759">
        <v>2018</v>
      </c>
      <c r="D3759">
        <v>0</v>
      </c>
      <c r="E3759" t="s">
        <v>21</v>
      </c>
      <c r="F3759" t="s">
        <v>2322</v>
      </c>
      <c r="G3759" t="s">
        <v>6609</v>
      </c>
      <c r="H3759">
        <v>1</v>
      </c>
      <c r="J3759">
        <v>6300</v>
      </c>
      <c r="L3759">
        <v>406.82240000000002</v>
      </c>
      <c r="N3759">
        <v>1.28</v>
      </c>
      <c r="Q3759">
        <v>0.81</v>
      </c>
    </row>
    <row r="3760" spans="1:19" x14ac:dyDescent="0.2">
      <c r="A3760" t="s">
        <v>6610</v>
      </c>
      <c r="B3760" t="s">
        <v>6611</v>
      </c>
      <c r="C3760">
        <v>2008</v>
      </c>
      <c r="D3760">
        <v>0</v>
      </c>
      <c r="E3760" t="s">
        <v>21</v>
      </c>
      <c r="F3760" t="s">
        <v>40</v>
      </c>
      <c r="G3760" t="s">
        <v>6612</v>
      </c>
      <c r="H3760">
        <v>1</v>
      </c>
      <c r="J3760">
        <v>144.29</v>
      </c>
      <c r="L3760">
        <v>4449.62</v>
      </c>
      <c r="N3760">
        <v>14</v>
      </c>
      <c r="Q3760">
        <v>0.06</v>
      </c>
    </row>
    <row r="3761" spans="1:19" x14ac:dyDescent="0.2">
      <c r="A3761" t="s">
        <v>6613</v>
      </c>
      <c r="B3761" t="s">
        <v>6614</v>
      </c>
      <c r="C3761">
        <v>2011</v>
      </c>
      <c r="D3761">
        <v>0</v>
      </c>
      <c r="E3761" t="s">
        <v>21</v>
      </c>
      <c r="F3761" t="s">
        <v>62</v>
      </c>
      <c r="G3761" t="s">
        <v>35</v>
      </c>
      <c r="H3761">
        <v>2</v>
      </c>
      <c r="I3761">
        <v>5840</v>
      </c>
      <c r="J3761">
        <v>239.6</v>
      </c>
      <c r="L3761">
        <v>2002.2</v>
      </c>
      <c r="N3761">
        <v>6.3</v>
      </c>
      <c r="Q3761">
        <v>0.7</v>
      </c>
    </row>
    <row r="3762" spans="1:19" x14ac:dyDescent="0.2">
      <c r="A3762" t="s">
        <v>6613</v>
      </c>
      <c r="B3762" t="s">
        <v>6615</v>
      </c>
      <c r="C3762">
        <v>2011</v>
      </c>
      <c r="D3762">
        <v>0</v>
      </c>
      <c r="E3762" t="s">
        <v>21</v>
      </c>
      <c r="F3762" t="s">
        <v>62</v>
      </c>
      <c r="G3762" t="s">
        <v>35</v>
      </c>
      <c r="H3762">
        <v>2</v>
      </c>
      <c r="I3762">
        <v>1916.25</v>
      </c>
      <c r="J3762">
        <v>239.6</v>
      </c>
      <c r="L3762">
        <v>2447.1999999999998</v>
      </c>
      <c r="N3762">
        <v>7.7</v>
      </c>
      <c r="Q3762">
        <v>0.7</v>
      </c>
    </row>
    <row r="3763" spans="1:19" x14ac:dyDescent="0.2">
      <c r="A3763" t="s">
        <v>6616</v>
      </c>
      <c r="B3763" t="s">
        <v>6617</v>
      </c>
      <c r="C3763">
        <v>2007</v>
      </c>
      <c r="D3763">
        <v>0</v>
      </c>
      <c r="E3763" t="s">
        <v>21</v>
      </c>
      <c r="F3763" t="s">
        <v>2314</v>
      </c>
      <c r="G3763" t="s">
        <v>35</v>
      </c>
      <c r="H3763">
        <v>1</v>
      </c>
      <c r="I3763">
        <v>1170</v>
      </c>
      <c r="J3763">
        <v>1400</v>
      </c>
      <c r="K3763">
        <v>10</v>
      </c>
      <c r="N3763">
        <v>3.2</v>
      </c>
      <c r="Q3763">
        <v>0.5</v>
      </c>
      <c r="R3763">
        <v>0.23</v>
      </c>
    </row>
    <row r="3764" spans="1:19" x14ac:dyDescent="0.2">
      <c r="A3764" t="s">
        <v>6618</v>
      </c>
      <c r="B3764" t="s">
        <v>6619</v>
      </c>
      <c r="C3764">
        <v>2016</v>
      </c>
      <c r="D3764">
        <v>0</v>
      </c>
      <c r="E3764" t="s">
        <v>21</v>
      </c>
      <c r="F3764" t="s">
        <v>22</v>
      </c>
      <c r="G3764" t="s">
        <v>35</v>
      </c>
      <c r="H3764">
        <v>1</v>
      </c>
      <c r="I3764">
        <v>4.9269999999999996</v>
      </c>
      <c r="J3764">
        <v>150</v>
      </c>
      <c r="K3764">
        <v>2E-3</v>
      </c>
      <c r="L3764">
        <v>222.48099999999999</v>
      </c>
      <c r="N3764">
        <v>0.7</v>
      </c>
      <c r="Q3764">
        <v>1</v>
      </c>
      <c r="R3764">
        <v>2</v>
      </c>
    </row>
    <row r="3765" spans="1:19" x14ac:dyDescent="0.2">
      <c r="A3765" t="s">
        <v>6620</v>
      </c>
      <c r="B3765" t="s">
        <v>6621</v>
      </c>
      <c r="C3765">
        <v>2015</v>
      </c>
      <c r="D3765">
        <v>0</v>
      </c>
      <c r="E3765" t="s">
        <v>21</v>
      </c>
      <c r="F3765" t="s">
        <v>40</v>
      </c>
      <c r="G3765" t="s">
        <v>59</v>
      </c>
      <c r="H3765">
        <v>1</v>
      </c>
      <c r="J3765">
        <v>12.7</v>
      </c>
      <c r="K3765">
        <v>0.22500000000000001</v>
      </c>
      <c r="L3765">
        <v>3559.6959999999999</v>
      </c>
      <c r="N3765">
        <v>11.2</v>
      </c>
      <c r="Q3765">
        <v>7.0000000000000007E-2</v>
      </c>
    </row>
    <row r="3766" spans="1:19" x14ac:dyDescent="0.2">
      <c r="A3766" t="s">
        <v>6622</v>
      </c>
      <c r="B3766" t="s">
        <v>6623</v>
      </c>
      <c r="C3766">
        <v>2007</v>
      </c>
      <c r="D3766">
        <v>0</v>
      </c>
      <c r="E3766" t="s">
        <v>21</v>
      </c>
      <c r="F3766" t="s">
        <v>128</v>
      </c>
      <c r="G3766" t="s">
        <v>6624</v>
      </c>
      <c r="H3766">
        <v>1</v>
      </c>
      <c r="I3766">
        <v>2.5199454000000001</v>
      </c>
      <c r="J3766">
        <v>408</v>
      </c>
      <c r="K3766">
        <v>3.4</v>
      </c>
      <c r="L3766">
        <v>271.41500000000002</v>
      </c>
      <c r="M3766">
        <v>16.623000000000001</v>
      </c>
      <c r="N3766">
        <v>0.85399999999999998</v>
      </c>
      <c r="O3766">
        <v>1.4830000000000001</v>
      </c>
      <c r="P3766">
        <v>0.34799999999999998</v>
      </c>
      <c r="Q3766">
        <v>1.24</v>
      </c>
      <c r="R3766">
        <v>1.47</v>
      </c>
      <c r="S3766">
        <v>0.54800000000000004</v>
      </c>
    </row>
    <row r="3767" spans="1:19" x14ac:dyDescent="0.2">
      <c r="A3767" t="s">
        <v>6625</v>
      </c>
      <c r="B3767" t="s">
        <v>6626</v>
      </c>
      <c r="C3767">
        <v>2008</v>
      </c>
      <c r="D3767">
        <v>0</v>
      </c>
      <c r="E3767" t="s">
        <v>21</v>
      </c>
      <c r="F3767" t="s">
        <v>128</v>
      </c>
      <c r="G3767" t="s">
        <v>6624</v>
      </c>
      <c r="H3767">
        <v>1</v>
      </c>
      <c r="I3767">
        <v>3.0927616000000002</v>
      </c>
      <c r="J3767">
        <v>90</v>
      </c>
      <c r="L3767">
        <v>1001.12</v>
      </c>
      <c r="M3767">
        <v>12.106</v>
      </c>
      <c r="N3767">
        <v>3.15</v>
      </c>
      <c r="O3767">
        <v>1.08</v>
      </c>
      <c r="P3767">
        <v>4.1399999999999997</v>
      </c>
      <c r="Q3767">
        <v>0.75</v>
      </c>
      <c r="R3767">
        <v>0.7</v>
      </c>
    </row>
    <row r="3768" spans="1:19" x14ac:dyDescent="0.2">
      <c r="A3768" t="s">
        <v>6627</v>
      </c>
      <c r="B3768" t="s">
        <v>6628</v>
      </c>
      <c r="C3768">
        <v>2014</v>
      </c>
      <c r="D3768">
        <v>0</v>
      </c>
      <c r="E3768" t="s">
        <v>21</v>
      </c>
      <c r="F3768" t="s">
        <v>128</v>
      </c>
      <c r="G3768" t="s">
        <v>6624</v>
      </c>
      <c r="H3768">
        <v>1</v>
      </c>
      <c r="I3768">
        <v>2.84938</v>
      </c>
      <c r="J3768">
        <v>368.28</v>
      </c>
      <c r="L3768">
        <v>400.4658</v>
      </c>
      <c r="M3768">
        <v>14.907999999999999</v>
      </c>
      <c r="N3768">
        <v>1.26</v>
      </c>
      <c r="O3768">
        <v>1.33</v>
      </c>
      <c r="Q3768">
        <v>0.77</v>
      </c>
      <c r="R3768">
        <v>1.57</v>
      </c>
      <c r="S3768">
        <v>0.28000000000000003</v>
      </c>
    </row>
    <row r="3769" spans="1:19" x14ac:dyDescent="0.2">
      <c r="A3769" t="s">
        <v>6629</v>
      </c>
      <c r="B3769" t="s">
        <v>6630</v>
      </c>
      <c r="C3769">
        <v>2014</v>
      </c>
      <c r="D3769">
        <v>0</v>
      </c>
      <c r="E3769" t="s">
        <v>21</v>
      </c>
      <c r="F3769" t="s">
        <v>128</v>
      </c>
      <c r="G3769" t="s">
        <v>6624</v>
      </c>
      <c r="H3769">
        <v>1</v>
      </c>
      <c r="I3769">
        <v>3.5857199999999998</v>
      </c>
      <c r="J3769">
        <v>202.39</v>
      </c>
      <c r="L3769">
        <v>162.0933</v>
      </c>
      <c r="M3769">
        <v>16.029</v>
      </c>
      <c r="N3769">
        <v>0.51</v>
      </c>
      <c r="O3769">
        <v>1.43</v>
      </c>
      <c r="Q3769">
        <v>1.41</v>
      </c>
      <c r="R3769">
        <v>1.31</v>
      </c>
      <c r="S3769">
        <v>0.89</v>
      </c>
    </row>
    <row r="3770" spans="1:19" x14ac:dyDescent="0.2">
      <c r="A3770" t="s">
        <v>6631</v>
      </c>
      <c r="B3770" t="s">
        <v>6632</v>
      </c>
      <c r="C3770">
        <v>2014</v>
      </c>
      <c r="D3770">
        <v>0</v>
      </c>
      <c r="E3770" t="s">
        <v>21</v>
      </c>
      <c r="F3770" t="s">
        <v>128</v>
      </c>
      <c r="G3770" t="s">
        <v>6624</v>
      </c>
      <c r="H3770">
        <v>1</v>
      </c>
      <c r="I3770">
        <v>0.92554199999999998</v>
      </c>
      <c r="J3770">
        <v>470</v>
      </c>
      <c r="K3770">
        <v>4</v>
      </c>
      <c r="L3770">
        <v>473.54700000000003</v>
      </c>
      <c r="M3770">
        <v>17.126999999999999</v>
      </c>
      <c r="N3770">
        <v>1.49</v>
      </c>
      <c r="O3770">
        <v>1.528</v>
      </c>
      <c r="P3770">
        <v>0.55000000000000004</v>
      </c>
      <c r="Q3770">
        <v>1.22</v>
      </c>
      <c r="R3770">
        <v>1.44</v>
      </c>
      <c r="S3770">
        <v>0.58299999999999996</v>
      </c>
    </row>
    <row r="3771" spans="1:19" x14ac:dyDescent="0.2">
      <c r="A3771" t="s">
        <v>6633</v>
      </c>
      <c r="B3771" t="s">
        <v>6634</v>
      </c>
      <c r="C3771">
        <v>2014</v>
      </c>
      <c r="D3771">
        <v>0</v>
      </c>
      <c r="E3771" t="s">
        <v>21</v>
      </c>
      <c r="F3771" t="s">
        <v>128</v>
      </c>
      <c r="G3771" t="s">
        <v>6624</v>
      </c>
      <c r="H3771">
        <v>1</v>
      </c>
      <c r="I3771">
        <v>1.7554137000000001</v>
      </c>
      <c r="J3771">
        <v>143</v>
      </c>
      <c r="K3771">
        <v>3</v>
      </c>
      <c r="L3771">
        <v>404.26299999999998</v>
      </c>
      <c r="M3771">
        <v>12.744999999999999</v>
      </c>
      <c r="N3771">
        <v>1.272</v>
      </c>
      <c r="O3771">
        <v>1.137</v>
      </c>
      <c r="P3771">
        <v>1.0740000000000001</v>
      </c>
      <c r="Q3771">
        <v>1.08</v>
      </c>
      <c r="R3771">
        <v>0.96</v>
      </c>
      <c r="S3771">
        <v>1.7</v>
      </c>
    </row>
    <row r="3772" spans="1:19" x14ac:dyDescent="0.2">
      <c r="A3772" t="s">
        <v>6635</v>
      </c>
      <c r="B3772" t="s">
        <v>6636</v>
      </c>
      <c r="C3772">
        <v>2017</v>
      </c>
      <c r="D3772">
        <v>0</v>
      </c>
      <c r="E3772" t="s">
        <v>21</v>
      </c>
      <c r="F3772" t="s">
        <v>128</v>
      </c>
      <c r="G3772" t="s">
        <v>6637</v>
      </c>
      <c r="H3772">
        <v>1</v>
      </c>
      <c r="I3772">
        <v>7.8728800000000003</v>
      </c>
      <c r="J3772">
        <v>252.52</v>
      </c>
      <c r="L3772">
        <v>572.09400000000005</v>
      </c>
      <c r="M3772">
        <v>10.760999999999999</v>
      </c>
      <c r="N3772">
        <v>1.8</v>
      </c>
      <c r="O3772">
        <v>0.96</v>
      </c>
      <c r="P3772">
        <v>2.65</v>
      </c>
      <c r="Q3772">
        <v>0.89</v>
      </c>
      <c r="R3772">
        <v>0.9</v>
      </c>
      <c r="S3772">
        <v>1.73</v>
      </c>
    </row>
    <row r="3773" spans="1:19" x14ac:dyDescent="0.2">
      <c r="A3773" t="s">
        <v>6638</v>
      </c>
      <c r="B3773" t="s">
        <v>6639</v>
      </c>
      <c r="C3773">
        <v>2014</v>
      </c>
      <c r="D3773">
        <v>0</v>
      </c>
      <c r="E3773" t="s">
        <v>21</v>
      </c>
      <c r="F3773" t="s">
        <v>128</v>
      </c>
      <c r="G3773" t="s">
        <v>6624</v>
      </c>
      <c r="H3773">
        <v>1</v>
      </c>
      <c r="I3773">
        <v>9.2897099999999995</v>
      </c>
      <c r="J3773">
        <v>283</v>
      </c>
      <c r="L3773">
        <v>514.88459999999998</v>
      </c>
      <c r="M3773">
        <v>11.433</v>
      </c>
      <c r="N3773">
        <v>1.62</v>
      </c>
      <c r="O3773">
        <v>1.02</v>
      </c>
      <c r="Q3773">
        <v>0.93</v>
      </c>
      <c r="R3773">
        <v>1.31</v>
      </c>
      <c r="S3773">
        <v>0.56999999999999995</v>
      </c>
    </row>
    <row r="3774" spans="1:19" x14ac:dyDescent="0.2">
      <c r="A3774" t="s">
        <v>6640</v>
      </c>
      <c r="B3774" t="s">
        <v>6641</v>
      </c>
      <c r="C3774">
        <v>2017</v>
      </c>
      <c r="D3774">
        <v>0</v>
      </c>
      <c r="E3774" t="s">
        <v>21</v>
      </c>
      <c r="F3774" t="s">
        <v>128</v>
      </c>
      <c r="G3774" t="s">
        <v>6637</v>
      </c>
      <c r="H3774">
        <v>1</v>
      </c>
      <c r="I3774">
        <v>5.7214900000000002</v>
      </c>
      <c r="J3774">
        <v>64.86</v>
      </c>
      <c r="L3774">
        <v>38.139600000000002</v>
      </c>
      <c r="M3774">
        <v>10.536</v>
      </c>
      <c r="N3774">
        <v>0.12</v>
      </c>
      <c r="O3774">
        <v>0.94</v>
      </c>
      <c r="P3774">
        <v>0.19</v>
      </c>
      <c r="Q3774">
        <v>0.69</v>
      </c>
      <c r="R3774">
        <v>0.66</v>
      </c>
      <c r="S3774">
        <v>3.45</v>
      </c>
    </row>
    <row r="3775" spans="1:19" x14ac:dyDescent="0.2">
      <c r="A3775" t="s">
        <v>6642</v>
      </c>
      <c r="B3775" t="s">
        <v>6643</v>
      </c>
      <c r="C3775">
        <v>2008</v>
      </c>
      <c r="D3775">
        <v>0</v>
      </c>
      <c r="E3775" t="s">
        <v>21</v>
      </c>
      <c r="F3775" t="s">
        <v>128</v>
      </c>
      <c r="G3775" t="s">
        <v>6624</v>
      </c>
      <c r="H3775">
        <v>1</v>
      </c>
      <c r="I3775">
        <v>3.7224699999999999</v>
      </c>
      <c r="J3775">
        <v>121.7</v>
      </c>
      <c r="L3775">
        <v>251.0857</v>
      </c>
      <c r="M3775">
        <v>12.442</v>
      </c>
      <c r="N3775">
        <v>0.79</v>
      </c>
      <c r="O3775">
        <v>1.1100000000000001</v>
      </c>
      <c r="Q3775">
        <v>1.42</v>
      </c>
      <c r="R3775">
        <v>0.89</v>
      </c>
      <c r="S3775">
        <v>2.8</v>
      </c>
    </row>
    <row r="3776" spans="1:19" x14ac:dyDescent="0.2">
      <c r="A3776" t="s">
        <v>6644</v>
      </c>
      <c r="B3776" t="s">
        <v>6645</v>
      </c>
      <c r="C3776">
        <v>2016</v>
      </c>
      <c r="D3776">
        <v>0</v>
      </c>
      <c r="E3776" t="s">
        <v>21</v>
      </c>
      <c r="F3776" t="s">
        <v>128</v>
      </c>
      <c r="G3776" t="s">
        <v>6646</v>
      </c>
      <c r="H3776">
        <v>1</v>
      </c>
      <c r="I3776">
        <v>4.5421687500000001</v>
      </c>
      <c r="J3776">
        <v>360</v>
      </c>
      <c r="K3776">
        <v>6.2</v>
      </c>
      <c r="L3776">
        <v>150.96924999999999</v>
      </c>
      <c r="M3776">
        <v>15.792999999999999</v>
      </c>
      <c r="N3776">
        <v>0.47499999999999998</v>
      </c>
      <c r="O3776">
        <v>1.409</v>
      </c>
      <c r="P3776">
        <v>0.22800000000000001</v>
      </c>
      <c r="Q3776">
        <v>1.32</v>
      </c>
      <c r="R3776">
        <v>1.61</v>
      </c>
      <c r="S3776">
        <v>0.44700000000000001</v>
      </c>
    </row>
    <row r="3777" spans="1:19" x14ac:dyDescent="0.2">
      <c r="A3777" t="s">
        <v>6647</v>
      </c>
      <c r="B3777" t="s">
        <v>6648</v>
      </c>
      <c r="C3777">
        <v>2016</v>
      </c>
      <c r="D3777">
        <v>0</v>
      </c>
      <c r="E3777" t="s">
        <v>21</v>
      </c>
      <c r="F3777" t="s">
        <v>128</v>
      </c>
      <c r="G3777" t="s">
        <v>6646</v>
      </c>
      <c r="H3777">
        <v>1</v>
      </c>
      <c r="I3777">
        <v>1.5487743</v>
      </c>
      <c r="J3777">
        <v>460</v>
      </c>
      <c r="K3777">
        <v>4.3</v>
      </c>
      <c r="L3777">
        <v>562.24126999999999</v>
      </c>
      <c r="M3777">
        <v>15.009</v>
      </c>
      <c r="N3777">
        <v>1.7689999999999999</v>
      </c>
      <c r="O3777">
        <v>1.339</v>
      </c>
      <c r="P3777">
        <v>0.97</v>
      </c>
      <c r="Q3777">
        <v>1.29</v>
      </c>
      <c r="R3777">
        <v>1.43</v>
      </c>
      <c r="S3777">
        <v>0.61899999999999999</v>
      </c>
    </row>
    <row r="3778" spans="1:19" x14ac:dyDescent="0.2">
      <c r="A3778" t="s">
        <v>6649</v>
      </c>
      <c r="B3778" t="s">
        <v>6650</v>
      </c>
      <c r="C3778">
        <v>2014</v>
      </c>
      <c r="D3778">
        <v>0</v>
      </c>
      <c r="E3778" t="s">
        <v>21</v>
      </c>
      <c r="F3778" t="s">
        <v>128</v>
      </c>
      <c r="G3778" t="s">
        <v>6624</v>
      </c>
      <c r="H3778">
        <v>1</v>
      </c>
      <c r="I3778">
        <v>10.021649999999999</v>
      </c>
      <c r="J3778">
        <v>158.69</v>
      </c>
      <c r="L3778">
        <v>95.349000000000004</v>
      </c>
      <c r="M3778">
        <v>11.882</v>
      </c>
      <c r="N3778">
        <v>0.3</v>
      </c>
      <c r="O3778">
        <v>1.06</v>
      </c>
      <c r="Q3778">
        <v>1.29</v>
      </c>
      <c r="R3778">
        <v>1.22</v>
      </c>
      <c r="S3778">
        <v>1</v>
      </c>
    </row>
    <row r="3779" spans="1:19" x14ac:dyDescent="0.2">
      <c r="A3779" t="s">
        <v>6651</v>
      </c>
      <c r="B3779" t="s">
        <v>6652</v>
      </c>
      <c r="C3779">
        <v>2016</v>
      </c>
      <c r="D3779">
        <v>0</v>
      </c>
      <c r="E3779" t="s">
        <v>21</v>
      </c>
      <c r="F3779" t="s">
        <v>128</v>
      </c>
      <c r="G3779" t="s">
        <v>6624</v>
      </c>
      <c r="H3779">
        <v>1</v>
      </c>
      <c r="I3779">
        <v>4.0460434999999997</v>
      </c>
      <c r="J3779">
        <v>380.53</v>
      </c>
      <c r="K3779">
        <v>1.17</v>
      </c>
      <c r="L3779">
        <v>163.36462</v>
      </c>
      <c r="M3779">
        <v>16.140999999999998</v>
      </c>
      <c r="N3779">
        <v>0.51400000000000001</v>
      </c>
      <c r="O3779">
        <v>1.44</v>
      </c>
      <c r="P3779">
        <v>0.23300000000000001</v>
      </c>
      <c r="Q3779">
        <v>1.32</v>
      </c>
      <c r="R3779">
        <v>1.7</v>
      </c>
      <c r="S3779">
        <v>0.38200000000000001</v>
      </c>
    </row>
    <row r="3780" spans="1:19" x14ac:dyDescent="0.2">
      <c r="A3780" t="s">
        <v>6653</v>
      </c>
      <c r="B3780" t="s">
        <v>6654</v>
      </c>
      <c r="C3780">
        <v>2016</v>
      </c>
      <c r="D3780">
        <v>0</v>
      </c>
      <c r="E3780" t="s">
        <v>21</v>
      </c>
      <c r="F3780" t="s">
        <v>128</v>
      </c>
      <c r="G3780" t="s">
        <v>6637</v>
      </c>
      <c r="H3780">
        <v>1</v>
      </c>
      <c r="I3780">
        <v>2.49979</v>
      </c>
      <c r="J3780">
        <v>333</v>
      </c>
      <c r="K3780">
        <v>8</v>
      </c>
      <c r="L3780">
        <v>390.93090000000001</v>
      </c>
      <c r="M3780">
        <v>15.693</v>
      </c>
      <c r="N3780">
        <v>1.23</v>
      </c>
      <c r="O3780">
        <v>1.4</v>
      </c>
      <c r="P3780">
        <v>0.7</v>
      </c>
      <c r="Q3780">
        <v>1.02</v>
      </c>
      <c r="R3780">
        <v>1.2</v>
      </c>
      <c r="S3780">
        <v>0.76</v>
      </c>
    </row>
    <row r="3781" spans="1:19" x14ac:dyDescent="0.2">
      <c r="A3781" t="s">
        <v>6655</v>
      </c>
      <c r="B3781" t="s">
        <v>6656</v>
      </c>
      <c r="C3781">
        <v>2008</v>
      </c>
      <c r="D3781">
        <v>0</v>
      </c>
      <c r="E3781" t="s">
        <v>21</v>
      </c>
      <c r="F3781" t="s">
        <v>128</v>
      </c>
      <c r="G3781" t="s">
        <v>6624</v>
      </c>
      <c r="H3781">
        <v>1</v>
      </c>
      <c r="I3781">
        <v>1.09142245</v>
      </c>
      <c r="J3781">
        <v>432.48</v>
      </c>
      <c r="L3781">
        <v>416.35730000000001</v>
      </c>
      <c r="M3781">
        <v>20.399999999999999</v>
      </c>
      <c r="N3781">
        <v>1.31</v>
      </c>
      <c r="O3781">
        <v>1.82</v>
      </c>
      <c r="Q3781">
        <v>1.2</v>
      </c>
      <c r="R3781">
        <v>1.59</v>
      </c>
      <c r="S3781">
        <v>0.42</v>
      </c>
    </row>
    <row r="3782" spans="1:19" x14ac:dyDescent="0.2">
      <c r="A3782" t="s">
        <v>6657</v>
      </c>
      <c r="B3782" t="s">
        <v>6658</v>
      </c>
      <c r="C3782">
        <v>2016</v>
      </c>
      <c r="D3782">
        <v>0</v>
      </c>
      <c r="E3782" t="s">
        <v>21</v>
      </c>
      <c r="F3782" t="s">
        <v>128</v>
      </c>
      <c r="G3782" t="s">
        <v>6624</v>
      </c>
      <c r="H3782">
        <v>1</v>
      </c>
      <c r="I3782">
        <v>3.6112706000000001</v>
      </c>
      <c r="J3782">
        <v>437</v>
      </c>
      <c r="K3782">
        <v>2.6</v>
      </c>
      <c r="L3782">
        <v>1541.4755</v>
      </c>
      <c r="M3782">
        <v>16.510999999999999</v>
      </c>
      <c r="N3782">
        <v>4.8499999999999996</v>
      </c>
      <c r="O3782">
        <v>1.4730000000000001</v>
      </c>
      <c r="P3782">
        <v>2</v>
      </c>
      <c r="Q3782">
        <v>1.39</v>
      </c>
      <c r="R3782">
        <v>1.87</v>
      </c>
      <c r="S3782">
        <v>0.29899999999999999</v>
      </c>
    </row>
    <row r="3783" spans="1:19" x14ac:dyDescent="0.2">
      <c r="A3783" t="s">
        <v>6659</v>
      </c>
      <c r="B3783" t="s">
        <v>6660</v>
      </c>
      <c r="C3783">
        <v>2016</v>
      </c>
      <c r="D3783">
        <v>0</v>
      </c>
      <c r="E3783" t="s">
        <v>21</v>
      </c>
      <c r="F3783" t="s">
        <v>128</v>
      </c>
      <c r="G3783" t="s">
        <v>6624</v>
      </c>
      <c r="H3783">
        <v>1</v>
      </c>
      <c r="I3783">
        <v>1.2749254999999999</v>
      </c>
      <c r="J3783">
        <v>270</v>
      </c>
      <c r="K3783">
        <v>1.5</v>
      </c>
      <c r="L3783">
        <v>375.99288999999999</v>
      </c>
      <c r="M3783">
        <v>20.905000000000001</v>
      </c>
      <c r="N3783">
        <v>1.1830000000000001</v>
      </c>
      <c r="O3783">
        <v>1.865</v>
      </c>
      <c r="P3783">
        <v>0.24299999999999999</v>
      </c>
      <c r="Q3783">
        <v>1.35</v>
      </c>
      <c r="R3783">
        <v>1.46</v>
      </c>
      <c r="S3783">
        <v>0.61599999999999999</v>
      </c>
    </row>
    <row r="3784" spans="1:19" x14ac:dyDescent="0.2">
      <c r="A3784" t="s">
        <v>6661</v>
      </c>
      <c r="B3784" t="s">
        <v>6662</v>
      </c>
      <c r="C3784">
        <v>2016</v>
      </c>
      <c r="D3784">
        <v>0</v>
      </c>
      <c r="E3784" t="s">
        <v>21</v>
      </c>
      <c r="F3784" t="s">
        <v>128</v>
      </c>
      <c r="G3784" t="s">
        <v>6624</v>
      </c>
      <c r="H3784">
        <v>1</v>
      </c>
      <c r="I3784">
        <v>2.9776411999999999</v>
      </c>
      <c r="J3784">
        <v>214</v>
      </c>
      <c r="K3784">
        <v>6.9</v>
      </c>
      <c r="L3784">
        <v>285.72917000000001</v>
      </c>
      <c r="M3784">
        <v>14.773</v>
      </c>
      <c r="N3784">
        <v>0.89900000000000002</v>
      </c>
      <c r="O3784">
        <v>1.3180000000000001</v>
      </c>
      <c r="P3784">
        <v>0.52100000000000002</v>
      </c>
      <c r="Q3784">
        <v>1.17</v>
      </c>
      <c r="R3784">
        <v>1.28</v>
      </c>
      <c r="S3784">
        <v>0.77300000000000002</v>
      </c>
    </row>
    <row r="3785" spans="1:19" x14ac:dyDescent="0.2">
      <c r="A3785" t="s">
        <v>6663</v>
      </c>
      <c r="B3785" t="s">
        <v>6664</v>
      </c>
      <c r="C3785">
        <v>2016</v>
      </c>
      <c r="D3785">
        <v>0</v>
      </c>
      <c r="E3785" t="s">
        <v>21</v>
      </c>
      <c r="F3785" t="s">
        <v>128</v>
      </c>
      <c r="G3785" t="s">
        <v>6637</v>
      </c>
      <c r="H3785">
        <v>1</v>
      </c>
      <c r="I3785">
        <v>3.3726500000000001</v>
      </c>
      <c r="J3785">
        <v>433</v>
      </c>
      <c r="K3785">
        <v>2.1</v>
      </c>
      <c r="L3785">
        <v>190.69800000000001</v>
      </c>
      <c r="M3785">
        <v>13.898999999999999</v>
      </c>
      <c r="N3785">
        <v>0.6</v>
      </c>
      <c r="O3785">
        <v>1.24</v>
      </c>
      <c r="P3785">
        <v>0.43</v>
      </c>
      <c r="Q3785">
        <v>1.07</v>
      </c>
      <c r="R3785">
        <v>1.02</v>
      </c>
      <c r="S3785">
        <v>1.39</v>
      </c>
    </row>
    <row r="3786" spans="1:19" x14ac:dyDescent="0.2">
      <c r="A3786" t="s">
        <v>6665</v>
      </c>
      <c r="B3786" t="s">
        <v>6666</v>
      </c>
      <c r="C3786">
        <v>2016</v>
      </c>
      <c r="D3786">
        <v>0</v>
      </c>
      <c r="E3786" t="s">
        <v>21</v>
      </c>
      <c r="F3786" t="s">
        <v>128</v>
      </c>
      <c r="G3786" t="s">
        <v>6637</v>
      </c>
      <c r="H3786">
        <v>1</v>
      </c>
      <c r="I3786">
        <v>3.2888000000000002</v>
      </c>
      <c r="J3786">
        <v>234</v>
      </c>
      <c r="K3786">
        <v>6.4</v>
      </c>
      <c r="L3786">
        <v>88.992400000000004</v>
      </c>
      <c r="M3786">
        <v>10.760999999999999</v>
      </c>
      <c r="N3786">
        <v>0.28000000000000003</v>
      </c>
      <c r="O3786">
        <v>0.96</v>
      </c>
      <c r="P3786">
        <v>0.41</v>
      </c>
      <c r="Q3786">
        <v>1.1200000000000001</v>
      </c>
      <c r="R3786">
        <v>1.27</v>
      </c>
      <c r="S3786">
        <v>0.79</v>
      </c>
    </row>
    <row r="3787" spans="1:19" x14ac:dyDescent="0.2">
      <c r="A3787" t="s">
        <v>6667</v>
      </c>
      <c r="B3787" t="s">
        <v>6668</v>
      </c>
      <c r="C3787">
        <v>2016</v>
      </c>
      <c r="D3787">
        <v>0</v>
      </c>
      <c r="E3787" t="s">
        <v>21</v>
      </c>
      <c r="F3787" t="s">
        <v>128</v>
      </c>
      <c r="G3787" t="s">
        <v>6624</v>
      </c>
      <c r="H3787">
        <v>1</v>
      </c>
      <c r="I3787">
        <v>4.1780619999999997</v>
      </c>
      <c r="J3787">
        <v>102</v>
      </c>
      <c r="K3787">
        <v>11.41</v>
      </c>
      <c r="L3787">
        <v>57.209400000000002</v>
      </c>
      <c r="M3787">
        <v>15.356</v>
      </c>
      <c r="N3787">
        <v>0.18</v>
      </c>
      <c r="O3787">
        <v>1.37</v>
      </c>
      <c r="P3787">
        <v>0.09</v>
      </c>
      <c r="Q3787">
        <v>1.08</v>
      </c>
      <c r="R3787">
        <v>1.39</v>
      </c>
      <c r="S3787">
        <v>0.56899999999999995</v>
      </c>
    </row>
    <row r="3788" spans="1:19" x14ac:dyDescent="0.2">
      <c r="A3788" t="s">
        <v>6669</v>
      </c>
      <c r="B3788" t="s">
        <v>6670</v>
      </c>
      <c r="C3788">
        <v>2016</v>
      </c>
      <c r="D3788">
        <v>0</v>
      </c>
      <c r="E3788" t="s">
        <v>21</v>
      </c>
      <c r="F3788" t="s">
        <v>128</v>
      </c>
      <c r="G3788" t="s">
        <v>6637</v>
      </c>
      <c r="H3788">
        <v>1</v>
      </c>
      <c r="I3788">
        <v>5.7481450000000001</v>
      </c>
      <c r="J3788">
        <v>246</v>
      </c>
      <c r="K3788">
        <v>1</v>
      </c>
      <c r="L3788">
        <v>317.83</v>
      </c>
      <c r="M3788">
        <v>10.423999999999999</v>
      </c>
      <c r="N3788">
        <v>1</v>
      </c>
      <c r="O3788">
        <v>0.93</v>
      </c>
      <c r="P3788">
        <v>1.6</v>
      </c>
      <c r="Q3788">
        <v>1</v>
      </c>
      <c r="R3788">
        <v>0.9</v>
      </c>
      <c r="S3788">
        <v>1.94</v>
      </c>
    </row>
    <row r="3789" spans="1:19" x14ac:dyDescent="0.2">
      <c r="A3789" t="s">
        <v>6671</v>
      </c>
      <c r="B3789" t="s">
        <v>6672</v>
      </c>
      <c r="C3789">
        <v>2009</v>
      </c>
      <c r="D3789">
        <v>0</v>
      </c>
      <c r="E3789" t="s">
        <v>21</v>
      </c>
      <c r="F3789" t="s">
        <v>128</v>
      </c>
      <c r="G3789" t="s">
        <v>6624</v>
      </c>
      <c r="H3789">
        <v>1</v>
      </c>
      <c r="I3789">
        <v>4.3530100000000003</v>
      </c>
      <c r="J3789">
        <v>155</v>
      </c>
      <c r="L3789">
        <v>114.4188</v>
      </c>
      <c r="M3789">
        <v>13.675000000000001</v>
      </c>
      <c r="N3789">
        <v>0.36</v>
      </c>
      <c r="O3789">
        <v>1.22</v>
      </c>
      <c r="Q3789">
        <v>0.72</v>
      </c>
      <c r="R3789">
        <v>1.37</v>
      </c>
      <c r="S3789">
        <v>0.4</v>
      </c>
    </row>
    <row r="3790" spans="1:19" x14ac:dyDescent="0.2">
      <c r="A3790" t="s">
        <v>6673</v>
      </c>
      <c r="B3790" t="s">
        <v>6674</v>
      </c>
      <c r="C3790">
        <v>2016</v>
      </c>
      <c r="D3790">
        <v>0</v>
      </c>
      <c r="E3790" t="s">
        <v>21</v>
      </c>
      <c r="F3790" t="s">
        <v>128</v>
      </c>
      <c r="G3790" t="s">
        <v>6637</v>
      </c>
      <c r="H3790">
        <v>1</v>
      </c>
      <c r="I3790">
        <v>11.550979999999999</v>
      </c>
      <c r="J3790">
        <v>180</v>
      </c>
      <c r="K3790">
        <v>2</v>
      </c>
      <c r="L3790">
        <v>390.93090000000001</v>
      </c>
      <c r="M3790">
        <v>9.9760000000000009</v>
      </c>
      <c r="N3790">
        <v>1.23</v>
      </c>
      <c r="O3790">
        <v>0.89</v>
      </c>
      <c r="P3790">
        <v>2.34</v>
      </c>
      <c r="Q3790">
        <v>1.04</v>
      </c>
      <c r="R3790">
        <v>0.96</v>
      </c>
      <c r="S3790">
        <v>1.66</v>
      </c>
    </row>
    <row r="3791" spans="1:19" x14ac:dyDescent="0.2">
      <c r="A3791" t="s">
        <v>6675</v>
      </c>
      <c r="B3791" t="s">
        <v>6676</v>
      </c>
      <c r="C3791">
        <v>2016</v>
      </c>
      <c r="D3791">
        <v>0</v>
      </c>
      <c r="E3791" t="s">
        <v>21</v>
      </c>
      <c r="F3791" t="s">
        <v>128</v>
      </c>
      <c r="G3791" t="s">
        <v>6637</v>
      </c>
      <c r="H3791">
        <v>1</v>
      </c>
      <c r="I3791">
        <v>5.3220229999999997</v>
      </c>
      <c r="J3791">
        <v>250</v>
      </c>
      <c r="K3791">
        <v>4.5</v>
      </c>
      <c r="L3791">
        <v>85.814099999999996</v>
      </c>
      <c r="M3791">
        <v>13.675000000000001</v>
      </c>
      <c r="N3791">
        <v>0.27</v>
      </c>
      <c r="O3791">
        <v>1.22</v>
      </c>
      <c r="P3791">
        <v>0.2</v>
      </c>
      <c r="Q3791">
        <v>1.06</v>
      </c>
      <c r="R3791">
        <v>1.53</v>
      </c>
      <c r="S3791">
        <v>0.41099999999999998</v>
      </c>
    </row>
    <row r="3792" spans="1:19" x14ac:dyDescent="0.2">
      <c r="A3792" t="s">
        <v>6677</v>
      </c>
      <c r="B3792" t="s">
        <v>6678</v>
      </c>
      <c r="C3792">
        <v>2016</v>
      </c>
      <c r="D3792">
        <v>0</v>
      </c>
      <c r="E3792" t="s">
        <v>21</v>
      </c>
      <c r="F3792" t="s">
        <v>128</v>
      </c>
      <c r="G3792" t="s">
        <v>6637</v>
      </c>
      <c r="H3792">
        <v>1</v>
      </c>
      <c r="I3792">
        <v>7.133521</v>
      </c>
      <c r="J3792">
        <v>120</v>
      </c>
      <c r="K3792">
        <v>0.5</v>
      </c>
      <c r="L3792">
        <v>130.31030000000001</v>
      </c>
      <c r="M3792">
        <v>9.7520000000000007</v>
      </c>
      <c r="N3792">
        <v>0.41</v>
      </c>
      <c r="O3792">
        <v>0.87</v>
      </c>
      <c r="P3792">
        <v>0.84</v>
      </c>
      <c r="Q3792">
        <v>0.8</v>
      </c>
      <c r="R3792">
        <v>0.74</v>
      </c>
      <c r="S3792">
        <v>2.82</v>
      </c>
    </row>
    <row r="3793" spans="1:19" x14ac:dyDescent="0.2">
      <c r="A3793" t="s">
        <v>6679</v>
      </c>
      <c r="B3793" t="s">
        <v>6680</v>
      </c>
      <c r="C3793">
        <v>2016</v>
      </c>
      <c r="D3793">
        <v>0</v>
      </c>
      <c r="E3793" t="s">
        <v>21</v>
      </c>
      <c r="F3793" t="s">
        <v>128</v>
      </c>
      <c r="G3793" t="s">
        <v>6637</v>
      </c>
      <c r="H3793">
        <v>1</v>
      </c>
      <c r="I3793">
        <v>2.1764230000000002</v>
      </c>
      <c r="J3793">
        <v>547</v>
      </c>
      <c r="K3793">
        <v>6.8</v>
      </c>
      <c r="L3793">
        <v>368.68279999999999</v>
      </c>
      <c r="M3793">
        <v>13.563000000000001</v>
      </c>
      <c r="N3793">
        <v>1.1599999999999999</v>
      </c>
      <c r="O3793">
        <v>1.21</v>
      </c>
      <c r="P3793">
        <v>0.88</v>
      </c>
      <c r="Q3793">
        <v>1.1599999999999999</v>
      </c>
      <c r="R3793">
        <v>1.44</v>
      </c>
      <c r="S3793">
        <v>0.55000000000000004</v>
      </c>
    </row>
    <row r="3794" spans="1:19" x14ac:dyDescent="0.2">
      <c r="A3794" t="s">
        <v>6681</v>
      </c>
      <c r="B3794" t="s">
        <v>6682</v>
      </c>
      <c r="C3794">
        <v>2015</v>
      </c>
      <c r="D3794">
        <v>0</v>
      </c>
      <c r="E3794" t="s">
        <v>21</v>
      </c>
      <c r="F3794" t="s">
        <v>128</v>
      </c>
      <c r="G3794" t="s">
        <v>6624</v>
      </c>
      <c r="H3794">
        <v>1</v>
      </c>
      <c r="I3794">
        <v>1.4013793999999999</v>
      </c>
      <c r="J3794">
        <v>300</v>
      </c>
      <c r="K3794">
        <v>0.6</v>
      </c>
      <c r="L3794">
        <v>603.87699999999995</v>
      </c>
      <c r="M3794">
        <v>14.571999999999999</v>
      </c>
      <c r="N3794">
        <v>1.9</v>
      </c>
      <c r="O3794">
        <v>1.3</v>
      </c>
      <c r="P3794">
        <v>1.1599999999999999</v>
      </c>
      <c r="Q3794">
        <v>0.98</v>
      </c>
      <c r="R3794">
        <v>0.96</v>
      </c>
      <c r="S3794">
        <v>1.58</v>
      </c>
    </row>
    <row r="3795" spans="1:19" x14ac:dyDescent="0.2">
      <c r="A3795" t="s">
        <v>6683</v>
      </c>
      <c r="B3795" t="s">
        <v>6684</v>
      </c>
      <c r="C3795">
        <v>2016</v>
      </c>
      <c r="D3795">
        <v>0</v>
      </c>
      <c r="E3795" t="s">
        <v>21</v>
      </c>
      <c r="F3795" t="s">
        <v>128</v>
      </c>
      <c r="G3795" t="s">
        <v>6624</v>
      </c>
      <c r="H3795">
        <v>1</v>
      </c>
      <c r="I3795">
        <v>5.215357</v>
      </c>
      <c r="J3795">
        <v>164</v>
      </c>
      <c r="K3795">
        <v>3.62</v>
      </c>
      <c r="L3795">
        <v>479.92329999999998</v>
      </c>
      <c r="M3795">
        <v>15.468</v>
      </c>
      <c r="N3795">
        <v>1.51</v>
      </c>
      <c r="O3795">
        <v>1.38</v>
      </c>
      <c r="P3795">
        <v>0.77300000000000002</v>
      </c>
      <c r="Q3795">
        <v>1.41</v>
      </c>
      <c r="R3795">
        <v>2.21</v>
      </c>
      <c r="S3795">
        <v>0.186</v>
      </c>
    </row>
    <row r="3796" spans="1:19" x14ac:dyDescent="0.2">
      <c r="A3796" t="s">
        <v>6685</v>
      </c>
      <c r="B3796" t="s">
        <v>6686</v>
      </c>
      <c r="C3796">
        <v>2016</v>
      </c>
      <c r="D3796">
        <v>0</v>
      </c>
      <c r="E3796" t="s">
        <v>21</v>
      </c>
      <c r="F3796" t="s">
        <v>128</v>
      </c>
      <c r="G3796" t="s">
        <v>6624</v>
      </c>
      <c r="H3796">
        <v>1</v>
      </c>
      <c r="I3796">
        <v>3.634433</v>
      </c>
      <c r="J3796">
        <v>308</v>
      </c>
      <c r="K3796">
        <v>3.44</v>
      </c>
      <c r="L3796">
        <v>387.75259999999997</v>
      </c>
      <c r="M3796">
        <v>12.218</v>
      </c>
      <c r="N3796">
        <v>1.22</v>
      </c>
      <c r="O3796">
        <v>1.0900000000000001</v>
      </c>
      <c r="P3796">
        <v>1.2</v>
      </c>
      <c r="Q3796">
        <v>1.22</v>
      </c>
      <c r="R3796">
        <v>1.36</v>
      </c>
      <c r="S3796">
        <v>0.68700000000000006</v>
      </c>
    </row>
    <row r="3797" spans="1:19" x14ac:dyDescent="0.2">
      <c r="A3797" t="s">
        <v>6687</v>
      </c>
      <c r="B3797" t="s">
        <v>6688</v>
      </c>
      <c r="C3797">
        <v>2016</v>
      </c>
      <c r="D3797">
        <v>0</v>
      </c>
      <c r="E3797" t="s">
        <v>21</v>
      </c>
      <c r="F3797" t="s">
        <v>128</v>
      </c>
      <c r="G3797" t="s">
        <v>6637</v>
      </c>
      <c r="H3797">
        <v>1</v>
      </c>
      <c r="I3797">
        <v>5.9242619999999997</v>
      </c>
      <c r="J3797">
        <v>230</v>
      </c>
      <c r="K3797">
        <v>0.5</v>
      </c>
      <c r="L3797">
        <v>37.186109999999999</v>
      </c>
      <c r="M3797">
        <v>8.9670000000000005</v>
      </c>
      <c r="N3797">
        <v>0.11700000000000001</v>
      </c>
      <c r="O3797">
        <v>0.8</v>
      </c>
      <c r="P3797">
        <v>0.31</v>
      </c>
      <c r="Q3797">
        <v>0.92</v>
      </c>
      <c r="R3797">
        <v>0.8</v>
      </c>
      <c r="S3797">
        <v>2.5</v>
      </c>
    </row>
    <row r="3798" spans="1:19" x14ac:dyDescent="0.2">
      <c r="A3798" t="s">
        <v>6689</v>
      </c>
      <c r="B3798" t="s">
        <v>6690</v>
      </c>
      <c r="C3798">
        <v>2008</v>
      </c>
      <c r="D3798">
        <v>0</v>
      </c>
      <c r="E3798" t="s">
        <v>21</v>
      </c>
      <c r="F3798" t="s">
        <v>128</v>
      </c>
      <c r="G3798" t="s">
        <v>6624</v>
      </c>
      <c r="H3798">
        <v>1</v>
      </c>
      <c r="I3798">
        <v>2.2437499999999999</v>
      </c>
      <c r="J3798">
        <v>160</v>
      </c>
      <c r="L3798">
        <v>2809.6172000000001</v>
      </c>
      <c r="M3798">
        <v>15.468</v>
      </c>
      <c r="N3798">
        <v>8.84</v>
      </c>
      <c r="O3798">
        <v>1.38</v>
      </c>
      <c r="Q3798">
        <v>1.62</v>
      </c>
      <c r="R3798">
        <v>1.4</v>
      </c>
      <c r="S3798">
        <v>0.83</v>
      </c>
    </row>
    <row r="3799" spans="1:19" x14ac:dyDescent="0.2">
      <c r="A3799" t="s">
        <v>6691</v>
      </c>
      <c r="B3799" t="s">
        <v>6692</v>
      </c>
      <c r="C3799">
        <v>2016</v>
      </c>
      <c r="D3799">
        <v>0</v>
      </c>
      <c r="E3799" t="s">
        <v>21</v>
      </c>
      <c r="F3799" t="s">
        <v>128</v>
      </c>
      <c r="G3799" t="s">
        <v>6637</v>
      </c>
      <c r="H3799">
        <v>1</v>
      </c>
      <c r="I3799">
        <v>2.2359835000000001</v>
      </c>
      <c r="J3799">
        <v>180</v>
      </c>
      <c r="K3799">
        <v>0.5</v>
      </c>
      <c r="L3799">
        <v>775.50519999999995</v>
      </c>
      <c r="M3799">
        <v>16.140999999999998</v>
      </c>
      <c r="N3799">
        <v>2.44</v>
      </c>
      <c r="O3799">
        <v>1.44</v>
      </c>
      <c r="P3799">
        <v>1.1000000000000001</v>
      </c>
      <c r="Q3799">
        <v>0.9</v>
      </c>
      <c r="R3799">
        <v>0.87</v>
      </c>
      <c r="S3799">
        <v>1.94</v>
      </c>
    </row>
    <row r="3800" spans="1:19" x14ac:dyDescent="0.2">
      <c r="A3800" t="s">
        <v>6693</v>
      </c>
      <c r="B3800" t="s">
        <v>6694</v>
      </c>
      <c r="C3800">
        <v>2016</v>
      </c>
      <c r="D3800">
        <v>0</v>
      </c>
      <c r="E3800" t="s">
        <v>21</v>
      </c>
      <c r="F3800" t="s">
        <v>128</v>
      </c>
      <c r="G3800" t="s">
        <v>6637</v>
      </c>
      <c r="H3800">
        <v>1</v>
      </c>
      <c r="I3800">
        <v>3.310651</v>
      </c>
      <c r="J3800">
        <v>570</v>
      </c>
      <c r="K3800">
        <v>5</v>
      </c>
      <c r="L3800">
        <v>854.96270000000004</v>
      </c>
      <c r="M3800">
        <v>13.563000000000001</v>
      </c>
      <c r="N3800">
        <v>2.69</v>
      </c>
      <c r="O3800">
        <v>1.21</v>
      </c>
      <c r="P3800">
        <v>1.98</v>
      </c>
      <c r="Q3800">
        <v>1.25</v>
      </c>
      <c r="R3800">
        <v>1.37</v>
      </c>
      <c r="S3800">
        <v>0.69</v>
      </c>
    </row>
    <row r="3801" spans="1:19" x14ac:dyDescent="0.2">
      <c r="A3801" t="s">
        <v>6695</v>
      </c>
      <c r="B3801" t="s">
        <v>6696</v>
      </c>
      <c r="C3801">
        <v>2016</v>
      </c>
      <c r="D3801">
        <v>0</v>
      </c>
      <c r="E3801" t="s">
        <v>21</v>
      </c>
      <c r="F3801" t="s">
        <v>128</v>
      </c>
      <c r="G3801" t="s">
        <v>6637</v>
      </c>
      <c r="H3801">
        <v>1</v>
      </c>
      <c r="I3801">
        <v>2.0528680000000001</v>
      </c>
      <c r="J3801">
        <v>840</v>
      </c>
      <c r="K3801">
        <v>2</v>
      </c>
      <c r="L3801">
        <v>266.97719999999998</v>
      </c>
      <c r="M3801">
        <v>17.149999999999999</v>
      </c>
      <c r="N3801">
        <v>0.84</v>
      </c>
      <c r="O3801">
        <v>1.53</v>
      </c>
      <c r="P3801">
        <v>0.31</v>
      </c>
      <c r="Q3801">
        <v>1.33</v>
      </c>
      <c r="R3801">
        <v>1.64</v>
      </c>
      <c r="S3801">
        <v>0.42</v>
      </c>
    </row>
    <row r="3802" spans="1:19" x14ac:dyDescent="0.2">
      <c r="A3802" t="s">
        <v>6697</v>
      </c>
      <c r="B3802" t="s">
        <v>6698</v>
      </c>
      <c r="C3802">
        <v>2018</v>
      </c>
      <c r="D3802">
        <v>0</v>
      </c>
      <c r="E3802" t="s">
        <v>21</v>
      </c>
      <c r="F3802" t="s">
        <v>128</v>
      </c>
      <c r="G3802" t="s">
        <v>6637</v>
      </c>
      <c r="H3802">
        <v>1</v>
      </c>
      <c r="I3802">
        <v>2.2783152000000002</v>
      </c>
      <c r="J3802">
        <v>358.72</v>
      </c>
      <c r="K3802">
        <v>8.7100000000000009</v>
      </c>
      <c r="L3802">
        <v>139.84520000000001</v>
      </c>
      <c r="M3802">
        <v>9.5280000000000005</v>
      </c>
      <c r="N3802">
        <v>0.44</v>
      </c>
      <c r="O3802">
        <v>0.85</v>
      </c>
      <c r="P3802">
        <v>0.95</v>
      </c>
      <c r="Q3802">
        <v>0.81</v>
      </c>
      <c r="R3802">
        <v>0.81</v>
      </c>
      <c r="S3802">
        <v>2.17</v>
      </c>
    </row>
    <row r="3803" spans="1:19" x14ac:dyDescent="0.2">
      <c r="A3803" t="s">
        <v>6699</v>
      </c>
      <c r="B3803" t="s">
        <v>6700</v>
      </c>
      <c r="C3803">
        <v>2018</v>
      </c>
      <c r="D3803">
        <v>0</v>
      </c>
      <c r="E3803" t="s">
        <v>21</v>
      </c>
      <c r="F3803" t="s">
        <v>128</v>
      </c>
      <c r="G3803" t="s">
        <v>6637</v>
      </c>
      <c r="H3803">
        <v>1</v>
      </c>
      <c r="I3803">
        <v>1.7690380999999999</v>
      </c>
      <c r="J3803">
        <v>91.54</v>
      </c>
      <c r="K3803">
        <v>6.99</v>
      </c>
      <c r="L3803">
        <v>282.86869999999999</v>
      </c>
      <c r="M3803">
        <v>10.087999999999999</v>
      </c>
      <c r="N3803">
        <v>0.89</v>
      </c>
      <c r="O3803">
        <v>0.9</v>
      </c>
      <c r="P3803">
        <v>1.6</v>
      </c>
      <c r="Q3803">
        <v>0.76</v>
      </c>
      <c r="R3803">
        <v>0.68</v>
      </c>
      <c r="S3803">
        <v>3.36</v>
      </c>
    </row>
    <row r="3804" spans="1:19" x14ac:dyDescent="0.2">
      <c r="A3804" t="s">
        <v>6701</v>
      </c>
      <c r="B3804" t="s">
        <v>6702</v>
      </c>
      <c r="C3804">
        <v>2018</v>
      </c>
      <c r="D3804">
        <v>0</v>
      </c>
      <c r="E3804" t="s">
        <v>21</v>
      </c>
      <c r="F3804" t="s">
        <v>128</v>
      </c>
      <c r="G3804" t="s">
        <v>6637</v>
      </c>
      <c r="H3804">
        <v>1</v>
      </c>
      <c r="I3804">
        <v>4.6027300000000002</v>
      </c>
      <c r="J3804">
        <v>426</v>
      </c>
      <c r="K3804">
        <v>8.4700000000000006</v>
      </c>
      <c r="L3804">
        <v>87.40325</v>
      </c>
      <c r="M3804">
        <v>12.497999999999999</v>
      </c>
      <c r="N3804">
        <v>0.27500000000000002</v>
      </c>
      <c r="O3804">
        <v>1.115</v>
      </c>
      <c r="P3804">
        <v>0.26300000000000001</v>
      </c>
      <c r="Q3804">
        <v>1.04</v>
      </c>
      <c r="R3804">
        <v>1.43</v>
      </c>
      <c r="S3804">
        <v>0.50900000000000001</v>
      </c>
    </row>
    <row r="3805" spans="1:19" x14ac:dyDescent="0.2">
      <c r="A3805" t="s">
        <v>6703</v>
      </c>
      <c r="B3805" t="s">
        <v>6704</v>
      </c>
      <c r="C3805">
        <v>2009</v>
      </c>
      <c r="D3805">
        <v>0</v>
      </c>
      <c r="E3805" t="s">
        <v>21</v>
      </c>
      <c r="F3805" t="s">
        <v>128</v>
      </c>
      <c r="G3805" t="s">
        <v>6624</v>
      </c>
      <c r="H3805">
        <v>1</v>
      </c>
      <c r="I3805">
        <v>3.7521</v>
      </c>
      <c r="J3805">
        <v>284.35000000000002</v>
      </c>
      <c r="L3805">
        <v>171.62819999999999</v>
      </c>
      <c r="M3805">
        <v>15.805</v>
      </c>
      <c r="N3805">
        <v>0.54</v>
      </c>
      <c r="O3805">
        <v>1.41</v>
      </c>
      <c r="Q3805">
        <v>1.18</v>
      </c>
      <c r="R3805">
        <v>1.48</v>
      </c>
      <c r="S3805">
        <v>0.52</v>
      </c>
    </row>
    <row r="3806" spans="1:19" x14ac:dyDescent="0.2">
      <c r="A3806" t="s">
        <v>6705</v>
      </c>
      <c r="B3806" t="s">
        <v>6706</v>
      </c>
      <c r="C3806">
        <v>2017</v>
      </c>
      <c r="D3806">
        <v>0</v>
      </c>
      <c r="E3806" t="s">
        <v>21</v>
      </c>
      <c r="F3806" t="s">
        <v>128</v>
      </c>
      <c r="G3806" t="s">
        <v>6637</v>
      </c>
      <c r="H3806">
        <v>1</v>
      </c>
      <c r="I3806">
        <v>4.5334709999999996</v>
      </c>
      <c r="J3806">
        <v>458.91</v>
      </c>
      <c r="K3806">
        <v>5.0999999999999996</v>
      </c>
      <c r="L3806">
        <v>98.527299999999997</v>
      </c>
      <c r="M3806">
        <v>12.666</v>
      </c>
      <c r="N3806">
        <v>0.31</v>
      </c>
      <c r="O3806">
        <v>1.1299999999999999</v>
      </c>
      <c r="P3806">
        <v>0.28999999999999998</v>
      </c>
      <c r="Q3806">
        <v>1.08</v>
      </c>
      <c r="R3806">
        <v>1.1399999999999999</v>
      </c>
      <c r="S3806">
        <v>1.02</v>
      </c>
    </row>
    <row r="3807" spans="1:19" x14ac:dyDescent="0.2">
      <c r="A3807" t="s">
        <v>6707</v>
      </c>
      <c r="B3807" t="s">
        <v>6708</v>
      </c>
      <c r="C3807">
        <v>2017</v>
      </c>
      <c r="D3807">
        <v>0</v>
      </c>
      <c r="E3807" t="s">
        <v>21</v>
      </c>
      <c r="F3807" t="s">
        <v>128</v>
      </c>
      <c r="G3807" t="s">
        <v>6624</v>
      </c>
      <c r="H3807">
        <v>1</v>
      </c>
      <c r="I3807">
        <v>3.3326090000000002</v>
      </c>
      <c r="J3807">
        <v>430</v>
      </c>
      <c r="K3807">
        <v>4</v>
      </c>
      <c r="L3807">
        <v>123.9537</v>
      </c>
      <c r="M3807">
        <v>17.373999999999999</v>
      </c>
      <c r="N3807">
        <v>0.39</v>
      </c>
      <c r="O3807">
        <v>1.55</v>
      </c>
      <c r="P3807">
        <v>0.15</v>
      </c>
      <c r="Q3807">
        <v>1.34</v>
      </c>
      <c r="R3807">
        <v>1.73</v>
      </c>
      <c r="S3807">
        <v>0.37</v>
      </c>
    </row>
    <row r="3808" spans="1:19" x14ac:dyDescent="0.2">
      <c r="A3808" t="s">
        <v>6709</v>
      </c>
      <c r="B3808" t="s">
        <v>6710</v>
      </c>
      <c r="C3808">
        <v>2017</v>
      </c>
      <c r="D3808">
        <v>0</v>
      </c>
      <c r="E3808" t="s">
        <v>21</v>
      </c>
      <c r="F3808" t="s">
        <v>128</v>
      </c>
      <c r="G3808" t="s">
        <v>6624</v>
      </c>
      <c r="H3808">
        <v>1</v>
      </c>
      <c r="I3808">
        <v>3.8361689999999999</v>
      </c>
      <c r="J3808">
        <v>140</v>
      </c>
      <c r="K3808">
        <v>6.4</v>
      </c>
      <c r="L3808">
        <v>40.68224</v>
      </c>
      <c r="M3808">
        <v>5.7169999999999996</v>
      </c>
      <c r="N3808">
        <v>0.128</v>
      </c>
      <c r="O3808">
        <v>0.51</v>
      </c>
      <c r="P3808">
        <v>1.3</v>
      </c>
      <c r="Q3808">
        <v>0.84</v>
      </c>
      <c r="R3808">
        <v>0.76</v>
      </c>
      <c r="S3808">
        <v>2.68</v>
      </c>
    </row>
    <row r="3809" spans="1:19" x14ac:dyDescent="0.2">
      <c r="A3809" t="s">
        <v>6711</v>
      </c>
      <c r="B3809" t="s">
        <v>6712</v>
      </c>
      <c r="C3809">
        <v>2016</v>
      </c>
      <c r="D3809">
        <v>0</v>
      </c>
      <c r="E3809" t="s">
        <v>21</v>
      </c>
      <c r="F3809" t="s">
        <v>128</v>
      </c>
      <c r="G3809" t="s">
        <v>6624</v>
      </c>
      <c r="H3809">
        <v>1</v>
      </c>
      <c r="I3809">
        <v>3.9516230000000001</v>
      </c>
      <c r="J3809">
        <v>337.71</v>
      </c>
      <c r="M3809">
        <v>11.19</v>
      </c>
      <c r="O3809">
        <v>0.998</v>
      </c>
      <c r="Q3809">
        <v>1.06</v>
      </c>
      <c r="R3809">
        <v>1.1000000000000001</v>
      </c>
      <c r="S3809">
        <v>1.4</v>
      </c>
    </row>
    <row r="3810" spans="1:19" x14ac:dyDescent="0.2">
      <c r="A3810" t="s">
        <v>6713</v>
      </c>
      <c r="B3810" t="s">
        <v>6714</v>
      </c>
      <c r="C3810">
        <v>2018</v>
      </c>
      <c r="D3810">
        <v>0</v>
      </c>
      <c r="E3810" t="s">
        <v>21</v>
      </c>
      <c r="F3810" t="s">
        <v>128</v>
      </c>
      <c r="G3810" t="s">
        <v>6637</v>
      </c>
      <c r="H3810">
        <v>1</v>
      </c>
      <c r="I3810">
        <v>3.6563330000000001</v>
      </c>
      <c r="J3810">
        <v>532.91999999999996</v>
      </c>
      <c r="K3810">
        <v>1.93</v>
      </c>
      <c r="L3810">
        <v>886.74570000000006</v>
      </c>
      <c r="M3810">
        <v>11.994</v>
      </c>
      <c r="N3810">
        <v>2.79</v>
      </c>
      <c r="O3810">
        <v>1.07</v>
      </c>
      <c r="P3810">
        <v>3.1</v>
      </c>
      <c r="Q3810">
        <v>1.38</v>
      </c>
      <c r="R3810">
        <v>1.39</v>
      </c>
      <c r="S3810">
        <v>0.75</v>
      </c>
    </row>
    <row r="3811" spans="1:19" x14ac:dyDescent="0.2">
      <c r="A3811" t="s">
        <v>6715</v>
      </c>
      <c r="B3811" t="s">
        <v>6716</v>
      </c>
      <c r="C3811">
        <v>2018</v>
      </c>
      <c r="D3811">
        <v>0</v>
      </c>
      <c r="E3811" t="s">
        <v>21</v>
      </c>
      <c r="F3811" t="s">
        <v>128</v>
      </c>
      <c r="G3811" t="s">
        <v>6637</v>
      </c>
      <c r="H3811">
        <v>1</v>
      </c>
      <c r="I3811">
        <v>3.840401</v>
      </c>
      <c r="J3811">
        <v>730.5</v>
      </c>
      <c r="K3811">
        <v>3.4</v>
      </c>
      <c r="L3811">
        <v>174.8065</v>
      </c>
      <c r="M3811">
        <v>15.468</v>
      </c>
      <c r="N3811">
        <v>0.55000000000000004</v>
      </c>
      <c r="O3811">
        <v>1.38</v>
      </c>
      <c r="P3811">
        <v>0.28000000000000003</v>
      </c>
      <c r="Q3811">
        <v>1.41</v>
      </c>
      <c r="R3811">
        <v>2.11</v>
      </c>
      <c r="S3811">
        <v>0.21</v>
      </c>
    </row>
    <row r="3812" spans="1:19" x14ac:dyDescent="0.2">
      <c r="A3812" t="s">
        <v>6717</v>
      </c>
      <c r="B3812" t="s">
        <v>6718</v>
      </c>
      <c r="C3812">
        <v>2009</v>
      </c>
      <c r="D3812">
        <v>0</v>
      </c>
      <c r="E3812" t="s">
        <v>21</v>
      </c>
      <c r="F3812" t="s">
        <v>128</v>
      </c>
      <c r="G3812" t="s">
        <v>6624</v>
      </c>
      <c r="H3812">
        <v>1</v>
      </c>
      <c r="I3812">
        <v>3.1185999999999998</v>
      </c>
      <c r="J3812">
        <v>195.2</v>
      </c>
      <c r="L3812">
        <v>394.10919999999999</v>
      </c>
      <c r="M3812">
        <v>13.675000000000001</v>
      </c>
      <c r="N3812">
        <v>1.24</v>
      </c>
      <c r="O3812">
        <v>1.22</v>
      </c>
      <c r="Q3812">
        <v>1.78</v>
      </c>
      <c r="R3812">
        <v>1.1399999999999999</v>
      </c>
      <c r="S3812">
        <v>1.68</v>
      </c>
    </row>
    <row r="3813" spans="1:19" x14ac:dyDescent="0.2">
      <c r="A3813" t="s">
        <v>6719</v>
      </c>
      <c r="B3813" t="s">
        <v>6720</v>
      </c>
      <c r="C3813">
        <v>2018</v>
      </c>
      <c r="D3813">
        <v>0</v>
      </c>
      <c r="E3813" t="s">
        <v>21</v>
      </c>
      <c r="F3813" t="s">
        <v>128</v>
      </c>
      <c r="G3813" t="s">
        <v>6637</v>
      </c>
      <c r="H3813">
        <v>1</v>
      </c>
      <c r="I3813">
        <v>3.7684951999999998</v>
      </c>
      <c r="J3813">
        <v>284</v>
      </c>
      <c r="K3813">
        <v>9.75</v>
      </c>
      <c r="L3813">
        <v>88.356740000000002</v>
      </c>
      <c r="M3813">
        <v>12.218</v>
      </c>
      <c r="N3813">
        <v>0.27800000000000002</v>
      </c>
      <c r="O3813">
        <v>1.0900000000000001</v>
      </c>
      <c r="P3813">
        <v>0.28399999999999997</v>
      </c>
      <c r="Q3813">
        <v>0.87</v>
      </c>
      <c r="R3813">
        <v>0.87</v>
      </c>
      <c r="S3813">
        <v>1.89</v>
      </c>
    </row>
    <row r="3814" spans="1:19" x14ac:dyDescent="0.2">
      <c r="A3814" t="s">
        <v>6721</v>
      </c>
      <c r="B3814" t="s">
        <v>6722</v>
      </c>
      <c r="C3814">
        <v>2018</v>
      </c>
      <c r="D3814">
        <v>0</v>
      </c>
      <c r="E3814" t="s">
        <v>21</v>
      </c>
      <c r="F3814" t="s">
        <v>128</v>
      </c>
      <c r="G3814" t="s">
        <v>6637</v>
      </c>
      <c r="H3814">
        <v>1</v>
      </c>
      <c r="I3814">
        <v>5.4060424999999999</v>
      </c>
      <c r="J3814">
        <v>346.46</v>
      </c>
      <c r="L3814">
        <v>791.39670000000001</v>
      </c>
      <c r="M3814">
        <v>12.811999999999999</v>
      </c>
      <c r="N3814">
        <v>2.4900000000000002</v>
      </c>
      <c r="O3814">
        <v>1.143</v>
      </c>
      <c r="P3814">
        <v>2.2000000000000002</v>
      </c>
      <c r="Q3814">
        <v>1.39</v>
      </c>
      <c r="R3814">
        <v>1.71</v>
      </c>
      <c r="S3814">
        <v>0.39800000000000002</v>
      </c>
    </row>
    <row r="3815" spans="1:19" x14ac:dyDescent="0.2">
      <c r="A3815" t="s">
        <v>6723</v>
      </c>
      <c r="B3815" t="s">
        <v>6724</v>
      </c>
      <c r="C3815">
        <v>2018</v>
      </c>
      <c r="D3815">
        <v>0</v>
      </c>
      <c r="E3815" t="s">
        <v>21</v>
      </c>
      <c r="F3815" t="s">
        <v>128</v>
      </c>
      <c r="G3815" t="s">
        <v>6637</v>
      </c>
      <c r="H3815">
        <v>1</v>
      </c>
      <c r="I3815">
        <v>9.6246799999999997</v>
      </c>
      <c r="J3815">
        <v>313.60000000000002</v>
      </c>
      <c r="K3815">
        <v>12.97</v>
      </c>
      <c r="L3815">
        <v>1652.7159999999999</v>
      </c>
      <c r="M3815">
        <v>11.209</v>
      </c>
      <c r="N3815">
        <v>5.2</v>
      </c>
      <c r="O3815">
        <v>1</v>
      </c>
      <c r="P3815">
        <v>6.9</v>
      </c>
      <c r="Q3815">
        <v>0.95</v>
      </c>
      <c r="R3815">
        <v>1.1100000000000001</v>
      </c>
      <c r="S3815">
        <v>1</v>
      </c>
    </row>
    <row r="3816" spans="1:19" x14ac:dyDescent="0.2">
      <c r="A3816" t="s">
        <v>6725</v>
      </c>
      <c r="B3816" t="s">
        <v>6726</v>
      </c>
      <c r="C3816">
        <v>2018</v>
      </c>
      <c r="D3816">
        <v>0</v>
      </c>
      <c r="E3816" t="s">
        <v>21</v>
      </c>
      <c r="F3816" t="s">
        <v>128</v>
      </c>
      <c r="G3816" t="s">
        <v>6637</v>
      </c>
      <c r="H3816">
        <v>1</v>
      </c>
      <c r="I3816">
        <v>1.6096884</v>
      </c>
      <c r="J3816">
        <v>263.29000000000002</v>
      </c>
      <c r="L3816">
        <v>594.34209999999996</v>
      </c>
      <c r="M3816">
        <v>13.473000000000001</v>
      </c>
      <c r="N3816">
        <v>1.87</v>
      </c>
      <c r="O3816">
        <v>1.202</v>
      </c>
      <c r="P3816">
        <v>1.42</v>
      </c>
      <c r="Q3816">
        <v>0.97</v>
      </c>
      <c r="R3816">
        <v>1.01</v>
      </c>
      <c r="S3816">
        <v>1.3</v>
      </c>
    </row>
    <row r="3817" spans="1:19" x14ac:dyDescent="0.2">
      <c r="A3817" t="s">
        <v>6727</v>
      </c>
      <c r="B3817" t="s">
        <v>6728</v>
      </c>
      <c r="C3817">
        <v>2018</v>
      </c>
      <c r="D3817">
        <v>0</v>
      </c>
      <c r="E3817" t="s">
        <v>21</v>
      </c>
      <c r="F3817" t="s">
        <v>128</v>
      </c>
      <c r="G3817" t="s">
        <v>6637</v>
      </c>
      <c r="H3817">
        <v>1</v>
      </c>
      <c r="I3817">
        <v>1.7771254999999999</v>
      </c>
      <c r="J3817">
        <v>322</v>
      </c>
      <c r="K3817">
        <v>4.08</v>
      </c>
      <c r="L3817">
        <v>676.97789999999998</v>
      </c>
      <c r="M3817">
        <v>12.644</v>
      </c>
      <c r="N3817">
        <v>2.13</v>
      </c>
      <c r="O3817">
        <v>1.1279999999999999</v>
      </c>
      <c r="P3817">
        <v>1.96</v>
      </c>
      <c r="Q3817">
        <v>0.95</v>
      </c>
      <c r="R3817">
        <v>0.93</v>
      </c>
      <c r="S3817">
        <v>1.6419999999999999</v>
      </c>
    </row>
    <row r="3818" spans="1:19" x14ac:dyDescent="0.2">
      <c r="A3818" t="s">
        <v>6729</v>
      </c>
      <c r="B3818" t="s">
        <v>6730</v>
      </c>
      <c r="C3818">
        <v>2018</v>
      </c>
      <c r="D3818">
        <v>0</v>
      </c>
      <c r="E3818" t="s">
        <v>21</v>
      </c>
      <c r="F3818" t="s">
        <v>128</v>
      </c>
      <c r="G3818" t="s">
        <v>6637</v>
      </c>
      <c r="H3818">
        <v>1</v>
      </c>
      <c r="I3818">
        <v>3.465509</v>
      </c>
      <c r="J3818">
        <v>583</v>
      </c>
      <c r="K3818">
        <v>4.7699999999999996</v>
      </c>
      <c r="L3818">
        <v>209.13213999999999</v>
      </c>
      <c r="M3818">
        <v>14.122999999999999</v>
      </c>
      <c r="N3818">
        <v>0.65800000000000003</v>
      </c>
      <c r="O3818">
        <v>1.26</v>
      </c>
      <c r="P3818">
        <v>0.44</v>
      </c>
      <c r="Q3818">
        <v>1.25</v>
      </c>
      <c r="R3818">
        <v>1.75</v>
      </c>
      <c r="S3818">
        <v>0.32800000000000001</v>
      </c>
    </row>
    <row r="3819" spans="1:19" x14ac:dyDescent="0.2">
      <c r="A3819" t="s">
        <v>6731</v>
      </c>
      <c r="B3819" t="s">
        <v>6732</v>
      </c>
      <c r="C3819">
        <v>2017</v>
      </c>
      <c r="D3819">
        <v>0</v>
      </c>
      <c r="E3819" t="s">
        <v>21</v>
      </c>
      <c r="F3819" t="s">
        <v>128</v>
      </c>
      <c r="G3819" t="s">
        <v>35</v>
      </c>
      <c r="H3819">
        <v>1</v>
      </c>
      <c r="I3819">
        <v>2.0219596000000002</v>
      </c>
      <c r="J3819">
        <v>381</v>
      </c>
      <c r="K3819">
        <v>1.29</v>
      </c>
      <c r="L3819">
        <v>2542.64</v>
      </c>
      <c r="M3819">
        <v>17.71</v>
      </c>
      <c r="N3819">
        <v>8</v>
      </c>
      <c r="O3819">
        <v>1.58</v>
      </c>
      <c r="Q3819">
        <v>1.59</v>
      </c>
      <c r="R3819">
        <v>1.79</v>
      </c>
      <c r="S3819">
        <v>0.39</v>
      </c>
    </row>
    <row r="3820" spans="1:19" x14ac:dyDescent="0.2">
      <c r="A3820" t="s">
        <v>6733</v>
      </c>
      <c r="B3820" t="s">
        <v>6734</v>
      </c>
      <c r="C3820">
        <v>2018</v>
      </c>
      <c r="D3820">
        <v>0</v>
      </c>
      <c r="E3820" t="s">
        <v>21</v>
      </c>
      <c r="F3820" t="s">
        <v>128</v>
      </c>
      <c r="G3820" t="s">
        <v>6637</v>
      </c>
      <c r="H3820">
        <v>1</v>
      </c>
      <c r="I3820">
        <v>4.1536580000000001</v>
      </c>
      <c r="J3820">
        <v>306.63</v>
      </c>
      <c r="K3820">
        <v>3.96</v>
      </c>
      <c r="L3820">
        <v>133.48859999999999</v>
      </c>
      <c r="M3820">
        <v>16.814</v>
      </c>
      <c r="N3820">
        <v>0.42</v>
      </c>
      <c r="O3820">
        <v>1.5</v>
      </c>
      <c r="P3820">
        <v>0.16</v>
      </c>
      <c r="Q3820">
        <v>1.08</v>
      </c>
      <c r="R3820">
        <v>1.1200000000000001</v>
      </c>
      <c r="S3820">
        <v>1.1000000000000001</v>
      </c>
    </row>
    <row r="3821" spans="1:19" x14ac:dyDescent="0.2">
      <c r="A3821" t="s">
        <v>6735</v>
      </c>
      <c r="B3821" t="s">
        <v>6736</v>
      </c>
      <c r="C3821">
        <v>2009</v>
      </c>
      <c r="D3821">
        <v>0</v>
      </c>
      <c r="E3821" t="s">
        <v>21</v>
      </c>
      <c r="F3821" t="s">
        <v>128</v>
      </c>
      <c r="G3821" t="s">
        <v>6624</v>
      </c>
      <c r="H3821">
        <v>1</v>
      </c>
      <c r="I3821">
        <v>3.73543</v>
      </c>
      <c r="J3821">
        <v>400</v>
      </c>
      <c r="L3821">
        <v>247.9074</v>
      </c>
      <c r="M3821">
        <v>20.960999999999999</v>
      </c>
      <c r="N3821">
        <v>0.78</v>
      </c>
      <c r="O3821">
        <v>1.87</v>
      </c>
      <c r="Q3821">
        <v>2.2799999999999998</v>
      </c>
      <c r="R3821">
        <v>1.49</v>
      </c>
      <c r="S3821">
        <v>0.98</v>
      </c>
    </row>
    <row r="3822" spans="1:19" x14ac:dyDescent="0.2">
      <c r="A3822" t="s">
        <v>6737</v>
      </c>
      <c r="B3822" t="s">
        <v>6738</v>
      </c>
      <c r="C3822">
        <v>2018</v>
      </c>
      <c r="D3822">
        <v>0</v>
      </c>
      <c r="E3822" t="s">
        <v>21</v>
      </c>
      <c r="F3822" t="s">
        <v>128</v>
      </c>
      <c r="G3822" t="s">
        <v>6637</v>
      </c>
      <c r="H3822">
        <v>1</v>
      </c>
      <c r="I3822">
        <v>2.3447802200000001</v>
      </c>
      <c r="J3822">
        <v>308.27</v>
      </c>
      <c r="L3822">
        <v>508.52800000000002</v>
      </c>
      <c r="M3822">
        <v>12.285</v>
      </c>
      <c r="N3822">
        <v>1.6</v>
      </c>
      <c r="O3822">
        <v>1.0960000000000001</v>
      </c>
      <c r="P3822">
        <v>1.6</v>
      </c>
      <c r="Q3822">
        <v>0.93</v>
      </c>
      <c r="R3822">
        <v>0.94</v>
      </c>
      <c r="S3822">
        <v>1.58</v>
      </c>
    </row>
    <row r="3823" spans="1:19" x14ac:dyDescent="0.2">
      <c r="A3823" t="s">
        <v>6739</v>
      </c>
      <c r="B3823" t="s">
        <v>6740</v>
      </c>
      <c r="C3823">
        <v>2018</v>
      </c>
      <c r="D3823">
        <v>0</v>
      </c>
      <c r="E3823" t="s">
        <v>21</v>
      </c>
      <c r="F3823" t="s">
        <v>128</v>
      </c>
      <c r="G3823" t="s">
        <v>6637</v>
      </c>
      <c r="H3823">
        <v>1</v>
      </c>
      <c r="I3823">
        <v>5.4774330000000004</v>
      </c>
      <c r="J3823">
        <v>546.02</v>
      </c>
      <c r="K3823">
        <v>1.79</v>
      </c>
      <c r="L3823">
        <v>149.3801</v>
      </c>
      <c r="M3823">
        <v>17.597999999999999</v>
      </c>
      <c r="N3823">
        <v>0.47</v>
      </c>
      <c r="O3823">
        <v>1.57</v>
      </c>
      <c r="P3823">
        <v>0.16</v>
      </c>
      <c r="Q3823">
        <v>1.49</v>
      </c>
      <c r="R3823">
        <v>1.91</v>
      </c>
      <c r="S3823">
        <v>0.3</v>
      </c>
    </row>
    <row r="3824" spans="1:19" x14ac:dyDescent="0.2">
      <c r="A3824" t="s">
        <v>6741</v>
      </c>
      <c r="B3824" t="s">
        <v>6742</v>
      </c>
      <c r="C3824">
        <v>2018</v>
      </c>
      <c r="D3824">
        <v>0</v>
      </c>
      <c r="E3824" t="s">
        <v>21</v>
      </c>
      <c r="F3824" t="s">
        <v>128</v>
      </c>
      <c r="G3824" t="s">
        <v>6637</v>
      </c>
      <c r="H3824">
        <v>1</v>
      </c>
      <c r="I3824">
        <v>1.3866531799999999</v>
      </c>
      <c r="J3824">
        <v>234.54</v>
      </c>
      <c r="K3824">
        <v>6.78</v>
      </c>
      <c r="L3824">
        <v>1172.7927</v>
      </c>
      <c r="M3824">
        <v>13.451000000000001</v>
      </c>
      <c r="N3824">
        <v>3.69</v>
      </c>
      <c r="O3824">
        <v>1.2</v>
      </c>
      <c r="P3824">
        <v>2.84</v>
      </c>
      <c r="Q3824">
        <v>1.05</v>
      </c>
      <c r="R3824">
        <v>1.1100000000000001</v>
      </c>
      <c r="S3824">
        <v>1.1000000000000001</v>
      </c>
    </row>
    <row r="3825" spans="1:19" x14ac:dyDescent="0.2">
      <c r="A3825" t="s">
        <v>6743</v>
      </c>
      <c r="B3825" t="s">
        <v>6744</v>
      </c>
      <c r="C3825">
        <v>2018</v>
      </c>
      <c r="D3825">
        <v>0</v>
      </c>
      <c r="E3825" t="s">
        <v>21</v>
      </c>
      <c r="F3825" t="s">
        <v>128</v>
      </c>
      <c r="G3825" t="s">
        <v>6637</v>
      </c>
      <c r="H3825">
        <v>1</v>
      </c>
      <c r="I3825">
        <v>4.2336999999999998</v>
      </c>
      <c r="J3825">
        <v>414.69</v>
      </c>
      <c r="K3825">
        <v>1.65</v>
      </c>
      <c r="L3825">
        <v>413.17899999999997</v>
      </c>
      <c r="M3825">
        <v>14.571999999999999</v>
      </c>
      <c r="N3825">
        <v>1.3</v>
      </c>
      <c r="O3825">
        <v>1.3</v>
      </c>
      <c r="Q3825">
        <v>1.3</v>
      </c>
      <c r="R3825">
        <v>1.31</v>
      </c>
      <c r="S3825">
        <v>0.8</v>
      </c>
    </row>
    <row r="3826" spans="1:19" x14ac:dyDescent="0.2">
      <c r="A3826" t="s">
        <v>6745</v>
      </c>
      <c r="B3826" t="s">
        <v>6746</v>
      </c>
      <c r="C3826">
        <v>2019</v>
      </c>
      <c r="D3826">
        <v>0</v>
      </c>
      <c r="E3826" t="s">
        <v>21</v>
      </c>
      <c r="F3826" t="s">
        <v>128</v>
      </c>
      <c r="G3826" t="s">
        <v>6624</v>
      </c>
      <c r="H3826">
        <v>1</v>
      </c>
      <c r="I3826">
        <v>3.0717219999999998</v>
      </c>
      <c r="J3826">
        <v>178</v>
      </c>
      <c r="K3826">
        <v>9.6999999999999993</v>
      </c>
      <c r="L3826">
        <v>161.45764</v>
      </c>
      <c r="M3826">
        <v>17.71</v>
      </c>
      <c r="N3826">
        <v>0.50800000000000001</v>
      </c>
      <c r="O3826">
        <v>1.58</v>
      </c>
      <c r="P3826">
        <v>0.17199999999999999</v>
      </c>
      <c r="Q3826">
        <v>0.88</v>
      </c>
      <c r="R3826">
        <v>0.89</v>
      </c>
      <c r="S3826">
        <v>1.78</v>
      </c>
    </row>
    <row r="3827" spans="1:19" x14ac:dyDescent="0.2">
      <c r="A3827" t="s">
        <v>6747</v>
      </c>
      <c r="B3827" t="s">
        <v>6748</v>
      </c>
      <c r="C3827">
        <v>2009</v>
      </c>
      <c r="D3827">
        <v>0</v>
      </c>
      <c r="E3827" t="s">
        <v>21</v>
      </c>
      <c r="F3827" t="s">
        <v>128</v>
      </c>
      <c r="G3827" t="s">
        <v>6624</v>
      </c>
      <c r="H3827">
        <v>1</v>
      </c>
      <c r="I3827">
        <v>0.94145000000000001</v>
      </c>
      <c r="J3827">
        <v>123.92</v>
      </c>
      <c r="L3827">
        <v>3635.9751999999999</v>
      </c>
      <c r="M3827">
        <v>13.451000000000001</v>
      </c>
      <c r="N3827">
        <v>11.44</v>
      </c>
      <c r="O3827">
        <v>1.2</v>
      </c>
      <c r="Q3827">
        <v>1.46</v>
      </c>
      <c r="R3827">
        <v>1.29</v>
      </c>
      <c r="S3827">
        <v>0.97</v>
      </c>
    </row>
    <row r="3828" spans="1:19" x14ac:dyDescent="0.2">
      <c r="A3828" t="s">
        <v>6749</v>
      </c>
      <c r="B3828" t="s">
        <v>6750</v>
      </c>
      <c r="C3828">
        <v>2019</v>
      </c>
      <c r="D3828">
        <v>0</v>
      </c>
      <c r="E3828" t="s">
        <v>21</v>
      </c>
      <c r="F3828" t="s">
        <v>128</v>
      </c>
      <c r="G3828" t="s">
        <v>6624</v>
      </c>
      <c r="H3828">
        <v>1</v>
      </c>
      <c r="I3828">
        <v>4.5195064</v>
      </c>
      <c r="J3828">
        <v>443</v>
      </c>
      <c r="K3828">
        <v>2.5</v>
      </c>
      <c r="L3828">
        <v>95.031170000000003</v>
      </c>
      <c r="M3828">
        <v>13.271000000000001</v>
      </c>
      <c r="N3828">
        <v>0.29899999999999999</v>
      </c>
      <c r="O3828">
        <v>1.1839999999999999</v>
      </c>
      <c r="P3828">
        <v>0.23699999999999999</v>
      </c>
      <c r="Q3828">
        <v>1.04</v>
      </c>
      <c r="R3828">
        <v>0.96</v>
      </c>
      <c r="S3828">
        <v>1.64</v>
      </c>
    </row>
    <row r="3829" spans="1:19" x14ac:dyDescent="0.2">
      <c r="A3829" t="s">
        <v>6751</v>
      </c>
      <c r="B3829" t="s">
        <v>6752</v>
      </c>
      <c r="C3829">
        <v>2019</v>
      </c>
      <c r="D3829">
        <v>0</v>
      </c>
      <c r="E3829" t="s">
        <v>21</v>
      </c>
      <c r="F3829" t="s">
        <v>128</v>
      </c>
      <c r="G3829" t="s">
        <v>6624</v>
      </c>
      <c r="H3829">
        <v>1</v>
      </c>
      <c r="I3829">
        <v>4.1117771000000003</v>
      </c>
      <c r="J3829">
        <v>328</v>
      </c>
      <c r="K3829">
        <v>14.9</v>
      </c>
      <c r="L3829">
        <v>159.55065999999999</v>
      </c>
      <c r="M3829">
        <v>16.477</v>
      </c>
      <c r="N3829">
        <v>0.502</v>
      </c>
      <c r="O3829">
        <v>1.47</v>
      </c>
      <c r="P3829">
        <v>0.21</v>
      </c>
      <c r="Q3829">
        <v>0.78</v>
      </c>
      <c r="R3829">
        <v>0.87</v>
      </c>
      <c r="S3829">
        <v>1.68</v>
      </c>
    </row>
    <row r="3830" spans="1:19" x14ac:dyDescent="0.2">
      <c r="A3830" t="s">
        <v>6753</v>
      </c>
      <c r="B3830" t="s">
        <v>6754</v>
      </c>
      <c r="C3830">
        <v>2009</v>
      </c>
      <c r="D3830">
        <v>0</v>
      </c>
      <c r="E3830" t="s">
        <v>21</v>
      </c>
      <c r="F3830" t="s">
        <v>128</v>
      </c>
      <c r="G3830" t="s">
        <v>6624</v>
      </c>
      <c r="H3830">
        <v>1</v>
      </c>
      <c r="I3830">
        <v>0.78883899000000002</v>
      </c>
      <c r="J3830">
        <v>250</v>
      </c>
      <c r="L3830">
        <v>339.76026999999999</v>
      </c>
      <c r="M3830">
        <v>15.603</v>
      </c>
      <c r="N3830">
        <v>1.069</v>
      </c>
      <c r="O3830">
        <v>1.3919999999999999</v>
      </c>
      <c r="P3830">
        <v>0.49199999999999999</v>
      </c>
      <c r="Q3830">
        <v>0.9</v>
      </c>
      <c r="R3830">
        <v>1</v>
      </c>
    </row>
    <row r="3831" spans="1:19" x14ac:dyDescent="0.2">
      <c r="A3831" t="s">
        <v>6755</v>
      </c>
      <c r="B3831" t="s">
        <v>6756</v>
      </c>
      <c r="C3831">
        <v>2019</v>
      </c>
      <c r="D3831">
        <v>0</v>
      </c>
      <c r="E3831" t="s">
        <v>21</v>
      </c>
      <c r="F3831" t="s">
        <v>128</v>
      </c>
      <c r="G3831" t="s">
        <v>6757</v>
      </c>
      <c r="H3831">
        <v>1</v>
      </c>
      <c r="I3831">
        <v>5.3677530000000004</v>
      </c>
      <c r="J3831">
        <v>550.76</v>
      </c>
      <c r="L3831">
        <v>317.83</v>
      </c>
      <c r="M3831">
        <v>12.89</v>
      </c>
      <c r="N3831">
        <v>1</v>
      </c>
      <c r="O3831">
        <v>1.1499999999999999</v>
      </c>
      <c r="Q3831">
        <v>1.35</v>
      </c>
      <c r="R3831">
        <v>1.6</v>
      </c>
      <c r="S3831">
        <v>0.48</v>
      </c>
    </row>
    <row r="3832" spans="1:19" x14ac:dyDescent="0.2">
      <c r="A3832" t="s">
        <v>6758</v>
      </c>
      <c r="B3832" t="s">
        <v>6759</v>
      </c>
      <c r="C3832">
        <v>2007</v>
      </c>
      <c r="D3832">
        <v>0</v>
      </c>
      <c r="E3832" t="s">
        <v>21</v>
      </c>
      <c r="F3832" t="s">
        <v>128</v>
      </c>
      <c r="G3832" t="s">
        <v>6624</v>
      </c>
      <c r="H3832">
        <v>1</v>
      </c>
      <c r="I3832">
        <v>2.1522260000000002</v>
      </c>
      <c r="J3832">
        <v>166</v>
      </c>
      <c r="K3832">
        <v>5.6</v>
      </c>
      <c r="L3832">
        <v>290.80200000000002</v>
      </c>
      <c r="M3832">
        <v>12.005000000000001</v>
      </c>
      <c r="N3832">
        <v>0.91500000000000004</v>
      </c>
      <c r="O3832">
        <v>1.071</v>
      </c>
      <c r="P3832">
        <v>0.92</v>
      </c>
      <c r="Q3832">
        <v>0.89</v>
      </c>
      <c r="R3832">
        <v>0.84</v>
      </c>
      <c r="S3832">
        <v>2.0499999999999998</v>
      </c>
    </row>
    <row r="3833" spans="1:19" x14ac:dyDescent="0.2">
      <c r="A3833" t="s">
        <v>6760</v>
      </c>
      <c r="B3833" t="s">
        <v>6761</v>
      </c>
      <c r="C3833">
        <v>2015</v>
      </c>
      <c r="D3833">
        <v>0</v>
      </c>
      <c r="E3833" t="s">
        <v>21</v>
      </c>
      <c r="F3833" t="s">
        <v>128</v>
      </c>
      <c r="G3833" t="s">
        <v>6624</v>
      </c>
      <c r="H3833">
        <v>1</v>
      </c>
      <c r="I3833">
        <v>4.8996284000000001</v>
      </c>
      <c r="J3833">
        <v>210</v>
      </c>
      <c r="K3833">
        <v>7</v>
      </c>
      <c r="L3833">
        <v>98.840999999999994</v>
      </c>
      <c r="M3833">
        <v>16.388000000000002</v>
      </c>
      <c r="N3833">
        <v>0.311</v>
      </c>
      <c r="O3833">
        <v>1.462</v>
      </c>
      <c r="P3833">
        <v>0.13200000000000001</v>
      </c>
      <c r="Q3833">
        <v>1.2</v>
      </c>
      <c r="R3833">
        <v>1.39</v>
      </c>
      <c r="S3833">
        <v>0.63</v>
      </c>
    </row>
    <row r="3834" spans="1:19" x14ac:dyDescent="0.2">
      <c r="A3834" t="s">
        <v>6762</v>
      </c>
      <c r="B3834" t="s">
        <v>6763</v>
      </c>
      <c r="C3834">
        <v>2010</v>
      </c>
      <c r="D3834">
        <v>0</v>
      </c>
      <c r="E3834" t="s">
        <v>21</v>
      </c>
      <c r="F3834" t="s">
        <v>128</v>
      </c>
      <c r="G3834" t="s">
        <v>6624</v>
      </c>
      <c r="H3834">
        <v>1</v>
      </c>
      <c r="I3834">
        <v>4.3224819999999999</v>
      </c>
      <c r="J3834">
        <v>242</v>
      </c>
      <c r="K3834">
        <v>12</v>
      </c>
      <c r="L3834">
        <v>95.344999999999999</v>
      </c>
      <c r="M3834">
        <v>11.99</v>
      </c>
      <c r="N3834">
        <v>0.3</v>
      </c>
      <c r="O3834">
        <v>1.07</v>
      </c>
      <c r="P3834">
        <v>0.32</v>
      </c>
      <c r="Q3834">
        <v>0.89</v>
      </c>
      <c r="R3834">
        <v>1.1399999999999999</v>
      </c>
      <c r="S3834">
        <v>0.85499999999999998</v>
      </c>
    </row>
    <row r="3835" spans="1:19" x14ac:dyDescent="0.2">
      <c r="A3835" t="s">
        <v>6764</v>
      </c>
      <c r="B3835" t="s">
        <v>6765</v>
      </c>
      <c r="C3835">
        <v>2010</v>
      </c>
      <c r="D3835">
        <v>0</v>
      </c>
      <c r="E3835" t="s">
        <v>21</v>
      </c>
      <c r="F3835" t="s">
        <v>128</v>
      </c>
      <c r="G3835" t="s">
        <v>6624</v>
      </c>
      <c r="H3835">
        <v>1</v>
      </c>
      <c r="I3835">
        <v>3.5326900000000001</v>
      </c>
      <c r="J3835">
        <v>300</v>
      </c>
      <c r="L3835">
        <v>212.9461</v>
      </c>
      <c r="M3835">
        <v>13.787000000000001</v>
      </c>
      <c r="N3835">
        <v>0.67</v>
      </c>
      <c r="O3835">
        <v>1.23</v>
      </c>
      <c r="Q3835">
        <v>1.46</v>
      </c>
      <c r="R3835">
        <v>1.24</v>
      </c>
      <c r="S3835">
        <v>1.08</v>
      </c>
    </row>
    <row r="3836" spans="1:19" x14ac:dyDescent="0.2">
      <c r="A3836" t="s">
        <v>6766</v>
      </c>
      <c r="B3836" t="s">
        <v>6767</v>
      </c>
      <c r="C3836">
        <v>2010</v>
      </c>
      <c r="D3836">
        <v>0</v>
      </c>
      <c r="E3836" t="s">
        <v>21</v>
      </c>
      <c r="F3836" t="s">
        <v>128</v>
      </c>
      <c r="G3836" t="s">
        <v>6624</v>
      </c>
      <c r="H3836">
        <v>1</v>
      </c>
      <c r="I3836">
        <v>2.9444256000000002</v>
      </c>
      <c r="J3836">
        <v>208.74</v>
      </c>
      <c r="L3836">
        <v>280.95</v>
      </c>
      <c r="M3836">
        <v>10.782999999999999</v>
      </c>
      <c r="N3836">
        <v>0.88400000000000001</v>
      </c>
      <c r="O3836">
        <v>0.96199999999999997</v>
      </c>
      <c r="Q3836">
        <v>0.78</v>
      </c>
      <c r="R3836">
        <v>0.77</v>
      </c>
    </row>
    <row r="3837" spans="1:19" x14ac:dyDescent="0.2">
      <c r="A3837" t="s">
        <v>6768</v>
      </c>
      <c r="B3837" t="s">
        <v>6769</v>
      </c>
      <c r="C3837">
        <v>2010</v>
      </c>
      <c r="D3837">
        <v>0</v>
      </c>
      <c r="E3837" t="s">
        <v>21</v>
      </c>
      <c r="F3837" t="s">
        <v>128</v>
      </c>
      <c r="G3837" t="s">
        <v>6624</v>
      </c>
      <c r="H3837">
        <v>1</v>
      </c>
      <c r="I3837">
        <v>2.3412099999999998</v>
      </c>
      <c r="J3837">
        <v>325.05</v>
      </c>
      <c r="L3837">
        <v>394.10919999999999</v>
      </c>
      <c r="M3837">
        <v>15.468</v>
      </c>
      <c r="N3837">
        <v>1.24</v>
      </c>
      <c r="O3837">
        <v>1.38</v>
      </c>
      <c r="Q3837">
        <v>1.43</v>
      </c>
      <c r="R3837">
        <v>1.42</v>
      </c>
      <c r="S3837">
        <v>0.71</v>
      </c>
    </row>
    <row r="3838" spans="1:19" x14ac:dyDescent="0.2">
      <c r="A3838" t="s">
        <v>6770</v>
      </c>
      <c r="B3838" t="s">
        <v>6771</v>
      </c>
      <c r="C3838">
        <v>2010</v>
      </c>
      <c r="D3838">
        <v>0</v>
      </c>
      <c r="E3838" t="s">
        <v>21</v>
      </c>
      <c r="F3838" t="s">
        <v>128</v>
      </c>
      <c r="G3838" t="s">
        <v>6624</v>
      </c>
      <c r="H3838">
        <v>1</v>
      </c>
      <c r="I3838">
        <v>3.7648299999999999</v>
      </c>
      <c r="J3838">
        <v>212.7</v>
      </c>
      <c r="L3838">
        <v>139.84520000000001</v>
      </c>
      <c r="M3838">
        <v>11.994</v>
      </c>
      <c r="N3838">
        <v>0.44</v>
      </c>
      <c r="O3838">
        <v>1.07</v>
      </c>
      <c r="Q3838">
        <v>0.67</v>
      </c>
      <c r="R3838">
        <v>0.8</v>
      </c>
      <c r="S3838">
        <v>1.82</v>
      </c>
    </row>
    <row r="3839" spans="1:19" x14ac:dyDescent="0.2">
      <c r="A3839" t="s">
        <v>6772</v>
      </c>
      <c r="B3839" t="s">
        <v>6773</v>
      </c>
      <c r="C3839">
        <v>2010</v>
      </c>
      <c r="D3839">
        <v>0</v>
      </c>
      <c r="E3839" t="s">
        <v>21</v>
      </c>
      <c r="F3839" t="s">
        <v>128</v>
      </c>
      <c r="G3839" t="s">
        <v>6624</v>
      </c>
      <c r="H3839">
        <v>1</v>
      </c>
      <c r="I3839">
        <v>2.7566000000000002</v>
      </c>
      <c r="J3839">
        <v>250</v>
      </c>
      <c r="L3839">
        <v>270.15550000000002</v>
      </c>
      <c r="M3839">
        <v>13.563000000000001</v>
      </c>
      <c r="N3839">
        <v>0.85</v>
      </c>
      <c r="O3839">
        <v>1.21</v>
      </c>
      <c r="Q3839">
        <v>0.86</v>
      </c>
      <c r="R3839">
        <v>1.22</v>
      </c>
      <c r="S3839">
        <v>0.66</v>
      </c>
    </row>
    <row r="3840" spans="1:19" x14ac:dyDescent="0.2">
      <c r="A3840" t="s">
        <v>6774</v>
      </c>
      <c r="B3840" t="s">
        <v>6775</v>
      </c>
      <c r="C3840">
        <v>2014</v>
      </c>
      <c r="D3840">
        <v>0</v>
      </c>
      <c r="E3840" t="s">
        <v>21</v>
      </c>
      <c r="F3840" t="s">
        <v>128</v>
      </c>
      <c r="G3840" t="s">
        <v>6624</v>
      </c>
      <c r="H3840">
        <v>1</v>
      </c>
      <c r="I3840">
        <v>3.40883</v>
      </c>
      <c r="J3840">
        <v>410</v>
      </c>
      <c r="K3840">
        <v>5</v>
      </c>
      <c r="L3840">
        <v>288.26</v>
      </c>
      <c r="M3840">
        <v>13.597</v>
      </c>
      <c r="N3840">
        <v>0.90700000000000003</v>
      </c>
      <c r="O3840">
        <v>1.2130000000000001</v>
      </c>
      <c r="P3840">
        <v>0.67600000000000005</v>
      </c>
      <c r="Q3840">
        <v>1.02</v>
      </c>
      <c r="R3840">
        <v>1.0900000000000001</v>
      </c>
      <c r="S3840">
        <v>1.1040000000000001</v>
      </c>
    </row>
    <row r="3841" spans="1:19" x14ac:dyDescent="0.2">
      <c r="A3841" t="s">
        <v>6776</v>
      </c>
      <c r="B3841" t="s">
        <v>6777</v>
      </c>
      <c r="C3841">
        <v>2010</v>
      </c>
      <c r="D3841">
        <v>0</v>
      </c>
      <c r="E3841" t="s">
        <v>21</v>
      </c>
      <c r="F3841" t="s">
        <v>128</v>
      </c>
      <c r="G3841" t="s">
        <v>6624</v>
      </c>
      <c r="H3841">
        <v>1</v>
      </c>
      <c r="I3841">
        <v>3.9227300000000001</v>
      </c>
      <c r="J3841">
        <v>70</v>
      </c>
      <c r="L3841">
        <v>73.100899999999996</v>
      </c>
      <c r="M3841">
        <v>8.6310000000000002</v>
      </c>
      <c r="N3841">
        <v>0.23</v>
      </c>
      <c r="O3841">
        <v>0.77</v>
      </c>
      <c r="Q3841">
        <v>0.77</v>
      </c>
      <c r="R3841">
        <v>0.79</v>
      </c>
      <c r="S3841">
        <v>2.2200000000000002</v>
      </c>
    </row>
    <row r="3842" spans="1:19" x14ac:dyDescent="0.2">
      <c r="A3842" t="s">
        <v>6778</v>
      </c>
      <c r="B3842" t="s">
        <v>6779</v>
      </c>
      <c r="C3842">
        <v>2007</v>
      </c>
      <c r="D3842">
        <v>0</v>
      </c>
      <c r="E3842" t="s">
        <v>21</v>
      </c>
      <c r="F3842" t="s">
        <v>128</v>
      </c>
      <c r="G3842" t="s">
        <v>6624</v>
      </c>
      <c r="H3842">
        <v>1</v>
      </c>
      <c r="I3842">
        <v>1.84683</v>
      </c>
      <c r="J3842">
        <v>220</v>
      </c>
      <c r="L3842">
        <v>772.32690000000002</v>
      </c>
      <c r="M3842">
        <v>15.917</v>
      </c>
      <c r="N3842">
        <v>2.4300000000000002</v>
      </c>
      <c r="O3842">
        <v>1.42</v>
      </c>
      <c r="Q3842">
        <v>1.62</v>
      </c>
      <c r="R3842">
        <v>1.44</v>
      </c>
      <c r="S3842">
        <v>0.77</v>
      </c>
    </row>
    <row r="3843" spans="1:19" x14ac:dyDescent="0.2">
      <c r="A3843" t="s">
        <v>6780</v>
      </c>
      <c r="B3843" t="s">
        <v>6781</v>
      </c>
      <c r="C3843">
        <v>2010</v>
      </c>
      <c r="D3843">
        <v>0</v>
      </c>
      <c r="E3843" t="s">
        <v>21</v>
      </c>
      <c r="F3843" t="s">
        <v>128</v>
      </c>
      <c r="G3843" t="s">
        <v>6624</v>
      </c>
      <c r="H3843">
        <v>1</v>
      </c>
      <c r="I3843">
        <v>3.4059096000000002</v>
      </c>
      <c r="J3843">
        <v>360</v>
      </c>
      <c r="L3843">
        <v>151.916</v>
      </c>
      <c r="M3843">
        <v>17.363</v>
      </c>
      <c r="N3843">
        <v>0.47799999999999998</v>
      </c>
      <c r="O3843">
        <v>1.5489999999999999</v>
      </c>
      <c r="P3843">
        <v>0.17199999999999999</v>
      </c>
      <c r="Q3843">
        <v>1.1599999999999999</v>
      </c>
      <c r="R3843">
        <v>1.25</v>
      </c>
    </row>
    <row r="3844" spans="1:19" x14ac:dyDescent="0.2">
      <c r="A3844" t="s">
        <v>6782</v>
      </c>
      <c r="B3844" t="s">
        <v>6783</v>
      </c>
      <c r="C3844">
        <v>2010</v>
      </c>
      <c r="D3844">
        <v>0</v>
      </c>
      <c r="E3844" t="s">
        <v>21</v>
      </c>
      <c r="F3844" t="s">
        <v>128</v>
      </c>
      <c r="G3844" t="s">
        <v>6624</v>
      </c>
      <c r="H3844">
        <v>1</v>
      </c>
      <c r="I3844">
        <v>2.7186599999999999</v>
      </c>
      <c r="J3844">
        <v>278.17</v>
      </c>
      <c r="L3844">
        <v>835.89290000000005</v>
      </c>
      <c r="M3844">
        <v>10.760999999999999</v>
      </c>
      <c r="N3844">
        <v>2.63</v>
      </c>
      <c r="O3844">
        <v>0.96</v>
      </c>
      <c r="Q3844">
        <v>0.72</v>
      </c>
      <c r="R3844">
        <v>0.95</v>
      </c>
      <c r="S3844">
        <v>1.18</v>
      </c>
    </row>
    <row r="3845" spans="1:19" x14ac:dyDescent="0.2">
      <c r="A3845" t="s">
        <v>6784</v>
      </c>
      <c r="B3845" t="s">
        <v>6785</v>
      </c>
      <c r="C3845">
        <v>2010</v>
      </c>
      <c r="D3845">
        <v>0</v>
      </c>
      <c r="E3845" t="s">
        <v>21</v>
      </c>
      <c r="F3845" t="s">
        <v>128</v>
      </c>
      <c r="G3845" t="s">
        <v>6624</v>
      </c>
      <c r="H3845">
        <v>1</v>
      </c>
      <c r="I3845">
        <v>1.2198698299999999</v>
      </c>
      <c r="J3845">
        <v>122.36</v>
      </c>
      <c r="L3845">
        <v>371.86110000000002</v>
      </c>
      <c r="M3845">
        <v>17.934000000000001</v>
      </c>
      <c r="N3845">
        <v>1.17</v>
      </c>
      <c r="O3845">
        <v>1.6</v>
      </c>
      <c r="Q3845">
        <v>1.85</v>
      </c>
      <c r="R3845">
        <v>1.55</v>
      </c>
      <c r="S3845">
        <v>0.7</v>
      </c>
    </row>
    <row r="3846" spans="1:19" x14ac:dyDescent="0.2">
      <c r="A3846" t="s">
        <v>6786</v>
      </c>
      <c r="B3846" t="s">
        <v>6787</v>
      </c>
      <c r="C3846">
        <v>2010</v>
      </c>
      <c r="D3846">
        <v>0</v>
      </c>
      <c r="E3846" t="s">
        <v>21</v>
      </c>
      <c r="F3846" t="s">
        <v>128</v>
      </c>
      <c r="G3846" t="s">
        <v>6624</v>
      </c>
      <c r="H3846">
        <v>1</v>
      </c>
      <c r="I3846">
        <v>4.3176800000000002</v>
      </c>
      <c r="J3846">
        <v>120</v>
      </c>
      <c r="L3846">
        <v>177.98480000000001</v>
      </c>
      <c r="M3846">
        <v>11.209</v>
      </c>
      <c r="N3846">
        <v>0.56000000000000005</v>
      </c>
      <c r="O3846">
        <v>1</v>
      </c>
      <c r="Q3846">
        <v>0.96</v>
      </c>
      <c r="R3846">
        <v>0.91</v>
      </c>
      <c r="S3846">
        <v>1.78</v>
      </c>
    </row>
    <row r="3847" spans="1:19" x14ac:dyDescent="0.2">
      <c r="A3847" t="s">
        <v>6788</v>
      </c>
      <c r="B3847" t="s">
        <v>6789</v>
      </c>
      <c r="C3847">
        <v>2011</v>
      </c>
      <c r="D3847">
        <v>0</v>
      </c>
      <c r="E3847" t="s">
        <v>21</v>
      </c>
      <c r="F3847" t="s">
        <v>128</v>
      </c>
      <c r="G3847" t="s">
        <v>6624</v>
      </c>
      <c r="H3847">
        <v>1</v>
      </c>
      <c r="I3847">
        <v>3.1615799999999998</v>
      </c>
      <c r="J3847">
        <v>203.39</v>
      </c>
      <c r="L3847">
        <v>225.6593</v>
      </c>
      <c r="M3847">
        <v>14.571999999999999</v>
      </c>
      <c r="N3847">
        <v>0.71</v>
      </c>
      <c r="O3847">
        <v>1.3</v>
      </c>
      <c r="Q3847">
        <v>1.05</v>
      </c>
      <c r="R3847">
        <v>1.08</v>
      </c>
      <c r="S3847">
        <v>1.17</v>
      </c>
    </row>
    <row r="3848" spans="1:19" x14ac:dyDescent="0.2">
      <c r="A3848" t="s">
        <v>6790</v>
      </c>
      <c r="B3848" t="s">
        <v>6791</v>
      </c>
      <c r="C3848">
        <v>2011</v>
      </c>
      <c r="D3848">
        <v>0</v>
      </c>
      <c r="E3848" t="s">
        <v>21</v>
      </c>
      <c r="F3848" t="s">
        <v>128</v>
      </c>
      <c r="G3848" t="s">
        <v>6624</v>
      </c>
      <c r="H3848">
        <v>1</v>
      </c>
      <c r="I3848">
        <v>1.53736596</v>
      </c>
      <c r="J3848">
        <v>450</v>
      </c>
      <c r="K3848">
        <v>1.4</v>
      </c>
      <c r="L3848">
        <v>750.39662999999996</v>
      </c>
      <c r="M3848">
        <v>14.874000000000001</v>
      </c>
      <c r="N3848">
        <v>2.3610000000000002</v>
      </c>
      <c r="O3848">
        <v>1.327</v>
      </c>
      <c r="P3848">
        <v>1.26</v>
      </c>
      <c r="Q3848">
        <v>1.08</v>
      </c>
      <c r="R3848">
        <v>0.98</v>
      </c>
      <c r="S3848">
        <v>1.595</v>
      </c>
    </row>
    <row r="3849" spans="1:19" x14ac:dyDescent="0.2">
      <c r="A3849" t="s">
        <v>6792</v>
      </c>
      <c r="B3849" t="s">
        <v>6793</v>
      </c>
      <c r="C3849">
        <v>2010</v>
      </c>
      <c r="D3849">
        <v>0</v>
      </c>
      <c r="E3849" t="s">
        <v>21</v>
      </c>
      <c r="F3849" t="s">
        <v>128</v>
      </c>
      <c r="G3849" t="s">
        <v>6624</v>
      </c>
      <c r="H3849">
        <v>1</v>
      </c>
      <c r="I3849">
        <v>3.5774689999999998</v>
      </c>
      <c r="J3849">
        <v>343</v>
      </c>
      <c r="L3849">
        <v>572.07000000000005</v>
      </c>
      <c r="M3849">
        <v>13.002000000000001</v>
      </c>
      <c r="N3849">
        <v>1.8</v>
      </c>
      <c r="O3849">
        <v>1.1599999999999999</v>
      </c>
      <c r="P3849">
        <v>1.53</v>
      </c>
      <c r="Q3849">
        <v>0.93</v>
      </c>
      <c r="R3849">
        <v>1</v>
      </c>
    </row>
    <row r="3850" spans="1:19" x14ac:dyDescent="0.2">
      <c r="A3850" t="s">
        <v>6794</v>
      </c>
      <c r="B3850" t="s">
        <v>6795</v>
      </c>
      <c r="C3850">
        <v>2010</v>
      </c>
      <c r="D3850">
        <v>0</v>
      </c>
      <c r="E3850" t="s">
        <v>21</v>
      </c>
      <c r="F3850" t="s">
        <v>128</v>
      </c>
      <c r="G3850" t="s">
        <v>6624</v>
      </c>
      <c r="H3850">
        <v>1</v>
      </c>
      <c r="I3850">
        <v>6.87188</v>
      </c>
      <c r="J3850">
        <v>110</v>
      </c>
      <c r="L3850">
        <v>1093.3352</v>
      </c>
      <c r="M3850">
        <v>13.787000000000001</v>
      </c>
      <c r="N3850">
        <v>3.44</v>
      </c>
      <c r="O3850">
        <v>1.23</v>
      </c>
      <c r="Q3850">
        <v>1.76</v>
      </c>
      <c r="R3850">
        <v>1.52</v>
      </c>
      <c r="S3850">
        <v>0.71</v>
      </c>
    </row>
    <row r="3851" spans="1:19" x14ac:dyDescent="0.2">
      <c r="A3851" t="s">
        <v>6796</v>
      </c>
      <c r="B3851" t="s">
        <v>6797</v>
      </c>
      <c r="C3851">
        <v>2011</v>
      </c>
      <c r="D3851">
        <v>0</v>
      </c>
      <c r="E3851" t="s">
        <v>21</v>
      </c>
      <c r="F3851" t="s">
        <v>128</v>
      </c>
      <c r="G3851" t="s">
        <v>6624</v>
      </c>
      <c r="H3851">
        <v>1</v>
      </c>
      <c r="I3851">
        <v>4.0552590000000004</v>
      </c>
      <c r="J3851">
        <v>230</v>
      </c>
      <c r="L3851">
        <v>88.989000000000004</v>
      </c>
      <c r="M3851">
        <v>14.234999999999999</v>
      </c>
      <c r="N3851">
        <v>0.28000000000000003</v>
      </c>
      <c r="O3851">
        <v>1.27</v>
      </c>
      <c r="P3851">
        <v>0.186</v>
      </c>
      <c r="Q3851">
        <v>0.93</v>
      </c>
      <c r="R3851">
        <v>0.9</v>
      </c>
    </row>
    <row r="3852" spans="1:19" x14ac:dyDescent="0.2">
      <c r="A3852" t="s">
        <v>6798</v>
      </c>
      <c r="B3852" t="s">
        <v>6799</v>
      </c>
      <c r="C3852">
        <v>2007</v>
      </c>
      <c r="D3852">
        <v>0</v>
      </c>
      <c r="E3852" t="s">
        <v>21</v>
      </c>
      <c r="F3852" t="s">
        <v>128</v>
      </c>
      <c r="G3852" t="s">
        <v>6624</v>
      </c>
      <c r="H3852">
        <v>1</v>
      </c>
      <c r="I3852">
        <v>1.33823</v>
      </c>
      <c r="J3852">
        <v>300</v>
      </c>
      <c r="L3852">
        <v>375.0394</v>
      </c>
      <c r="M3852">
        <v>14.907999999999999</v>
      </c>
      <c r="N3852">
        <v>1.18</v>
      </c>
      <c r="O3852">
        <v>1.33</v>
      </c>
      <c r="Q3852">
        <v>0.87</v>
      </c>
      <c r="R3852">
        <v>0.9</v>
      </c>
      <c r="S3852">
        <v>1.69</v>
      </c>
    </row>
    <row r="3853" spans="1:19" x14ac:dyDescent="0.2">
      <c r="A3853" t="s">
        <v>6800</v>
      </c>
      <c r="B3853" t="s">
        <v>6801</v>
      </c>
      <c r="C3853">
        <v>2012</v>
      </c>
      <c r="D3853">
        <v>0</v>
      </c>
      <c r="E3853" t="s">
        <v>21</v>
      </c>
      <c r="F3853" t="s">
        <v>128</v>
      </c>
      <c r="G3853" t="s">
        <v>6624</v>
      </c>
      <c r="H3853">
        <v>2</v>
      </c>
      <c r="I3853">
        <v>3.0524</v>
      </c>
      <c r="J3853">
        <v>180</v>
      </c>
      <c r="L3853">
        <v>270.15550000000002</v>
      </c>
      <c r="M3853">
        <v>12.33</v>
      </c>
      <c r="N3853">
        <v>0.85</v>
      </c>
      <c r="O3853">
        <v>1.1000000000000001</v>
      </c>
      <c r="Q3853">
        <v>0.81</v>
      </c>
      <c r="R3853">
        <v>0.83</v>
      </c>
      <c r="S3853">
        <v>2.0099999999999998</v>
      </c>
    </row>
    <row r="3854" spans="1:19" x14ac:dyDescent="0.2">
      <c r="A3854" t="s">
        <v>6800</v>
      </c>
      <c r="B3854" t="s">
        <v>6802</v>
      </c>
      <c r="C3854">
        <v>2015</v>
      </c>
      <c r="D3854">
        <v>0</v>
      </c>
      <c r="E3854" t="s">
        <v>21</v>
      </c>
      <c r="F3854" t="s">
        <v>22</v>
      </c>
      <c r="G3854" t="s">
        <v>138</v>
      </c>
      <c r="H3854">
        <v>2</v>
      </c>
      <c r="I3854">
        <v>421</v>
      </c>
      <c r="J3854">
        <v>180</v>
      </c>
      <c r="N3854">
        <v>3.18</v>
      </c>
      <c r="Q3854">
        <v>0.81</v>
      </c>
      <c r="R3854">
        <v>0.83</v>
      </c>
      <c r="S3854">
        <v>2.0099999999999998</v>
      </c>
    </row>
    <row r="3855" spans="1:19" x14ac:dyDescent="0.2">
      <c r="A3855" t="s">
        <v>6803</v>
      </c>
      <c r="B3855" t="s">
        <v>6804</v>
      </c>
      <c r="C3855">
        <v>2012</v>
      </c>
      <c r="D3855">
        <v>0</v>
      </c>
      <c r="E3855" t="s">
        <v>21</v>
      </c>
      <c r="F3855" t="s">
        <v>128</v>
      </c>
      <c r="G3855" t="s">
        <v>6624</v>
      </c>
      <c r="H3855">
        <v>1</v>
      </c>
      <c r="I3855">
        <v>4.9816818999999999</v>
      </c>
      <c r="J3855">
        <v>160</v>
      </c>
      <c r="K3855">
        <v>4.4000000000000004</v>
      </c>
      <c r="L3855">
        <v>167.49641</v>
      </c>
      <c r="M3855">
        <v>12.576000000000001</v>
      </c>
      <c r="N3855">
        <v>0.52700000000000002</v>
      </c>
      <c r="O3855">
        <v>1.1220000000000001</v>
      </c>
      <c r="P3855">
        <v>0.46400000000000002</v>
      </c>
      <c r="Q3855">
        <v>0.95</v>
      </c>
      <c r="R3855">
        <v>0.89</v>
      </c>
      <c r="S3855">
        <v>1.885</v>
      </c>
    </row>
    <row r="3856" spans="1:19" x14ac:dyDescent="0.2">
      <c r="A3856" t="s">
        <v>6805</v>
      </c>
      <c r="B3856" t="s">
        <v>6806</v>
      </c>
      <c r="C3856">
        <v>2011</v>
      </c>
      <c r="D3856">
        <v>0</v>
      </c>
      <c r="E3856" t="s">
        <v>21</v>
      </c>
      <c r="F3856" t="s">
        <v>128</v>
      </c>
      <c r="G3856" t="s">
        <v>6624</v>
      </c>
      <c r="H3856">
        <v>1</v>
      </c>
      <c r="I3856">
        <v>0.81347499999999995</v>
      </c>
      <c r="J3856">
        <v>80</v>
      </c>
      <c r="L3856">
        <v>565.71400000000006</v>
      </c>
      <c r="M3856">
        <v>10.423999999999999</v>
      </c>
      <c r="N3856">
        <v>1.78</v>
      </c>
      <c r="O3856">
        <v>0.93</v>
      </c>
      <c r="P3856">
        <v>2.9390000000000001</v>
      </c>
      <c r="Q3856">
        <v>0.57999999999999996</v>
      </c>
      <c r="R3856">
        <v>0.6</v>
      </c>
    </row>
    <row r="3857" spans="1:19" x14ac:dyDescent="0.2">
      <c r="A3857" t="s">
        <v>6807</v>
      </c>
      <c r="B3857" t="s">
        <v>6808</v>
      </c>
      <c r="C3857">
        <v>2011</v>
      </c>
      <c r="D3857">
        <v>0</v>
      </c>
      <c r="E3857" t="s">
        <v>21</v>
      </c>
      <c r="F3857" t="s">
        <v>128</v>
      </c>
      <c r="G3857" t="s">
        <v>6624</v>
      </c>
      <c r="H3857">
        <v>1</v>
      </c>
      <c r="I3857">
        <v>2.4238038999999998</v>
      </c>
      <c r="J3857">
        <v>368.31</v>
      </c>
      <c r="L3857">
        <v>282.53899999999999</v>
      </c>
      <c r="M3857">
        <v>12.778</v>
      </c>
      <c r="N3857">
        <v>0.88900000000000001</v>
      </c>
      <c r="O3857">
        <v>1.1399999999999999</v>
      </c>
      <c r="P3857">
        <v>0.81100000000000005</v>
      </c>
      <c r="Q3857">
        <v>0.95</v>
      </c>
      <c r="R3857">
        <v>0.93</v>
      </c>
    </row>
    <row r="3858" spans="1:19" x14ac:dyDescent="0.2">
      <c r="A3858" t="s">
        <v>6809</v>
      </c>
      <c r="B3858" t="s">
        <v>6810</v>
      </c>
      <c r="C3858">
        <v>2011</v>
      </c>
      <c r="D3858">
        <v>0</v>
      </c>
      <c r="E3858" t="s">
        <v>21</v>
      </c>
      <c r="F3858" t="s">
        <v>128</v>
      </c>
      <c r="G3858" t="s">
        <v>6624</v>
      </c>
      <c r="H3858">
        <v>1</v>
      </c>
      <c r="I3858">
        <v>3.12609</v>
      </c>
      <c r="J3858">
        <v>212.48</v>
      </c>
      <c r="L3858">
        <v>330.54320000000001</v>
      </c>
      <c r="M3858">
        <v>12.778</v>
      </c>
      <c r="N3858">
        <v>1.04</v>
      </c>
      <c r="O3858">
        <v>1.1399999999999999</v>
      </c>
      <c r="Q3858">
        <v>0.95</v>
      </c>
      <c r="R3858">
        <v>0.96</v>
      </c>
      <c r="S3858">
        <v>1.53</v>
      </c>
    </row>
    <row r="3859" spans="1:19" x14ac:dyDescent="0.2">
      <c r="A3859" t="s">
        <v>6811</v>
      </c>
      <c r="B3859" t="s">
        <v>6812</v>
      </c>
      <c r="C3859">
        <v>2011</v>
      </c>
      <c r="D3859">
        <v>0</v>
      </c>
      <c r="E3859" t="s">
        <v>21</v>
      </c>
      <c r="F3859" t="s">
        <v>128</v>
      </c>
      <c r="G3859" t="s">
        <v>6624</v>
      </c>
      <c r="H3859">
        <v>1</v>
      </c>
      <c r="I3859">
        <v>1.4303676299999999</v>
      </c>
      <c r="J3859">
        <v>379.36</v>
      </c>
      <c r="K3859">
        <v>9.6</v>
      </c>
      <c r="L3859">
        <v>607.05529999999999</v>
      </c>
      <c r="M3859">
        <v>13.159000000000001</v>
      </c>
      <c r="N3859">
        <v>1.91</v>
      </c>
      <c r="O3859">
        <v>1.1739999999999999</v>
      </c>
      <c r="P3859">
        <v>1.4670000000000001</v>
      </c>
      <c r="Q3859">
        <v>0.83</v>
      </c>
      <c r="R3859">
        <v>0.86</v>
      </c>
      <c r="S3859">
        <v>1.845</v>
      </c>
    </row>
    <row r="3860" spans="1:19" x14ac:dyDescent="0.2">
      <c r="A3860" t="s">
        <v>6813</v>
      </c>
      <c r="B3860" t="s">
        <v>6814</v>
      </c>
      <c r="C3860">
        <v>2012</v>
      </c>
      <c r="D3860">
        <v>0</v>
      </c>
      <c r="E3860" t="s">
        <v>21</v>
      </c>
      <c r="F3860" t="s">
        <v>128</v>
      </c>
      <c r="G3860" t="s">
        <v>6624</v>
      </c>
      <c r="H3860">
        <v>4</v>
      </c>
      <c r="I3860">
        <v>4.1591288999999998</v>
      </c>
      <c r="J3860">
        <v>200</v>
      </c>
      <c r="L3860">
        <v>363.1</v>
      </c>
      <c r="M3860">
        <v>12.63</v>
      </c>
      <c r="N3860">
        <v>1.1424300000000001</v>
      </c>
      <c r="O3860">
        <v>1.127</v>
      </c>
      <c r="P3860">
        <v>0.99299999999999999</v>
      </c>
      <c r="Q3860">
        <v>1.04</v>
      </c>
      <c r="R3860">
        <v>1.1399999999999999</v>
      </c>
      <c r="S3860">
        <v>0.999</v>
      </c>
    </row>
    <row r="3861" spans="1:19" x14ac:dyDescent="0.2">
      <c r="A3861" t="s">
        <v>6813</v>
      </c>
      <c r="B3861" t="s">
        <v>6815</v>
      </c>
      <c r="C3861">
        <v>2015</v>
      </c>
      <c r="D3861">
        <v>0</v>
      </c>
      <c r="E3861" t="s">
        <v>21</v>
      </c>
      <c r="F3861" t="s">
        <v>22</v>
      </c>
      <c r="G3861" t="s">
        <v>138</v>
      </c>
      <c r="H3861">
        <v>4</v>
      </c>
      <c r="I3861">
        <v>588.5</v>
      </c>
      <c r="J3861">
        <v>200</v>
      </c>
      <c r="N3861">
        <v>1.2528699999999999</v>
      </c>
      <c r="Q3861">
        <v>1.04</v>
      </c>
      <c r="R3861">
        <v>1.1399999999999999</v>
      </c>
      <c r="S3861">
        <v>0.999</v>
      </c>
    </row>
    <row r="3862" spans="1:19" x14ac:dyDescent="0.2">
      <c r="A3862" t="s">
        <v>6813</v>
      </c>
      <c r="B3862" t="s">
        <v>6816</v>
      </c>
      <c r="C3862">
        <v>2015</v>
      </c>
      <c r="D3862">
        <v>0</v>
      </c>
      <c r="E3862" t="s">
        <v>55</v>
      </c>
      <c r="F3862" t="s">
        <v>128</v>
      </c>
      <c r="G3862" t="s">
        <v>129</v>
      </c>
      <c r="H3862">
        <v>4</v>
      </c>
      <c r="I3862">
        <v>9.0307700000000004</v>
      </c>
      <c r="J3862">
        <v>200</v>
      </c>
      <c r="L3862">
        <v>13.1</v>
      </c>
      <c r="M3862">
        <v>3.5760000000000001</v>
      </c>
      <c r="N3862">
        <v>4.122E-2</v>
      </c>
      <c r="O3862">
        <v>0.31900000000000001</v>
      </c>
      <c r="P3862">
        <v>1.58</v>
      </c>
      <c r="Q3862">
        <v>1.04</v>
      </c>
      <c r="R3862">
        <v>1.1399999999999999</v>
      </c>
      <c r="S3862">
        <v>0.999</v>
      </c>
    </row>
    <row r="3863" spans="1:19" x14ac:dyDescent="0.2">
      <c r="A3863" t="s">
        <v>6813</v>
      </c>
      <c r="B3863" t="s">
        <v>6817</v>
      </c>
      <c r="C3863">
        <v>2015</v>
      </c>
      <c r="D3863">
        <v>0</v>
      </c>
      <c r="E3863" t="s">
        <v>55</v>
      </c>
      <c r="F3863" t="s">
        <v>128</v>
      </c>
      <c r="G3863" t="s">
        <v>129</v>
      </c>
      <c r="H3863">
        <v>4</v>
      </c>
      <c r="I3863">
        <v>0.78959199999999996</v>
      </c>
      <c r="J3863">
        <v>200</v>
      </c>
      <c r="L3863">
        <v>6.83</v>
      </c>
      <c r="M3863">
        <v>1.81</v>
      </c>
      <c r="N3863">
        <v>2.1489999999999999E-2</v>
      </c>
      <c r="O3863">
        <v>0.161</v>
      </c>
      <c r="P3863">
        <v>6.35</v>
      </c>
      <c r="Q3863">
        <v>1.04</v>
      </c>
      <c r="R3863">
        <v>1.1399999999999999</v>
      </c>
      <c r="S3863">
        <v>0.999</v>
      </c>
    </row>
    <row r="3864" spans="1:19" x14ac:dyDescent="0.2">
      <c r="A3864" t="s">
        <v>6818</v>
      </c>
      <c r="B3864" t="s">
        <v>6819</v>
      </c>
      <c r="C3864">
        <v>2011</v>
      </c>
      <c r="D3864">
        <v>0</v>
      </c>
      <c r="E3864" t="s">
        <v>21</v>
      </c>
      <c r="F3864" t="s">
        <v>128</v>
      </c>
      <c r="G3864" t="s">
        <v>6624</v>
      </c>
      <c r="H3864">
        <v>1</v>
      </c>
      <c r="I3864">
        <v>2.1436299999999999</v>
      </c>
      <c r="J3864">
        <v>460.14</v>
      </c>
      <c r="L3864">
        <v>254.26400000000001</v>
      </c>
      <c r="M3864">
        <v>16.814</v>
      </c>
      <c r="N3864">
        <v>0.8</v>
      </c>
      <c r="O3864">
        <v>1.5</v>
      </c>
      <c r="Q3864">
        <v>0.88</v>
      </c>
      <c r="R3864">
        <v>1.58</v>
      </c>
      <c r="S3864">
        <v>0.32</v>
      </c>
    </row>
    <row r="3865" spans="1:19" x14ac:dyDescent="0.2">
      <c r="A3865" t="s">
        <v>6820</v>
      </c>
      <c r="B3865" t="s">
        <v>6821</v>
      </c>
      <c r="C3865">
        <v>2012</v>
      </c>
      <c r="D3865">
        <v>0</v>
      </c>
      <c r="E3865" t="s">
        <v>21</v>
      </c>
      <c r="F3865" t="s">
        <v>128</v>
      </c>
      <c r="G3865" t="s">
        <v>6624</v>
      </c>
      <c r="H3865">
        <v>1</v>
      </c>
      <c r="I3865">
        <v>2.7817400000000001</v>
      </c>
      <c r="J3865">
        <v>170</v>
      </c>
      <c r="L3865">
        <v>117.5971</v>
      </c>
      <c r="M3865">
        <v>12.442</v>
      </c>
      <c r="N3865">
        <v>0.37</v>
      </c>
      <c r="O3865">
        <v>1.1100000000000001</v>
      </c>
      <c r="Q3865">
        <v>0.92</v>
      </c>
      <c r="R3865">
        <v>0.97</v>
      </c>
      <c r="S3865">
        <v>1.43</v>
      </c>
    </row>
    <row r="3866" spans="1:19" x14ac:dyDescent="0.2">
      <c r="A3866" t="s">
        <v>6822</v>
      </c>
      <c r="B3866" t="s">
        <v>6823</v>
      </c>
      <c r="C3866">
        <v>2008</v>
      </c>
      <c r="D3866">
        <v>0</v>
      </c>
      <c r="E3866" t="s">
        <v>21</v>
      </c>
      <c r="F3866" t="s">
        <v>128</v>
      </c>
      <c r="G3866" t="s">
        <v>6624</v>
      </c>
      <c r="H3866">
        <v>1</v>
      </c>
      <c r="I3866">
        <v>1.6284278999999999</v>
      </c>
      <c r="J3866">
        <v>300</v>
      </c>
      <c r="K3866">
        <v>5.4</v>
      </c>
      <c r="L3866">
        <v>502.15</v>
      </c>
      <c r="M3866">
        <v>12.183999999999999</v>
      </c>
      <c r="N3866">
        <v>1.58</v>
      </c>
      <c r="O3866">
        <v>1.087</v>
      </c>
      <c r="P3866">
        <v>1.64</v>
      </c>
      <c r="Q3866">
        <v>0.96</v>
      </c>
      <c r="R3866">
        <v>1.03</v>
      </c>
      <c r="S3866">
        <v>1.24</v>
      </c>
    </row>
    <row r="3867" spans="1:19" x14ac:dyDescent="0.2">
      <c r="A3867" t="s">
        <v>6824</v>
      </c>
      <c r="B3867" t="s">
        <v>6825</v>
      </c>
      <c r="C3867">
        <v>2011</v>
      </c>
      <c r="D3867">
        <v>0</v>
      </c>
      <c r="E3867" t="s">
        <v>21</v>
      </c>
      <c r="F3867" t="s">
        <v>128</v>
      </c>
      <c r="G3867" t="s">
        <v>6624</v>
      </c>
      <c r="H3867">
        <v>1</v>
      </c>
      <c r="I3867">
        <v>1.9551000000000001</v>
      </c>
      <c r="J3867">
        <v>230</v>
      </c>
      <c r="L3867">
        <v>524.41949999999997</v>
      </c>
      <c r="M3867">
        <v>13.675000000000001</v>
      </c>
      <c r="N3867">
        <v>1.65</v>
      </c>
      <c r="O3867">
        <v>1.22</v>
      </c>
      <c r="Q3867">
        <v>1.06</v>
      </c>
      <c r="R3867">
        <v>0.89</v>
      </c>
      <c r="S3867">
        <v>2.12</v>
      </c>
    </row>
    <row r="3868" spans="1:19" x14ac:dyDescent="0.2">
      <c r="A3868" t="s">
        <v>6826</v>
      </c>
      <c r="B3868" t="s">
        <v>6827</v>
      </c>
      <c r="C3868">
        <v>2012</v>
      </c>
      <c r="D3868">
        <v>0</v>
      </c>
      <c r="E3868" t="s">
        <v>21</v>
      </c>
      <c r="F3868" t="s">
        <v>128</v>
      </c>
      <c r="G3868" t="s">
        <v>6624</v>
      </c>
      <c r="H3868">
        <v>1</v>
      </c>
      <c r="I3868">
        <v>1.7497798</v>
      </c>
      <c r="J3868">
        <v>140</v>
      </c>
      <c r="K3868">
        <v>0.4</v>
      </c>
      <c r="L3868">
        <v>146.19999999999999</v>
      </c>
      <c r="M3868">
        <v>14.24</v>
      </c>
      <c r="N3868">
        <v>0.46</v>
      </c>
      <c r="O3868">
        <v>1.27</v>
      </c>
      <c r="P3868">
        <v>0.28999999999999998</v>
      </c>
      <c r="Q3868">
        <v>0.87</v>
      </c>
      <c r="R3868">
        <v>0.79</v>
      </c>
      <c r="S3868">
        <v>2.48</v>
      </c>
    </row>
    <row r="3869" spans="1:19" x14ac:dyDescent="0.2">
      <c r="A3869" t="s">
        <v>6828</v>
      </c>
      <c r="B3869" t="s">
        <v>6829</v>
      </c>
      <c r="C3869">
        <v>2017</v>
      </c>
      <c r="D3869">
        <v>0</v>
      </c>
      <c r="E3869" t="s">
        <v>21</v>
      </c>
      <c r="F3869" t="s">
        <v>128</v>
      </c>
      <c r="G3869" t="s">
        <v>1159</v>
      </c>
      <c r="H3869">
        <v>2</v>
      </c>
      <c r="I3869">
        <v>3.3098443</v>
      </c>
      <c r="J3869">
        <v>202.51</v>
      </c>
      <c r="L3869">
        <v>677.61356000000001</v>
      </c>
      <c r="M3869">
        <v>12.038</v>
      </c>
      <c r="N3869">
        <v>2.1320000000000001</v>
      </c>
      <c r="O3869">
        <v>1.0740000000000001</v>
      </c>
      <c r="P3869">
        <v>2.2799999999999998</v>
      </c>
      <c r="Q3869">
        <v>0.84</v>
      </c>
      <c r="R3869">
        <v>0.8</v>
      </c>
      <c r="S3869">
        <v>2.323</v>
      </c>
    </row>
    <row r="3870" spans="1:19" x14ac:dyDescent="0.2">
      <c r="A3870" t="s">
        <v>6828</v>
      </c>
      <c r="B3870" t="s">
        <v>6830</v>
      </c>
      <c r="C3870">
        <v>2017</v>
      </c>
      <c r="D3870">
        <v>0</v>
      </c>
      <c r="E3870" t="s">
        <v>21</v>
      </c>
      <c r="F3870" t="s">
        <v>128</v>
      </c>
      <c r="G3870" t="s">
        <v>1159</v>
      </c>
      <c r="H3870">
        <v>2</v>
      </c>
      <c r="I3870">
        <v>2840</v>
      </c>
      <c r="J3870">
        <v>202.51</v>
      </c>
      <c r="N3870">
        <v>16.350000000000001</v>
      </c>
      <c r="Q3870">
        <v>0.84</v>
      </c>
      <c r="R3870">
        <v>0.8</v>
      </c>
      <c r="S3870">
        <v>2.323</v>
      </c>
    </row>
    <row r="3871" spans="1:19" x14ac:dyDescent="0.2">
      <c r="A3871" t="s">
        <v>6831</v>
      </c>
      <c r="B3871" t="s">
        <v>6832</v>
      </c>
      <c r="C3871">
        <v>2012</v>
      </c>
      <c r="D3871">
        <v>0</v>
      </c>
      <c r="E3871" t="s">
        <v>21</v>
      </c>
      <c r="F3871" t="s">
        <v>128</v>
      </c>
      <c r="G3871" t="s">
        <v>6624</v>
      </c>
      <c r="H3871">
        <v>1</v>
      </c>
      <c r="I3871">
        <v>3.6936399999999998</v>
      </c>
      <c r="J3871">
        <v>200</v>
      </c>
      <c r="L3871">
        <v>187.5197</v>
      </c>
      <c r="M3871">
        <v>17.71</v>
      </c>
      <c r="N3871">
        <v>0.59</v>
      </c>
      <c r="O3871">
        <v>1.58</v>
      </c>
      <c r="Q3871">
        <v>1.08</v>
      </c>
      <c r="R3871">
        <v>1.76</v>
      </c>
      <c r="S3871">
        <v>0.28000000000000003</v>
      </c>
    </row>
    <row r="3872" spans="1:19" x14ac:dyDescent="0.2">
      <c r="A3872" t="s">
        <v>6833</v>
      </c>
      <c r="B3872" t="s">
        <v>6834</v>
      </c>
      <c r="C3872">
        <v>2012</v>
      </c>
      <c r="D3872">
        <v>0</v>
      </c>
      <c r="E3872" t="s">
        <v>21</v>
      </c>
      <c r="F3872" t="s">
        <v>128</v>
      </c>
      <c r="G3872" t="s">
        <v>6624</v>
      </c>
      <c r="H3872">
        <v>1</v>
      </c>
      <c r="I3872">
        <v>4.46563</v>
      </c>
      <c r="J3872">
        <v>330</v>
      </c>
      <c r="L3872">
        <v>193.87629999999999</v>
      </c>
      <c r="M3872">
        <v>14.907999999999999</v>
      </c>
      <c r="N3872">
        <v>0.61</v>
      </c>
      <c r="O3872">
        <v>1.33</v>
      </c>
      <c r="Q3872">
        <v>1.1100000000000001</v>
      </c>
      <c r="R3872">
        <v>1.0900000000000001</v>
      </c>
      <c r="S3872">
        <v>1.2</v>
      </c>
    </row>
    <row r="3873" spans="1:19" x14ac:dyDescent="0.2">
      <c r="A3873" t="s">
        <v>6835</v>
      </c>
      <c r="B3873" t="s">
        <v>6836</v>
      </c>
      <c r="C3873">
        <v>2012</v>
      </c>
      <c r="D3873">
        <v>0</v>
      </c>
      <c r="E3873" t="s">
        <v>21</v>
      </c>
      <c r="F3873" t="s">
        <v>128</v>
      </c>
      <c r="G3873" t="s">
        <v>6624</v>
      </c>
      <c r="H3873">
        <v>1</v>
      </c>
      <c r="I3873">
        <v>4.6170999999999998</v>
      </c>
      <c r="J3873">
        <v>255</v>
      </c>
      <c r="L3873">
        <v>143.02350000000001</v>
      </c>
      <c r="M3873">
        <v>10.536</v>
      </c>
      <c r="N3873">
        <v>0.45</v>
      </c>
      <c r="O3873">
        <v>0.94</v>
      </c>
      <c r="Q3873">
        <v>0.71</v>
      </c>
      <c r="R3873">
        <v>0.96</v>
      </c>
      <c r="S3873">
        <v>1.1399999999999999</v>
      </c>
    </row>
    <row r="3874" spans="1:19" x14ac:dyDescent="0.2">
      <c r="A3874" t="s">
        <v>6837</v>
      </c>
      <c r="B3874" t="s">
        <v>6838</v>
      </c>
      <c r="C3874">
        <v>2012</v>
      </c>
      <c r="D3874">
        <v>0</v>
      </c>
      <c r="E3874" t="s">
        <v>21</v>
      </c>
      <c r="F3874" t="s">
        <v>128</v>
      </c>
      <c r="G3874" t="s">
        <v>6624</v>
      </c>
      <c r="H3874">
        <v>1</v>
      </c>
      <c r="I3874">
        <v>2.8389185600000002</v>
      </c>
      <c r="J3874">
        <v>455</v>
      </c>
      <c r="L3874">
        <v>204.68252000000001</v>
      </c>
      <c r="M3874">
        <v>11.769</v>
      </c>
      <c r="N3874">
        <v>0.64400000000000002</v>
      </c>
      <c r="O3874">
        <v>1.05</v>
      </c>
      <c r="P3874">
        <v>0.69299999999999995</v>
      </c>
      <c r="Q3874">
        <v>0.89</v>
      </c>
      <c r="R3874">
        <v>0.93</v>
      </c>
      <c r="S3874">
        <v>1.5680000000000001</v>
      </c>
    </row>
    <row r="3875" spans="1:19" x14ac:dyDescent="0.2">
      <c r="A3875" t="s">
        <v>6839</v>
      </c>
      <c r="B3875" t="s">
        <v>6840</v>
      </c>
      <c r="C3875">
        <v>2012</v>
      </c>
      <c r="D3875">
        <v>0</v>
      </c>
      <c r="E3875" t="s">
        <v>21</v>
      </c>
      <c r="F3875" t="s">
        <v>128</v>
      </c>
      <c r="G3875" t="s">
        <v>6624</v>
      </c>
      <c r="H3875">
        <v>1</v>
      </c>
      <c r="I3875">
        <v>5.0171799999999998</v>
      </c>
      <c r="J3875">
        <v>300</v>
      </c>
      <c r="L3875">
        <v>308.29509999999999</v>
      </c>
      <c r="M3875">
        <v>16.029</v>
      </c>
      <c r="N3875">
        <v>0.97</v>
      </c>
      <c r="O3875">
        <v>1.43</v>
      </c>
      <c r="Q3875">
        <v>1.06</v>
      </c>
      <c r="R3875">
        <v>1.22</v>
      </c>
      <c r="S3875">
        <v>0.83</v>
      </c>
    </row>
    <row r="3876" spans="1:19" x14ac:dyDescent="0.2">
      <c r="A3876" t="s">
        <v>6841</v>
      </c>
      <c r="B3876" t="s">
        <v>6842</v>
      </c>
      <c r="C3876">
        <v>2012</v>
      </c>
      <c r="D3876">
        <v>0</v>
      </c>
      <c r="E3876" t="s">
        <v>21</v>
      </c>
      <c r="F3876" t="s">
        <v>128</v>
      </c>
      <c r="G3876" t="s">
        <v>6624</v>
      </c>
      <c r="H3876">
        <v>1</v>
      </c>
      <c r="I3876">
        <v>7.9195849999999997</v>
      </c>
      <c r="J3876">
        <v>125</v>
      </c>
      <c r="K3876">
        <v>0.5</v>
      </c>
      <c r="L3876">
        <v>274.27600000000001</v>
      </c>
      <c r="M3876">
        <v>8.6869999999999994</v>
      </c>
      <c r="N3876">
        <v>0.86299999999999999</v>
      </c>
      <c r="O3876">
        <v>0.77500000000000002</v>
      </c>
      <c r="P3876">
        <v>2.4</v>
      </c>
      <c r="Q3876">
        <v>0.72</v>
      </c>
      <c r="R3876">
        <v>0.61</v>
      </c>
      <c r="S3876">
        <v>4.38</v>
      </c>
    </row>
    <row r="3877" spans="1:19" x14ac:dyDescent="0.2">
      <c r="A3877" t="s">
        <v>6843</v>
      </c>
      <c r="B3877" t="s">
        <v>6844</v>
      </c>
      <c r="C3877">
        <v>2009</v>
      </c>
      <c r="D3877">
        <v>0</v>
      </c>
      <c r="E3877" t="s">
        <v>21</v>
      </c>
      <c r="F3877" t="s">
        <v>128</v>
      </c>
      <c r="G3877" t="s">
        <v>6624</v>
      </c>
      <c r="H3877">
        <v>1</v>
      </c>
      <c r="I3877">
        <v>3.3610099999999998</v>
      </c>
      <c r="J3877">
        <v>198.23</v>
      </c>
      <c r="L3877">
        <v>117.5971</v>
      </c>
      <c r="M3877">
        <v>11.545</v>
      </c>
      <c r="N3877">
        <v>0.37</v>
      </c>
      <c r="O3877">
        <v>1.03</v>
      </c>
      <c r="Q3877">
        <v>0.55000000000000004</v>
      </c>
      <c r="R3877">
        <v>0.73</v>
      </c>
      <c r="S3877">
        <v>2.0099999999999998</v>
      </c>
    </row>
    <row r="3878" spans="1:19" x14ac:dyDescent="0.2">
      <c r="A3878" t="s">
        <v>6845</v>
      </c>
      <c r="B3878" t="s">
        <v>6846</v>
      </c>
      <c r="C3878">
        <v>2012</v>
      </c>
      <c r="D3878">
        <v>0</v>
      </c>
      <c r="E3878" t="s">
        <v>21</v>
      </c>
      <c r="F3878" t="s">
        <v>128</v>
      </c>
      <c r="G3878" t="s">
        <v>6624</v>
      </c>
      <c r="H3878">
        <v>1</v>
      </c>
      <c r="I3878">
        <v>4.3049999999999997</v>
      </c>
      <c r="J3878">
        <v>400</v>
      </c>
      <c r="L3878">
        <v>174.8065</v>
      </c>
      <c r="M3878">
        <v>9.8640000000000008</v>
      </c>
      <c r="N3878">
        <v>0.55000000000000004</v>
      </c>
      <c r="O3878">
        <v>0.88</v>
      </c>
      <c r="Q3878">
        <v>1.19</v>
      </c>
      <c r="R3878">
        <v>1.17</v>
      </c>
      <c r="S3878">
        <v>1.03</v>
      </c>
    </row>
    <row r="3879" spans="1:19" x14ac:dyDescent="0.2">
      <c r="A3879" t="s">
        <v>6847</v>
      </c>
      <c r="B3879" t="s">
        <v>6848</v>
      </c>
      <c r="C3879">
        <v>2012</v>
      </c>
      <c r="D3879">
        <v>0</v>
      </c>
      <c r="E3879" t="s">
        <v>21</v>
      </c>
      <c r="F3879" t="s">
        <v>128</v>
      </c>
      <c r="G3879" t="s">
        <v>6624</v>
      </c>
      <c r="H3879">
        <v>1</v>
      </c>
      <c r="I3879">
        <v>3.8559000000000001</v>
      </c>
      <c r="J3879">
        <v>480</v>
      </c>
      <c r="L3879">
        <v>851.78440000000001</v>
      </c>
      <c r="M3879">
        <v>15.805</v>
      </c>
      <c r="N3879">
        <v>2.68</v>
      </c>
      <c r="O3879">
        <v>1.41</v>
      </c>
      <c r="Q3879">
        <v>1.82</v>
      </c>
      <c r="R3879">
        <v>1.55</v>
      </c>
      <c r="S3879">
        <v>0.69</v>
      </c>
    </row>
    <row r="3880" spans="1:19" x14ac:dyDescent="0.2">
      <c r="A3880" t="s">
        <v>6849</v>
      </c>
      <c r="B3880" t="s">
        <v>6850</v>
      </c>
      <c r="C3880">
        <v>2012</v>
      </c>
      <c r="D3880">
        <v>0</v>
      </c>
      <c r="E3880" t="s">
        <v>21</v>
      </c>
      <c r="F3880" t="s">
        <v>128</v>
      </c>
      <c r="G3880" t="s">
        <v>6624</v>
      </c>
      <c r="H3880">
        <v>1</v>
      </c>
      <c r="I3880">
        <v>4.41195</v>
      </c>
      <c r="J3880">
        <v>160</v>
      </c>
      <c r="L3880">
        <v>165.27160000000001</v>
      </c>
      <c r="M3880">
        <v>14.795999999999999</v>
      </c>
      <c r="N3880">
        <v>0.52</v>
      </c>
      <c r="O3880">
        <v>1.32</v>
      </c>
      <c r="Q3880">
        <v>1.1100000000000001</v>
      </c>
      <c r="R3880">
        <v>1.23</v>
      </c>
      <c r="S3880">
        <v>0.85</v>
      </c>
    </row>
    <row r="3881" spans="1:19" x14ac:dyDescent="0.2">
      <c r="A3881" t="s">
        <v>6851</v>
      </c>
      <c r="B3881" t="s">
        <v>6852</v>
      </c>
      <c r="C3881">
        <v>2012</v>
      </c>
      <c r="D3881">
        <v>0</v>
      </c>
      <c r="E3881" t="s">
        <v>21</v>
      </c>
      <c r="F3881" t="s">
        <v>128</v>
      </c>
      <c r="G3881" t="s">
        <v>6624</v>
      </c>
      <c r="H3881">
        <v>1</v>
      </c>
      <c r="I3881">
        <v>4.3780799999999997</v>
      </c>
      <c r="J3881">
        <v>330</v>
      </c>
      <c r="L3881">
        <v>117.5971</v>
      </c>
      <c r="M3881">
        <v>15.805</v>
      </c>
      <c r="N3881">
        <v>0.37</v>
      </c>
      <c r="O3881">
        <v>1.41</v>
      </c>
      <c r="Q3881">
        <v>1.28</v>
      </c>
      <c r="R3881">
        <v>1.86</v>
      </c>
      <c r="S3881">
        <v>0.28000000000000003</v>
      </c>
    </row>
    <row r="3882" spans="1:19" x14ac:dyDescent="0.2">
      <c r="A3882" t="s">
        <v>6853</v>
      </c>
      <c r="B3882" t="s">
        <v>6854</v>
      </c>
      <c r="C3882">
        <v>2012</v>
      </c>
      <c r="D3882">
        <v>0</v>
      </c>
      <c r="E3882" t="s">
        <v>21</v>
      </c>
      <c r="F3882" t="s">
        <v>128</v>
      </c>
      <c r="G3882" t="s">
        <v>6624</v>
      </c>
      <c r="H3882">
        <v>1</v>
      </c>
      <c r="I3882">
        <v>1.5732918</v>
      </c>
      <c r="J3882">
        <v>350</v>
      </c>
      <c r="K3882">
        <v>1.2</v>
      </c>
      <c r="L3882">
        <v>403.94499999999999</v>
      </c>
      <c r="M3882">
        <v>14.247</v>
      </c>
      <c r="N3882">
        <v>1.2709999999999999</v>
      </c>
      <c r="O3882">
        <v>1.2709999999999999</v>
      </c>
      <c r="P3882">
        <v>0.82299999999999995</v>
      </c>
      <c r="Q3882">
        <v>1</v>
      </c>
      <c r="R3882">
        <v>1.06</v>
      </c>
      <c r="S3882">
        <v>1.196</v>
      </c>
    </row>
    <row r="3883" spans="1:19" x14ac:dyDescent="0.2">
      <c r="A3883" t="s">
        <v>6855</v>
      </c>
      <c r="B3883" t="s">
        <v>6856</v>
      </c>
      <c r="C3883">
        <v>2013</v>
      </c>
      <c r="D3883">
        <v>0</v>
      </c>
      <c r="E3883" t="s">
        <v>21</v>
      </c>
      <c r="F3883" t="s">
        <v>128</v>
      </c>
      <c r="G3883" t="s">
        <v>6624</v>
      </c>
      <c r="H3883">
        <v>1</v>
      </c>
      <c r="I3883">
        <v>2.3114243000000001</v>
      </c>
      <c r="J3883">
        <v>310</v>
      </c>
      <c r="K3883">
        <v>8</v>
      </c>
      <c r="L3883">
        <v>492.62</v>
      </c>
      <c r="M3883">
        <v>12.464</v>
      </c>
      <c r="N3883">
        <v>1.55</v>
      </c>
      <c r="O3883">
        <v>1.1120000000000001</v>
      </c>
      <c r="P3883">
        <v>1.5</v>
      </c>
      <c r="Q3883">
        <v>0.93</v>
      </c>
      <c r="R3883">
        <v>1.01</v>
      </c>
      <c r="S3883">
        <v>1.28</v>
      </c>
    </row>
    <row r="3884" spans="1:19" x14ac:dyDescent="0.2">
      <c r="A3884" t="s">
        <v>6857</v>
      </c>
      <c r="B3884" t="s">
        <v>6858</v>
      </c>
      <c r="C3884">
        <v>2012</v>
      </c>
      <c r="D3884">
        <v>0</v>
      </c>
      <c r="E3884" t="s">
        <v>21</v>
      </c>
      <c r="F3884" t="s">
        <v>128</v>
      </c>
      <c r="G3884" t="s">
        <v>6624</v>
      </c>
      <c r="H3884">
        <v>1</v>
      </c>
      <c r="I3884">
        <v>4.0860500000000002</v>
      </c>
      <c r="J3884">
        <v>380</v>
      </c>
      <c r="L3884">
        <v>746.90049999999997</v>
      </c>
      <c r="M3884">
        <v>15.693</v>
      </c>
      <c r="N3884">
        <v>2.35</v>
      </c>
      <c r="O3884">
        <v>1.4</v>
      </c>
      <c r="Q3884">
        <v>1.33</v>
      </c>
      <c r="R3884">
        <v>1.76</v>
      </c>
      <c r="S3884">
        <v>0.34</v>
      </c>
    </row>
    <row r="3885" spans="1:19" x14ac:dyDescent="0.2">
      <c r="A3885" t="s">
        <v>6859</v>
      </c>
      <c r="B3885" t="s">
        <v>6860</v>
      </c>
      <c r="C3885">
        <v>2012</v>
      </c>
      <c r="D3885">
        <v>0</v>
      </c>
      <c r="E3885" t="s">
        <v>21</v>
      </c>
      <c r="F3885" t="s">
        <v>128</v>
      </c>
      <c r="G3885" t="s">
        <v>6624</v>
      </c>
      <c r="H3885">
        <v>1</v>
      </c>
      <c r="I3885">
        <v>4.61442</v>
      </c>
      <c r="J3885">
        <v>225</v>
      </c>
      <c r="L3885">
        <v>136.6669</v>
      </c>
      <c r="M3885">
        <v>12.89</v>
      </c>
      <c r="N3885">
        <v>0.43</v>
      </c>
      <c r="O3885">
        <v>1.1499999999999999</v>
      </c>
      <c r="Q3885">
        <v>0.91</v>
      </c>
      <c r="R3885">
        <v>0.88</v>
      </c>
      <c r="S3885">
        <v>1.88</v>
      </c>
    </row>
    <row r="3886" spans="1:19" x14ac:dyDescent="0.2">
      <c r="A3886" t="s">
        <v>6861</v>
      </c>
      <c r="B3886" t="s">
        <v>6862</v>
      </c>
      <c r="C3886">
        <v>2014</v>
      </c>
      <c r="D3886">
        <v>0</v>
      </c>
      <c r="E3886" t="s">
        <v>21</v>
      </c>
      <c r="F3886" t="s">
        <v>128</v>
      </c>
      <c r="G3886" t="s">
        <v>6624</v>
      </c>
      <c r="H3886">
        <v>1</v>
      </c>
      <c r="I3886">
        <v>5.0842999999999998</v>
      </c>
      <c r="J3886">
        <v>227.87</v>
      </c>
      <c r="L3886">
        <v>343.25639999999999</v>
      </c>
      <c r="M3886">
        <v>14.795999999999999</v>
      </c>
      <c r="N3886">
        <v>1.08</v>
      </c>
      <c r="O3886">
        <v>1.32</v>
      </c>
      <c r="Q3886">
        <v>1.49</v>
      </c>
      <c r="R3886">
        <v>1.79</v>
      </c>
      <c r="S3886">
        <v>0.36</v>
      </c>
    </row>
    <row r="3887" spans="1:19" x14ac:dyDescent="0.2">
      <c r="A3887" t="s">
        <v>6863</v>
      </c>
      <c r="B3887" t="s">
        <v>6864</v>
      </c>
      <c r="C3887">
        <v>2014</v>
      </c>
      <c r="D3887">
        <v>0</v>
      </c>
      <c r="E3887" t="s">
        <v>21</v>
      </c>
      <c r="F3887" t="s">
        <v>128</v>
      </c>
      <c r="G3887" t="s">
        <v>6624</v>
      </c>
      <c r="H3887">
        <v>1</v>
      </c>
      <c r="I3887">
        <v>3.8681399999999999</v>
      </c>
      <c r="J3887">
        <v>50</v>
      </c>
      <c r="L3887">
        <v>92.170699999999997</v>
      </c>
      <c r="M3887">
        <v>12.442</v>
      </c>
      <c r="N3887">
        <v>0.28999999999999998</v>
      </c>
      <c r="O3887">
        <v>1.1100000000000001</v>
      </c>
      <c r="Q3887">
        <v>0.98</v>
      </c>
      <c r="R3887">
        <v>0.86</v>
      </c>
      <c r="S3887">
        <v>2.1800000000000002</v>
      </c>
    </row>
    <row r="3888" spans="1:19" x14ac:dyDescent="0.2">
      <c r="A3888" t="s">
        <v>6865</v>
      </c>
      <c r="B3888" t="s">
        <v>6866</v>
      </c>
      <c r="C3888">
        <v>2008</v>
      </c>
      <c r="D3888">
        <v>0</v>
      </c>
      <c r="E3888" t="s">
        <v>21</v>
      </c>
      <c r="F3888" t="s">
        <v>128</v>
      </c>
      <c r="G3888" t="s">
        <v>6624</v>
      </c>
      <c r="H3888">
        <v>1</v>
      </c>
      <c r="I3888">
        <v>4.9546416000000004</v>
      </c>
      <c r="J3888">
        <v>140</v>
      </c>
      <c r="K3888">
        <v>2.4</v>
      </c>
      <c r="L3888">
        <v>305.11680000000001</v>
      </c>
      <c r="M3888">
        <v>14.907999999999999</v>
      </c>
      <c r="N3888">
        <v>0.96</v>
      </c>
      <c r="O3888">
        <v>1.33</v>
      </c>
      <c r="P3888">
        <v>0.55000000000000004</v>
      </c>
      <c r="Q3888">
        <v>1.28</v>
      </c>
      <c r="R3888">
        <v>1.43</v>
      </c>
      <c r="S3888">
        <v>0.61099999999999999</v>
      </c>
    </row>
    <row r="3889" spans="1:19" x14ac:dyDescent="0.2">
      <c r="A3889" t="s">
        <v>6867</v>
      </c>
      <c r="B3889" t="s">
        <v>6868</v>
      </c>
      <c r="C3889">
        <v>2014</v>
      </c>
      <c r="D3889">
        <v>0</v>
      </c>
      <c r="E3889" t="s">
        <v>21</v>
      </c>
      <c r="F3889" t="s">
        <v>128</v>
      </c>
      <c r="G3889" t="s">
        <v>6624</v>
      </c>
      <c r="H3889">
        <v>1</v>
      </c>
      <c r="I3889">
        <v>3.7130203000000002</v>
      </c>
      <c r="J3889">
        <v>245</v>
      </c>
      <c r="K3889">
        <v>9.5</v>
      </c>
      <c r="L3889">
        <v>187.512</v>
      </c>
      <c r="M3889">
        <v>13.047000000000001</v>
      </c>
      <c r="N3889">
        <v>0.59</v>
      </c>
      <c r="O3889">
        <v>1.1639999999999999</v>
      </c>
      <c r="P3889">
        <v>0.499</v>
      </c>
      <c r="Q3889">
        <v>1.1100000000000001</v>
      </c>
      <c r="R3889">
        <v>1.22</v>
      </c>
      <c r="S3889">
        <v>0.872</v>
      </c>
    </row>
    <row r="3890" spans="1:19" x14ac:dyDescent="0.2">
      <c r="A3890" t="s">
        <v>6869</v>
      </c>
      <c r="B3890" t="s">
        <v>6870</v>
      </c>
      <c r="C3890">
        <v>2012</v>
      </c>
      <c r="D3890">
        <v>0</v>
      </c>
      <c r="E3890" t="s">
        <v>21</v>
      </c>
      <c r="F3890" t="s">
        <v>128</v>
      </c>
      <c r="G3890" t="s">
        <v>6624</v>
      </c>
      <c r="H3890">
        <v>1</v>
      </c>
      <c r="I3890">
        <v>2.90367</v>
      </c>
      <c r="J3890">
        <v>345</v>
      </c>
      <c r="L3890">
        <v>441.78370000000001</v>
      </c>
      <c r="M3890">
        <v>13.227</v>
      </c>
      <c r="N3890">
        <v>1.39</v>
      </c>
      <c r="O3890">
        <v>1.18</v>
      </c>
      <c r="Q3890">
        <v>0.76</v>
      </c>
      <c r="R3890">
        <v>1.82</v>
      </c>
      <c r="S3890">
        <v>0.18</v>
      </c>
    </row>
    <row r="3891" spans="1:19" x14ac:dyDescent="0.2">
      <c r="A3891" t="s">
        <v>6871</v>
      </c>
      <c r="B3891" t="s">
        <v>6872</v>
      </c>
      <c r="C3891">
        <v>2012</v>
      </c>
      <c r="D3891">
        <v>0</v>
      </c>
      <c r="E3891" t="s">
        <v>21</v>
      </c>
      <c r="F3891" t="s">
        <v>128</v>
      </c>
      <c r="G3891" t="s">
        <v>6624</v>
      </c>
      <c r="H3891">
        <v>1</v>
      </c>
      <c r="I3891">
        <v>2.2167300000000001</v>
      </c>
      <c r="J3891">
        <v>340</v>
      </c>
      <c r="L3891">
        <v>731.00900000000001</v>
      </c>
      <c r="M3891">
        <v>14.46</v>
      </c>
      <c r="N3891">
        <v>2.2999999999999998</v>
      </c>
      <c r="O3891">
        <v>1.29</v>
      </c>
      <c r="Q3891">
        <v>2.78</v>
      </c>
      <c r="R3891">
        <v>2.1800000000000002</v>
      </c>
      <c r="S3891">
        <v>0.38</v>
      </c>
    </row>
    <row r="3892" spans="1:19" x14ac:dyDescent="0.2">
      <c r="A3892" t="s">
        <v>6873</v>
      </c>
      <c r="B3892" t="s">
        <v>6874</v>
      </c>
      <c r="C3892">
        <v>2014</v>
      </c>
      <c r="D3892">
        <v>0</v>
      </c>
      <c r="E3892" t="s">
        <v>21</v>
      </c>
      <c r="F3892" t="s">
        <v>128</v>
      </c>
      <c r="G3892" t="s">
        <v>6624</v>
      </c>
      <c r="H3892">
        <v>1</v>
      </c>
      <c r="I3892">
        <v>4.0872200000000003</v>
      </c>
      <c r="J3892">
        <v>319.57</v>
      </c>
      <c r="L3892">
        <v>908.99379999999996</v>
      </c>
      <c r="M3892">
        <v>15.917</v>
      </c>
      <c r="N3892">
        <v>2.86</v>
      </c>
      <c r="O3892">
        <v>1.42</v>
      </c>
      <c r="Q3892">
        <v>2.52</v>
      </c>
      <c r="R3892">
        <v>2.5499999999999998</v>
      </c>
      <c r="S3892">
        <v>0.21</v>
      </c>
    </row>
    <row r="3893" spans="1:19" x14ac:dyDescent="0.2">
      <c r="A3893" t="s">
        <v>6875</v>
      </c>
      <c r="B3893" t="s">
        <v>6876</v>
      </c>
      <c r="C3893">
        <v>2015</v>
      </c>
      <c r="D3893">
        <v>0</v>
      </c>
      <c r="E3893" t="s">
        <v>21</v>
      </c>
      <c r="F3893" t="s">
        <v>128</v>
      </c>
      <c r="G3893" t="s">
        <v>6624</v>
      </c>
      <c r="H3893">
        <v>1</v>
      </c>
      <c r="I3893">
        <v>2.13775</v>
      </c>
      <c r="J3893">
        <v>120</v>
      </c>
      <c r="L3893">
        <v>228.83760000000001</v>
      </c>
      <c r="M3893">
        <v>15.244</v>
      </c>
      <c r="N3893">
        <v>0.72</v>
      </c>
      <c r="O3893">
        <v>1.36</v>
      </c>
      <c r="Q3893">
        <v>0.98</v>
      </c>
      <c r="R3893">
        <v>1.42</v>
      </c>
      <c r="S3893">
        <v>0.48</v>
      </c>
    </row>
    <row r="3894" spans="1:19" x14ac:dyDescent="0.2">
      <c r="A3894" t="s">
        <v>6877</v>
      </c>
      <c r="B3894" t="s">
        <v>6878</v>
      </c>
      <c r="C3894">
        <v>2013</v>
      </c>
      <c r="D3894">
        <v>0</v>
      </c>
      <c r="E3894" t="s">
        <v>21</v>
      </c>
      <c r="F3894" t="s">
        <v>128</v>
      </c>
      <c r="G3894" t="s">
        <v>6624</v>
      </c>
      <c r="H3894">
        <v>1</v>
      </c>
      <c r="I3894">
        <v>2.4841929999999999</v>
      </c>
      <c r="J3894">
        <v>260</v>
      </c>
      <c r="K3894">
        <v>3.5</v>
      </c>
      <c r="L3894">
        <v>340.06</v>
      </c>
      <c r="M3894">
        <v>14.234999999999999</v>
      </c>
      <c r="N3894">
        <v>1.07</v>
      </c>
      <c r="O3894">
        <v>1.27</v>
      </c>
      <c r="P3894">
        <v>0.69</v>
      </c>
      <c r="Q3894">
        <v>1.1399999999999999</v>
      </c>
      <c r="R3894">
        <v>1.26</v>
      </c>
      <c r="S3894">
        <v>0.79</v>
      </c>
    </row>
    <row r="3895" spans="1:19" x14ac:dyDescent="0.2">
      <c r="A3895" t="s">
        <v>6879</v>
      </c>
      <c r="B3895" t="s">
        <v>6880</v>
      </c>
      <c r="C3895">
        <v>2016</v>
      </c>
      <c r="D3895">
        <v>0</v>
      </c>
      <c r="E3895" t="s">
        <v>21</v>
      </c>
      <c r="F3895" t="s">
        <v>128</v>
      </c>
      <c r="G3895" t="s">
        <v>6624</v>
      </c>
      <c r="H3895">
        <v>1</v>
      </c>
      <c r="I3895">
        <v>1.8098860000000001</v>
      </c>
      <c r="J3895">
        <v>120</v>
      </c>
      <c r="K3895">
        <v>5.3</v>
      </c>
      <c r="L3895">
        <v>292.40359999999998</v>
      </c>
      <c r="M3895">
        <v>20.512</v>
      </c>
      <c r="N3895">
        <v>0.92</v>
      </c>
      <c r="O3895">
        <v>1.83</v>
      </c>
      <c r="P3895">
        <v>0.20100000000000001</v>
      </c>
      <c r="Q3895">
        <v>1.46</v>
      </c>
      <c r="R3895">
        <v>1.73</v>
      </c>
      <c r="S3895">
        <v>0.40300000000000002</v>
      </c>
    </row>
    <row r="3896" spans="1:19" x14ac:dyDescent="0.2">
      <c r="A3896" t="s">
        <v>6881</v>
      </c>
      <c r="B3896" t="s">
        <v>6882</v>
      </c>
      <c r="C3896">
        <v>2012</v>
      </c>
      <c r="D3896">
        <v>0</v>
      </c>
      <c r="E3896" t="s">
        <v>21</v>
      </c>
      <c r="F3896" t="s">
        <v>128</v>
      </c>
      <c r="G3896" t="s">
        <v>6624</v>
      </c>
      <c r="H3896">
        <v>1</v>
      </c>
      <c r="I3896">
        <v>1.3600300000000001</v>
      </c>
      <c r="J3896">
        <v>93</v>
      </c>
      <c r="L3896">
        <v>727.83069999999998</v>
      </c>
      <c r="M3896">
        <v>15.468</v>
      </c>
      <c r="N3896">
        <v>2.29</v>
      </c>
      <c r="O3896">
        <v>1.38</v>
      </c>
      <c r="Q3896">
        <v>1.49</v>
      </c>
      <c r="R3896">
        <v>1.0900000000000001</v>
      </c>
      <c r="S3896">
        <v>1.64</v>
      </c>
    </row>
    <row r="3897" spans="1:19" x14ac:dyDescent="0.2">
      <c r="A3897" t="s">
        <v>6883</v>
      </c>
      <c r="B3897" t="s">
        <v>6884</v>
      </c>
      <c r="C3897">
        <v>2012</v>
      </c>
      <c r="D3897">
        <v>0</v>
      </c>
      <c r="E3897" t="s">
        <v>21</v>
      </c>
      <c r="F3897" t="s">
        <v>128</v>
      </c>
      <c r="G3897" t="s">
        <v>6624</v>
      </c>
      <c r="H3897">
        <v>1</v>
      </c>
      <c r="I3897">
        <v>2.1751800000000001</v>
      </c>
      <c r="J3897">
        <v>550</v>
      </c>
      <c r="L3897">
        <v>352.79129999999998</v>
      </c>
      <c r="M3897">
        <v>21.632999999999999</v>
      </c>
      <c r="N3897">
        <v>1.1100000000000001</v>
      </c>
      <c r="O3897">
        <v>1.93</v>
      </c>
      <c r="Q3897">
        <v>1.87</v>
      </c>
      <c r="R3897">
        <v>2.46</v>
      </c>
      <c r="S3897">
        <v>0.18</v>
      </c>
    </row>
    <row r="3898" spans="1:19" x14ac:dyDescent="0.2">
      <c r="A3898" t="s">
        <v>6885</v>
      </c>
      <c r="B3898" t="s">
        <v>6886</v>
      </c>
      <c r="C3898">
        <v>2012</v>
      </c>
      <c r="D3898">
        <v>0</v>
      </c>
      <c r="E3898" t="s">
        <v>21</v>
      </c>
      <c r="F3898" t="s">
        <v>128</v>
      </c>
      <c r="G3898" t="s">
        <v>6624</v>
      </c>
      <c r="H3898">
        <v>1</v>
      </c>
      <c r="I3898">
        <v>3.6623800000000002</v>
      </c>
      <c r="J3898">
        <v>240</v>
      </c>
      <c r="L3898">
        <v>270.15550000000002</v>
      </c>
      <c r="M3898">
        <v>18.719000000000001</v>
      </c>
      <c r="N3898">
        <v>0.85</v>
      </c>
      <c r="O3898">
        <v>1.67</v>
      </c>
      <c r="Q3898">
        <v>1.43</v>
      </c>
      <c r="R3898">
        <v>1.6</v>
      </c>
      <c r="S3898">
        <v>0.49</v>
      </c>
    </row>
    <row r="3899" spans="1:19" x14ac:dyDescent="0.2">
      <c r="A3899" t="s">
        <v>6887</v>
      </c>
      <c r="B3899" t="s">
        <v>6888</v>
      </c>
      <c r="C3899">
        <v>2010</v>
      </c>
      <c r="D3899">
        <v>0</v>
      </c>
      <c r="E3899" t="s">
        <v>21</v>
      </c>
      <c r="F3899" t="s">
        <v>128</v>
      </c>
      <c r="G3899" t="s">
        <v>6624</v>
      </c>
      <c r="H3899">
        <v>2</v>
      </c>
      <c r="I3899">
        <v>8.1587200000000006</v>
      </c>
      <c r="J3899">
        <v>87</v>
      </c>
      <c r="L3899">
        <v>807.28819999999996</v>
      </c>
      <c r="M3899">
        <v>12.666</v>
      </c>
      <c r="N3899">
        <v>2.54</v>
      </c>
      <c r="O3899">
        <v>1.1299999999999999</v>
      </c>
      <c r="Q3899">
        <v>1.34</v>
      </c>
      <c r="R3899">
        <v>1.03</v>
      </c>
      <c r="S3899">
        <v>1.74</v>
      </c>
    </row>
    <row r="3900" spans="1:19" x14ac:dyDescent="0.2">
      <c r="A3900" t="s">
        <v>6887</v>
      </c>
      <c r="B3900" t="s">
        <v>6889</v>
      </c>
      <c r="C3900">
        <v>2013</v>
      </c>
      <c r="D3900">
        <v>0</v>
      </c>
      <c r="E3900" t="s">
        <v>21</v>
      </c>
      <c r="F3900" t="s">
        <v>22</v>
      </c>
      <c r="G3900" t="s">
        <v>6624</v>
      </c>
      <c r="H3900">
        <v>2</v>
      </c>
      <c r="I3900">
        <v>4323</v>
      </c>
      <c r="J3900">
        <v>87</v>
      </c>
      <c r="N3900">
        <v>9.4499999999999993</v>
      </c>
      <c r="Q3900">
        <v>1.34</v>
      </c>
      <c r="R3900">
        <v>1.03</v>
      </c>
      <c r="S3900">
        <v>1.74</v>
      </c>
    </row>
    <row r="3901" spans="1:19" x14ac:dyDescent="0.2">
      <c r="A3901" t="s">
        <v>6890</v>
      </c>
      <c r="B3901" t="s">
        <v>6891</v>
      </c>
      <c r="C3901">
        <v>2012</v>
      </c>
      <c r="D3901">
        <v>0</v>
      </c>
      <c r="E3901" t="s">
        <v>21</v>
      </c>
      <c r="F3901" t="s">
        <v>128</v>
      </c>
      <c r="G3901" t="s">
        <v>6624</v>
      </c>
      <c r="H3901">
        <v>1</v>
      </c>
      <c r="I3901">
        <v>3.06785234</v>
      </c>
      <c r="J3901">
        <v>60</v>
      </c>
      <c r="L3901">
        <v>170.99253999999999</v>
      </c>
      <c r="M3901">
        <v>11.198</v>
      </c>
      <c r="N3901">
        <v>0.53800000000000003</v>
      </c>
      <c r="O3901">
        <v>0.999</v>
      </c>
      <c r="P3901">
        <v>0.71699999999999997</v>
      </c>
      <c r="Q3901">
        <v>0.57999999999999996</v>
      </c>
      <c r="R3901">
        <v>0.59</v>
      </c>
      <c r="S3901">
        <v>4.05</v>
      </c>
    </row>
    <row r="3902" spans="1:19" x14ac:dyDescent="0.2">
      <c r="A3902" t="s">
        <v>6892</v>
      </c>
      <c r="B3902" t="s">
        <v>6893</v>
      </c>
      <c r="C3902">
        <v>2017</v>
      </c>
      <c r="D3902">
        <v>0</v>
      </c>
      <c r="E3902" t="s">
        <v>21</v>
      </c>
      <c r="F3902" t="s">
        <v>128</v>
      </c>
      <c r="G3902" t="s">
        <v>1159</v>
      </c>
      <c r="H3902">
        <v>1</v>
      </c>
      <c r="I3902">
        <v>2.7164761999999998</v>
      </c>
      <c r="J3902">
        <v>402.96</v>
      </c>
      <c r="L3902">
        <v>231.69807</v>
      </c>
      <c r="M3902">
        <v>16.018000000000001</v>
      </c>
      <c r="N3902">
        <v>0.72899999999999998</v>
      </c>
      <c r="O3902">
        <v>1.429</v>
      </c>
      <c r="P3902">
        <v>0.33200000000000002</v>
      </c>
      <c r="Q3902">
        <v>1.08</v>
      </c>
      <c r="R3902">
        <v>1.28</v>
      </c>
      <c r="S3902">
        <v>0.72299999999999998</v>
      </c>
    </row>
    <row r="3903" spans="1:19" x14ac:dyDescent="0.2">
      <c r="A3903" t="s">
        <v>6894</v>
      </c>
      <c r="B3903" t="s">
        <v>6895</v>
      </c>
      <c r="C3903">
        <v>2015</v>
      </c>
      <c r="D3903">
        <v>0</v>
      </c>
      <c r="E3903" t="s">
        <v>21</v>
      </c>
      <c r="F3903" t="s">
        <v>128</v>
      </c>
      <c r="G3903" t="s">
        <v>6624</v>
      </c>
      <c r="H3903">
        <v>1</v>
      </c>
      <c r="I3903">
        <v>2.7057899999999999</v>
      </c>
      <c r="J3903">
        <v>200</v>
      </c>
      <c r="L3903">
        <v>371.86110000000002</v>
      </c>
      <c r="M3903">
        <v>18.158999999999999</v>
      </c>
      <c r="N3903">
        <v>1.17</v>
      </c>
      <c r="O3903">
        <v>1.62</v>
      </c>
      <c r="Q3903">
        <v>1.48</v>
      </c>
      <c r="R3903">
        <v>2.1</v>
      </c>
      <c r="S3903">
        <v>0.22</v>
      </c>
    </row>
    <row r="3904" spans="1:19" x14ac:dyDescent="0.2">
      <c r="A3904" t="s">
        <v>6896</v>
      </c>
      <c r="B3904" t="s">
        <v>6897</v>
      </c>
      <c r="C3904">
        <v>2015</v>
      </c>
      <c r="D3904">
        <v>0</v>
      </c>
      <c r="E3904" t="s">
        <v>21</v>
      </c>
      <c r="F3904" t="s">
        <v>128</v>
      </c>
      <c r="G3904" t="s">
        <v>6624</v>
      </c>
      <c r="H3904">
        <v>1</v>
      </c>
      <c r="I3904">
        <v>4.9712519999999998</v>
      </c>
      <c r="J3904">
        <v>300</v>
      </c>
      <c r="K3904">
        <v>5</v>
      </c>
      <c r="L3904">
        <v>95.349000000000004</v>
      </c>
      <c r="M3904">
        <v>11.657</v>
      </c>
      <c r="N3904">
        <v>0.3</v>
      </c>
      <c r="O3904">
        <v>1.04</v>
      </c>
      <c r="P3904">
        <v>0.35</v>
      </c>
      <c r="Q3904">
        <v>1.1100000000000001</v>
      </c>
      <c r="R3904">
        <v>1.05</v>
      </c>
      <c r="S3904">
        <v>1.4</v>
      </c>
    </row>
    <row r="3905" spans="1:19" x14ac:dyDescent="0.2">
      <c r="A3905" t="s">
        <v>6898</v>
      </c>
      <c r="B3905" t="s">
        <v>6899</v>
      </c>
      <c r="C3905">
        <v>2014</v>
      </c>
      <c r="D3905">
        <v>0</v>
      </c>
      <c r="E3905" t="s">
        <v>21</v>
      </c>
      <c r="F3905" t="s">
        <v>128</v>
      </c>
      <c r="G3905" t="s">
        <v>6624</v>
      </c>
      <c r="H3905">
        <v>1</v>
      </c>
      <c r="I3905">
        <v>8.5234865000000006</v>
      </c>
      <c r="J3905">
        <v>125</v>
      </c>
      <c r="K3905">
        <v>1</v>
      </c>
      <c r="L3905">
        <v>220.565</v>
      </c>
      <c r="M3905">
        <v>10.558999999999999</v>
      </c>
      <c r="N3905">
        <v>0.69399999999999995</v>
      </c>
      <c r="O3905">
        <v>0.94199999999999995</v>
      </c>
      <c r="P3905">
        <v>1.1040000000000001</v>
      </c>
      <c r="Q3905">
        <v>0.84</v>
      </c>
      <c r="R3905">
        <v>0.75</v>
      </c>
      <c r="S3905">
        <v>2.839</v>
      </c>
    </row>
    <row r="3906" spans="1:19" x14ac:dyDescent="0.2">
      <c r="A3906" t="s">
        <v>6900</v>
      </c>
      <c r="B3906" t="s">
        <v>6901</v>
      </c>
      <c r="C3906">
        <v>2016</v>
      </c>
      <c r="D3906">
        <v>0</v>
      </c>
      <c r="E3906" t="s">
        <v>55</v>
      </c>
      <c r="F3906" t="s">
        <v>128</v>
      </c>
      <c r="G3906" t="s">
        <v>129</v>
      </c>
      <c r="H3906">
        <v>1</v>
      </c>
      <c r="I3906">
        <v>2.6556777</v>
      </c>
      <c r="J3906">
        <v>142.46</v>
      </c>
      <c r="L3906">
        <v>402.05495000000002</v>
      </c>
      <c r="M3906">
        <v>13.898999999999999</v>
      </c>
      <c r="N3906">
        <v>1.2649999999999999</v>
      </c>
      <c r="O3906">
        <v>1.24</v>
      </c>
      <c r="P3906">
        <v>0.88</v>
      </c>
      <c r="Q3906">
        <v>1.0900000000000001</v>
      </c>
      <c r="R3906">
        <v>0.94</v>
      </c>
      <c r="S3906">
        <v>1.875</v>
      </c>
    </row>
    <row r="3907" spans="1:19" x14ac:dyDescent="0.2">
      <c r="A3907" t="s">
        <v>6902</v>
      </c>
      <c r="B3907" t="s">
        <v>6903</v>
      </c>
      <c r="C3907">
        <v>2014</v>
      </c>
      <c r="D3907">
        <v>0</v>
      </c>
      <c r="E3907" t="s">
        <v>21</v>
      </c>
      <c r="F3907" t="s">
        <v>128</v>
      </c>
      <c r="G3907" t="s">
        <v>6624</v>
      </c>
      <c r="H3907">
        <v>1</v>
      </c>
      <c r="I3907">
        <v>4.9539999999999997</v>
      </c>
      <c r="J3907">
        <v>531.61</v>
      </c>
      <c r="L3907">
        <v>133.48859999999999</v>
      </c>
      <c r="M3907">
        <v>16.364999999999998</v>
      </c>
      <c r="N3907">
        <v>0.42</v>
      </c>
      <c r="O3907">
        <v>1.46</v>
      </c>
      <c r="Q3907">
        <v>0.94</v>
      </c>
      <c r="R3907">
        <v>1.8</v>
      </c>
      <c r="S3907">
        <v>0.23</v>
      </c>
    </row>
    <row r="3908" spans="1:19" x14ac:dyDescent="0.2">
      <c r="A3908" t="s">
        <v>6904</v>
      </c>
      <c r="B3908" t="s">
        <v>6905</v>
      </c>
      <c r="C3908">
        <v>2015</v>
      </c>
      <c r="D3908">
        <v>0</v>
      </c>
      <c r="E3908" t="s">
        <v>21</v>
      </c>
      <c r="F3908" t="s">
        <v>128</v>
      </c>
      <c r="G3908" t="s">
        <v>6624</v>
      </c>
      <c r="H3908">
        <v>1</v>
      </c>
      <c r="I3908">
        <v>3.3564227</v>
      </c>
      <c r="J3908">
        <v>293.38</v>
      </c>
      <c r="K3908">
        <v>1.3</v>
      </c>
      <c r="L3908">
        <v>1875.1969999999999</v>
      </c>
      <c r="M3908">
        <v>11.657</v>
      </c>
      <c r="N3908">
        <v>5.9</v>
      </c>
      <c r="O3908">
        <v>1.04</v>
      </c>
      <c r="P3908">
        <v>7</v>
      </c>
      <c r="Q3908">
        <v>0.92</v>
      </c>
      <c r="R3908">
        <v>0.88</v>
      </c>
      <c r="S3908">
        <v>1.92</v>
      </c>
    </row>
    <row r="3909" spans="1:19" x14ac:dyDescent="0.2">
      <c r="A3909" t="s">
        <v>6906</v>
      </c>
      <c r="B3909" t="s">
        <v>6907</v>
      </c>
      <c r="C3909">
        <v>2016</v>
      </c>
      <c r="D3909">
        <v>0</v>
      </c>
      <c r="E3909" t="s">
        <v>21</v>
      </c>
      <c r="F3909" t="s">
        <v>128</v>
      </c>
      <c r="G3909" t="s">
        <v>6624</v>
      </c>
      <c r="H3909">
        <v>1</v>
      </c>
      <c r="I3909">
        <v>3.9162430000000001</v>
      </c>
      <c r="J3909">
        <v>340</v>
      </c>
      <c r="K3909">
        <v>4.4000000000000004</v>
      </c>
      <c r="L3909">
        <v>200.2329</v>
      </c>
      <c r="M3909">
        <v>18.271000000000001</v>
      </c>
      <c r="N3909">
        <v>0.63</v>
      </c>
      <c r="O3909">
        <v>1.63</v>
      </c>
      <c r="P3909">
        <v>0.193</v>
      </c>
      <c r="Q3909">
        <v>1.55</v>
      </c>
      <c r="R3909">
        <v>1.98</v>
      </c>
      <c r="S3909">
        <v>0.28000000000000003</v>
      </c>
    </row>
    <row r="3910" spans="1:19" x14ac:dyDescent="0.2">
      <c r="A3910" t="s">
        <v>6908</v>
      </c>
      <c r="B3910" t="s">
        <v>6909</v>
      </c>
      <c r="C3910">
        <v>2017</v>
      </c>
      <c r="D3910">
        <v>0</v>
      </c>
      <c r="E3910" t="s">
        <v>21</v>
      </c>
      <c r="F3910" t="s">
        <v>128</v>
      </c>
      <c r="G3910" s="2" t="s">
        <v>2271</v>
      </c>
      <c r="H3910">
        <v>1</v>
      </c>
      <c r="I3910">
        <v>2.798581</v>
      </c>
      <c r="J3910">
        <v>150.59</v>
      </c>
      <c r="L3910">
        <v>425.8922</v>
      </c>
      <c r="M3910">
        <v>11.545</v>
      </c>
      <c r="N3910">
        <v>1.34</v>
      </c>
      <c r="O3910">
        <v>1.03</v>
      </c>
      <c r="P3910">
        <v>1.59</v>
      </c>
      <c r="Q3910">
        <v>0.84</v>
      </c>
      <c r="R3910">
        <v>0.86</v>
      </c>
      <c r="S3910">
        <v>1.83</v>
      </c>
    </row>
    <row r="3911" spans="1:19" x14ac:dyDescent="0.2">
      <c r="A3911" t="s">
        <v>6910</v>
      </c>
      <c r="B3911" t="s">
        <v>6911</v>
      </c>
      <c r="C3911">
        <v>2016</v>
      </c>
      <c r="D3911">
        <v>0</v>
      </c>
      <c r="E3911" t="s">
        <v>21</v>
      </c>
      <c r="F3911" t="s">
        <v>128</v>
      </c>
      <c r="G3911" t="s">
        <v>6624</v>
      </c>
      <c r="H3911">
        <v>1</v>
      </c>
      <c r="I3911">
        <v>2.1746742000000001</v>
      </c>
      <c r="J3911">
        <v>530</v>
      </c>
      <c r="K3911">
        <v>2.29</v>
      </c>
      <c r="L3911">
        <v>255.85315</v>
      </c>
      <c r="M3911">
        <v>16.376000000000001</v>
      </c>
      <c r="N3911">
        <v>0.80500000000000005</v>
      </c>
      <c r="O3911">
        <v>1.4610000000000001</v>
      </c>
      <c r="P3911">
        <v>0.34599999999999997</v>
      </c>
      <c r="Q3911">
        <v>1.19</v>
      </c>
      <c r="R3911">
        <v>1.34</v>
      </c>
      <c r="S3911">
        <v>0.69699999999999995</v>
      </c>
    </row>
    <row r="3912" spans="1:19" x14ac:dyDescent="0.2">
      <c r="A3912" t="s">
        <v>6912</v>
      </c>
      <c r="B3912" t="s">
        <v>6913</v>
      </c>
      <c r="C3912">
        <v>2016</v>
      </c>
      <c r="D3912">
        <v>0</v>
      </c>
      <c r="E3912" t="s">
        <v>21</v>
      </c>
      <c r="F3912" t="s">
        <v>128</v>
      </c>
      <c r="G3912" t="s">
        <v>6624</v>
      </c>
      <c r="H3912">
        <v>1</v>
      </c>
      <c r="I3912">
        <v>2.7325320999999998</v>
      </c>
      <c r="J3912">
        <v>250</v>
      </c>
      <c r="K3912">
        <v>0.7</v>
      </c>
      <c r="L3912">
        <v>467.21010000000001</v>
      </c>
      <c r="M3912">
        <v>17.901</v>
      </c>
      <c r="N3912">
        <v>1.47</v>
      </c>
      <c r="O3912">
        <v>1.597</v>
      </c>
      <c r="P3912">
        <v>0.47899999999999998</v>
      </c>
      <c r="Q3912">
        <v>1.33</v>
      </c>
      <c r="R3912">
        <v>1.52</v>
      </c>
      <c r="S3912">
        <v>0.53</v>
      </c>
    </row>
    <row r="3913" spans="1:19" x14ac:dyDescent="0.2">
      <c r="A3913" t="s">
        <v>6914</v>
      </c>
      <c r="B3913" t="s">
        <v>6915</v>
      </c>
      <c r="C3913">
        <v>2014</v>
      </c>
      <c r="D3913">
        <v>0</v>
      </c>
      <c r="E3913" t="s">
        <v>21</v>
      </c>
      <c r="F3913" t="s">
        <v>128</v>
      </c>
      <c r="G3913" t="s">
        <v>6624</v>
      </c>
      <c r="H3913">
        <v>1</v>
      </c>
      <c r="I3913">
        <v>3.9501900000000001</v>
      </c>
      <c r="J3913">
        <v>180</v>
      </c>
      <c r="L3913">
        <v>158.91499999999999</v>
      </c>
      <c r="M3913">
        <v>17.71</v>
      </c>
      <c r="N3913">
        <v>0.5</v>
      </c>
      <c r="O3913">
        <v>1.58</v>
      </c>
      <c r="Q3913">
        <v>1.67</v>
      </c>
      <c r="R3913">
        <v>1.48</v>
      </c>
      <c r="S3913">
        <v>0.73</v>
      </c>
    </row>
    <row r="3914" spans="1:19" x14ac:dyDescent="0.2">
      <c r="A3914" t="s">
        <v>6916</v>
      </c>
      <c r="B3914" t="s">
        <v>6917</v>
      </c>
      <c r="C3914">
        <v>2014</v>
      </c>
      <c r="D3914">
        <v>0</v>
      </c>
      <c r="E3914" t="s">
        <v>21</v>
      </c>
      <c r="F3914" t="s">
        <v>22</v>
      </c>
      <c r="G3914" t="s">
        <v>6624</v>
      </c>
      <c r="H3914">
        <v>1</v>
      </c>
      <c r="I3914">
        <v>2.0083899999999999</v>
      </c>
      <c r="J3914">
        <v>180</v>
      </c>
      <c r="K3914">
        <v>4</v>
      </c>
      <c r="N3914">
        <v>0.61799999999999999</v>
      </c>
      <c r="Q3914">
        <v>1.24</v>
      </c>
      <c r="R3914">
        <v>1.35</v>
      </c>
    </row>
    <row r="3915" spans="1:19" x14ac:dyDescent="0.2">
      <c r="A3915" t="s">
        <v>6918</v>
      </c>
      <c r="B3915" t="s">
        <v>6919</v>
      </c>
      <c r="C3915">
        <v>2014</v>
      </c>
      <c r="D3915">
        <v>0</v>
      </c>
      <c r="E3915" t="s">
        <v>21</v>
      </c>
      <c r="F3915" t="s">
        <v>128</v>
      </c>
      <c r="G3915" t="s">
        <v>6624</v>
      </c>
      <c r="H3915">
        <v>1</v>
      </c>
      <c r="I3915">
        <v>2.1846700000000001</v>
      </c>
      <c r="J3915">
        <v>138.09</v>
      </c>
      <c r="L3915">
        <v>457.67520000000002</v>
      </c>
      <c r="M3915">
        <v>13.787000000000001</v>
      </c>
      <c r="N3915">
        <v>1.44</v>
      </c>
      <c r="O3915">
        <v>1.23</v>
      </c>
      <c r="Q3915">
        <v>1.46</v>
      </c>
      <c r="R3915">
        <v>1.23</v>
      </c>
      <c r="S3915">
        <v>1.0900000000000001</v>
      </c>
    </row>
    <row r="3916" spans="1:19" x14ac:dyDescent="0.2">
      <c r="A3916" t="s">
        <v>6920</v>
      </c>
      <c r="B3916" t="s">
        <v>6921</v>
      </c>
      <c r="C3916">
        <v>2014</v>
      </c>
      <c r="D3916">
        <v>0</v>
      </c>
      <c r="E3916" t="s">
        <v>21</v>
      </c>
      <c r="F3916" t="s">
        <v>128</v>
      </c>
      <c r="G3916" t="s">
        <v>6624</v>
      </c>
      <c r="H3916">
        <v>1</v>
      </c>
      <c r="I3916">
        <v>3.4252601999999999</v>
      </c>
      <c r="J3916">
        <v>356.02</v>
      </c>
      <c r="K3916">
        <v>8</v>
      </c>
      <c r="L3916">
        <v>152.55000000000001</v>
      </c>
      <c r="M3916">
        <v>13.45</v>
      </c>
      <c r="N3916">
        <v>0.48</v>
      </c>
      <c r="O3916">
        <v>1.2</v>
      </c>
      <c r="P3916">
        <v>0.37</v>
      </c>
      <c r="Q3916">
        <v>1.06</v>
      </c>
      <c r="R3916">
        <v>1.05</v>
      </c>
      <c r="S3916">
        <v>1.2989999999999999</v>
      </c>
    </row>
    <row r="3917" spans="1:19" x14ac:dyDescent="0.2">
      <c r="A3917" t="s">
        <v>6922</v>
      </c>
      <c r="B3917" t="s">
        <v>6923</v>
      </c>
      <c r="C3917">
        <v>2014</v>
      </c>
      <c r="D3917">
        <v>0</v>
      </c>
      <c r="E3917" t="s">
        <v>21</v>
      </c>
      <c r="F3917" t="s">
        <v>128</v>
      </c>
      <c r="G3917" t="s">
        <v>6624</v>
      </c>
      <c r="H3917">
        <v>1</v>
      </c>
      <c r="I3917">
        <v>2.0727600000000002</v>
      </c>
      <c r="J3917">
        <v>151.72999999999999</v>
      </c>
      <c r="L3917">
        <v>432.24880000000002</v>
      </c>
      <c r="M3917">
        <v>12.778</v>
      </c>
      <c r="N3917">
        <v>1.36</v>
      </c>
      <c r="O3917">
        <v>1.1399999999999999</v>
      </c>
      <c r="Q3917">
        <v>1.18</v>
      </c>
      <c r="R3917">
        <v>1.08</v>
      </c>
      <c r="S3917">
        <v>1.34</v>
      </c>
    </row>
    <row r="3918" spans="1:19" x14ac:dyDescent="0.2">
      <c r="A3918" t="s">
        <v>6924</v>
      </c>
      <c r="B3918" t="s">
        <v>6925</v>
      </c>
      <c r="C3918">
        <v>2014</v>
      </c>
      <c r="D3918">
        <v>0</v>
      </c>
      <c r="E3918" t="s">
        <v>21</v>
      </c>
      <c r="F3918" t="s">
        <v>128</v>
      </c>
      <c r="G3918" t="s">
        <v>6624</v>
      </c>
      <c r="H3918">
        <v>1</v>
      </c>
      <c r="I3918">
        <v>2.96264036</v>
      </c>
      <c r="J3918">
        <v>284.05</v>
      </c>
      <c r="K3918">
        <v>2.7</v>
      </c>
      <c r="L3918">
        <v>293.03926000000001</v>
      </c>
      <c r="M3918">
        <v>12.823</v>
      </c>
      <c r="N3918">
        <v>0.92200000000000004</v>
      </c>
      <c r="O3918">
        <v>1.1439999999999999</v>
      </c>
      <c r="P3918">
        <v>0.76400000000000001</v>
      </c>
      <c r="Q3918">
        <v>0.81</v>
      </c>
      <c r="R3918">
        <v>0.74</v>
      </c>
      <c r="S3918">
        <v>2.8010000000000002</v>
      </c>
    </row>
    <row r="3919" spans="1:19" x14ac:dyDescent="0.2">
      <c r="A3919" t="s">
        <v>6926</v>
      </c>
      <c r="B3919" t="s">
        <v>6927</v>
      </c>
      <c r="C3919">
        <v>2014</v>
      </c>
      <c r="D3919">
        <v>0</v>
      </c>
      <c r="E3919" t="s">
        <v>21</v>
      </c>
      <c r="F3919" t="s">
        <v>128</v>
      </c>
      <c r="G3919" t="s">
        <v>6624</v>
      </c>
      <c r="H3919">
        <v>1</v>
      </c>
      <c r="I3919">
        <v>5.75251</v>
      </c>
      <c r="J3919">
        <v>159.38999999999999</v>
      </c>
      <c r="L3919">
        <v>772.32690000000002</v>
      </c>
      <c r="M3919">
        <v>11.433</v>
      </c>
      <c r="N3919">
        <v>2.4300000000000002</v>
      </c>
      <c r="O3919">
        <v>1.02</v>
      </c>
      <c r="Q3919">
        <v>1.21</v>
      </c>
      <c r="R3919">
        <v>1.64</v>
      </c>
      <c r="S3919">
        <v>0.39</v>
      </c>
    </row>
    <row r="3920" spans="1:19" x14ac:dyDescent="0.2">
      <c r="A3920" t="s">
        <v>6928</v>
      </c>
      <c r="B3920" t="s">
        <v>6929</v>
      </c>
      <c r="C3920">
        <v>2011</v>
      </c>
      <c r="D3920">
        <v>0</v>
      </c>
      <c r="E3920" t="s">
        <v>55</v>
      </c>
      <c r="F3920" t="s">
        <v>40</v>
      </c>
      <c r="G3920" t="s">
        <v>239</v>
      </c>
      <c r="H3920">
        <v>1</v>
      </c>
      <c r="J3920">
        <v>19.2</v>
      </c>
      <c r="K3920">
        <v>1.5</v>
      </c>
      <c r="L3920">
        <v>2383.6</v>
      </c>
      <c r="N3920">
        <v>7.5</v>
      </c>
      <c r="Q3920">
        <v>0.62</v>
      </c>
    </row>
    <row r="3921" spans="1:19" x14ac:dyDescent="0.2">
      <c r="A3921" t="s">
        <v>6930</v>
      </c>
      <c r="B3921" t="s">
        <v>6931</v>
      </c>
      <c r="C3921">
        <v>2012</v>
      </c>
      <c r="D3921">
        <v>0</v>
      </c>
      <c r="E3921" t="s">
        <v>21</v>
      </c>
      <c r="F3921" t="s">
        <v>40</v>
      </c>
      <c r="G3921" t="s">
        <v>32</v>
      </c>
      <c r="H3921">
        <v>1</v>
      </c>
      <c r="J3921">
        <v>10.1</v>
      </c>
      <c r="K3921">
        <v>6</v>
      </c>
      <c r="L3921">
        <v>6992</v>
      </c>
      <c r="M3921">
        <v>10.468</v>
      </c>
      <c r="N3921">
        <v>22</v>
      </c>
      <c r="O3921">
        <v>0.93400000000000005</v>
      </c>
      <c r="Q3921">
        <v>0.03</v>
      </c>
      <c r="R3921">
        <v>0.09</v>
      </c>
    </row>
    <row r="3922" spans="1:19" x14ac:dyDescent="0.2">
      <c r="A3922" t="s">
        <v>6932</v>
      </c>
      <c r="B3922" t="s">
        <v>6933</v>
      </c>
      <c r="C3922">
        <v>2012</v>
      </c>
      <c r="D3922">
        <v>0</v>
      </c>
      <c r="E3922" t="s">
        <v>21</v>
      </c>
      <c r="F3922" t="s">
        <v>128</v>
      </c>
      <c r="G3922" t="s">
        <v>6934</v>
      </c>
      <c r="H3922">
        <v>1</v>
      </c>
      <c r="I3922">
        <v>3.3520569999999998</v>
      </c>
      <c r="J3922">
        <v>3200</v>
      </c>
      <c r="K3922">
        <v>2.5499999999999998</v>
      </c>
      <c r="L3922">
        <v>1274.44</v>
      </c>
      <c r="M3922">
        <v>16.7</v>
      </c>
      <c r="N3922">
        <v>4.01</v>
      </c>
      <c r="O3922">
        <v>1.49</v>
      </c>
      <c r="P3922">
        <v>1.61</v>
      </c>
      <c r="Q3922">
        <v>1.2</v>
      </c>
      <c r="R3922">
        <v>1.1499999999999999</v>
      </c>
      <c r="S3922">
        <v>1.1129</v>
      </c>
    </row>
    <row r="3923" spans="1:19" x14ac:dyDescent="0.2">
      <c r="A3923" t="s">
        <v>6935</v>
      </c>
      <c r="B3923" t="s">
        <v>6936</v>
      </c>
      <c r="C3923">
        <v>2014</v>
      </c>
      <c r="D3923">
        <v>0</v>
      </c>
      <c r="E3923" t="s">
        <v>21</v>
      </c>
      <c r="F3923" t="s">
        <v>128</v>
      </c>
      <c r="G3923" t="s">
        <v>6934</v>
      </c>
      <c r="H3923">
        <v>1</v>
      </c>
      <c r="I3923">
        <v>1.0187067999999999</v>
      </c>
      <c r="J3923">
        <v>1000</v>
      </c>
      <c r="K3923">
        <v>0.6</v>
      </c>
      <c r="L3923">
        <v>355.96960000000001</v>
      </c>
      <c r="M3923">
        <v>15.278</v>
      </c>
      <c r="N3923">
        <v>1.1200000000000001</v>
      </c>
      <c r="O3923">
        <v>1.363</v>
      </c>
      <c r="P3923">
        <v>0.54</v>
      </c>
      <c r="Q3923">
        <v>0.82</v>
      </c>
      <c r="R3923">
        <v>0.75</v>
      </c>
      <c r="S3923">
        <v>2.72</v>
      </c>
    </row>
    <row r="3924" spans="1:19" x14ac:dyDescent="0.2">
      <c r="A3924" t="s">
        <v>6937</v>
      </c>
      <c r="B3924" t="s">
        <v>6938</v>
      </c>
      <c r="C3924">
        <v>2015</v>
      </c>
      <c r="D3924">
        <v>0</v>
      </c>
      <c r="E3924" t="s">
        <v>21</v>
      </c>
      <c r="F3924" t="s">
        <v>22</v>
      </c>
      <c r="G3924" t="s">
        <v>138</v>
      </c>
      <c r="H3924">
        <v>3</v>
      </c>
      <c r="I3924">
        <v>4.8868999999999998</v>
      </c>
      <c r="J3924">
        <v>4.3099999999999996</v>
      </c>
      <c r="N3924">
        <v>6.0099999999999997E-3</v>
      </c>
      <c r="Q3924">
        <v>0.28999999999999998</v>
      </c>
      <c r="R3924">
        <v>0.31</v>
      </c>
    </row>
    <row r="3925" spans="1:19" x14ac:dyDescent="0.2">
      <c r="A3925" t="s">
        <v>6937</v>
      </c>
      <c r="B3925" t="s">
        <v>6939</v>
      </c>
      <c r="C3925">
        <v>2015</v>
      </c>
      <c r="D3925">
        <v>0</v>
      </c>
      <c r="E3925" t="s">
        <v>21</v>
      </c>
      <c r="F3925" t="s">
        <v>22</v>
      </c>
      <c r="G3925" t="s">
        <v>138</v>
      </c>
      <c r="H3925">
        <v>3</v>
      </c>
      <c r="I3925">
        <v>17.8719</v>
      </c>
      <c r="J3925">
        <v>4.3099999999999996</v>
      </c>
      <c r="N3925">
        <v>1.073E-2</v>
      </c>
      <c r="Q3925">
        <v>0.28999999999999998</v>
      </c>
      <c r="R3925">
        <v>0.31</v>
      </c>
    </row>
    <row r="3926" spans="1:19" x14ac:dyDescent="0.2">
      <c r="A3926" t="s">
        <v>6937</v>
      </c>
      <c r="B3926" t="s">
        <v>6940</v>
      </c>
      <c r="C3926">
        <v>2015</v>
      </c>
      <c r="D3926">
        <v>0</v>
      </c>
      <c r="E3926" t="s">
        <v>21</v>
      </c>
      <c r="F3926" t="s">
        <v>22</v>
      </c>
      <c r="G3926" t="s">
        <v>138</v>
      </c>
      <c r="H3926">
        <v>3</v>
      </c>
      <c r="I3926">
        <v>217.21</v>
      </c>
      <c r="J3926">
        <v>4.3099999999999996</v>
      </c>
      <c r="N3926">
        <v>2.4230000000000002E-2</v>
      </c>
      <c r="Q3926">
        <v>0.28999999999999998</v>
      </c>
      <c r="R3926">
        <v>0.31</v>
      </c>
    </row>
    <row r="3927" spans="1:19" x14ac:dyDescent="0.2">
      <c r="A3927" t="s">
        <v>6941</v>
      </c>
      <c r="B3927" t="s">
        <v>6942</v>
      </c>
      <c r="C3927">
        <v>2018</v>
      </c>
      <c r="D3927">
        <v>0</v>
      </c>
      <c r="E3927" t="s">
        <v>55</v>
      </c>
      <c r="F3927" t="s">
        <v>128</v>
      </c>
      <c r="G3927" t="s">
        <v>129</v>
      </c>
      <c r="H3927">
        <v>1</v>
      </c>
      <c r="I3927">
        <v>6.0011799999999997</v>
      </c>
      <c r="J3927">
        <v>44.58</v>
      </c>
      <c r="K3927">
        <v>11</v>
      </c>
      <c r="M3927">
        <v>2.0299999999999998</v>
      </c>
      <c r="O3927">
        <v>0.18099999999999999</v>
      </c>
      <c r="Q3927">
        <v>0.69</v>
      </c>
      <c r="R3927">
        <v>0.69</v>
      </c>
    </row>
    <row r="3928" spans="1:19" x14ac:dyDescent="0.2">
      <c r="A3928" t="s">
        <v>6943</v>
      </c>
      <c r="B3928" t="s">
        <v>6944</v>
      </c>
      <c r="C3928">
        <v>2006</v>
      </c>
      <c r="D3928">
        <v>0</v>
      </c>
      <c r="E3928" t="s">
        <v>21</v>
      </c>
      <c r="F3928" t="s">
        <v>128</v>
      </c>
      <c r="G3928" t="s">
        <v>6945</v>
      </c>
      <c r="H3928">
        <v>1</v>
      </c>
      <c r="I3928">
        <v>3.9415300000000002</v>
      </c>
      <c r="J3928">
        <v>172</v>
      </c>
      <c r="L3928">
        <v>263.7989</v>
      </c>
      <c r="M3928">
        <v>12.778</v>
      </c>
      <c r="N3928">
        <v>0.83</v>
      </c>
      <c r="O3928">
        <v>1.1399999999999999</v>
      </c>
      <c r="Q3928">
        <v>0.88</v>
      </c>
      <c r="R3928">
        <v>0.88</v>
      </c>
      <c r="S3928">
        <v>1.79</v>
      </c>
    </row>
    <row r="3929" spans="1:19" x14ac:dyDescent="0.2">
      <c r="A3929" t="s">
        <v>6946</v>
      </c>
      <c r="B3929" t="s">
        <v>6947</v>
      </c>
      <c r="C3929">
        <v>2007</v>
      </c>
      <c r="D3929">
        <v>0</v>
      </c>
      <c r="E3929" t="s">
        <v>21</v>
      </c>
      <c r="F3929" t="s">
        <v>128</v>
      </c>
      <c r="G3929" t="s">
        <v>6945</v>
      </c>
      <c r="H3929">
        <v>1</v>
      </c>
      <c r="I3929">
        <v>2.6158617799999999</v>
      </c>
      <c r="J3929">
        <v>145.5</v>
      </c>
      <c r="L3929">
        <v>179.89178000000001</v>
      </c>
      <c r="M3929">
        <v>11.131</v>
      </c>
      <c r="N3929">
        <v>0.56599999999999995</v>
      </c>
      <c r="O3929">
        <v>0.99299999999999999</v>
      </c>
      <c r="P3929">
        <v>0.71499999999999997</v>
      </c>
      <c r="Q3929">
        <v>0.97</v>
      </c>
      <c r="R3929">
        <v>0.99</v>
      </c>
      <c r="S3929">
        <v>1.41</v>
      </c>
    </row>
    <row r="3930" spans="1:19" x14ac:dyDescent="0.2">
      <c r="A3930" t="s">
        <v>6948</v>
      </c>
      <c r="B3930" t="s">
        <v>6949</v>
      </c>
      <c r="C3930">
        <v>2014</v>
      </c>
      <c r="D3930">
        <v>0</v>
      </c>
      <c r="E3930" t="s">
        <v>21</v>
      </c>
      <c r="F3930" t="s">
        <v>22</v>
      </c>
      <c r="G3930" t="s">
        <v>118</v>
      </c>
      <c r="H3930">
        <v>2</v>
      </c>
      <c r="I3930">
        <v>18.157</v>
      </c>
      <c r="J3930">
        <v>148</v>
      </c>
      <c r="N3930">
        <v>0.26</v>
      </c>
      <c r="Q3930">
        <v>0.98</v>
      </c>
      <c r="R3930">
        <v>1</v>
      </c>
    </row>
    <row r="3931" spans="1:19" x14ac:dyDescent="0.2">
      <c r="A3931" t="s">
        <v>6948</v>
      </c>
      <c r="B3931" t="s">
        <v>6950</v>
      </c>
      <c r="C3931">
        <v>2014</v>
      </c>
      <c r="D3931">
        <v>0</v>
      </c>
      <c r="E3931" t="s">
        <v>21</v>
      </c>
      <c r="F3931" t="s">
        <v>22</v>
      </c>
      <c r="G3931" t="s">
        <v>118</v>
      </c>
      <c r="H3931">
        <v>2</v>
      </c>
      <c r="I3931">
        <v>120.8</v>
      </c>
      <c r="J3931">
        <v>148</v>
      </c>
      <c r="N3931">
        <v>1.37</v>
      </c>
      <c r="Q3931">
        <v>0.98</v>
      </c>
      <c r="R3931">
        <v>1</v>
      </c>
    </row>
    <row r="3932" spans="1:19" x14ac:dyDescent="0.2">
      <c r="A3932" t="s">
        <v>6951</v>
      </c>
      <c r="B3932" t="s">
        <v>6952</v>
      </c>
      <c r="C3932">
        <v>2007</v>
      </c>
      <c r="D3932">
        <v>0</v>
      </c>
      <c r="E3932" t="s">
        <v>21</v>
      </c>
      <c r="F3932" t="s">
        <v>128</v>
      </c>
      <c r="G3932" t="s">
        <v>6945</v>
      </c>
      <c r="H3932">
        <v>1</v>
      </c>
      <c r="I3932">
        <v>3.1915399999999998</v>
      </c>
      <c r="J3932">
        <v>174</v>
      </c>
      <c r="L3932">
        <v>2316.9807000000001</v>
      </c>
      <c r="M3932">
        <v>15.805</v>
      </c>
      <c r="N3932">
        <v>7.29</v>
      </c>
      <c r="O3932">
        <v>1.41</v>
      </c>
      <c r="Q3932">
        <v>0.57999999999999996</v>
      </c>
      <c r="R3932">
        <v>1.54</v>
      </c>
      <c r="S3932">
        <v>0.22</v>
      </c>
    </row>
    <row r="3933" spans="1:19" x14ac:dyDescent="0.2">
      <c r="A3933" t="s">
        <v>6953</v>
      </c>
      <c r="B3933" t="s">
        <v>6954</v>
      </c>
      <c r="C3933">
        <v>2008</v>
      </c>
      <c r="D3933">
        <v>0</v>
      </c>
      <c r="E3933" t="s">
        <v>21</v>
      </c>
      <c r="F3933" t="s">
        <v>128</v>
      </c>
      <c r="G3933" t="s">
        <v>6945</v>
      </c>
      <c r="H3933">
        <v>1</v>
      </c>
      <c r="I3933">
        <v>4.1250799999999996</v>
      </c>
      <c r="J3933">
        <v>293</v>
      </c>
      <c r="L3933">
        <v>451.3186</v>
      </c>
      <c r="M3933">
        <v>14.010999999999999</v>
      </c>
      <c r="N3933">
        <v>1.42</v>
      </c>
      <c r="O3933">
        <v>1.25</v>
      </c>
      <c r="Q3933">
        <v>1.1000000000000001</v>
      </c>
      <c r="R3933">
        <v>1.45</v>
      </c>
      <c r="S3933">
        <v>0.5</v>
      </c>
    </row>
    <row r="3934" spans="1:19" x14ac:dyDescent="0.2">
      <c r="A3934" t="s">
        <v>6955</v>
      </c>
      <c r="B3934" t="s">
        <v>6956</v>
      </c>
      <c r="C3934">
        <v>2008</v>
      </c>
      <c r="D3934">
        <v>0</v>
      </c>
      <c r="E3934" t="s">
        <v>21</v>
      </c>
      <c r="F3934" t="s">
        <v>128</v>
      </c>
      <c r="G3934" t="s">
        <v>6945</v>
      </c>
      <c r="H3934">
        <v>1</v>
      </c>
      <c r="I3934">
        <v>4.1877557999999997</v>
      </c>
      <c r="J3934">
        <v>260</v>
      </c>
      <c r="L3934">
        <v>378.2</v>
      </c>
      <c r="M3934">
        <v>12.78</v>
      </c>
      <c r="N3934">
        <v>1.19</v>
      </c>
      <c r="O3934">
        <v>1.1399999999999999</v>
      </c>
      <c r="P3934">
        <v>1.06</v>
      </c>
      <c r="Q3934">
        <v>1.04</v>
      </c>
      <c r="R3934">
        <v>1.1299999999999999</v>
      </c>
      <c r="S3934">
        <v>1.01</v>
      </c>
    </row>
    <row r="3935" spans="1:19" x14ac:dyDescent="0.2">
      <c r="A3935" t="s">
        <v>6957</v>
      </c>
      <c r="B3935" t="s">
        <v>6958</v>
      </c>
      <c r="C3935">
        <v>2016</v>
      </c>
      <c r="D3935">
        <v>0</v>
      </c>
      <c r="E3935" t="s">
        <v>21</v>
      </c>
      <c r="F3935" t="s">
        <v>128</v>
      </c>
      <c r="G3935" t="s">
        <v>6945</v>
      </c>
      <c r="H3935">
        <v>1</v>
      </c>
      <c r="I3935">
        <v>3.7650006999999999</v>
      </c>
      <c r="J3935">
        <v>237.06</v>
      </c>
      <c r="K3935">
        <v>1.88</v>
      </c>
      <c r="L3935">
        <v>1398.452</v>
      </c>
      <c r="M3935">
        <v>23.202999999999999</v>
      </c>
      <c r="N3935">
        <v>4.4000000000000004</v>
      </c>
      <c r="O3935">
        <v>2.0699999999999998</v>
      </c>
      <c r="P3935">
        <v>0.62</v>
      </c>
      <c r="Q3935">
        <v>1.47</v>
      </c>
      <c r="R3935">
        <v>1.93</v>
      </c>
      <c r="S3935">
        <v>1</v>
      </c>
    </row>
    <row r="3936" spans="1:19" x14ac:dyDescent="0.2">
      <c r="A3936" t="s">
        <v>6959</v>
      </c>
      <c r="B3936" t="s">
        <v>6960</v>
      </c>
      <c r="C3936">
        <v>2017</v>
      </c>
      <c r="D3936">
        <v>0</v>
      </c>
      <c r="E3936" t="s">
        <v>21</v>
      </c>
      <c r="F3936" t="s">
        <v>22</v>
      </c>
      <c r="G3936" t="s">
        <v>138</v>
      </c>
      <c r="H3936">
        <v>3</v>
      </c>
      <c r="I3936">
        <v>1.9687600000000001</v>
      </c>
      <c r="J3936">
        <v>3.6</v>
      </c>
      <c r="K3936">
        <v>5</v>
      </c>
      <c r="N3936">
        <v>2.3600000000000001E-3</v>
      </c>
      <c r="Q3936">
        <v>0.13</v>
      </c>
      <c r="R3936">
        <v>0.17</v>
      </c>
    </row>
    <row r="3937" spans="1:18" x14ac:dyDescent="0.2">
      <c r="A3937" t="s">
        <v>6959</v>
      </c>
      <c r="B3937" t="s">
        <v>6961</v>
      </c>
      <c r="C3937">
        <v>2017</v>
      </c>
      <c r="D3937">
        <v>0</v>
      </c>
      <c r="E3937" t="s">
        <v>21</v>
      </c>
      <c r="F3937" t="s">
        <v>22</v>
      </c>
      <c r="G3937" t="s">
        <v>138</v>
      </c>
      <c r="H3937">
        <v>3</v>
      </c>
      <c r="I3937">
        <v>3.0600800000000001</v>
      </c>
      <c r="J3937">
        <v>3.6</v>
      </c>
      <c r="K3937">
        <v>5</v>
      </c>
      <c r="N3937">
        <v>3.0799999999999998E-3</v>
      </c>
      <c r="Q3937">
        <v>0.13</v>
      </c>
      <c r="R3937">
        <v>0.17</v>
      </c>
    </row>
    <row r="3938" spans="1:18" x14ac:dyDescent="0.2">
      <c r="A3938" t="s">
        <v>6959</v>
      </c>
      <c r="B3938" t="s">
        <v>6962</v>
      </c>
      <c r="C3938">
        <v>2017</v>
      </c>
      <c r="D3938">
        <v>0</v>
      </c>
      <c r="E3938" t="s">
        <v>21</v>
      </c>
      <c r="F3938" t="s">
        <v>22</v>
      </c>
      <c r="G3938" t="s">
        <v>138</v>
      </c>
      <c r="H3938">
        <v>3</v>
      </c>
      <c r="I3938">
        <v>4.6562700000000001</v>
      </c>
      <c r="J3938">
        <v>3.6</v>
      </c>
      <c r="K3938">
        <v>5</v>
      </c>
      <c r="N3938">
        <v>3.5899999999999999E-3</v>
      </c>
      <c r="Q3938">
        <v>0.13</v>
      </c>
      <c r="R3938">
        <v>0.17</v>
      </c>
    </row>
    <row r="3939" spans="1:18" x14ac:dyDescent="0.2">
      <c r="A3939" t="s">
        <v>6963</v>
      </c>
      <c r="B3939" t="s">
        <v>6964</v>
      </c>
      <c r="C3939">
        <v>2010</v>
      </c>
      <c r="D3939">
        <v>0</v>
      </c>
      <c r="E3939" t="s">
        <v>21</v>
      </c>
      <c r="F3939" t="s">
        <v>22</v>
      </c>
      <c r="G3939" t="s">
        <v>105</v>
      </c>
      <c r="H3939">
        <v>1</v>
      </c>
      <c r="I3939">
        <v>380.8</v>
      </c>
      <c r="J3939">
        <v>20.21</v>
      </c>
      <c r="N3939">
        <v>1.8</v>
      </c>
      <c r="Q3939">
        <v>1.5</v>
      </c>
      <c r="R3939">
        <v>13.9</v>
      </c>
    </row>
    <row r="3940" spans="1:18" x14ac:dyDescent="0.2">
      <c r="A3940" t="s">
        <v>6965</v>
      </c>
      <c r="B3940" t="s">
        <v>6966</v>
      </c>
      <c r="C3940">
        <v>2015</v>
      </c>
      <c r="D3940">
        <v>0</v>
      </c>
      <c r="E3940" t="s">
        <v>21</v>
      </c>
      <c r="F3940" t="s">
        <v>22</v>
      </c>
      <c r="G3940" t="s">
        <v>35</v>
      </c>
      <c r="H3940">
        <v>1</v>
      </c>
      <c r="I3940">
        <v>628.96</v>
      </c>
      <c r="J3940">
        <v>20.43</v>
      </c>
      <c r="K3940">
        <v>6.6</v>
      </c>
      <c r="N3940">
        <v>6.47</v>
      </c>
      <c r="Q3940">
        <v>1.1299999999999999</v>
      </c>
      <c r="R3940">
        <v>45.1</v>
      </c>
    </row>
    <row r="3941" spans="1:18" x14ac:dyDescent="0.2">
      <c r="A3941" t="s">
        <v>6967</v>
      </c>
      <c r="B3941" t="s">
        <v>6968</v>
      </c>
      <c r="C3941">
        <v>2014</v>
      </c>
      <c r="D3941">
        <v>0</v>
      </c>
      <c r="E3941" t="s">
        <v>21</v>
      </c>
      <c r="F3941" t="s">
        <v>22</v>
      </c>
      <c r="G3941" t="s">
        <v>105</v>
      </c>
      <c r="H3941">
        <v>1</v>
      </c>
      <c r="I3941">
        <v>605.20000000000005</v>
      </c>
      <c r="J3941">
        <v>90.54</v>
      </c>
      <c r="K3941">
        <v>1.85</v>
      </c>
      <c r="N3941">
        <v>7.8</v>
      </c>
      <c r="Q3941">
        <v>1.7</v>
      </c>
      <c r="R3941">
        <v>47.2</v>
      </c>
    </row>
    <row r="3942" spans="1:18" x14ac:dyDescent="0.2">
      <c r="A3942" t="s">
        <v>6969</v>
      </c>
      <c r="B3942" t="s">
        <v>6970</v>
      </c>
      <c r="C3942">
        <v>2008</v>
      </c>
      <c r="D3942">
        <v>0</v>
      </c>
      <c r="E3942" t="s">
        <v>21</v>
      </c>
      <c r="F3942" t="s">
        <v>40</v>
      </c>
      <c r="G3942" t="s">
        <v>59</v>
      </c>
      <c r="H3942">
        <v>1</v>
      </c>
      <c r="I3942">
        <v>7665</v>
      </c>
      <c r="J3942">
        <v>19.75</v>
      </c>
      <c r="Q3942">
        <v>1.76</v>
      </c>
    </row>
    <row r="3943" spans="1:18" x14ac:dyDescent="0.2">
      <c r="A3943" t="s">
        <v>6971</v>
      </c>
      <c r="B3943" t="s">
        <v>6972</v>
      </c>
      <c r="C3943">
        <v>2014</v>
      </c>
      <c r="D3943">
        <v>0</v>
      </c>
      <c r="E3943" t="s">
        <v>21</v>
      </c>
      <c r="F3943" t="s">
        <v>22</v>
      </c>
      <c r="G3943" t="s">
        <v>105</v>
      </c>
      <c r="H3943">
        <v>1</v>
      </c>
      <c r="I3943">
        <v>522.29999999999995</v>
      </c>
      <c r="J3943">
        <v>38.78</v>
      </c>
      <c r="K3943">
        <v>2.95</v>
      </c>
      <c r="N3943">
        <v>6.1</v>
      </c>
      <c r="Q3943">
        <v>1.4</v>
      </c>
      <c r="R3943">
        <v>38.299999999999997</v>
      </c>
    </row>
    <row r="3944" spans="1:18" x14ac:dyDescent="0.2">
      <c r="A3944" t="s">
        <v>6973</v>
      </c>
      <c r="B3944" t="s">
        <v>6974</v>
      </c>
      <c r="C3944">
        <v>2012</v>
      </c>
      <c r="D3944">
        <v>0</v>
      </c>
      <c r="E3944" t="s">
        <v>21</v>
      </c>
      <c r="F3944" t="s">
        <v>22</v>
      </c>
      <c r="G3944" t="s">
        <v>105</v>
      </c>
      <c r="H3944">
        <v>1</v>
      </c>
      <c r="I3944">
        <v>417.9</v>
      </c>
      <c r="J3944">
        <v>69.98</v>
      </c>
      <c r="K3944">
        <v>1.74</v>
      </c>
      <c r="N3944">
        <v>6.7</v>
      </c>
      <c r="Q3944">
        <v>1.7</v>
      </c>
      <c r="R3944">
        <v>21</v>
      </c>
    </row>
    <row r="3945" spans="1:18" x14ac:dyDescent="0.2">
      <c r="A3945" t="s">
        <v>6975</v>
      </c>
      <c r="B3945" t="s">
        <v>6976</v>
      </c>
      <c r="C3945">
        <v>2000</v>
      </c>
      <c r="D3945">
        <v>0</v>
      </c>
      <c r="E3945" t="s">
        <v>21</v>
      </c>
      <c r="F3945" t="s">
        <v>22</v>
      </c>
      <c r="G3945" t="s">
        <v>35</v>
      </c>
      <c r="H3945">
        <v>1</v>
      </c>
      <c r="I3945">
        <v>2502</v>
      </c>
      <c r="J3945">
        <v>3.21</v>
      </c>
      <c r="K3945">
        <v>0.8</v>
      </c>
      <c r="L3945">
        <v>492.63650000000001</v>
      </c>
      <c r="N3945">
        <v>1.55</v>
      </c>
      <c r="Q3945">
        <v>0.83</v>
      </c>
    </row>
    <row r="3946" spans="1:18" x14ac:dyDescent="0.2">
      <c r="A3946" t="s">
        <v>6977</v>
      </c>
      <c r="B3946" t="s">
        <v>6978</v>
      </c>
      <c r="C3946">
        <v>2006</v>
      </c>
      <c r="D3946">
        <v>0</v>
      </c>
      <c r="E3946" t="s">
        <v>21</v>
      </c>
      <c r="F3946" t="s">
        <v>22</v>
      </c>
      <c r="G3946" t="s">
        <v>29</v>
      </c>
      <c r="H3946">
        <v>1</v>
      </c>
      <c r="I3946">
        <v>594.9</v>
      </c>
      <c r="J3946">
        <v>49.23</v>
      </c>
      <c r="N3946">
        <v>7.6</v>
      </c>
      <c r="Q3946">
        <v>2.7</v>
      </c>
      <c r="R3946">
        <v>13.7</v>
      </c>
    </row>
    <row r="3947" spans="1:18" x14ac:dyDescent="0.2">
      <c r="A3947" t="s">
        <v>6979</v>
      </c>
      <c r="B3947" t="s">
        <v>6980</v>
      </c>
      <c r="C3947">
        <v>2009</v>
      </c>
      <c r="D3947">
        <v>0</v>
      </c>
      <c r="E3947" t="s">
        <v>21</v>
      </c>
      <c r="F3947" t="s">
        <v>22</v>
      </c>
      <c r="G3947" t="s">
        <v>105</v>
      </c>
      <c r="H3947">
        <v>1</v>
      </c>
      <c r="I3947">
        <v>428.5</v>
      </c>
      <c r="J3947">
        <v>38.520000000000003</v>
      </c>
      <c r="N3947">
        <v>8.7799999999999994</v>
      </c>
      <c r="Q3947">
        <v>1.23</v>
      </c>
      <c r="R3947">
        <v>31.88</v>
      </c>
    </row>
    <row r="3948" spans="1:18" x14ac:dyDescent="0.2">
      <c r="A3948" t="s">
        <v>6981</v>
      </c>
      <c r="B3948" t="s">
        <v>6982</v>
      </c>
      <c r="C3948">
        <v>2003</v>
      </c>
      <c r="D3948">
        <v>0</v>
      </c>
      <c r="E3948" t="s">
        <v>21</v>
      </c>
      <c r="F3948" t="s">
        <v>22</v>
      </c>
      <c r="G3948" t="s">
        <v>35</v>
      </c>
      <c r="H3948">
        <v>1</v>
      </c>
      <c r="I3948">
        <v>903.3</v>
      </c>
      <c r="J3948">
        <v>13.54</v>
      </c>
      <c r="N3948">
        <v>1.85</v>
      </c>
      <c r="Q3948">
        <v>1.4</v>
      </c>
      <c r="R3948">
        <v>4.9000000000000004</v>
      </c>
    </row>
    <row r="3949" spans="1:18" x14ac:dyDescent="0.2">
      <c r="A3949" t="s">
        <v>6983</v>
      </c>
      <c r="B3949" t="s">
        <v>6984</v>
      </c>
      <c r="C3949">
        <v>2018</v>
      </c>
      <c r="D3949">
        <v>0</v>
      </c>
      <c r="E3949" t="s">
        <v>21</v>
      </c>
      <c r="F3949" t="s">
        <v>22</v>
      </c>
      <c r="G3949" t="s">
        <v>29</v>
      </c>
      <c r="H3949">
        <v>2</v>
      </c>
      <c r="I3949">
        <v>415.2</v>
      </c>
      <c r="J3949">
        <v>47.43</v>
      </c>
      <c r="K3949">
        <v>2.82</v>
      </c>
      <c r="N3949">
        <v>1.02</v>
      </c>
      <c r="Q3949">
        <v>1.47</v>
      </c>
      <c r="R3949">
        <v>11.1</v>
      </c>
    </row>
    <row r="3950" spans="1:18" x14ac:dyDescent="0.2">
      <c r="A3950" t="s">
        <v>6983</v>
      </c>
      <c r="B3950" t="s">
        <v>6985</v>
      </c>
      <c r="C3950">
        <v>2018</v>
      </c>
      <c r="D3950">
        <v>0</v>
      </c>
      <c r="E3950" t="s">
        <v>21</v>
      </c>
      <c r="F3950" t="s">
        <v>22</v>
      </c>
      <c r="G3950" t="s">
        <v>29</v>
      </c>
      <c r="H3950">
        <v>2</v>
      </c>
      <c r="I3950">
        <v>964.6</v>
      </c>
      <c r="J3950">
        <v>47.43</v>
      </c>
      <c r="K3950">
        <v>2.82</v>
      </c>
      <c r="N3950">
        <v>4.58</v>
      </c>
      <c r="Q3950">
        <v>1.47</v>
      </c>
      <c r="R3950">
        <v>11.1</v>
      </c>
    </row>
    <row r="3951" spans="1:18" x14ac:dyDescent="0.2">
      <c r="A3951" t="s">
        <v>6986</v>
      </c>
      <c r="B3951" t="s">
        <v>6987</v>
      </c>
      <c r="C3951">
        <v>2002</v>
      </c>
      <c r="D3951">
        <v>0</v>
      </c>
      <c r="E3951" t="s">
        <v>21</v>
      </c>
      <c r="F3951" t="s">
        <v>22</v>
      </c>
      <c r="G3951" t="s">
        <v>46</v>
      </c>
      <c r="H3951">
        <v>1</v>
      </c>
      <c r="I3951">
        <v>511.09800000000001</v>
      </c>
      <c r="J3951">
        <v>31.67</v>
      </c>
      <c r="N3951">
        <v>8.82</v>
      </c>
      <c r="Q3951">
        <v>1.05</v>
      </c>
    </row>
    <row r="3952" spans="1:18" x14ac:dyDescent="0.2">
      <c r="A3952" t="s">
        <v>6988</v>
      </c>
      <c r="B3952" t="s">
        <v>6989</v>
      </c>
      <c r="C3952">
        <v>2012</v>
      </c>
      <c r="D3952">
        <v>0</v>
      </c>
      <c r="E3952" t="s">
        <v>21</v>
      </c>
      <c r="F3952" t="s">
        <v>40</v>
      </c>
      <c r="G3952" t="s">
        <v>224</v>
      </c>
      <c r="H3952">
        <v>1</v>
      </c>
      <c r="J3952">
        <v>50.06</v>
      </c>
      <c r="K3952">
        <v>0.03</v>
      </c>
      <c r="L3952">
        <v>4327.3599999999997</v>
      </c>
      <c r="N3952">
        <v>13.616</v>
      </c>
      <c r="Q3952">
        <v>2.6</v>
      </c>
    </row>
    <row r="3953" spans="1:19" x14ac:dyDescent="0.2">
      <c r="A3953" t="s">
        <v>6990</v>
      </c>
      <c r="B3953" t="s">
        <v>6991</v>
      </c>
      <c r="C3953">
        <v>2007</v>
      </c>
      <c r="D3953">
        <v>0</v>
      </c>
      <c r="E3953" t="s">
        <v>21</v>
      </c>
      <c r="F3953" t="s">
        <v>22</v>
      </c>
      <c r="G3953" t="s">
        <v>46</v>
      </c>
      <c r="H3953">
        <v>1</v>
      </c>
      <c r="I3953">
        <v>1285</v>
      </c>
      <c r="J3953">
        <v>30.5</v>
      </c>
      <c r="N3953">
        <v>1.8109999999999999</v>
      </c>
      <c r="Q3953">
        <v>1.5</v>
      </c>
      <c r="R3953">
        <v>4.8499999999999996</v>
      </c>
    </row>
    <row r="3954" spans="1:19" x14ac:dyDescent="0.2">
      <c r="A3954" t="s">
        <v>6992</v>
      </c>
      <c r="B3954" t="s">
        <v>6993</v>
      </c>
      <c r="C3954">
        <v>2014</v>
      </c>
      <c r="D3954">
        <v>0</v>
      </c>
      <c r="E3954" t="s">
        <v>21</v>
      </c>
      <c r="F3954" t="s">
        <v>22</v>
      </c>
      <c r="G3954" t="s">
        <v>105</v>
      </c>
      <c r="H3954">
        <v>1</v>
      </c>
      <c r="I3954">
        <v>357.8</v>
      </c>
      <c r="J3954">
        <v>32.630000000000003</v>
      </c>
      <c r="K3954">
        <v>3.35</v>
      </c>
      <c r="N3954">
        <v>2.4</v>
      </c>
      <c r="Q3954">
        <v>1.5</v>
      </c>
      <c r="R3954">
        <v>11.4</v>
      </c>
    </row>
    <row r="3955" spans="1:19" x14ac:dyDescent="0.2">
      <c r="A3955" t="s">
        <v>6994</v>
      </c>
      <c r="B3955" t="s">
        <v>6995</v>
      </c>
      <c r="C3955">
        <v>2012</v>
      </c>
      <c r="D3955">
        <v>0</v>
      </c>
      <c r="E3955" t="s">
        <v>21</v>
      </c>
      <c r="F3955" t="s">
        <v>22</v>
      </c>
      <c r="G3955" t="s">
        <v>29</v>
      </c>
      <c r="H3955">
        <v>2</v>
      </c>
      <c r="I3955">
        <v>530.32000000000005</v>
      </c>
      <c r="J3955">
        <v>43.38</v>
      </c>
      <c r="N3955">
        <v>24</v>
      </c>
      <c r="Q3955">
        <v>3.04</v>
      </c>
      <c r="R3955">
        <v>15.1</v>
      </c>
    </row>
    <row r="3956" spans="1:19" x14ac:dyDescent="0.2">
      <c r="A3956" t="s">
        <v>6994</v>
      </c>
      <c r="B3956" t="s">
        <v>6996</v>
      </c>
      <c r="C3956">
        <v>2012</v>
      </c>
      <c r="D3956">
        <v>0</v>
      </c>
      <c r="E3956" t="s">
        <v>21</v>
      </c>
      <c r="F3956" t="s">
        <v>22</v>
      </c>
      <c r="G3956" t="s">
        <v>29</v>
      </c>
      <c r="H3956">
        <v>2</v>
      </c>
      <c r="I3956">
        <v>3186</v>
      </c>
      <c r="J3956">
        <v>43.38</v>
      </c>
      <c r="N3956">
        <v>27</v>
      </c>
      <c r="Q3956">
        <v>3.04</v>
      </c>
      <c r="R3956">
        <v>15.1</v>
      </c>
    </row>
    <row r="3957" spans="1:19" x14ac:dyDescent="0.2">
      <c r="A3957" t="s">
        <v>6997</v>
      </c>
      <c r="B3957" t="s">
        <v>6998</v>
      </c>
      <c r="C3957">
        <v>2013</v>
      </c>
      <c r="D3957">
        <v>0</v>
      </c>
      <c r="E3957" t="s">
        <v>21</v>
      </c>
      <c r="F3957" t="s">
        <v>22</v>
      </c>
      <c r="G3957" t="s">
        <v>29</v>
      </c>
      <c r="H3957">
        <v>1</v>
      </c>
      <c r="I3957">
        <v>277.02</v>
      </c>
      <c r="J3957">
        <v>76.91</v>
      </c>
      <c r="N3957">
        <v>1.7</v>
      </c>
      <c r="Q3957">
        <v>2.17</v>
      </c>
      <c r="R3957">
        <v>12.3</v>
      </c>
    </row>
    <row r="3958" spans="1:19" x14ac:dyDescent="0.2">
      <c r="A3958" t="s">
        <v>6999</v>
      </c>
      <c r="B3958" t="s">
        <v>7000</v>
      </c>
      <c r="C3958">
        <v>2012</v>
      </c>
      <c r="D3958">
        <v>0</v>
      </c>
      <c r="E3958" t="s">
        <v>21</v>
      </c>
      <c r="F3958" t="s">
        <v>22</v>
      </c>
      <c r="G3958" t="s">
        <v>29</v>
      </c>
      <c r="H3958">
        <v>1</v>
      </c>
      <c r="I3958">
        <v>187.83</v>
      </c>
      <c r="J3958">
        <v>84.99</v>
      </c>
      <c r="N3958">
        <v>1.5</v>
      </c>
      <c r="Q3958">
        <v>2.13</v>
      </c>
      <c r="R3958">
        <v>10.5</v>
      </c>
    </row>
    <row r="3959" spans="1:19" x14ac:dyDescent="0.2">
      <c r="A3959" t="s">
        <v>7001</v>
      </c>
      <c r="B3959" t="s">
        <v>7002</v>
      </c>
      <c r="C3959">
        <v>2012</v>
      </c>
      <c r="D3959">
        <v>0</v>
      </c>
      <c r="E3959" t="s">
        <v>21</v>
      </c>
      <c r="F3959" t="s">
        <v>22</v>
      </c>
      <c r="G3959" t="s">
        <v>29</v>
      </c>
      <c r="H3959">
        <v>1</v>
      </c>
      <c r="I3959">
        <v>1630</v>
      </c>
      <c r="J3959">
        <v>60.5</v>
      </c>
      <c r="N3959">
        <v>4.0999999999999996</v>
      </c>
      <c r="Q3959">
        <v>3.09</v>
      </c>
      <c r="R3959">
        <v>14.1</v>
      </c>
    </row>
    <row r="3960" spans="1:19" x14ac:dyDescent="0.2">
      <c r="A3960" t="s">
        <v>1306</v>
      </c>
      <c r="B3960" t="s">
        <v>7003</v>
      </c>
      <c r="C3960">
        <v>2018</v>
      </c>
      <c r="D3960">
        <v>0</v>
      </c>
      <c r="E3960" t="s">
        <v>55</v>
      </c>
      <c r="F3960" t="s">
        <v>128</v>
      </c>
      <c r="G3960" t="s">
        <v>256</v>
      </c>
      <c r="H3960">
        <v>2</v>
      </c>
      <c r="I3960">
        <v>6.2679</v>
      </c>
      <c r="J3960">
        <v>18.28</v>
      </c>
      <c r="K3960">
        <v>2.98</v>
      </c>
      <c r="L3960">
        <v>4.82</v>
      </c>
      <c r="M3960">
        <v>2.0419999999999998</v>
      </c>
      <c r="N3960">
        <v>1.5169999999999999E-2</v>
      </c>
      <c r="O3960">
        <v>0.182</v>
      </c>
      <c r="P3960">
        <v>2.97</v>
      </c>
      <c r="Q3960">
        <v>1.0900000000000001</v>
      </c>
      <c r="R3960">
        <v>1.1000000000000001</v>
      </c>
      <c r="S3960">
        <v>1.1479999999999999</v>
      </c>
    </row>
    <row r="3961" spans="1:19" x14ac:dyDescent="0.2">
      <c r="A3961" t="s">
        <v>7004</v>
      </c>
      <c r="B3961" t="s">
        <v>7005</v>
      </c>
      <c r="C3961">
        <v>2015</v>
      </c>
      <c r="D3961">
        <v>0</v>
      </c>
      <c r="E3961" t="s">
        <v>21</v>
      </c>
      <c r="F3961" t="s">
        <v>22</v>
      </c>
      <c r="G3961" t="s">
        <v>86</v>
      </c>
      <c r="H3961">
        <v>1</v>
      </c>
      <c r="I3961">
        <v>3117</v>
      </c>
      <c r="J3961">
        <v>22.16</v>
      </c>
      <c r="K3961">
        <v>3.3</v>
      </c>
      <c r="N3961">
        <v>1.53</v>
      </c>
      <c r="Q3961">
        <v>1.19</v>
      </c>
    </row>
    <row r="3962" spans="1:19" x14ac:dyDescent="0.2">
      <c r="A3962" t="s">
        <v>7006</v>
      </c>
      <c r="B3962" t="s">
        <v>7007</v>
      </c>
      <c r="C3962">
        <v>1997</v>
      </c>
      <c r="D3962">
        <v>0</v>
      </c>
      <c r="E3962" t="s">
        <v>21</v>
      </c>
      <c r="F3962" t="s">
        <v>22</v>
      </c>
      <c r="G3962" t="s">
        <v>1235</v>
      </c>
      <c r="H3962">
        <v>2</v>
      </c>
      <c r="I3962">
        <v>39.845799999999997</v>
      </c>
      <c r="J3962">
        <v>17.239999999999998</v>
      </c>
      <c r="N3962">
        <v>1.0448999999999999</v>
      </c>
      <c r="Q3962">
        <v>0.89</v>
      </c>
      <c r="R3962">
        <v>1.36</v>
      </c>
    </row>
    <row r="3963" spans="1:19" x14ac:dyDescent="0.2">
      <c r="A3963" t="s">
        <v>7006</v>
      </c>
      <c r="B3963" t="s">
        <v>7008</v>
      </c>
      <c r="C3963">
        <v>2016</v>
      </c>
      <c r="D3963">
        <v>0</v>
      </c>
      <c r="E3963" t="s">
        <v>21</v>
      </c>
      <c r="F3963" t="s">
        <v>22</v>
      </c>
      <c r="G3963" t="s">
        <v>35</v>
      </c>
      <c r="H3963">
        <v>2</v>
      </c>
      <c r="I3963">
        <v>102.54</v>
      </c>
      <c r="J3963">
        <v>17.239999999999998</v>
      </c>
      <c r="N3963">
        <v>7.8659999999999994E-2</v>
      </c>
      <c r="Q3963">
        <v>0.89</v>
      </c>
      <c r="R3963">
        <v>1.36</v>
      </c>
    </row>
    <row r="3964" spans="1:19" x14ac:dyDescent="0.2">
      <c r="A3964" t="s">
        <v>7009</v>
      </c>
      <c r="B3964" t="s">
        <v>7010</v>
      </c>
      <c r="C3964">
        <v>1996</v>
      </c>
      <c r="D3964">
        <v>0</v>
      </c>
      <c r="E3964" t="s">
        <v>21</v>
      </c>
      <c r="F3964" t="s">
        <v>22</v>
      </c>
      <c r="G3964" t="s">
        <v>118</v>
      </c>
      <c r="H3964">
        <v>1</v>
      </c>
      <c r="I3964">
        <v>3.3124568000000001</v>
      </c>
      <c r="J3964">
        <v>15.66</v>
      </c>
      <c r="N3964">
        <v>4.32</v>
      </c>
      <c r="Q3964">
        <v>1.34</v>
      </c>
      <c r="R3964">
        <v>1.46</v>
      </c>
    </row>
    <row r="3965" spans="1:19" x14ac:dyDescent="0.2">
      <c r="A3965" t="s">
        <v>7011</v>
      </c>
      <c r="B3965" t="s">
        <v>7012</v>
      </c>
      <c r="C3965">
        <v>2017</v>
      </c>
      <c r="D3965">
        <v>0</v>
      </c>
      <c r="E3965" t="s">
        <v>21</v>
      </c>
      <c r="F3965" t="s">
        <v>22</v>
      </c>
      <c r="G3965" t="s">
        <v>35</v>
      </c>
      <c r="H3965">
        <v>4</v>
      </c>
      <c r="I3965">
        <v>162.87</v>
      </c>
      <c r="J3965">
        <v>3.6</v>
      </c>
      <c r="N3965">
        <v>1.2370000000000001E-2</v>
      </c>
      <c r="Q3965">
        <v>0.78</v>
      </c>
    </row>
    <row r="3966" spans="1:19" x14ac:dyDescent="0.2">
      <c r="A3966" t="s">
        <v>7011</v>
      </c>
      <c r="B3966" t="s">
        <v>7013</v>
      </c>
      <c r="C3966">
        <v>2017</v>
      </c>
      <c r="D3966">
        <v>0</v>
      </c>
      <c r="E3966" t="s">
        <v>21</v>
      </c>
      <c r="F3966" t="s">
        <v>22</v>
      </c>
      <c r="G3966" t="s">
        <v>35</v>
      </c>
      <c r="H3966">
        <v>4</v>
      </c>
      <c r="I3966">
        <v>636.13</v>
      </c>
      <c r="J3966">
        <v>3.6</v>
      </c>
      <c r="N3966">
        <v>1.2370000000000001E-2</v>
      </c>
      <c r="Q3966">
        <v>0.78</v>
      </c>
    </row>
    <row r="3967" spans="1:19" x14ac:dyDescent="0.2">
      <c r="A3967" t="s">
        <v>7011</v>
      </c>
      <c r="B3967" t="s">
        <v>7014</v>
      </c>
      <c r="C3967">
        <v>2017</v>
      </c>
      <c r="D3967">
        <v>0</v>
      </c>
      <c r="E3967" t="s">
        <v>21</v>
      </c>
      <c r="F3967" t="s">
        <v>22</v>
      </c>
      <c r="G3967" t="s">
        <v>35</v>
      </c>
      <c r="H3967">
        <v>4</v>
      </c>
      <c r="I3967">
        <v>20</v>
      </c>
      <c r="J3967">
        <v>3.6</v>
      </c>
      <c r="N3967">
        <v>5.5100000000000001E-3</v>
      </c>
      <c r="Q3967">
        <v>0.78</v>
      </c>
    </row>
    <row r="3968" spans="1:19" x14ac:dyDescent="0.2">
      <c r="A3968" t="s">
        <v>7011</v>
      </c>
      <c r="B3968" t="s">
        <v>7015</v>
      </c>
      <c r="C3968">
        <v>2017</v>
      </c>
      <c r="D3968">
        <v>0</v>
      </c>
      <c r="E3968" t="s">
        <v>21</v>
      </c>
      <c r="F3968" t="s">
        <v>22</v>
      </c>
      <c r="G3968" t="s">
        <v>35</v>
      </c>
      <c r="H3968">
        <v>4</v>
      </c>
      <c r="I3968">
        <v>49.41</v>
      </c>
      <c r="J3968">
        <v>3.6</v>
      </c>
      <c r="N3968">
        <v>5.7600000000000004E-3</v>
      </c>
      <c r="Q3968">
        <v>0.78</v>
      </c>
    </row>
    <row r="3969" spans="1:18" x14ac:dyDescent="0.2">
      <c r="A3969" t="s">
        <v>7016</v>
      </c>
      <c r="B3969" t="s">
        <v>7017</v>
      </c>
      <c r="C3969">
        <v>2013</v>
      </c>
      <c r="D3969">
        <v>0</v>
      </c>
      <c r="E3969" t="s">
        <v>21</v>
      </c>
      <c r="F3969" t="s">
        <v>22</v>
      </c>
      <c r="G3969" t="s">
        <v>46</v>
      </c>
      <c r="H3969">
        <v>1</v>
      </c>
      <c r="I3969">
        <v>305.5</v>
      </c>
      <c r="J3969">
        <v>112.64</v>
      </c>
      <c r="K3969">
        <v>1.22</v>
      </c>
      <c r="N3969">
        <v>20.6</v>
      </c>
      <c r="Q3969">
        <v>2.2999999999999998</v>
      </c>
      <c r="R3969">
        <v>26.8</v>
      </c>
    </row>
    <row r="3970" spans="1:18" x14ac:dyDescent="0.2">
      <c r="A3970" t="s">
        <v>7018</v>
      </c>
      <c r="B3970" t="s">
        <v>7019</v>
      </c>
      <c r="C3970">
        <v>1996</v>
      </c>
      <c r="D3970">
        <v>0</v>
      </c>
      <c r="E3970" t="s">
        <v>21</v>
      </c>
      <c r="F3970" t="s">
        <v>22</v>
      </c>
      <c r="G3970" t="s">
        <v>46</v>
      </c>
      <c r="H3970">
        <v>3</v>
      </c>
      <c r="I3970">
        <v>4.6170330000000002</v>
      </c>
      <c r="J3970">
        <v>13.41</v>
      </c>
      <c r="K3970">
        <v>5</v>
      </c>
      <c r="N3970">
        <v>0.68759999999999999</v>
      </c>
      <c r="Q3970">
        <v>1.3</v>
      </c>
      <c r="R3970">
        <v>1.56</v>
      </c>
    </row>
    <row r="3971" spans="1:18" x14ac:dyDescent="0.2">
      <c r="A3971" t="s">
        <v>7018</v>
      </c>
      <c r="B3971" t="s">
        <v>7020</v>
      </c>
      <c r="C3971">
        <v>1999</v>
      </c>
      <c r="D3971">
        <v>0</v>
      </c>
      <c r="E3971" t="s">
        <v>21</v>
      </c>
      <c r="F3971" t="s">
        <v>22</v>
      </c>
      <c r="G3971" t="s">
        <v>35</v>
      </c>
      <c r="H3971">
        <v>3</v>
      </c>
      <c r="I3971">
        <v>241.25800000000001</v>
      </c>
      <c r="J3971">
        <v>13.41</v>
      </c>
      <c r="K3971">
        <v>5</v>
      </c>
      <c r="N3971">
        <v>1.9810000000000001</v>
      </c>
      <c r="Q3971">
        <v>1.3</v>
      </c>
      <c r="R3971">
        <v>1.56</v>
      </c>
    </row>
    <row r="3972" spans="1:18" x14ac:dyDescent="0.2">
      <c r="A3972" t="s">
        <v>7018</v>
      </c>
      <c r="B3972" t="s">
        <v>7021</v>
      </c>
      <c r="C3972">
        <v>1999</v>
      </c>
      <c r="D3972">
        <v>0</v>
      </c>
      <c r="E3972" t="s">
        <v>21</v>
      </c>
      <c r="F3972" t="s">
        <v>22</v>
      </c>
      <c r="G3972" t="s">
        <v>35</v>
      </c>
      <c r="H3972">
        <v>3</v>
      </c>
      <c r="I3972">
        <v>1276.46</v>
      </c>
      <c r="J3972">
        <v>13.41</v>
      </c>
      <c r="K3972">
        <v>5</v>
      </c>
      <c r="N3972">
        <v>4.1319999999999997</v>
      </c>
      <c r="Q3972">
        <v>1.3</v>
      </c>
      <c r="R3972">
        <v>1.56</v>
      </c>
    </row>
    <row r="3973" spans="1:18" x14ac:dyDescent="0.2">
      <c r="A3973" t="s">
        <v>7022</v>
      </c>
      <c r="B3973" t="s">
        <v>7023</v>
      </c>
      <c r="C3973">
        <v>2007</v>
      </c>
      <c r="D3973">
        <v>0</v>
      </c>
      <c r="E3973" t="s">
        <v>21</v>
      </c>
      <c r="F3973" t="s">
        <v>22</v>
      </c>
      <c r="G3973" t="s">
        <v>29</v>
      </c>
      <c r="H3973">
        <v>1</v>
      </c>
      <c r="I3973">
        <v>136.75</v>
      </c>
      <c r="J3973">
        <v>56.27</v>
      </c>
      <c r="N3973">
        <v>2.8</v>
      </c>
      <c r="Q3973">
        <v>2.2000000000000002</v>
      </c>
      <c r="R3973">
        <v>12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Data sample</vt:lpstr>
      <vt:lpstr>pie chart 1</vt:lpstr>
      <vt:lpstr>pie chart 2</vt:lpstr>
      <vt:lpstr>row chart 3</vt:lpstr>
      <vt:lpstr>bar chart 4.1</vt:lpstr>
      <vt:lpstr>bar chart 4.2</vt:lpstr>
      <vt:lpstr>bar chart 5</vt:lpstr>
      <vt:lpstr>line chart 6</vt:lpstr>
      <vt:lpstr>bar chart 7</vt:lpstr>
      <vt:lpstr>bar chart 8</vt:lpstr>
      <vt:lpstr>scatter plots 1</vt:lpstr>
      <vt:lpstr>scatter plots 2</vt:lpstr>
      <vt:lpstr>scatter plots 3</vt:lpstr>
      <vt:lpstr>static-exo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2019-06-20T17:04:41Z</dcterms:created>
  <dcterms:modified xsi:type="dcterms:W3CDTF">2019-06-27T07:49:50Z</dcterms:modified>
</cp:coreProperties>
</file>